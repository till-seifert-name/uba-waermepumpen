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2"/>
  <workbookPr updateLinks="never"/>
  <mc:AlternateContent xmlns:mc="http://schemas.openxmlformats.org/markup-compatibility/2006">
    <mc:Choice Requires="x15">
      <x15ac:absPath xmlns:x15ac="http://schemas.microsoft.com/office/spreadsheetml/2010/11/ac" url="https://ifeu2.sharepoint.com/sites/DBUBeschaffungBerlin/Freigegebene Dokumente/General/Basisprojekt/03_Arbeitsdokumente/AP4 Entwicklung Methodik und Umsetzung in Instrumenten/LZK-Rechner/Aktueller LZK-Rechner/"/>
    </mc:Choice>
  </mc:AlternateContent>
  <xr:revisionPtr revIDLastSave="0" documentId="13_ncr:1_{0163F6E8-9788-44CD-B6AF-E54269FA8B27}" xr6:coauthVersionLast="36" xr6:coauthVersionMax="36" xr10:uidLastSave="{00000000-0000-0000-0000-000000000000}"/>
  <bookViews>
    <workbookView xWindow="0" yWindow="0" windowWidth="23040" windowHeight="8940" tabRatio="887" xr2:uid="{00000000-000D-0000-FFFF-FFFF00000000}"/>
  </bookViews>
  <sheets>
    <sheet name="Anleitung" sheetId="27"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6"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trArtList">Listen!$B$8:$B$10</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Grunddaten!$G$42</definedName>
    <definedName name="Batterie1">Eingabe_Angebotswerte!$E$21</definedName>
    <definedName name="Batterie2">Eingabe_Angebotswerte!$F$21</definedName>
    <definedName name="Batterie3">Eingabe_Angebotswerte!$G$21</definedName>
    <definedName name="Batterie4">Eingabe_Angebotswerte!$H$21</definedName>
    <definedName name="Batterie5">Eingabe_Angebotswerte!$I$21</definedName>
    <definedName name="CO2_1">Eingabe_Angebotswerte!$E$17</definedName>
    <definedName name="CO2_2">Eingabe_Angebotswerte!$F$17</definedName>
    <definedName name="CO2_3">Eingabe_Angebotswerte!$G$17</definedName>
    <definedName name="CO2_4">Eingabe_Angebotswerte!$H$17</definedName>
    <definedName name="CO2_5">Eingabe_Angebotswerte!$I$17</definedName>
    <definedName name="CO2List">Emissionsfaktoren!$B$26:$D$29</definedName>
    <definedName name="Datum">Input_Projekt!$C$11</definedName>
    <definedName name="_xlnm.Print_Area" localSheetId="13">Doku!$B$2:$P$41</definedName>
    <definedName name="_xlnm.Print_Area" localSheetId="6">Erg.Pkw_1!$A$2:$D$63</definedName>
    <definedName name="_xlnm.Print_Area" localSheetId="7">Erg.Pkw_2!$A$2:$D$63</definedName>
    <definedName name="_xlnm.Print_Area" localSheetId="3">Ergebnisse_LZK!$B$2:$H$32</definedName>
    <definedName name="_xlnm.Print_Area" localSheetId="4">Ergebnisse_Umweltkosten!$B$2:$H$30</definedName>
    <definedName name="_xlnm.Print_Area" localSheetId="14">Quellen!$B$2:$C$32</definedName>
    <definedName name="EnEinheitList">Listen!$B$20:$D$23</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Grunddaten!$B$24:$G$29</definedName>
    <definedName name="EnList1">Erg.Pkw_1!$F$5:$F$8</definedName>
    <definedName name="EnList2">Erg.Pkw_2!$F$5:$F$8</definedName>
    <definedName name="EnList3">Erg.Pkw_3!$F$5:$F$8</definedName>
    <definedName name="EnList4">Erg.Pkw_4!$F$5:$F$8</definedName>
    <definedName name="EnList5">Erg.Pkw_5!$F$5:$F$8</definedName>
    <definedName name="EnUmrechList">Emissionsfaktoren!$B$16:$E$18</definedName>
    <definedName name="Fahrleistung">Input_Projekt!$C$15</definedName>
    <definedName name="FinArt">Input_Projekt!$C$17</definedName>
    <definedName name="FinArtList">Listen!$B$3:$D$5</definedName>
    <definedName name="Gesamtpreis1">Eingabe_Angebotswerte!$E$13</definedName>
    <definedName name="Gesamtpreis2">Eingabe_Angebotswerte!$F$13</definedName>
    <definedName name="Gesamtpreis3">Eingabe_Angebotswerte!$G$13</definedName>
    <definedName name="Gesamtpreis4">Eingabe_Angebotswerte!$H$13</definedName>
    <definedName name="Gesamtpreis5">Eingabe_Angebotswerte!$I$13</definedName>
    <definedName name="Haltedauer">Input_Projekt!$C$19</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Input_Projekt!$C$21</definedName>
    <definedName name="KaufpreisRechList">Listen!$B$26:$B$27</definedName>
    <definedName name="Kost_NOX">Grunddaten!$G$37</definedName>
    <definedName name="Kost_Partikel">Grunddaten!$G$38</definedName>
    <definedName name="Kost_THG">Grunddaten!$G$35</definedName>
    <definedName name="KostTHGList">Listen!$B$34:$B$35</definedName>
    <definedName name="KostTHGVorgabe">Input_Projekt!$C$24</definedName>
    <definedName name="LeasSondZahl1">Eingabe_Angebotswerte!$E$14</definedName>
    <definedName name="LeasSondZahl2">Eingabe_Angebotswerte!$F$14</definedName>
    <definedName name="LeasSondZahl3">Eingabe_Angebotswerte!$G$14</definedName>
    <definedName name="LeasSondZahl4">Eingabe_Angebotswerte!$H$14</definedName>
    <definedName name="LeasSondZahl5">Eingabe_Angebotswerte!$I$14</definedName>
    <definedName name="maxCO2">Grunddaten!$G$7</definedName>
    <definedName name="maxCO2PHEV">Grunddaten!$G$9</definedName>
    <definedName name="maxCO2Van">Grunddaten!$G$8</definedName>
    <definedName name="maxkWh">Grunddaten!$G$12</definedName>
    <definedName name="maxkWhVan">Grunddaten!$G$13</definedName>
    <definedName name="maxNOX">Grunddaten!$G$10</definedName>
    <definedName name="maxPM">Grunddaten!$G$11</definedName>
    <definedName name="minReichwPHEV">Grunddaten!$G$14</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OX_1">Eingabe_Angebotswerte!$E$18</definedName>
    <definedName name="NOX_2">Eingabe_Angebotswerte!$F$18</definedName>
    <definedName name="NOX_3">Eingabe_Angebotswerte!$G$18</definedName>
    <definedName name="NOX_4">Eingabe_Angebotswerte!$H$18</definedName>
    <definedName name="NOX_5">Eingabe_Angebotswerte!$I$18</definedName>
    <definedName name="Partikel1">Eingabe_Angebotswerte!$E$19</definedName>
    <definedName name="Partikel2">Eingabe_Angebotswerte!$F$19</definedName>
    <definedName name="Partikel3">Eingabe_Angebotswerte!$G$19</definedName>
    <definedName name="Partikel4">Eingabe_Angebotswerte!$H$19</definedName>
    <definedName name="Partikel5">Eingabe_Angebotswerte!$I$19</definedName>
    <definedName name="Projektname_Z1">Input_Projekt!$C$6</definedName>
    <definedName name="Projektname_Z2">Input_Projekt!$C$7</definedName>
    <definedName name="Projektname_Z3">Input_Projekt!$C$8</definedName>
    <definedName name="ReichwPHEV1">Eingabe_Angebotswerte!$E$20</definedName>
    <definedName name="ReichwPHEV2">Eingabe_Angebotswerte!$F$20</definedName>
    <definedName name="ReichwPHEV3">Eingabe_Angebotswerte!$G$20</definedName>
    <definedName name="ReichwPHEV4">Eingabe_Angebotswerte!$H$20</definedName>
    <definedName name="ReichwPHEV5">Eingabe_Angebotswerte!$I$20</definedName>
    <definedName name="Segment">Input_Projekt!$C$13</definedName>
    <definedName name="SegmentList">Listen!$B$30:$B$31</definedName>
    <definedName name="Unternehmen">Input_Projekt!$C$9</definedName>
    <definedName name="VerbEl_WLTP1">Eingabe_Angebotswerte!$E$16</definedName>
    <definedName name="VerbEl_WLTP2">Eingabe_Angebotswerte!$F$16</definedName>
    <definedName name="VerbEl_WLTP3">Eingabe_Angebotswerte!$G$16</definedName>
    <definedName name="VerbEl_WLTP4">Eingabe_Angebotswerte!$H$16</definedName>
    <definedName name="VerbEl_WLTP5">Eingabe_Angebotswerte!$I$16</definedName>
    <definedName name="VerbElPHEV1">Erg.Pkw_1!$C$23</definedName>
    <definedName name="VerbElPHEV2">Erg.Pkw_2!$C$23</definedName>
    <definedName name="VerbElPHEV3">Erg.Pkw_3!$C$23</definedName>
    <definedName name="VerbElPHEV4">Erg.Pkw_4!$C$23</definedName>
    <definedName name="VerbElPHEV5">Erg.Pkw_5!$C$23</definedName>
    <definedName name="VerbPHEV1">Erg.Pkw_1!$C$22</definedName>
    <definedName name="VerbPHEV2">Erg.Pkw_2!$C$22</definedName>
    <definedName name="VerbPHEV3">Erg.Pkw_3!$C$22</definedName>
    <definedName name="VerbPHEV4">Erg.Pkw_4!$C$22</definedName>
    <definedName name="VerbPHEV5">Erg.Pkw_5!$C$22</definedName>
    <definedName name="Verbrauch1">Eingabe_Angebotswerte!$E$15</definedName>
    <definedName name="Verbrauch2">Eingabe_Angebotswerte!$F$15</definedName>
    <definedName name="Verbrauch3">Eingabe_Angebotswerte!$G$15</definedName>
    <definedName name="Verbrauch4">Eingabe_Angebotswerte!$H$15</definedName>
    <definedName name="Verbrauch5">Eingabe_Angebotswerte!$I$15</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Input_Projekt!$C$10</definedName>
  </definedNames>
  <calcPr calcId="191029" iterate="1" iterateCount="1000"/>
</workbook>
</file>

<file path=xl/calcChain.xml><?xml version="1.0" encoding="utf-8"?>
<calcChain xmlns="http://schemas.openxmlformats.org/spreadsheetml/2006/main">
  <c r="C36" i="7" l="1"/>
  <c r="C35" i="7"/>
  <c r="C36" i="8"/>
  <c r="C35" i="8"/>
  <c r="C36" i="9"/>
  <c r="C35" i="9"/>
  <c r="C36" i="10"/>
  <c r="C35" i="10"/>
  <c r="C36" i="11"/>
  <c r="C35" i="11"/>
  <c r="C13" i="19" l="1"/>
  <c r="D13" i="19"/>
  <c r="F24" i="12" l="1"/>
  <c r="G42" i="24" l="1"/>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G38" i="24"/>
  <c r="G37" i="24"/>
  <c r="D35" i="24"/>
  <c r="G35" i="24" s="1"/>
  <c r="G29" i="24"/>
  <c r="G28" i="24"/>
  <c r="G27" i="24"/>
  <c r="G25" i="24"/>
  <c r="G24" i="24"/>
  <c r="C21" i="11" l="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C28" i="11" l="1"/>
  <c r="C28" i="10"/>
  <c r="C28" i="8"/>
  <c r="C28" i="7"/>
  <c r="C28" i="9"/>
  <c r="G8" i="24" l="1"/>
  <c r="F5" i="11" l="1"/>
  <c r="F6" i="11"/>
  <c r="F7" i="11"/>
  <c r="F8" i="11"/>
  <c r="C55" i="7"/>
  <c r="C55" i="8"/>
  <c r="C55" i="9"/>
  <c r="C55" i="10"/>
  <c r="C55" i="11"/>
  <c r="G14"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U28" i="18"/>
  <c r="V28" i="18"/>
  <c r="W28" i="18"/>
  <c r="X28" i="18"/>
  <c r="Y28" i="18"/>
  <c r="Z28" i="18"/>
  <c r="AA28" i="18"/>
  <c r="AB28" i="18"/>
  <c r="AC28" i="18"/>
  <c r="AD28" i="18"/>
  <c r="AE28" i="18"/>
  <c r="J28" i="18"/>
  <c r="D26" i="18" s="1"/>
  <c r="C40" i="10" s="1"/>
  <c r="C46" i="7"/>
  <c r="C47" i="7" s="1"/>
  <c r="C46" i="8"/>
  <c r="C47" i="8" s="1"/>
  <c r="C46" i="9"/>
  <c r="C46" i="10"/>
  <c r="C46" i="11"/>
  <c r="H18" i="5"/>
  <c r="G18" i="5"/>
  <c r="F18" i="5"/>
  <c r="E18" i="5"/>
  <c r="D18" i="5"/>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26" i="24" s="1"/>
  <c r="C62" i="7" l="1"/>
  <c r="C48" i="7"/>
  <c r="C47" i="9"/>
  <c r="C62" i="8"/>
  <c r="G25" i="23" s="1"/>
  <c r="C48" i="8"/>
  <c r="C59" i="8" s="1"/>
  <c r="G23" i="5" s="1"/>
  <c r="C47" i="11"/>
  <c r="C47" i="10"/>
  <c r="D19" i="5"/>
  <c r="C29" i="8"/>
  <c r="C30" i="8" s="1"/>
  <c r="C56" i="8" s="1"/>
  <c r="G20" i="5" s="1"/>
  <c r="C29" i="9"/>
  <c r="C30" i="9" s="1"/>
  <c r="C56" i="9" s="1"/>
  <c r="F20" i="5" s="1"/>
  <c r="C29" i="11"/>
  <c r="C30" i="11" s="1"/>
  <c r="C56" i="11" s="1"/>
  <c r="D20" i="5" s="1"/>
  <c r="C29" i="10"/>
  <c r="C30" i="10" s="1"/>
  <c r="C56" i="10" s="1"/>
  <c r="E20" i="5" s="1"/>
  <c r="C29" i="7"/>
  <c r="C30" i="7" s="1"/>
  <c r="C56" i="7" s="1"/>
  <c r="H20" i="5" s="1"/>
  <c r="C33" i="8"/>
  <c r="C34" i="8" s="1"/>
  <c r="C37" i="8" s="1"/>
  <c r="C57" i="8" s="1"/>
  <c r="C33" i="7"/>
  <c r="C34" i="7" s="1"/>
  <c r="C37" i="7" s="1"/>
  <c r="C57" i="7" s="1"/>
  <c r="H21" i="5" s="1"/>
  <c r="H22" i="19"/>
  <c r="I22" i="19"/>
  <c r="G19" i="5"/>
  <c r="E22" i="19"/>
  <c r="F22" i="19"/>
  <c r="G22" i="19"/>
  <c r="C40" i="7"/>
  <c r="C40" i="11"/>
  <c r="C40" i="9"/>
  <c r="C63" i="9" s="1"/>
  <c r="F26" i="23" s="1"/>
  <c r="C40" i="8"/>
  <c r="F19" i="5"/>
  <c r="E17" i="23"/>
  <c r="E17" i="5"/>
  <c r="F17" i="5"/>
  <c r="G19" i="23"/>
  <c r="D17" i="23"/>
  <c r="F17" i="23"/>
  <c r="D19" i="23"/>
  <c r="G17" i="23"/>
  <c r="H17" i="5"/>
  <c r="D17" i="5"/>
  <c r="C30" i="12"/>
  <c r="H19" i="23"/>
  <c r="E19" i="23"/>
  <c r="G17" i="5"/>
  <c r="G27" i="5"/>
  <c r="H27" i="5"/>
  <c r="H25" i="23"/>
  <c r="H17" i="23"/>
  <c r="H19" i="5"/>
  <c r="E19" i="5"/>
  <c r="C41" i="10"/>
  <c r="C58" i="10" s="1"/>
  <c r="C34" i="11"/>
  <c r="C37" i="11" s="1"/>
  <c r="C57" i="11" s="1"/>
  <c r="C34" i="9"/>
  <c r="C37" i="9" s="1"/>
  <c r="C57" i="9" s="1"/>
  <c r="F21" i="5" s="1"/>
  <c r="C59" i="7"/>
  <c r="H23" i="5" s="1"/>
  <c r="F19" i="23"/>
  <c r="C63" i="10"/>
  <c r="E26" i="23" s="1"/>
  <c r="C34" i="10"/>
  <c r="C37" i="10" s="1"/>
  <c r="C57" i="10" s="1"/>
  <c r="C62" i="11" l="1"/>
  <c r="C48" i="11"/>
  <c r="C59" i="11" s="1"/>
  <c r="D23" i="5" s="1"/>
  <c r="C48" i="9"/>
  <c r="C59" i="9" s="1"/>
  <c r="F23" i="5" s="1"/>
  <c r="C62" i="9"/>
  <c r="C62" i="10"/>
  <c r="C48" i="10"/>
  <c r="C59" i="10" s="1"/>
  <c r="E23" i="5" s="1"/>
  <c r="C63" i="8"/>
  <c r="G28" i="5" s="1"/>
  <c r="J22" i="19"/>
  <c r="F28" i="5"/>
  <c r="C41" i="9"/>
  <c r="F20" i="23" s="1"/>
  <c r="G18" i="23"/>
  <c r="C41" i="8"/>
  <c r="D18" i="23"/>
  <c r="G21" i="23"/>
  <c r="G21" i="5"/>
  <c r="H18" i="23"/>
  <c r="F18" i="23"/>
  <c r="E20" i="23"/>
  <c r="E22" i="5"/>
  <c r="H21" i="23"/>
  <c r="D21" i="23"/>
  <c r="E28" i="5"/>
  <c r="D21" i="5"/>
  <c r="E18" i="23"/>
  <c r="E21" i="5"/>
  <c r="C41" i="7"/>
  <c r="H22" i="5" s="1"/>
  <c r="H26" i="5" s="1"/>
  <c r="C63" i="7"/>
  <c r="C63" i="11"/>
  <c r="C41" i="11"/>
  <c r="D22" i="5" s="1"/>
  <c r="F21" i="23" l="1"/>
  <c r="C60" i="10"/>
  <c r="F25" i="23"/>
  <c r="F27" i="5"/>
  <c r="E21" i="23"/>
  <c r="E24" i="23" s="1"/>
  <c r="D25" i="23"/>
  <c r="D27" i="5"/>
  <c r="E25" i="23"/>
  <c r="E27" i="5"/>
  <c r="G26" i="23"/>
  <c r="L8" i="19"/>
  <c r="L18" i="19"/>
  <c r="F24" i="23"/>
  <c r="E26" i="5"/>
  <c r="C58" i="8"/>
  <c r="C60" i="8" s="1"/>
  <c r="G22" i="5"/>
  <c r="G26" i="5" s="1"/>
  <c r="F22" i="23"/>
  <c r="E22" i="23"/>
  <c r="E24" i="5"/>
  <c r="F22" i="5"/>
  <c r="F26" i="5" s="1"/>
  <c r="C58" i="9"/>
  <c r="C60" i="9" s="1"/>
  <c r="G20" i="23"/>
  <c r="G24" i="23" s="1"/>
  <c r="D28" i="5"/>
  <c r="D26" i="23"/>
  <c r="H26" i="23"/>
  <c r="H28" i="5"/>
  <c r="C58" i="11"/>
  <c r="C60" i="11" s="1"/>
  <c r="D26" i="5"/>
  <c r="D20" i="23"/>
  <c r="D24" i="23" s="1"/>
  <c r="H20" i="23"/>
  <c r="H22" i="23" s="1"/>
  <c r="C58" i="7"/>
  <c r="C60" i="7" s="1"/>
  <c r="H24" i="5"/>
  <c r="H24" i="23" l="1"/>
  <c r="I24" i="23" s="1"/>
  <c r="D2" i="23" s="1"/>
  <c r="I26" i="5"/>
  <c r="D2" i="5" s="1"/>
  <c r="G22" i="23"/>
  <c r="D22" i="23"/>
  <c r="G24" i="5"/>
  <c r="F24" i="5"/>
  <c r="D24" i="5"/>
  <c r="H23" i="23" l="1"/>
  <c r="G30" i="23" s="1"/>
  <c r="F23" i="23"/>
  <c r="D30" i="23" s="1"/>
  <c r="G23" i="23"/>
  <c r="F30" i="23" s="1"/>
  <c r="E23" i="23"/>
  <c r="C30" i="23" s="1"/>
  <c r="D23" i="23"/>
  <c r="B30" i="23" s="1"/>
  <c r="E25" i="5"/>
  <c r="G25" i="5"/>
  <c r="F32" i="5" s="1"/>
  <c r="D25" i="5"/>
  <c r="F25" i="5"/>
  <c r="D32" i="5" s="1"/>
  <c r="H25" i="5"/>
  <c r="C32" i="5" l="1"/>
  <c r="B32" i="5"/>
  <c r="G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(Matthey und Bünger 2020)
Alternative CO2-Kosten können Sie ggf. im Tabellenblatt "Grunddaten"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sz val="9"/>
            <color indexed="81"/>
            <rFont val="Segoe UI"/>
            <family val="2"/>
          </rPr>
          <t>Werte, die im Endeffekt zur Berechnung herangezogen werden</t>
        </r>
      </text>
    </comment>
    <comment ref="H25"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27" authorId="0" shapeId="0" xr:uid="{00000000-0006-0000-0500-000003000000}">
      <text>
        <r>
          <rPr>
            <sz val="9"/>
            <color indexed="81"/>
            <rFont val="Segoe UI"/>
            <family val="2"/>
          </rPr>
          <t>Mittelwert Februar-Juli 2023</t>
        </r>
      </text>
    </comment>
    <comment ref="H28" authorId="0" shapeId="0" xr:uid="{00000000-0006-0000-0500-000004000000}">
      <text>
        <r>
          <rPr>
            <sz val="9"/>
            <color indexed="81"/>
            <rFont val="Segoe UI"/>
            <family val="2"/>
          </rPr>
          <t>Mittelwert Februar - Juli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C0EF68A1-E7ED-4A49-B436-F4F1679912E0}">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8FF637F7-E48F-4823-B4AE-FAA72A8FFF39}">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6F3043FA-25D6-48A1-80D1-162DCA9D7861}">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DD9765C6-F085-4665-BCD0-CFECF72BF841}">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sz val="9"/>
            <color indexed="81"/>
            <rFont val="Segoe UI"/>
            <family val="2"/>
          </rPr>
          <t>Strommix (Feld D25) wird in Abhängigkeit der Haltedauer errechnet,
Quellen und Zwischenwerte siehe rechts</t>
        </r>
      </text>
    </comment>
    <comment ref="A27" authorId="0" shapeId="0" xr:uid="{00000000-0006-0000-0B00-000002000000}">
      <text>
        <r>
          <rPr>
            <sz val="9"/>
            <color indexed="81"/>
            <rFont val="Segoe UI"/>
            <family val="2"/>
          </rPr>
          <t>Quelle: TREMOD (2020)</t>
        </r>
      </text>
    </comment>
  </commentList>
</comments>
</file>

<file path=xl/sharedStrings.xml><?xml version="1.0" encoding="utf-8"?>
<sst xmlns="http://schemas.openxmlformats.org/spreadsheetml/2006/main" count="989" uniqueCount="516">
  <si>
    <t>Vorgehen</t>
  </si>
  <si>
    <t>Geben Sie die übergeordneten Informationen zu Ihrem Beschaffungsfall ein. Hier können Informationen wie die erwartete jährliche Laufleistung, die Art der Beschaffung (Kauf/Leasing) und weitere Informationen eingegeben werden.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</si>
  <si>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</si>
  <si>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</si>
  <si>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Pro Pkw-Angebot finden Sie hier eine Ergebnisübersicht, die als PDF gespeichert/gedruckt werden kann.</t>
  </si>
  <si>
    <t>Bedienung</t>
  </si>
  <si>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</si>
  <si>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</si>
  <si>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</si>
  <si>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</si>
  <si>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</si>
  <si>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</si>
  <si>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</si>
  <si>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</si>
  <si>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DATENEINGABE Pkw-Beschaffungsprojekt</t>
  </si>
  <si>
    <t>Allgemeine Angaben (durch Beschaffer*in einzugeben)</t>
  </si>
  <si>
    <t>Projekt</t>
  </si>
  <si>
    <t>Unternehmen/öffentliche Einrichtung</t>
  </si>
  <si>
    <t>Zuständige Person</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</si>
  <si>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</si>
  <si>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</si>
  <si>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</si>
  <si>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</si>
  <si>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</si>
  <si>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</si>
  <si>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</si>
  <si>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</si>
  <si>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</si>
  <si>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</si>
  <si>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</si>
  <si>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</si>
  <si>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</si>
  <si>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</si>
  <si>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</si>
  <si>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</si>
  <si>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</si>
  <si>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</si>
  <si>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</si>
  <si>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</si>
  <si>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</si>
  <si>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</si>
  <si>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</si>
  <si>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</si>
  <si>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Energieträger</t>
  </si>
  <si>
    <t>Strom</t>
  </si>
  <si>
    <t>Diesel</t>
  </si>
  <si>
    <t>Benzin</t>
  </si>
  <si>
    <t>Anbieter</t>
  </si>
  <si>
    <t>Fahrzeughersteller</t>
  </si>
  <si>
    <t>Modell</t>
  </si>
  <si>
    <t>Zusatzinfos
(Ausstattungslinie o.ä.)</t>
  </si>
  <si>
    <t>EUR</t>
  </si>
  <si>
    <t>WLTP
-Typprüfwerte</t>
  </si>
  <si>
    <t>Energieverbrauch</t>
  </si>
  <si>
    <t>l/100km</t>
  </si>
  <si>
    <t>kWh/100km</t>
  </si>
  <si>
    <r>
      <t>CO</t>
    </r>
    <r>
      <rPr>
        <vertAlign val="subscript"/>
        <sz val="11"/>
        <rFont val="Arial"/>
        <family val="2"/>
      </rPr>
      <t>2</t>
    </r>
  </si>
  <si>
    <t>g/km</t>
  </si>
  <si>
    <t>NOx (Stickoxide)</t>
  </si>
  <si>
    <t>Partikel</t>
  </si>
  <si>
    <t>Batteriegröße brutto</t>
  </si>
  <si>
    <t>kWh</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</si>
  <si>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</si>
  <si>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</si>
  <si>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</si>
  <si>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</si>
  <si>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</si>
  <si>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</si>
  <si>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</si>
  <si>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</si>
  <si>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</si>
  <si>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</si>
  <si>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</si>
  <si>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</si>
  <si>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</si>
  <si>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</si>
  <si>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</si>
  <si>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</si>
  <si>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</si>
  <si>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</si>
  <si>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</si>
  <si>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</si>
  <si>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</si>
  <si>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</si>
  <si>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</si>
  <si>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</si>
  <si>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</si>
  <si>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</si>
  <si>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</si>
  <si>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t>PHEV</t>
  </si>
  <si>
    <t>Verbrenner und PHEV</t>
  </si>
  <si>
    <t>BEV</t>
  </si>
  <si>
    <t>kWh/100 km</t>
  </si>
  <si>
    <t>BEV - Vans und Utilities</t>
  </si>
  <si>
    <t>km</t>
  </si>
  <si>
    <t>ENERGIE- + UMWELTKOSTEN</t>
  </si>
  <si>
    <t>Angaben zu den Energieträgern</t>
  </si>
  <si>
    <t>Energiepreis</t>
  </si>
  <si>
    <t>Kosten eff.</t>
  </si>
  <si>
    <t>Quellen:</t>
  </si>
  <si>
    <t>Strom eigene Ladestation</t>
  </si>
  <si>
    <t>ct/kWh</t>
  </si>
  <si>
    <t>Strom externe Ladestation</t>
  </si>
  <si>
    <t>nextmove (2023)</t>
  </si>
  <si>
    <t>EUR/l</t>
  </si>
  <si>
    <t>Erdgas (CNG)</t>
  </si>
  <si>
    <t>EUR/kg</t>
  </si>
  <si>
    <t>Externe Umweltkosten - Annahmen</t>
  </si>
  <si>
    <t>Externe Umweltkosten Treibhausgasemissionen</t>
  </si>
  <si>
    <r>
      <t>EUR/t CO</t>
    </r>
    <r>
      <rPr>
        <vertAlign val="subscript"/>
        <sz val="11"/>
        <color theme="1"/>
        <rFont val="Arial"/>
        <family val="2"/>
      </rPr>
      <t>2</t>
    </r>
    <r>
      <rPr>
        <sz val="11"/>
        <color theme="1"/>
        <rFont val="Arial"/>
        <family val="2"/>
      </rPr>
      <t>eq</t>
    </r>
  </si>
  <si>
    <t>Externe Umweltkosten NOx (Stickoxide)</t>
  </si>
  <si>
    <t>EUR/g</t>
  </si>
  <si>
    <t>RECHENBLATT PKW 1</t>
  </si>
  <si>
    <t>Angaben zum Angebot</t>
  </si>
  <si>
    <t>Angebotenes Fahrzeug</t>
  </si>
  <si>
    <t>Hersteller</t>
  </si>
  <si>
    <t>Zusatzinfos</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</si>
  <si>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</si>
  <si>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</si>
  <si>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</si>
  <si>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</si>
  <si>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</si>
  <si>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</si>
  <si>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</si>
  <si>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</si>
  <si>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</si>
  <si>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</si>
  <si>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</si>
  <si>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</si>
  <si>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</si>
  <si>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</si>
  <si>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</si>
  <si>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</si>
  <si>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</si>
  <si>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</si>
  <si>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</si>
  <si>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</si>
  <si>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</si>
  <si>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</si>
  <si>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</si>
  <si>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</si>
  <si>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</si>
  <si>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</si>
  <si>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</si>
  <si>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</si>
  <si>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</si>
  <si>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</si>
  <si>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</si>
  <si>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Umrechnung in MJ</t>
  </si>
  <si>
    <t>MJ</t>
  </si>
  <si>
    <t>l</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</si>
  <si>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</si>
  <si>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</si>
  <si>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</si>
  <si>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</si>
  <si>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</si>
  <si>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</si>
  <si>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</si>
  <si>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THG-Emissionen bei der Batterieherstellung</t>
  </si>
  <si>
    <r>
      <t>kg CO</t>
    </r>
    <r>
      <rPr>
        <vertAlign val="subscript"/>
        <sz val="11"/>
        <color theme="1"/>
        <rFont val="Arial"/>
        <family val="2"/>
      </rPr>
      <t>2</t>
    </r>
    <r>
      <rPr>
        <sz val="11"/>
        <color theme="1"/>
        <rFont val="Arial"/>
        <family val="2"/>
      </rPr>
      <t>eq/kWh</t>
    </r>
  </si>
  <si>
    <t>Finanzierungsart</t>
  </si>
  <si>
    <t>Leasing</t>
  </si>
  <si>
    <t>EUR/Monat</t>
  </si>
  <si>
    <t>Miete</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</si>
  <si>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</si>
  <si>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</si>
  <si>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</si>
  <si>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</si>
  <si>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</si>
  <si>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</si>
  <si>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</si>
  <si>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</si>
  <si>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</si>
  <si>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</si>
  <si>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Quellenverzeichnis</t>
  </si>
  <si>
    <t>https://www.adac.de/verkehr/tanken-kraftstoff-antrieb/alternative-antriebe/erdgas/</t>
  </si>
  <si>
    <t>ADAC Spritpreis-Entwicklung</t>
  </si>
  <si>
    <t>https://www.adac.de/verkehr/tanken-kraftstoff-antrieb/deutschland/kraftstoffpreisentwicklung/#seit-2021</t>
  </si>
  <si>
    <t>AGEB (2022)</t>
  </si>
  <si>
    <t>AG Energiebilanzen</t>
  </si>
  <si>
    <t xml:space="preserve">https://www.bdew.de/service/daten-und-grafiken/bdew-strompreisanalyse/ </t>
  </si>
  <si>
    <t>BEUC (2016)</t>
  </si>
  <si>
    <t>https://www.beuc.eu/publications/beuc-x-2016-121_low_carbon_cars_in_the_2020s-report.pdf</t>
  </si>
  <si>
    <t>https://nextmove.de/analyse-zum-deutschen-elektroauto-markt/</t>
  </si>
  <si>
    <t>https://www.ifeu.de/projekt/analyse-der-umweltbilanz-von-kraftfahrzeugen-mit-alternativen-antrieben-oder-kraftstoffen-auf-dem-weg-zu-einem-treibhausgasneutralen-verkehr/</t>
  </si>
  <si>
    <t>TREMOD (2020)</t>
  </si>
  <si>
    <t>Transport Emission Model, ifeu</t>
  </si>
  <si>
    <t>Methodenkonvention 3.1 zur Ermittlung von Umweltkosten</t>
  </si>
  <si>
    <t xml:space="preserve">https://www.umweltbundesamt.de/sites/default/files/medien/1410/publikationen/2020-12-21_methodenkonvention_3_1_kostensaetze.pdf </t>
  </si>
  <si>
    <t>UBA (2021)</t>
  </si>
  <si>
    <t>Projektionsberichte (integrierte Energie- und THG-Projektionen)</t>
  </si>
  <si>
    <t>https://www.umweltbundesamt.de/themen/klima-energie/klimaschutz-energiepolitik-in-deutschland/szenarien-fuer-die-klimaschutz-energiepolitik/integrierte-energie-treibhausgasprojektionen/</t>
  </si>
  <si>
    <t>Verbrenner - Vans und Utilities</t>
  </si>
  <si>
    <t>(Hoch) 500</t>
  </si>
  <si>
    <t>(Niedrig) 200</t>
  </si>
  <si>
    <r>
      <rPr>
        <b/>
        <sz val="10"/>
        <color theme="1"/>
        <rFont val="Arial"/>
        <family val="2"/>
      </rPr>
      <t>Eingabefelde</t>
    </r>
    <r>
      <rPr>
        <b/>
        <sz val="10"/>
        <rFont val="Arial"/>
        <family val="2"/>
      </rPr>
      <t>r</t>
    </r>
    <r>
      <rPr>
        <sz val="10"/>
        <color theme="1"/>
        <rFont val="Arial"/>
        <family val="2"/>
      </rPr>
      <t>: Hier sind die Werte aus den Angeboten einzugeben.</t>
    </r>
  </si>
  <si>
    <t>Fügen Sie die abgefragten Daten aus den Angeboten für alle Pkw ein. Die Datenabfrage wird der Ausschreibung beigefügt und umfasst u.a. den Preis, Verbrauchs- und Emissionsangaben und die Batteriegröße.</t>
  </si>
  <si>
    <r>
      <t>CO</t>
    </r>
    <r>
      <rPr>
        <vertAlign val="subscript"/>
        <sz val="11"/>
        <color theme="1"/>
        <rFont val="Arial"/>
        <family val="2"/>
      </rPr>
      <t>2</t>
    </r>
    <r>
      <rPr>
        <sz val="11"/>
        <color theme="1"/>
        <rFont val="Arial"/>
        <family val="2"/>
      </rPr>
      <t>-Emissionen (WLTP)</t>
    </r>
  </si>
  <si>
    <t>Zusatzberechnungen Plug-In-Hybrid</t>
  </si>
  <si>
    <t>Anteil elektrisches Fahren ("Utility-Faktor") nach WLTP</t>
  </si>
  <si>
    <t>Rein elektrische Reichweite</t>
  </si>
  <si>
    <t>Realitätsnaher Anteil elektrisches Fahren (empirisch ermittelt)</t>
  </si>
  <si>
    <t>https://www.isi.fraunhofer.de/content/dam/isi/dokumente/cce/2021/BMU_Kurzpapier_UF_final.pdf</t>
  </si>
  <si>
    <t>Realistic Test Cycle Assessment of Plug-in Hybrid Electric Vehicles in Europe</t>
  </si>
  <si>
    <t>Plötz &amp; Jöhrens (2021)</t>
  </si>
  <si>
    <t>Analysis of electric car lifecycle CO₂ emissions - Update</t>
  </si>
  <si>
    <t>T&amp;E (2021)</t>
  </si>
  <si>
    <t>https://www.transportenvironment.org/wp-content/uploads/2022/05/TE_LCA_Update-June.pdf</t>
  </si>
  <si>
    <t>Kombinierter Verbrauch bei realitätsnahem Anteil elektrisches Fahren</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</si>
  <si>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</si>
  <si>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</si>
  <si>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r>
      <t>NO</t>
    </r>
    <r>
      <rPr>
        <vertAlign val="subscript"/>
        <sz val="11"/>
        <color theme="1"/>
        <rFont val="Arial"/>
        <family val="2"/>
      </rPr>
      <t>X</t>
    </r>
    <r>
      <rPr>
        <sz val="11"/>
        <color theme="1"/>
        <rFont val="Arial"/>
        <family val="2"/>
      </rPr>
      <t xml:space="preserve"> (Stickoxide)</t>
    </r>
  </si>
  <si>
    <t>Check Energieträger</t>
  </si>
  <si>
    <t>Check Werte gefüllt</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</si>
  <si>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</si>
  <si>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</si>
  <si>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t>(Rechtsklick -&gt; Werte einfügen)</t>
  </si>
  <si>
    <t>WICHTIG !</t>
  </si>
  <si>
    <t>Beim Kopieren immer nur Werte einfügen</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</si>
  <si>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</si>
  <si>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Ausgangseinheit</t>
  </si>
  <si>
    <t>Anbieter1</t>
  </si>
  <si>
    <t>=Eingabe_Angebotswerte!$E$9</t>
  </si>
  <si>
    <t>Anbieter2</t>
  </si>
  <si>
    <t>=Eingabe_Angebotswerte!$F$9</t>
  </si>
  <si>
    <t>Anbieter3</t>
  </si>
  <si>
    <t>=Eingabe_Angebotswerte!$G$9</t>
  </si>
  <si>
    <t>Anbieter4</t>
  </si>
  <si>
    <t>=Eingabe_Angebotswerte!$H$9</t>
  </si>
  <si>
    <t>Anbieter5</t>
  </si>
  <si>
    <t>=Eingabe_Angebotswerte!$I$9</t>
  </si>
  <si>
    <t>AntrArtList</t>
  </si>
  <si>
    <t>=Listen!$B$8:$B$10</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</si>
  <si>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</si>
  <si>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</si>
  <si>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</si>
  <si>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</si>
  <si>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</si>
  <si>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</si>
  <si>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</si>
  <si>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</si>
  <si>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</si>
  <si>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</si>
  <si>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Batterie_THG</t>
  </si>
  <si>
    <t>=Em.faktoren!$D$33</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</si>
  <si>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</si>
  <si>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</si>
  <si>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</si>
  <si>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</si>
  <si>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</si>
  <si>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</si>
  <si>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</si>
  <si>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</si>
  <si>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</si>
  <si>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</si>
  <si>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</si>
  <si>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</si>
  <si>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</si>
  <si>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</si>
  <si>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</si>
  <si>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</si>
  <si>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</si>
  <si>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</si>
  <si>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</si>
  <si>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</si>
  <si>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CO2List</t>
  </si>
  <si>
    <t>=Em.faktoren!$B$26:$D$29</t>
  </si>
  <si>
    <t>Datum</t>
  </si>
  <si>
    <t>=Input_Projekt!$C$11</t>
  </si>
  <si>
    <t>EnEinheitList</t>
  </si>
  <si>
    <t>=Listen!$B$20:$D$23</t>
  </si>
  <si>
    <t>Energie1</t>
  </si>
  <si>
    <t>=Eingabe_Angebotswerte!$E$8</t>
  </si>
  <si>
    <t>Energie2</t>
  </si>
  <si>
    <t>=Eingabe_Angebotswerte!$F$8</t>
  </si>
  <si>
    <t>Energie3</t>
  </si>
  <si>
    <t>=Eingabe_Angebotswerte!$G$8</t>
  </si>
  <si>
    <t>Energie4</t>
  </si>
  <si>
    <t>=Eingabe_Angebotswerte!$H$8</t>
  </si>
  <si>
    <t>Energie5</t>
  </si>
  <si>
    <t>=Eingabe_Angebotswerte!$I$8</t>
  </si>
  <si>
    <t>EnKostList</t>
  </si>
  <si>
    <t>=Grunddaten!$B$28:$G$33</t>
  </si>
  <si>
    <t>=Erg.Pkw_1!$F$5:$F$8</t>
  </si>
  <si>
    <t>=Erg.Pkw_2!$F$5:$F$8</t>
  </si>
  <si>
    <t>=Erg.Pkw_3!$F$5:$F$8</t>
  </si>
  <si>
    <t>=Erg.Pkw_4!$F$5:$F$8</t>
  </si>
  <si>
    <t>=Erg.Pkw_5!$F$5:$F$8</t>
  </si>
  <si>
    <t>EnUmrechList</t>
  </si>
  <si>
    <t>=Em.faktoren!$B$16:$E$18</t>
  </si>
  <si>
    <t>Fahrleistung</t>
  </si>
  <si>
    <t>=Input_Projekt!$C$15</t>
  </si>
  <si>
    <t>FinArt</t>
  </si>
  <si>
    <t>=Input_Projekt!$C$17</t>
  </si>
  <si>
    <t>FinArtList</t>
  </si>
  <si>
    <t>=Listen!$B$3:$D$5</t>
  </si>
  <si>
    <t>Gesamtpreis1</t>
  </si>
  <si>
    <t>=Eingabe_Angebotswerte!$E$13</t>
  </si>
  <si>
    <t>Gesamtpreis2</t>
  </si>
  <si>
    <t>=Eingabe_Angebotswerte!$F$13</t>
  </si>
  <si>
    <t>Gesamtpreis3</t>
  </si>
  <si>
    <t>=Eingabe_Angebotswerte!$G$13</t>
  </si>
  <si>
    <t>Gesamtpreis4</t>
  </si>
  <si>
    <t>=Eingabe_Angebotswerte!$H$13</t>
  </si>
  <si>
    <t>Gesamtpreis5</t>
  </si>
  <si>
    <t>=Eingabe_Angebotswerte!$I$13</t>
  </si>
  <si>
    <t>=Input_Projekt!$C$19</t>
  </si>
  <si>
    <t>Hersteller1</t>
  </si>
  <si>
    <t>=Eingabe_Angebotswerte!$E$10</t>
  </si>
  <si>
    <t>Hersteller2</t>
  </si>
  <si>
    <t>=Eingabe_Angebotswerte!$F$10</t>
  </si>
  <si>
    <t>Hersteller3</t>
  </si>
  <si>
    <t>=Eingabe_Angebotswerte!$G$10</t>
  </si>
  <si>
    <t>Hersteller4</t>
  </si>
  <si>
    <t>=Eingabe_Angebotswerte!$H$10</t>
  </si>
  <si>
    <t>Hersteller5</t>
  </si>
  <si>
    <t>=Eingabe_Angebotswerte!$I$10</t>
  </si>
  <si>
    <t>KaufpreisRech</t>
  </si>
  <si>
    <t>=Input_Projekt!$C$21</t>
  </si>
  <si>
    <t>KaufpreisRechList</t>
  </si>
  <si>
    <t>=Listen!$B$26:$B$27</t>
  </si>
  <si>
    <t>Kost_NOX</t>
  </si>
  <si>
    <t>=Grunddaten!$G$41</t>
  </si>
  <si>
    <t>Kost_Partikel</t>
  </si>
  <si>
    <t>=Grunddaten!$G$42</t>
  </si>
  <si>
    <t>Kost_THG</t>
  </si>
  <si>
    <t>=Grunddaten!$G$39</t>
  </si>
  <si>
    <t>KostTHGList</t>
  </si>
  <si>
    <t>=Listen!$B$34:$B$35</t>
  </si>
  <si>
    <t>KostTHGVorgabe</t>
  </si>
  <si>
    <t>=Input_Projekt!$C$24</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</si>
  <si>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</si>
  <si>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</si>
  <si>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</si>
  <si>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</si>
  <si>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</si>
  <si>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</si>
  <si>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</si>
  <si>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</si>
  <si>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</si>
  <si>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</si>
  <si>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maxCO2</t>
  </si>
  <si>
    <t>=Grunddaten!$G$7</t>
  </si>
  <si>
    <t>maxCO2PHEV</t>
  </si>
  <si>
    <t>=Grunddaten!$G$9</t>
  </si>
  <si>
    <t>maxCO2Van</t>
  </si>
  <si>
    <t>=Grunddaten!$G$8</t>
  </si>
  <si>
    <t>maxkWh</t>
  </si>
  <si>
    <t>=Grunddaten!$G$12</t>
  </si>
  <si>
    <t>maxkWhVan</t>
  </si>
  <si>
    <t>=Grunddaten!$G$13</t>
  </si>
  <si>
    <t>maxNOX</t>
  </si>
  <si>
    <t>=Grunddaten!$G$10</t>
  </si>
  <si>
    <t>maxPM</t>
  </si>
  <si>
    <t>=Grunddaten!$G$11</t>
  </si>
  <si>
    <t>minReichwPHEV</t>
  </si>
  <si>
    <t>=Grunddaten!$G$18</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</si>
  <si>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</si>
  <si>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</si>
  <si>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</si>
  <si>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</si>
  <si>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</si>
  <si>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</si>
  <si>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</si>
  <si>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</si>
  <si>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</si>
  <si>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</si>
  <si>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</si>
  <si>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</si>
  <si>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</si>
  <si>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</si>
  <si>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</si>
  <si>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</si>
  <si>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</si>
  <si>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</si>
  <si>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</si>
  <si>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</si>
  <si>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</si>
  <si>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</si>
  <si>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</si>
  <si>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</si>
  <si>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</si>
  <si>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</si>
  <si>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</si>
  <si>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</si>
  <si>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</si>
  <si>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</si>
  <si>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Projektname_Z1</t>
  </si>
  <si>
    <t>=Input_Projekt!$C$6</t>
  </si>
  <si>
    <t>Projektname_Z2</t>
  </si>
  <si>
    <t>=Input_Projekt!$C$7</t>
  </si>
  <si>
    <t>Projektname_Z3</t>
  </si>
  <si>
    <t>=Input_Projekt!$C$8</t>
  </si>
  <si>
    <t>ReichwPHEV1</t>
  </si>
  <si>
    <t>=Eingabe_Angebotswerte!$E$20</t>
  </si>
  <si>
    <t>ReichwPHEV2</t>
  </si>
  <si>
    <t>=Eingabe_Angebotswerte!$F$20</t>
  </si>
  <si>
    <t>ReichwPHEV3</t>
  </si>
  <si>
    <t>=Eingabe_Angebotswerte!$G$20</t>
  </si>
  <si>
    <t>ReichwPHEV4</t>
  </si>
  <si>
    <t>=Eingabe_Angebotswerte!$H$20</t>
  </si>
  <si>
    <t>ReichwPHEV5</t>
  </si>
  <si>
    <t>=Eingabe_Angebotswerte!$I$20</t>
  </si>
  <si>
    <t>Segment</t>
  </si>
  <si>
    <t>=Input_Projekt!$C$13</t>
  </si>
  <si>
    <t>SegmentList</t>
  </si>
  <si>
    <t>=Listen!$B$30:$B$31</t>
  </si>
  <si>
    <t>Unternehmen</t>
  </si>
  <si>
    <t>=Input_Projekt!$C$9</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</si>
  <si>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</si>
  <si>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</si>
  <si>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</si>
  <si>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</si>
  <si>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</si>
  <si>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</si>
  <si>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</si>
  <si>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</si>
  <si>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</si>
  <si>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</si>
  <si>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</si>
  <si>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</si>
  <si>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</si>
  <si>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</si>
  <si>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</si>
  <si>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</si>
  <si>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</si>
  <si>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</si>
  <si>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</si>
  <si>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</si>
  <si>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</si>
  <si>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</si>
  <si>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</si>
  <si>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</si>
  <si>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</si>
  <si>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</si>
  <si>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</si>
  <si>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</si>
  <si>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</si>
  <si>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</si>
  <si>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</si>
  <si>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</si>
  <si>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</si>
  <si>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</si>
  <si>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</si>
  <si>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</si>
  <si>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</si>
  <si>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</si>
  <si>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</si>
  <si>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</si>
  <si>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</si>
  <si>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</si>
  <si>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</si>
  <si>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</si>
  <si>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</si>
  <si>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</si>
  <si>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</si>
  <si>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</si>
  <si>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</si>
  <si>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</si>
  <si>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Zustaendig</t>
  </si>
  <si>
    <t>=Input_Projekt!$C$10</t>
  </si>
  <si>
    <t>LISTE DER FELDNAMEN</t>
  </si>
  <si>
    <t>BDEW (2023)</t>
  </si>
  <si>
    <t>https://ag-energiebilanzen.de/energieeinheitenumrechner/</t>
  </si>
  <si>
    <t>Kontakt</t>
  </si>
  <si>
    <t>ifeu - Institut für Energie- und Umweltforschung Heidelberg gGmbH, Wilckensstraße 3, 69120 Heidelberg</t>
  </si>
  <si>
    <t>Als Teilergebnis der Lebenszykluskosten werden hier ausschließlich die externen Umweltkosten dargestellt und entsprechend verglichen.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</si>
  <si>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</si>
  <si>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zurück zu "Anleitung"</t>
  </si>
  <si>
    <t>BEUC (Europäischer Verbraucherverband) - Low carbon cars in the 2020s: Consumer impacts and EU
policy implications</t>
  </si>
  <si>
    <r>
      <t xml:space="preserve">Im Tabellenblatt </t>
    </r>
    <r>
      <rPr>
        <u/>
        <sz val="10"/>
        <color rgb="FF0070C0"/>
        <rFont val="Arial"/>
        <family val="2"/>
      </rPr>
      <t>"Quellen"</t>
    </r>
    <r>
      <rPr>
        <sz val="10"/>
        <rFont val="Arial"/>
        <family val="2"/>
      </rPr>
      <t xml:space="preserve"> finden Sie Quellenangaben zu verwendeten Werten und Annahmen.</t>
    </r>
  </si>
  <si>
    <t>https://www.ifeu.de/methoden-tools/modelle/tremod/</t>
  </si>
  <si>
    <t>Quellen eigene Werte:</t>
  </si>
  <si>
    <r>
      <t>CO</t>
    </r>
    <r>
      <rPr>
        <vertAlign val="subscript"/>
        <sz val="11"/>
        <color theme="1"/>
        <rFont val="Arial"/>
        <family val="2"/>
      </rPr>
      <t>2</t>
    </r>
    <r>
      <rPr>
        <sz val="11"/>
        <color theme="1"/>
        <rFont val="Arial"/>
        <family val="2"/>
      </rPr>
      <t>-Kosten</t>
    </r>
  </si>
  <si>
    <t>Die Kosten werden in EUR brutto (nach Steuern) angegeben.</t>
  </si>
  <si>
    <t>*</t>
  </si>
  <si>
    <t>Julia Pelzeter - Fachbereich Mobilität</t>
  </si>
  <si>
    <t>Fahrzeuggesamtpreis (brutto)</t>
  </si>
  <si>
    <t>Leasingrate (brutto)</t>
  </si>
  <si>
    <t>Miete (brutto)</t>
  </si>
  <si>
    <r>
      <t xml:space="preserve">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
</t>
    </r>
    <r>
      <rPr>
        <sz val="10"/>
        <color rgb="FFFF0000"/>
        <rFont val="Arial"/>
        <family val="2"/>
      </rPr>
      <t xml:space="preserve">Der hier vorliegende LZK-Rechner ist noch nicht Bestandteil der Landesvorschriften.
</t>
    </r>
    <r>
      <rPr>
        <sz val="10"/>
        <rFont val="Arial"/>
        <family val="2"/>
      </rPr>
      <t>Alle Kosten sind in EUR brutto (nach Steuern) einzugeben.</t>
    </r>
  </si>
  <si>
    <t>Leasingsonderzahlung (brutto)</t>
  </si>
  <si>
    <r>
      <t>https://www.nachhaltige-oeffentliche-pkw-beschaffung.de</t>
    </r>
    <r>
      <rPr>
        <b/>
        <sz val="11"/>
        <rFont val="Arial"/>
        <family val="2"/>
      </rPr>
      <t xml:space="preserve"> unter "Downloads"</t>
    </r>
  </si>
  <si>
    <t>Welche externen Umweltkosten sollen in der LZK-Berechnung berücksichtigt werden?</t>
  </si>
  <si>
    <t>Büro Berlin: Reinhardtstraße 50, 10117 Berlin</t>
  </si>
  <si>
    <r>
      <rPr>
        <sz val="10"/>
        <rFont val="Arial"/>
        <family val="2"/>
      </rPr>
      <t xml:space="preserve">Tel.: +49 (0) 30 284 45 78-23 | </t>
    </r>
    <r>
      <rPr>
        <u/>
        <sz val="10"/>
        <color theme="10"/>
        <rFont val="Arial"/>
        <family val="2"/>
      </rPr>
      <t xml:space="preserve">julia.pelzeter@ifeu.de </t>
    </r>
  </si>
  <si>
    <t xml:space="preserve">Herstellungsemissionen Batterien </t>
  </si>
  <si>
    <r>
      <t>NO</t>
    </r>
    <r>
      <rPr>
        <vertAlign val="subscript"/>
        <sz val="11"/>
        <color theme="1"/>
        <rFont val="Arial"/>
        <family val="2"/>
      </rPr>
      <t>X</t>
    </r>
    <r>
      <rPr>
        <sz val="11"/>
        <color theme="1"/>
        <rFont val="Arial"/>
        <family val="2"/>
      </rPr>
      <t>-Emissionen (WLTP)</t>
    </r>
  </si>
  <si>
    <t>Partikel-Emissionen (WLTP)</t>
  </si>
  <si>
    <t>Energieverbrauch (WLTP)</t>
  </si>
  <si>
    <t>Elektrische Mindestreichweite (WLTP)</t>
  </si>
  <si>
    <t>Die ausführliche Dokumentation finden Sie als PDF auf der Website</t>
  </si>
  <si>
    <t>Ausgangswert (TREMOD 2020)</t>
  </si>
  <si>
    <t>Daten aus Projektionsbericht (UBA 2021), Zwischenwerte sind linear interpoliert</t>
  </si>
  <si>
    <t>nextmove - Tarifvergleich für Fahrstromanbieter (13.01.2023)</t>
  </si>
  <si>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 Projekt</t>
    </r>
    <r>
      <rPr>
        <sz val="11"/>
        <color rgb="FF000000"/>
        <rFont val="Arial"/>
        <family val="2"/>
      </rPr>
      <t xml:space="preserve"> einstellen.</t>
    </r>
  </si>
  <si>
    <t>Eigener Wert:</t>
  </si>
  <si>
    <t>Biemann et al. (2023)</t>
  </si>
  <si>
    <t>Analyse der Umweltbilanz von Kraftfahrzeugen mit alternativen Antrieben oder Kraftstoffen auf dem Weg zu einem treibhausgasneutralen Verkehr - ifeu-Projekt (laufend) für das UBA</t>
  </si>
  <si>
    <t>ADAC Preise für Erdgas (CNG)</t>
  </si>
  <si>
    <t>ADAC (2023a)</t>
  </si>
  <si>
    <t>ADAC (2023b)</t>
  </si>
  <si>
    <t>BDEW-Strompreisanalyse Juli 2023</t>
  </si>
  <si>
    <t>Lambrecht et al. (2023)</t>
  </si>
  <si>
    <t>Entwicklung von geeigneten Instrumenten für die umweltverträgliche Beschaffung von Pkw durch öffentliche Stellen</t>
  </si>
  <si>
    <t>Referenz-Batteriechemie: NMC 622</t>
  </si>
  <si>
    <t>Externe Umweltkosten Partikel (PM2.5)</t>
  </si>
  <si>
    <t>Quellen: AGEB (2022); TREMOD (2020)</t>
  </si>
  <si>
    <t>Matthey und Bünger (2020)</t>
  </si>
  <si>
    <t>Lebenszykluskosten-Rechner für Pkw - beispielhaft mit Daten befüllt</t>
  </si>
  <si>
    <t>mg/km</t>
  </si>
  <si>
    <r>
      <t xml:space="preserve">Bei den umrahmten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</si>
  <si>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Felder mit abweichenden Werten werden rot gekennzeichnet. Das entsprechende Angebot ist von der Wertung auszuschließen.</t>
  </si>
  <si>
    <t>Plug-in-Hybrid (PHEV)</t>
  </si>
  <si>
    <t>https://www.nachhaltige-oeffentliche-pkw-beschaffung.de/assets/downloads/Abschlussbericht_Umweltvertraegliche_Pkw-Beschaffung_ifeu.pdf</t>
  </si>
  <si>
    <t>Version 1.2 - 10.01.2024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</si>
</sst>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59"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5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1" tint="0.499984740745262"/>
      </top>
      <bottom style="thin">
        <color theme="0"/>
      </bottom>
      <diagonal/>
    </border>
    <border>
      <left style="thin">
        <color theme="0"/>
      </left>
      <right style="thin">
        <color theme="0"/>
      </right>
      <top style="thin">
        <color theme="1" tint="0.499984740745262"/>
      </top>
      <bottom style="thin">
        <color theme="0"/>
      </bottom>
      <diagonal/>
    </border>
    <border>
      <left style="thin">
        <color theme="0"/>
      </left>
      <right style="thin">
        <color theme="1" tint="0.499984740745262"/>
      </right>
      <top style="thin">
        <color theme="1" tint="0.499984740745262"/>
      </top>
      <bottom style="thin">
        <color theme="0"/>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8" fillId="0" borderId="0" applyNumberFormat="0" applyFill="0" applyBorder="0" applyAlignment="0" applyProtection="0"/>
    <xf numFmtId="44" fontId="1" fillId="0" borderId="0" applyFont="0" applyFill="0" applyBorder="0" applyAlignment="0" applyProtection="0"/>
    <xf numFmtId="0" fontId="36" fillId="6" borderId="37" applyNumberFormat="0" applyAlignment="0" applyProtection="0"/>
    <xf numFmtId="0" fontId="19" fillId="0" borderId="0"/>
    <xf numFmtId="0" fontId="19"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32">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2"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22" fillId="0" borderId="5" xfId="0" applyFont="1" applyBorder="1" applyAlignment="1">
      <alignment horizontal="center" wrapText="1"/>
    </xf>
    <xf numFmtId="0" fontId="19" fillId="0" borderId="1" xfId="0" applyFont="1" applyBorder="1" applyAlignment="1">
      <alignment wrapText="1"/>
    </xf>
    <xf numFmtId="0" fontId="19" fillId="0" borderId="0" xfId="0" applyFont="1"/>
    <xf numFmtId="0" fontId="12" fillId="0" borderId="3" xfId="0" applyFont="1" applyBorder="1" applyAlignment="1">
      <alignment wrapText="1"/>
    </xf>
    <xf numFmtId="0" fontId="22" fillId="0" borderId="0" xfId="0" applyFont="1"/>
    <xf numFmtId="0" fontId="19"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2" fillId="0" borderId="3" xfId="0" applyFont="1" applyBorder="1"/>
    <xf numFmtId="0" fontId="12" fillId="0" borderId="4" xfId="0" quotePrefix="1" applyFont="1" applyBorder="1" applyAlignment="1">
      <alignment horizontal="center"/>
    </xf>
    <xf numFmtId="0" fontId="22"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19" fillId="0" borderId="0" xfId="0" applyNumberFormat="1" applyFont="1" applyAlignment="1">
      <alignment horizontal="center"/>
    </xf>
    <xf numFmtId="3" fontId="19"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2" fillId="0" borderId="12" xfId="0" applyFont="1" applyBorder="1" applyAlignment="1">
      <alignment wrapText="1"/>
    </xf>
    <xf numFmtId="0" fontId="22" fillId="0" borderId="13" xfId="0" applyFont="1" applyBorder="1"/>
    <xf numFmtId="3" fontId="22" fillId="0" borderId="13" xfId="0" applyNumberFormat="1" applyFont="1" applyBorder="1" applyAlignment="1">
      <alignment horizontal="center"/>
    </xf>
    <xf numFmtId="3" fontId="22" fillId="0" borderId="14"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4"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0" fontId="5" fillId="0" borderId="0" xfId="0" applyFont="1"/>
    <xf numFmtId="2" fontId="2" fillId="0" borderId="0" xfId="0" applyNumberFormat="1" applyFont="1" applyAlignment="1">
      <alignment horizontal="center"/>
    </xf>
    <xf numFmtId="0" fontId="4" fillId="0" borderId="0" xfId="0" applyFont="1"/>
    <xf numFmtId="0" fontId="26" fillId="0" borderId="0" xfId="0" applyFont="1"/>
    <xf numFmtId="0" fontId="2" fillId="0" borderId="10" xfId="0" applyFont="1" applyBorder="1"/>
    <xf numFmtId="0" fontId="23" fillId="0" borderId="0" xfId="0" applyFont="1"/>
    <xf numFmtId="0" fontId="27" fillId="0" borderId="0" xfId="0" applyFont="1"/>
    <xf numFmtId="0" fontId="28"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2" fillId="0" borderId="30" xfId="0" applyFont="1" applyBorder="1" applyAlignment="1">
      <alignment wrapText="1"/>
    </xf>
    <xf numFmtId="0" fontId="29" fillId="0" borderId="24" xfId="0" applyFont="1" applyBorder="1"/>
    <xf numFmtId="0" fontId="29"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29" fillId="0" borderId="11" xfId="0" applyFont="1" applyBorder="1"/>
    <xf numFmtId="0" fontId="29" fillId="0" borderId="10" xfId="0" applyFont="1" applyBorder="1"/>
    <xf numFmtId="0" fontId="29" fillId="0" borderId="8" xfId="0" applyFont="1" applyBorder="1"/>
    <xf numFmtId="0" fontId="29" fillId="0" borderId="32" xfId="0" applyFont="1" applyBorder="1"/>
    <xf numFmtId="0" fontId="29" fillId="0" borderId="2" xfId="0" applyFont="1" applyBorder="1"/>
    <xf numFmtId="0" fontId="29" fillId="0" borderId="33" xfId="0" applyFont="1" applyBorder="1"/>
    <xf numFmtId="0" fontId="29" fillId="0" borderId="4" xfId="0" applyFont="1" applyBorder="1"/>
    <xf numFmtId="0" fontId="29" fillId="0" borderId="5" xfId="0" applyFont="1" applyBorder="1"/>
    <xf numFmtId="0" fontId="29" fillId="0" borderId="19" xfId="0" applyFont="1" applyBorder="1"/>
    <xf numFmtId="0" fontId="29" fillId="0" borderId="9" xfId="0" applyFont="1" applyBorder="1"/>
    <xf numFmtId="0" fontId="29" fillId="0" borderId="6" xfId="0" applyFont="1" applyBorder="1"/>
    <xf numFmtId="3" fontId="29" fillId="0" borderId="34" xfId="0" applyNumberFormat="1" applyFont="1" applyBorder="1"/>
    <xf numFmtId="0" fontId="2" fillId="0" borderId="35" xfId="0" applyFont="1" applyBorder="1"/>
    <xf numFmtId="0" fontId="29" fillId="0" borderId="34" xfId="0" applyFont="1" applyBorder="1"/>
    <xf numFmtId="0" fontId="3" fillId="0" borderId="15" xfId="0" applyFont="1" applyBorder="1"/>
    <xf numFmtId="0" fontId="22" fillId="3" borderId="0" xfId="0" applyFont="1" applyFill="1"/>
    <xf numFmtId="0" fontId="3" fillId="0" borderId="4" xfId="0" applyFont="1" applyBorder="1" applyAlignment="1">
      <alignment wrapText="1"/>
    </xf>
    <xf numFmtId="0" fontId="2" fillId="0" borderId="0" xfId="0" applyFont="1" applyAlignment="1">
      <alignment vertical="center"/>
    </xf>
    <xf numFmtId="0" fontId="30" fillId="0" borderId="0" xfId="0" applyFont="1"/>
    <xf numFmtId="0" fontId="2" fillId="3" borderId="0" xfId="0" applyFont="1" applyFill="1" applyAlignment="1">
      <alignment horizontal="center"/>
    </xf>
    <xf numFmtId="2" fontId="2" fillId="0" borderId="0" xfId="0" applyNumberFormat="1" applyFont="1"/>
    <xf numFmtId="0" fontId="31" fillId="0" borderId="0" xfId="4" applyFont="1"/>
    <xf numFmtId="1" fontId="2" fillId="0" borderId="0" xfId="0" applyNumberFormat="1" applyFont="1"/>
    <xf numFmtId="0" fontId="32" fillId="4" borderId="0" xfId="0" applyFont="1" applyFill="1" applyAlignment="1">
      <alignment horizontal="center" vertical="center"/>
    </xf>
    <xf numFmtId="0" fontId="12" fillId="0" borderId="3" xfId="0" applyFont="1" applyBorder="1" applyAlignment="1">
      <alignment vertical="center" wrapText="1"/>
    </xf>
    <xf numFmtId="0" fontId="19" fillId="0" borderId="4" xfId="0" applyFont="1" applyBorder="1" applyAlignment="1">
      <alignment horizontal="left" vertical="center"/>
    </xf>
    <xf numFmtId="0" fontId="21"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32" fillId="0" borderId="0" xfId="0" applyFont="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18" fillId="0" borderId="0" xfId="4"/>
    <xf numFmtId="0" fontId="34" fillId="0" borderId="0" xfId="0" applyFont="1"/>
    <xf numFmtId="0" fontId="21" fillId="0" borderId="1" xfId="0" applyFont="1" applyBorder="1" applyAlignment="1">
      <alignment wrapText="1"/>
    </xf>
    <xf numFmtId="0" fontId="34" fillId="0" borderId="0" xfId="0" applyFont="1" applyAlignment="1">
      <alignment vertical="top"/>
    </xf>
    <xf numFmtId="0" fontId="6" fillId="0" borderId="36"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8" xfId="3" applyFill="1" applyBorder="1" applyAlignment="1">
      <alignment horizontal="center"/>
    </xf>
    <xf numFmtId="0" fontId="12" fillId="0" borderId="38" xfId="3" applyBorder="1" applyAlignment="1">
      <alignment horizontal="center"/>
    </xf>
    <xf numFmtId="0" fontId="29"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39" fillId="0" borderId="18" xfId="0" applyFont="1" applyBorder="1" applyAlignment="1">
      <alignment horizontal="center" vertical="center"/>
    </xf>
    <xf numFmtId="0" fontId="40" fillId="0" borderId="0" xfId="0" applyFont="1"/>
    <xf numFmtId="0" fontId="41" fillId="0" borderId="0" xfId="0" applyFont="1" applyAlignment="1">
      <alignment horizontal="center" vertical="center"/>
    </xf>
    <xf numFmtId="3" fontId="40" fillId="0" borderId="0" xfId="0" applyNumberFormat="1" applyFont="1"/>
    <xf numFmtId="0" fontId="37"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0" fillId="3" borderId="0" xfId="0" applyFont="1" applyFill="1"/>
    <xf numFmtId="0" fontId="42" fillId="0" borderId="0" xfId="0" applyFont="1"/>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2" fillId="4" borderId="27" xfId="0" applyFont="1" applyFill="1" applyBorder="1" applyAlignment="1">
      <alignment horizontal="center" vertical="center"/>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0" fontId="43" fillId="3" borderId="0" xfId="3" applyFont="1" applyFill="1"/>
    <xf numFmtId="0" fontId="44"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2" fillId="0" borderId="4" xfId="0" applyFont="1" applyBorder="1" applyAlignment="1">
      <alignment horizontal="center" vertical="top" wrapText="1"/>
    </xf>
    <xf numFmtId="0" fontId="22"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3" fillId="3" borderId="0" xfId="0" applyFont="1" applyFill="1"/>
    <xf numFmtId="0" fontId="33" fillId="3" borderId="26" xfId="0" applyFont="1" applyFill="1" applyBorder="1"/>
    <xf numFmtId="0" fontId="33" fillId="3" borderId="27" xfId="0" applyFont="1" applyFill="1" applyBorder="1"/>
    <xf numFmtId="0" fontId="33" fillId="3" borderId="28" xfId="0" applyFont="1" applyFill="1" applyBorder="1"/>
    <xf numFmtId="0" fontId="6" fillId="0" borderId="15" xfId="0" applyFont="1" applyBorder="1"/>
    <xf numFmtId="0" fontId="33" fillId="0" borderId="20" xfId="0" applyFont="1" applyBorder="1"/>
    <xf numFmtId="0" fontId="33"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5" fillId="0" borderId="0" xfId="6" applyFont="1" applyFill="1" applyBorder="1" applyAlignment="1" applyProtection="1">
      <alignment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8" xfId="3" applyFill="1" applyBorder="1" applyAlignment="1">
      <alignment horizontal="center" vertical="center"/>
    </xf>
    <xf numFmtId="0" fontId="2" fillId="0" borderId="0" xfId="0" applyFont="1" applyAlignment="1">
      <alignment horizontal="left" vertical="center" wrapText="1"/>
    </xf>
    <xf numFmtId="0" fontId="32" fillId="4" borderId="0" xfId="0" applyFont="1" applyFill="1" applyAlignment="1">
      <alignment horizontal="center" vertical="center"/>
    </xf>
    <xf numFmtId="0" fontId="2" fillId="0" borderId="0" xfId="0" applyFont="1" applyBorder="1"/>
    <xf numFmtId="0" fontId="47" fillId="0" borderId="19" xfId="0" applyFont="1" applyBorder="1"/>
    <xf numFmtId="0" fontId="47" fillId="0" borderId="9" xfId="0" quotePrefix="1" applyFont="1" applyBorder="1" applyAlignment="1">
      <alignment horizontal="left"/>
    </xf>
    <xf numFmtId="3" fontId="47" fillId="0" borderId="9" xfId="0" applyNumberFormat="1" applyFont="1" applyBorder="1" applyAlignment="1">
      <alignment horizontal="center" wrapText="1"/>
    </xf>
    <xf numFmtId="3" fontId="47" fillId="0" borderId="6" xfId="0" applyNumberFormat="1" applyFont="1" applyBorder="1" applyAlignment="1">
      <alignment horizontal="center" wrapText="1"/>
    </xf>
    <xf numFmtId="3" fontId="6" fillId="0" borderId="0" xfId="0" applyNumberFormat="1" applyFont="1"/>
    <xf numFmtId="0" fontId="3" fillId="0" borderId="0" xfId="0" applyFont="1" applyBorder="1"/>
    <xf numFmtId="0" fontId="2" fillId="0" borderId="0" xfId="0" applyFont="1" applyFill="1"/>
    <xf numFmtId="0" fontId="4" fillId="0" borderId="0" xfId="0" applyFont="1" applyFill="1"/>
    <xf numFmtId="0" fontId="40" fillId="0" borderId="0" xfId="0" applyFont="1" applyFill="1"/>
    <xf numFmtId="0" fontId="10" fillId="0" borderId="0" xfId="0" applyFont="1" applyAlignment="1">
      <alignment vertical="center"/>
    </xf>
    <xf numFmtId="0" fontId="6" fillId="0" borderId="0" xfId="0" applyFont="1" applyFill="1"/>
    <xf numFmtId="0" fontId="3" fillId="0" borderId="15" xfId="0" applyFont="1" applyBorder="1" applyAlignment="1">
      <alignment horizontal="left" vertical="center"/>
    </xf>
    <xf numFmtId="0" fontId="6" fillId="0" borderId="4" xfId="0" applyFont="1" applyFill="1" applyBorder="1"/>
    <xf numFmtId="0" fontId="3" fillId="0" borderId="20" xfId="0" applyFont="1" applyBorder="1" applyAlignment="1">
      <alignment horizontal="left" vertical="center" wrapText="1"/>
    </xf>
    <xf numFmtId="0" fontId="2" fillId="0" borderId="9" xfId="0" applyFont="1" applyBorder="1"/>
    <xf numFmtId="0" fontId="5" fillId="0" borderId="9" xfId="0" applyFont="1" applyFill="1" applyBorder="1"/>
    <xf numFmtId="0" fontId="2" fillId="0" borderId="0" xfId="0" applyFont="1" applyFill="1" applyAlignment="1">
      <alignment horizontal="center"/>
    </xf>
    <xf numFmtId="0" fontId="2" fillId="0" borderId="4" xfId="0" applyFont="1" applyFill="1" applyBorder="1" applyAlignment="1">
      <alignment horizontal="left"/>
    </xf>
    <xf numFmtId="0" fontId="2" fillId="0" borderId="0" xfId="0" applyFont="1" applyFill="1" applyAlignment="1"/>
    <xf numFmtId="0" fontId="32" fillId="0" borderId="0" xfId="0" applyFont="1" applyFill="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5" fillId="16" borderId="0" xfId="0" applyFont="1" applyFill="1" applyAlignment="1">
      <alignment horizontal="center" vertical="center"/>
    </xf>
    <xf numFmtId="0" fontId="35" fillId="16" borderId="0" xfId="0" applyFont="1" applyFill="1" applyAlignment="1">
      <alignment horizontal="center"/>
    </xf>
    <xf numFmtId="0" fontId="34"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0" fillId="16" borderId="0" xfId="0" applyFont="1" applyFill="1"/>
    <xf numFmtId="0" fontId="32" fillId="16" borderId="2" xfId="0" applyFont="1" applyFill="1" applyBorder="1" applyAlignment="1">
      <alignment horizontal="center"/>
    </xf>
    <xf numFmtId="0" fontId="32" fillId="16" borderId="2" xfId="0" applyFont="1" applyFill="1" applyBorder="1" applyAlignment="1">
      <alignment horizontal="center" vertical="center"/>
    </xf>
    <xf numFmtId="0" fontId="32" fillId="16" borderId="0" xfId="0" applyFont="1" applyFill="1" applyAlignment="1">
      <alignment vertical="center"/>
    </xf>
    <xf numFmtId="0" fontId="32" fillId="16" borderId="0" xfId="0" applyFont="1" applyFill="1" applyAlignment="1">
      <alignment horizontal="center"/>
    </xf>
    <xf numFmtId="0" fontId="6" fillId="0" borderId="0" xfId="0" applyFont="1" applyFill="1" applyAlignment="1">
      <alignment horizontal="center"/>
    </xf>
    <xf numFmtId="0" fontId="2" fillId="0" borderId="1" xfId="0" applyFont="1" applyFill="1" applyBorder="1"/>
    <xf numFmtId="0" fontId="2" fillId="0" borderId="2" xfId="0" applyFont="1" applyFill="1" applyBorder="1"/>
    <xf numFmtId="0" fontId="3" fillId="0" borderId="1" xfId="0" applyFont="1" applyFill="1" applyBorder="1"/>
    <xf numFmtId="0" fontId="3" fillId="0" borderId="0" xfId="0" applyFont="1" applyFill="1"/>
    <xf numFmtId="0" fontId="3" fillId="0" borderId="2"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wrapText="1"/>
    </xf>
    <xf numFmtId="0" fontId="2" fillId="0" borderId="5" xfId="0" applyFont="1" applyFill="1" applyBorder="1"/>
    <xf numFmtId="0" fontId="7" fillId="0" borderId="0" xfId="0" applyFont="1" applyFill="1" applyAlignment="1">
      <alignment horizontal="center"/>
    </xf>
    <xf numFmtId="0" fontId="2" fillId="0" borderId="19" xfId="0" applyFont="1" applyFill="1" applyBorder="1"/>
    <xf numFmtId="0" fontId="2" fillId="0" borderId="6" xfId="0" applyFont="1" applyFill="1" applyBorder="1"/>
    <xf numFmtId="164" fontId="2" fillId="0" borderId="7" xfId="0" applyNumberFormat="1" applyFont="1" applyFill="1" applyBorder="1" applyAlignment="1">
      <alignment horizontal="center"/>
    </xf>
    <xf numFmtId="0" fontId="2" fillId="0" borderId="7" xfId="0" applyFont="1" applyFill="1" applyBorder="1"/>
    <xf numFmtId="0" fontId="2" fillId="0" borderId="3" xfId="0" applyFont="1" applyFill="1" applyBorder="1"/>
    <xf numFmtId="0" fontId="7" fillId="0" borderId="1" xfId="0" applyFont="1" applyFill="1" applyBorder="1"/>
    <xf numFmtId="0" fontId="7" fillId="0" borderId="0" xfId="0" applyFont="1" applyFill="1" applyBorder="1"/>
    <xf numFmtId="0" fontId="9" fillId="0" borderId="0" xfId="0" applyFont="1" applyFill="1" applyAlignment="1">
      <alignment horizontal="center"/>
    </xf>
    <xf numFmtId="2" fontId="2" fillId="0" borderId="7" xfId="0" applyNumberFormat="1" applyFont="1" applyFill="1" applyBorder="1" applyAlignment="1">
      <alignment horizontal="center"/>
    </xf>
    <xf numFmtId="0" fontId="4" fillId="0" borderId="0" xfId="0" applyFont="1" applyFill="1" applyAlignment="1">
      <alignment horizontal="center"/>
    </xf>
    <xf numFmtId="0" fontId="2" fillId="0" borderId="0" xfId="0" applyFont="1" applyFill="1" applyAlignment="1">
      <alignment horizontal="center" wrapText="1"/>
    </xf>
    <xf numFmtId="0" fontId="2" fillId="0" borderId="7" xfId="0" applyFont="1" applyFill="1" applyBorder="1" applyAlignment="1">
      <alignment horizontal="center"/>
    </xf>
    <xf numFmtId="0" fontId="11" fillId="0" borderId="0" xfId="0" applyFont="1" applyFill="1" applyAlignment="1">
      <alignment horizontal="left"/>
    </xf>
    <xf numFmtId="0" fontId="7" fillId="10" borderId="2" xfId="0" applyFont="1" applyFill="1" applyBorder="1"/>
    <xf numFmtId="0" fontId="2" fillId="0" borderId="40" xfId="0" applyFont="1" applyFill="1" applyBorder="1"/>
    <xf numFmtId="0" fontId="3" fillId="0" borderId="5" xfId="0" applyFont="1" applyFill="1" applyBorder="1" applyAlignment="1">
      <alignment vertical="top"/>
    </xf>
    <xf numFmtId="0" fontId="3" fillId="0" borderId="41" xfId="0" applyFont="1" applyFill="1" applyBorder="1" applyAlignment="1">
      <alignment vertical="top"/>
    </xf>
    <xf numFmtId="0" fontId="3" fillId="0" borderId="41" xfId="0" applyFont="1" applyFill="1" applyBorder="1" applyAlignment="1">
      <alignment horizontal="center" vertical="top"/>
    </xf>
    <xf numFmtId="0" fontId="2" fillId="0" borderId="7" xfId="0" applyFont="1" applyFill="1" applyBorder="1" applyAlignment="1">
      <alignmen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wrapText="1"/>
    </xf>
    <xf numFmtId="0" fontId="6" fillId="0" borderId="7" xfId="0" applyFont="1" applyFill="1" applyBorder="1" applyAlignment="1">
      <alignment horizontal="center" vertical="center"/>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2" fillId="0" borderId="41" xfId="0" applyFont="1" applyFill="1" applyBorder="1" applyAlignment="1">
      <alignment horizontal="center"/>
    </xf>
    <xf numFmtId="0" fontId="2" fillId="0" borderId="41" xfId="0" applyFont="1" applyFill="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2" fillId="17" borderId="0" xfId="0" applyFont="1" applyFill="1" applyAlignment="1">
      <alignment vertical="center"/>
    </xf>
    <xf numFmtId="0" fontId="33" fillId="17" borderId="0" xfId="0" applyFont="1" applyFill="1" applyAlignment="1">
      <alignment horizontal="left"/>
    </xf>
    <xf numFmtId="0" fontId="9" fillId="0" borderId="0" xfId="0" applyFont="1" applyFill="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8"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Border="1" applyAlignment="1">
      <alignment vertical="center"/>
    </xf>
    <xf numFmtId="0" fontId="45"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Border="1" applyAlignment="1">
      <alignment vertical="center"/>
    </xf>
    <xf numFmtId="0" fontId="6" fillId="17" borderId="0" xfId="0" applyFont="1" applyFill="1" applyBorder="1" applyAlignment="1">
      <alignment vertical="center"/>
    </xf>
    <xf numFmtId="0" fontId="45" fillId="17" borderId="0" xfId="6" applyFont="1" applyFill="1" applyBorder="1" applyAlignment="1">
      <alignment vertical="center"/>
    </xf>
    <xf numFmtId="0" fontId="12" fillId="21" borderId="38"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2" fillId="16" borderId="0" xfId="0" applyFont="1" applyFill="1" applyProtection="1"/>
    <xf numFmtId="0" fontId="30" fillId="16" borderId="0" xfId="0" applyFont="1" applyFill="1" applyProtection="1"/>
    <xf numFmtId="0" fontId="2" fillId="0" borderId="0" xfId="0" applyFont="1" applyFill="1" applyAlignment="1" applyProtection="1">
      <alignment horizontal="center"/>
    </xf>
    <xf numFmtId="0" fontId="2" fillId="16" borderId="0" xfId="0" applyFont="1" applyFill="1" applyAlignment="1" applyProtection="1">
      <alignment horizontal="center"/>
    </xf>
    <xf numFmtId="0" fontId="4" fillId="3" borderId="0" xfId="0" applyFont="1" applyFill="1" applyProtection="1"/>
    <xf numFmtId="0" fontId="4" fillId="3" borderId="0" xfId="0" applyFont="1" applyFill="1" applyAlignment="1" applyProtection="1">
      <alignment horizontal="right"/>
    </xf>
    <xf numFmtId="0" fontId="2" fillId="0" borderId="0" xfId="0" applyFont="1" applyAlignment="1" applyProtection="1">
      <alignment horizontal="center"/>
    </xf>
    <xf numFmtId="0" fontId="2" fillId="0" borderId="7" xfId="0" applyFont="1" applyFill="1" applyBorder="1" applyAlignment="1" applyProtection="1">
      <alignment horizontal="center"/>
    </xf>
    <xf numFmtId="0" fontId="2" fillId="0" borderId="7" xfId="0" applyFont="1" applyFill="1" applyBorder="1" applyProtection="1"/>
    <xf numFmtId="0" fontId="7" fillId="0" borderId="0" xfId="0" applyFont="1" applyFill="1" applyAlignment="1" applyProtection="1">
      <alignment horizontal="center"/>
    </xf>
    <xf numFmtId="0" fontId="35" fillId="16" borderId="0" xfId="0" applyFont="1" applyFill="1" applyProtection="1"/>
    <xf numFmtId="2" fontId="2" fillId="16" borderId="0" xfId="0" applyNumberFormat="1" applyFont="1" applyFill="1" applyProtection="1"/>
    <xf numFmtId="2" fontId="6" fillId="16" borderId="0" xfId="0" applyNumberFormat="1" applyFont="1" applyFill="1" applyProtection="1"/>
    <xf numFmtId="0" fontId="6" fillId="16" borderId="0" xfId="0" applyFont="1" applyFill="1" applyProtection="1"/>
    <xf numFmtId="0" fontId="19" fillId="0" borderId="0" xfId="4" applyFont="1" applyAlignment="1">
      <alignment horizontal="left" vertical="top"/>
    </xf>
    <xf numFmtId="0" fontId="19" fillId="0" borderId="0" xfId="4" applyFont="1"/>
    <xf numFmtId="0" fontId="19" fillId="0" borderId="0" xfId="4" applyFont="1" applyAlignment="1">
      <alignment horizontal="left" vertical="top" wrapText="1"/>
    </xf>
    <xf numFmtId="0" fontId="19" fillId="0" borderId="0" xfId="3" applyFont="1" applyAlignment="1">
      <alignment horizontal="left" vertical="top" wrapText="1"/>
    </xf>
    <xf numFmtId="0" fontId="35" fillId="16" borderId="0" xfId="0" applyFont="1" applyFill="1" applyAlignment="1" applyProtection="1">
      <alignment horizontal="center"/>
      <protection locked="0"/>
    </xf>
    <xf numFmtId="0" fontId="54" fillId="16" borderId="0" xfId="0" applyFont="1" applyFill="1" applyAlignment="1">
      <alignment horizontal="center" vertical="center" wrapText="1"/>
    </xf>
    <xf numFmtId="0" fontId="2" fillId="5" borderId="39"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45" xfId="0" applyFont="1" applyFill="1" applyBorder="1" applyAlignment="1" applyProtection="1">
      <alignment horizontal="center" vertical="center"/>
      <protection locked="0"/>
    </xf>
    <xf numFmtId="0" fontId="2" fillId="5" borderId="46" xfId="0" applyFont="1" applyFill="1" applyBorder="1" applyAlignment="1" applyProtection="1">
      <alignment horizontal="center" vertical="center"/>
      <protection locked="0"/>
    </xf>
    <xf numFmtId="0" fontId="2" fillId="5" borderId="47"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protection locked="0"/>
    </xf>
    <xf numFmtId="0" fontId="2" fillId="5" borderId="49" xfId="0" applyFont="1" applyFill="1" applyBorder="1" applyAlignment="1" applyProtection="1">
      <alignment horizontal="center" vertical="center"/>
      <protection locked="0"/>
    </xf>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2" fillId="0" borderId="0" xfId="0" applyFont="1" applyFill="1"/>
    <xf numFmtId="0" fontId="18" fillId="0" borderId="0" xfId="4" applyFill="1"/>
    <xf numFmtId="0" fontId="6" fillId="0" borderId="0" xfId="0" applyFont="1" applyFill="1" applyAlignment="1">
      <alignment vertical="center"/>
    </xf>
    <xf numFmtId="0" fontId="57" fillId="0" borderId="0" xfId="4" applyFont="1"/>
    <xf numFmtId="0" fontId="12" fillId="0" borderId="0" xfId="3" applyFill="1" applyAlignment="1">
      <alignment horizontal="left" vertical="top" wrapText="1"/>
    </xf>
    <xf numFmtId="0" fontId="58" fillId="0" borderId="0" xfId="4" applyFont="1"/>
    <xf numFmtId="0" fontId="4" fillId="3" borderId="0" xfId="3" applyFont="1" applyFill="1" applyAlignment="1">
      <alignment horizontal="right"/>
    </xf>
    <xf numFmtId="0" fontId="32" fillId="4" borderId="0" xfId="0" applyFont="1" applyFill="1" applyAlignment="1">
      <alignment horizontal="center" vertical="center"/>
    </xf>
    <xf numFmtId="0" fontId="31" fillId="0" borderId="0" xfId="4" applyFont="1" applyAlignment="1">
      <alignment horizontal="left" wrapText="1"/>
    </xf>
    <xf numFmtId="0" fontId="30" fillId="0" borderId="0" xfId="0" applyFont="1" applyAlignment="1">
      <alignment horizontal="left" wrapText="1"/>
    </xf>
    <xf numFmtId="167" fontId="2" fillId="0" borderId="7" xfId="0" applyNumberFormat="1" applyFont="1" applyFill="1" applyBorder="1" applyAlignment="1">
      <alignment horizontal="center"/>
    </xf>
    <xf numFmtId="0" fontId="2" fillId="21" borderId="7" xfId="0" applyNumberFormat="1" applyFont="1" applyFill="1" applyBorder="1" applyAlignment="1" applyProtection="1">
      <alignment horizontal="center" vertical="center"/>
      <protection locked="0"/>
    </xf>
    <xf numFmtId="0" fontId="6" fillId="21" borderId="7" xfId="0" applyNumberFormat="1" applyFont="1" applyFill="1" applyBorder="1" applyAlignment="1" applyProtection="1">
      <alignment horizontal="center" vertical="center"/>
      <protection locked="0"/>
    </xf>
    <xf numFmtId="0" fontId="2" fillId="21" borderId="7" xfId="0" applyNumberFormat="1" applyFont="1" applyFill="1" applyBorder="1" applyAlignment="1" applyProtection="1">
      <alignment horizontal="center"/>
      <protection locked="0"/>
    </xf>
    <xf numFmtId="0" fontId="2" fillId="21" borderId="0" xfId="0" applyNumberFormat="1" applyFont="1" applyFill="1" applyProtection="1">
      <protection locked="0"/>
    </xf>
    <xf numFmtId="0" fontId="2" fillId="7" borderId="0" xfId="0" applyFont="1" applyFill="1" applyAlignment="1">
      <alignment horizontal="right"/>
    </xf>
    <xf numFmtId="0" fontId="30" fillId="0" borderId="0" xfId="0" applyFont="1" applyAlignment="1">
      <alignment wrapText="1"/>
    </xf>
    <xf numFmtId="0" fontId="18" fillId="0" borderId="0" xfId="4" applyAlignment="1">
      <alignment wrapText="1"/>
    </xf>
    <xf numFmtId="0" fontId="31" fillId="0" borderId="0" xfId="4" applyFont="1" applyAlignment="1">
      <alignment wrapText="1"/>
    </xf>
    <xf numFmtId="0" fontId="30" fillId="0" borderId="0" xfId="0" applyFont="1" applyAlignment="1">
      <alignment horizontal="left" vertical="top" wrapText="1"/>
    </xf>
    <xf numFmtId="0" fontId="30" fillId="0" borderId="0" xfId="0" applyFont="1" applyAlignment="1">
      <alignment vertical="top" wrapText="1"/>
    </xf>
    <xf numFmtId="0" fontId="2" fillId="0" borderId="16" xfId="0" applyFont="1" applyFill="1" applyBorder="1" applyAlignment="1">
      <alignment horizontal="left" vertical="center"/>
    </xf>
    <xf numFmtId="2" fontId="2" fillId="0" borderId="0" xfId="0" applyNumberFormat="1" applyFont="1" applyAlignment="1">
      <alignment horizontal="right"/>
    </xf>
    <xf numFmtId="2" fontId="2" fillId="0" borderId="13" xfId="0" applyNumberFormat="1" applyFont="1" applyBorder="1" applyAlignment="1">
      <alignment horizontal="right"/>
    </xf>
    <xf numFmtId="2" fontId="2" fillId="0" borderId="0" xfId="0" applyNumberFormat="1" applyFont="1" applyAlignment="1">
      <alignment horizontal="right" vertical="center"/>
    </xf>
    <xf numFmtId="3" fontId="2" fillId="0" borderId="10" xfId="0" applyNumberFormat="1" applyFont="1" applyBorder="1" applyAlignment="1">
      <alignment horizontal="right"/>
    </xf>
    <xf numFmtId="3" fontId="2" fillId="0" borderId="0" xfId="0" applyNumberFormat="1" applyFont="1" applyAlignment="1">
      <alignment horizontal="right"/>
    </xf>
    <xf numFmtId="3" fontId="2" fillId="0" borderId="4" xfId="0" applyNumberFormat="1" applyFont="1" applyBorder="1" applyAlignment="1">
      <alignment horizontal="right"/>
    </xf>
    <xf numFmtId="3" fontId="3" fillId="0" borderId="13" xfId="0" applyNumberFormat="1" applyFont="1" applyBorder="1" applyAlignment="1">
      <alignment horizontal="right"/>
    </xf>
    <xf numFmtId="2" fontId="2" fillId="0" borderId="10" xfId="0" applyNumberFormat="1" applyFont="1" applyBorder="1" applyAlignment="1">
      <alignment horizontal="right"/>
    </xf>
    <xf numFmtId="2" fontId="2" fillId="0" borderId="4" xfId="0" applyNumberFormat="1" applyFont="1" applyBorder="1" applyAlignment="1">
      <alignment horizontal="right"/>
    </xf>
    <xf numFmtId="2" fontId="6" fillId="0" borderId="0" xfId="0" applyNumberFormat="1" applyFont="1" applyAlignment="1">
      <alignment horizontal="right"/>
    </xf>
    <xf numFmtId="2" fontId="2" fillId="0" borderId="0" xfId="0" applyNumberFormat="1" applyFont="1" applyFill="1" applyAlignment="1">
      <alignment horizontal="right"/>
    </xf>
    <xf numFmtId="2" fontId="2" fillId="0" borderId="13" xfId="0" applyNumberFormat="1" applyFont="1" applyFill="1" applyBorder="1" applyAlignment="1">
      <alignment horizontal="right"/>
    </xf>
    <xf numFmtId="2" fontId="6" fillId="0" borderId="0" xfId="0" applyNumberFormat="1" applyFont="1" applyFill="1" applyAlignment="1">
      <alignment horizontal="right"/>
    </xf>
    <xf numFmtId="9" fontId="6" fillId="0" borderId="4" xfId="1" quotePrefix="1" applyFont="1" applyFill="1" applyBorder="1" applyAlignment="1">
      <alignment horizontal="right"/>
    </xf>
    <xf numFmtId="164" fontId="6" fillId="0" borderId="0" xfId="0" quotePrefix="1" applyNumberFormat="1" applyFont="1" applyFill="1" applyAlignment="1">
      <alignment horizontal="right"/>
    </xf>
    <xf numFmtId="164" fontId="6" fillId="0" borderId="4" xfId="0" quotePrefix="1" applyNumberFormat="1" applyFont="1" applyFill="1" applyBorder="1" applyAlignment="1">
      <alignment horizontal="right"/>
    </xf>
    <xf numFmtId="9" fontId="6" fillId="0" borderId="9" xfId="1" quotePrefix="1" applyFont="1" applyFill="1" applyBorder="1" applyAlignment="1">
      <alignment horizontal="right"/>
    </xf>
    <xf numFmtId="164" fontId="3" fillId="0" borderId="0" xfId="0" applyNumberFormat="1" applyFont="1" applyFill="1" applyAlignment="1">
      <alignment horizontal="right"/>
    </xf>
    <xf numFmtId="2" fontId="2" fillId="0" borderId="0" xfId="0" applyNumberFormat="1" applyFont="1" applyFill="1" applyAlignment="1">
      <alignment horizontal="right" vertical="center"/>
    </xf>
    <xf numFmtId="2" fontId="2" fillId="0" borderId="10" xfId="0" applyNumberFormat="1" applyFont="1" applyFill="1" applyBorder="1" applyAlignment="1">
      <alignment horizontal="right"/>
    </xf>
    <xf numFmtId="0" fontId="12" fillId="0" borderId="0" xfId="3" applyAlignment="1">
      <alignment horizontal="left" vertical="center" wrapText="1"/>
    </xf>
    <xf numFmtId="0" fontId="12" fillId="0" borderId="0" xfId="3" applyFill="1" applyAlignment="1">
      <alignment horizontal="left" vertical="top" wrapText="1"/>
    </xf>
    <xf numFmtId="0" fontId="19" fillId="15" borderId="0" xfId="4" applyFont="1" applyFill="1" applyAlignment="1">
      <alignment horizontal="left" vertical="center" wrapText="1"/>
    </xf>
    <xf numFmtId="0" fontId="52" fillId="15" borderId="0" xfId="4" applyFont="1" applyFill="1" applyAlignment="1">
      <alignment horizontal="left" vertical="center" wrapText="1"/>
    </xf>
    <xf numFmtId="0" fontId="19" fillId="8" borderId="0" xfId="4" applyFont="1" applyFill="1" applyAlignment="1">
      <alignment horizontal="left" vertical="center" wrapText="1"/>
    </xf>
    <xf numFmtId="0" fontId="18" fillId="8" borderId="0" xfId="4" applyFill="1" applyAlignment="1">
      <alignment horizontal="left" vertical="center" wrapText="1"/>
    </xf>
    <xf numFmtId="0" fontId="19" fillId="14" borderId="0" xfId="4" applyFont="1" applyFill="1" applyAlignment="1">
      <alignment horizontal="left" vertical="center" wrapText="1"/>
    </xf>
    <xf numFmtId="0" fontId="18" fillId="14" borderId="0" xfId="4" applyFill="1" applyAlignment="1">
      <alignment horizontal="left" vertical="center" wrapText="1"/>
    </xf>
    <xf numFmtId="0" fontId="19" fillId="11" borderId="0" xfId="4" applyFont="1" applyFill="1" applyAlignment="1">
      <alignment horizontal="left" vertical="center" wrapText="1"/>
    </xf>
    <xf numFmtId="0" fontId="18" fillId="11" borderId="0" xfId="4" applyFill="1" applyAlignment="1">
      <alignment horizontal="left" vertical="center" wrapText="1"/>
    </xf>
    <xf numFmtId="0" fontId="19" fillId="19" borderId="0" xfId="4" applyFont="1" applyFill="1" applyAlignment="1">
      <alignment horizontal="left" vertical="center" wrapText="1"/>
    </xf>
    <xf numFmtId="0" fontId="46" fillId="20" borderId="0" xfId="4" applyFont="1" applyFill="1" applyAlignment="1">
      <alignment horizontal="left" vertical="center" wrapText="1"/>
    </xf>
    <xf numFmtId="0" fontId="12" fillId="13" borderId="0" xfId="3" applyFill="1" applyAlignment="1">
      <alignment horizontal="left" vertical="center" wrapText="1"/>
    </xf>
    <xf numFmtId="0" fontId="12" fillId="0" borderId="0" xfId="3" applyAlignment="1">
      <alignment horizontal="left" vertical="top" wrapText="1"/>
    </xf>
    <xf numFmtId="0" fontId="12" fillId="0" borderId="0" xfId="3" applyAlignment="1">
      <alignment horizontal="left" vertical="center"/>
    </xf>
    <xf numFmtId="0" fontId="32" fillId="4" borderId="0" xfId="0" applyFont="1" applyFill="1" applyBorder="1" applyAlignment="1">
      <alignment horizontal="center" vertical="center"/>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2" fillId="5" borderId="21" xfId="0" applyFont="1" applyFill="1" applyBorder="1" applyAlignment="1" applyProtection="1">
      <alignment horizontal="left" vertical="top"/>
      <protection locked="0"/>
    </xf>
    <xf numFmtId="0" fontId="2" fillId="5" borderId="22" xfId="0" applyFont="1" applyFill="1" applyBorder="1" applyAlignment="1" applyProtection="1">
      <alignment horizontal="left" vertical="top"/>
      <protection locked="0"/>
    </xf>
    <xf numFmtId="0" fontId="2" fillId="5" borderId="23" xfId="0" applyFont="1" applyFill="1" applyBorder="1" applyAlignment="1" applyProtection="1">
      <alignment horizontal="left" vertical="top"/>
      <protection locked="0"/>
    </xf>
    <xf numFmtId="0" fontId="2" fillId="5" borderId="24" xfId="0" applyFont="1" applyFill="1" applyBorder="1" applyAlignment="1" applyProtection="1">
      <alignment horizontal="left" vertical="top"/>
      <protection locked="0"/>
    </xf>
    <xf numFmtId="0" fontId="2" fillId="5" borderId="0" xfId="0" applyFont="1" applyFill="1" applyBorder="1" applyAlignment="1" applyProtection="1">
      <alignment horizontal="left" vertical="top"/>
      <protection locked="0"/>
    </xf>
    <xf numFmtId="0" fontId="2" fillId="5" borderId="25" xfId="0" applyFont="1" applyFill="1" applyBorder="1" applyAlignment="1" applyProtection="1">
      <alignment horizontal="left" vertical="top"/>
      <protection locked="0"/>
    </xf>
    <xf numFmtId="0" fontId="2" fillId="5" borderId="26" xfId="0" applyFont="1" applyFill="1" applyBorder="1" applyAlignment="1" applyProtection="1">
      <alignment horizontal="left" vertical="top"/>
      <protection locked="0"/>
    </xf>
    <xf numFmtId="0" fontId="2" fillId="5" borderId="27" xfId="0" applyFont="1" applyFill="1" applyBorder="1" applyAlignment="1" applyProtection="1">
      <alignment horizontal="left" vertical="top"/>
      <protection locked="0"/>
    </xf>
    <xf numFmtId="0" fontId="2" fillId="5" borderId="28" xfId="0" applyFont="1" applyFill="1" applyBorder="1" applyAlignment="1" applyProtection="1">
      <alignment horizontal="left" vertical="top"/>
      <protection locked="0"/>
    </xf>
    <xf numFmtId="0" fontId="2" fillId="5" borderId="16" xfId="0" applyFont="1" applyFill="1" applyBorder="1" applyAlignment="1" applyProtection="1">
      <alignment horizontal="left" vertical="top"/>
      <protection locked="0"/>
    </xf>
    <xf numFmtId="0" fontId="2" fillId="5" borderId="29" xfId="0" applyFont="1" applyFill="1" applyBorder="1" applyAlignment="1" applyProtection="1">
      <alignment horizontal="left" vertical="top"/>
      <protection locked="0"/>
    </xf>
    <xf numFmtId="0" fontId="2" fillId="5" borderId="17" xfId="0" applyFont="1" applyFill="1" applyBorder="1" applyAlignment="1" applyProtection="1">
      <alignment horizontal="left" vertical="top"/>
      <protection locked="0"/>
    </xf>
    <xf numFmtId="0" fontId="2" fillId="0" borderId="53" xfId="0" applyFont="1" applyBorder="1" applyAlignment="1">
      <alignment horizontal="left" vertical="center" wrapText="1"/>
    </xf>
    <xf numFmtId="0" fontId="2" fillId="0" borderId="0" xfId="0" applyFont="1" applyBorder="1" applyAlignment="1">
      <alignment horizontal="left" vertical="center" wrapText="1"/>
    </xf>
    <xf numFmtId="0" fontId="2" fillId="0" borderId="54" xfId="0" applyFont="1" applyBorder="1" applyAlignment="1">
      <alignment horizontal="left" vertical="center" wrapText="1"/>
    </xf>
    <xf numFmtId="0" fontId="2" fillId="0" borderId="55" xfId="0" applyFont="1" applyBorder="1" applyAlignment="1">
      <alignment horizontal="left" vertical="center" wrapText="1"/>
    </xf>
    <xf numFmtId="0" fontId="2" fillId="0" borderId="56" xfId="0" applyFont="1" applyBorder="1" applyAlignment="1">
      <alignment horizontal="left" vertical="center" wrapText="1"/>
    </xf>
    <xf numFmtId="0" fontId="2" fillId="0" borderId="57" xfId="0" applyFont="1" applyBorder="1" applyAlignment="1">
      <alignment horizontal="left" vertical="center" wrapText="1"/>
    </xf>
    <xf numFmtId="0" fontId="6" fillId="0" borderId="50" xfId="4" applyFont="1" applyBorder="1" applyAlignment="1">
      <alignment horizontal="left" wrapText="1"/>
    </xf>
    <xf numFmtId="0" fontId="6" fillId="0" borderId="51" xfId="4" applyFont="1" applyBorder="1" applyAlignment="1">
      <alignment horizontal="left" wrapText="1"/>
    </xf>
    <xf numFmtId="0" fontId="6" fillId="0" borderId="52" xfId="4" applyFont="1" applyBorder="1" applyAlignment="1">
      <alignment horizontal="left" wrapText="1"/>
    </xf>
    <xf numFmtId="0" fontId="2" fillId="0" borderId="39"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Border="1" applyAlignment="1">
      <alignment horizontal="center" vertical="center"/>
    </xf>
    <xf numFmtId="0" fontId="6" fillId="18" borderId="0" xfId="0" applyFont="1" applyFill="1" applyBorder="1" applyAlignment="1">
      <alignment horizontal="center" vertical="top"/>
    </xf>
    <xf numFmtId="0" fontId="6" fillId="18" borderId="0" xfId="0" applyFont="1" applyFill="1" applyBorder="1" applyAlignment="1">
      <alignment horizontal="center" vertical="center"/>
    </xf>
    <xf numFmtId="14" fontId="29" fillId="0" borderId="19" xfId="0" applyNumberFormat="1" applyFont="1" applyBorder="1" applyAlignment="1">
      <alignment horizontal="left"/>
    </xf>
    <xf numFmtId="14" fontId="29" fillId="0" borderId="6" xfId="0" applyNumberFormat="1" applyFont="1" applyBorder="1" applyAlignment="1">
      <alignment horizontal="left"/>
    </xf>
    <xf numFmtId="0" fontId="32" fillId="4" borderId="2" xfId="0" applyFont="1" applyFill="1" applyBorder="1" applyAlignment="1">
      <alignment horizontal="center" vertical="center"/>
    </xf>
    <xf numFmtId="0" fontId="2" fillId="0" borderId="8"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0" xfId="0" applyFont="1" applyAlignment="1" applyProtection="1">
      <alignment horizontal="left" vertical="center" wrapText="1"/>
    </xf>
    <xf numFmtId="0" fontId="32" fillId="16" borderId="2" xfId="0" applyFont="1" applyFill="1" applyBorder="1" applyAlignment="1">
      <alignment horizontal="center" vertical="center"/>
    </xf>
    <xf numFmtId="0" fontId="3" fillId="0" borderId="0" xfId="0" applyFont="1" applyFill="1" applyAlignment="1">
      <alignment horizontal="left" wrapText="1"/>
    </xf>
    <xf numFmtId="0" fontId="2" fillId="0" borderId="10" xfId="0" applyFont="1" applyBorder="1" applyAlignment="1">
      <alignment horizontal="left" vertical="center"/>
    </xf>
    <xf numFmtId="0" fontId="2" fillId="0" borderId="0" xfId="0" applyFont="1" applyAlignment="1">
      <alignment horizontal="left" vertical="center"/>
    </xf>
    <xf numFmtId="0" fontId="32" fillId="4" borderId="0" xfId="0" applyFont="1" applyFill="1" applyAlignment="1">
      <alignment horizontal="center" vertical="center"/>
    </xf>
    <xf numFmtId="0" fontId="2" fillId="0" borderId="31" xfId="0" applyFont="1" applyBorder="1" applyAlignment="1">
      <alignment horizontal="left" vertical="center"/>
    </xf>
    <xf numFmtId="0" fontId="32" fillId="4" borderId="25" xfId="0" applyFont="1" applyFill="1" applyBorder="1" applyAlignment="1">
      <alignment horizontal="center" vertical="center"/>
    </xf>
    <xf numFmtId="0" fontId="6" fillId="0" borderId="36" xfId="0" applyFont="1" applyBorder="1" applyAlignment="1">
      <alignment horizontal="center" wrapText="1"/>
    </xf>
    <xf numFmtId="0" fontId="6" fillId="0" borderId="36" xfId="0" applyFont="1" applyBorder="1" applyAlignment="1">
      <alignment horizontal="center"/>
    </xf>
    <xf numFmtId="0" fontId="32" fillId="4" borderId="22" xfId="0" applyFont="1" applyFill="1" applyBorder="1" applyAlignment="1">
      <alignment horizontal="center" vertic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93">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6A6A6A"/>
      <color rgb="FFA1D323"/>
      <color rgb="FF1F711F"/>
      <color rgb="FF99CCFF"/>
      <color rgb="FFABD5FF"/>
      <color rgb="FF91E5E3"/>
      <color rgb="FFCCFFFF"/>
      <color rgb="FFCCE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Fahrzeugkosten (Leasingrate/Miete)</c:v>
                </c:pt>
              </c:strCache>
            </c:strRef>
          </c:tx>
          <c:spPr>
            <a:solidFill>
              <a:srgbClr val="5B7ECB"/>
            </a:solidFill>
            <a:ln>
              <a:noFill/>
            </a:ln>
            <a:effectLst/>
          </c:spPr>
          <c:invertIfNegative val="0"/>
          <c:cat>
            <c:strRef>
              <c:f>Ergebnisse_LZK!$D$17:$H$17</c:f>
              <c:strCache>
                <c:ptCount val="5"/>
                <c:pt idx="0">
                  <c:v>   </c:v>
                </c:pt>
                <c:pt idx="1">
                  <c:v>   </c:v>
                </c:pt>
                <c:pt idx="2">
                  <c:v>   </c:v>
                </c:pt>
                <c:pt idx="3">
                  <c:v>   </c:v>
                </c:pt>
                <c:pt idx="4">
                  <c:v>   </c:v>
                </c:pt>
              </c:strCache>
            </c:strRef>
          </c:cat>
          <c:val>
            <c:numRef>
              <c:f>Ergebnisse_LZK!$D$19:$H$19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   </c:v>
                </c:pt>
                <c:pt idx="1">
                  <c:v>   </c:v>
                </c:pt>
                <c:pt idx="2">
                  <c:v>   </c:v>
                </c:pt>
                <c:pt idx="3">
                  <c:v>   </c:v>
                </c:pt>
                <c:pt idx="4">
                  <c:v>   </c:v>
                </c:pt>
              </c:strCache>
            </c:strRef>
          </c:cat>
          <c:val>
            <c:numRef>
              <c:f>Ergebnisse_LZK!$D$20:$H$20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   </c:v>
                </c:pt>
                <c:pt idx="1">
                  <c:v>   </c:v>
                </c:pt>
                <c:pt idx="2">
                  <c:v>   </c:v>
                </c:pt>
                <c:pt idx="3">
                  <c:v>   </c:v>
                </c:pt>
                <c:pt idx="4">
                  <c:v>   </c:v>
                </c:pt>
              </c:strCache>
            </c:strRef>
          </c:cat>
          <c:val>
            <c:numRef>
              <c:f>Ergebnisse_LZK!$D$23:$H$23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   </c:v>
                </c:pt>
                <c:pt idx="1">
                  <c:v>   </c:v>
                </c:pt>
                <c:pt idx="2">
                  <c:v>   </c:v>
                </c:pt>
                <c:pt idx="3">
                  <c:v>   </c:v>
                </c:pt>
                <c:pt idx="4">
                  <c:v>   </c:v>
                </c:pt>
              </c:strCache>
            </c:strRef>
          </c:cat>
          <c:val>
            <c:numRef>
              <c:f>Ergebnisse_LZK!$D$21:$H$21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   </c:v>
                </c:pt>
                <c:pt idx="1">
                  <c:v>   </c:v>
                </c:pt>
                <c:pt idx="2">
                  <c:v>   </c:v>
                </c:pt>
                <c:pt idx="3">
                  <c:v>   </c:v>
                </c:pt>
                <c:pt idx="4">
                  <c:v>   </c:v>
                </c:pt>
              </c:strCache>
            </c:strRef>
          </c:cat>
          <c:val>
            <c:numRef>
              <c:f>Ergebnisse_LZK!$D$22:$H$22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(Ergebnisse_Umweltkosten!$D$21,Ergebnisse_Umweltkosten!$E$21,Ergebnisse_Umweltkosten!$F$21,Ergebnisse_Umweltkosten!$G$21,Ergebnisse_Umweltkosten!$H$21)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(Ergebnisse_Umweltkosten!$D$18,Ergebnisse_Umweltkosten!$E$18,Ergebnisse_Umweltkosten!$F$18,Ergebnisse_Umweltkosten!$G$18,Ergebnisse_Umweltkosten!$H$18)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(Ergebnisse_Umweltkosten!$D$20,Ergebnisse_Umweltkosten!$E$20,Ergebnisse_Umweltkosten!$F$20,Ergebnisse_Umweltkosten!$G$20,Ergebnisse_Umweltkosten!$H$20)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Projekt!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164810</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61951" y="7299748"/>
          <a:ext cx="591251" cy="25074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27</xdr:row>
      <xdr:rowOff>96943</xdr:rowOff>
    </xdr:from>
    <xdr:to>
      <xdr:col>3</xdr:col>
      <xdr:colOff>857249</xdr:colOff>
      <xdr:row>28</xdr:row>
      <xdr:rowOff>164810</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7898" y="7303558"/>
          <a:ext cx="55476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27</xdr:row>
      <xdr:rowOff>96943</xdr:rowOff>
    </xdr:from>
    <xdr:to>
      <xdr:col>3</xdr:col>
      <xdr:colOff>1502184</xdr:colOff>
      <xdr:row>28</xdr:row>
      <xdr:rowOff>164810</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305393" y="7303558"/>
          <a:ext cx="57220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629920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134296</xdr:colOff>
      <xdr:row>3</xdr:row>
      <xdr:rowOff>860846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591947</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60749</xdr:colOff>
      <xdr:row>11</xdr:row>
      <xdr:rowOff>325755</xdr:rowOff>
    </xdr:from>
    <xdr:to>
      <xdr:col>13</xdr:col>
      <xdr:colOff>107768</xdr:colOff>
      <xdr:row>15</xdr:row>
      <xdr:rowOff>22225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9019964" y="2388870"/>
          <a:ext cx="1630074" cy="963295"/>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30</xdr:row>
      <xdr:rowOff>123825</xdr:rowOff>
    </xdr:from>
    <xdr:to>
      <xdr:col>7</xdr:col>
      <xdr:colOff>782955</xdr:colOff>
      <xdr:row>31</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28</xdr:row>
      <xdr:rowOff>123825</xdr:rowOff>
    </xdr:from>
    <xdr:to>
      <xdr:col>7</xdr:col>
      <xdr:colOff>782955</xdr:colOff>
      <xdr:row>29</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22860</xdr:colOff>
      <xdr:row>1</xdr:row>
      <xdr:rowOff>0</xdr:rowOff>
    </xdr:from>
    <xdr:to>
      <xdr:col>9</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15240</xdr:colOff>
      <xdr:row>0</xdr:row>
      <xdr:rowOff>114300</xdr:rowOff>
    </xdr:from>
    <xdr:to>
      <xdr:col>7</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362121</xdr:colOff>
      <xdr:row>37</xdr:row>
      <xdr:rowOff>96720</xdr:rowOff>
    </xdr:to>
    <xdr:pic>
      <xdr:nvPicPr>
        <xdr:cNvPr id="2" name="Grafik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59" y="514350"/>
          <a:ext cx="11422552" cy="5922210"/>
        </a:xfrm>
        <a:prstGeom prst="rect">
          <a:avLst/>
        </a:prstGeom>
      </xdr:spPr>
    </xdr:pic>
    <xdr:clientData/>
  </xdr:twoCellAnchor>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si.fraunhofer.de/content/dam/isi/dokumente/cce/2021/BMU_Kurzpapier_UF_final.pdf" TargetMode="External"/><Relationship Id="rId13" Type="http://schemas.openxmlformats.org/officeDocument/2006/relationships/hyperlink" Target="https://www.umweltbundesamt.de/sites/default/files/medien/1410/publikationen/2020-12-21_methodenkonvention_3_1_kostensaetze.pdf" TargetMode="External"/><Relationship Id="rId3"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7" Type="http://schemas.openxmlformats.org/officeDocument/2006/relationships/hyperlink" Target="https://www.bdew.de/service/daten-und-grafiken/bdew-strompreisanalyse/" TargetMode="External"/><Relationship Id="rId12" Type="http://schemas.openxmlformats.org/officeDocument/2006/relationships/hyperlink" Target="https://www.transportenvironment.org/wp-content/uploads/2022/05/TE_LCA_Update-June.pdf" TargetMode="External"/><Relationship Id="rId2" Type="http://schemas.openxmlformats.org/officeDocument/2006/relationships/hyperlink" Target="https://www.ifeu.de/methoden-tools/modelle/tremod/" TargetMode="External"/><Relationship Id="rId1" Type="http://schemas.openxmlformats.org/officeDocument/2006/relationships/hyperlink" Target="https://www.ifeu.de/projekt/analyse-der-umweltbilanz-von-kraftfahrzeugen-mit-alternativen-antrieben-oder-kraftstoffen-auf-dem-weg-zu-einem-treibhausgasneutralen-verkehr/" TargetMode="External"/><Relationship Id="rId6" Type="http://schemas.openxmlformats.org/officeDocument/2006/relationships/hyperlink" Target="https://nextmove.de/analyse-zum-deutschen-elektroauto-markt/" TargetMode="External"/><Relationship Id="rId11" Type="http://schemas.openxmlformats.org/officeDocument/2006/relationships/hyperlink" Target="https://www.nachhaltige-oeffentliche-pkw-beschaffung.de/assets/downloads/Abschlussbericht_Umweltvertraegliche_Pkw-Beschaffung_ifeu.pdf" TargetMode="External"/><Relationship Id="rId5" Type="http://schemas.openxmlformats.org/officeDocument/2006/relationships/hyperlink" Target="https://www.beuc.eu/publications/beuc-x-2016-121_low_carbon_cars_in_the_2020s-report.pdf" TargetMode="External"/><Relationship Id="rId15" Type="http://schemas.openxmlformats.org/officeDocument/2006/relationships/drawing" Target="../drawings/drawing15.xml"/><Relationship Id="rId10" Type="http://schemas.openxmlformats.org/officeDocument/2006/relationships/hyperlink" Target="https://www.adac.de/verkehr/tanken-kraftstoff-antrieb/deutschland/kraftstoffpreisentwicklung/" TargetMode="External"/><Relationship Id="rId4" Type="http://schemas.openxmlformats.org/officeDocument/2006/relationships/hyperlink" Target="https://ag-energiebilanzen.de/energieeinheitenumrechner/" TargetMode="External"/><Relationship Id="rId9" Type="http://schemas.openxmlformats.org/officeDocument/2006/relationships/hyperlink" Target="https://www.adac.de/verkehr/tanken-kraftstoff-antrieb/alternative-antriebe/erdgas/"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61"/>
  <sheetViews>
    <sheetView showGridLines="0" tabSelected="1"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509</v>
      </c>
      <c r="C2" s="16"/>
      <c r="D2" s="16"/>
      <c r="E2" s="158"/>
      <c r="F2" s="159"/>
      <c r="G2" s="16"/>
      <c r="H2" s="16"/>
      <c r="I2" s="16"/>
      <c r="J2" s="332" t="s">
        <v>515</v>
      </c>
    </row>
    <row r="3" spans="2:10" x14ac:dyDescent="0.25">
      <c r="D3" s="127"/>
      <c r="E3" s="127"/>
      <c r="F3" s="127"/>
      <c r="G3" s="127"/>
      <c r="H3" s="127"/>
      <c r="I3" s="127"/>
      <c r="J3" s="127"/>
    </row>
    <row r="4" spans="2:10" ht="76.2" customHeight="1" x14ac:dyDescent="0.25">
      <c r="D4" s="127"/>
      <c r="E4" s="127"/>
      <c r="F4" s="127"/>
      <c r="G4" s="127"/>
      <c r="H4" s="127"/>
      <c r="I4" s="127"/>
      <c r="J4" s="127"/>
    </row>
    <row r="5" spans="2:10" ht="124.8" customHeight="1" x14ac:dyDescent="0.25">
      <c r="B5" s="369" t="s">
        <v>480</v>
      </c>
      <c r="C5" s="369"/>
      <c r="D5" s="369"/>
      <c r="E5" s="369"/>
      <c r="F5" s="369"/>
      <c r="G5" s="369"/>
      <c r="H5" s="369"/>
      <c r="I5" s="369"/>
      <c r="J5" s="369"/>
    </row>
    <row r="6" spans="2:10" ht="11.4" customHeight="1" x14ac:dyDescent="0.25">
      <c r="B6" s="330"/>
      <c r="C6" s="330"/>
      <c r="D6" s="330"/>
      <c r="E6" s="330"/>
      <c r="F6" s="330"/>
      <c r="G6" s="330"/>
      <c r="H6" s="330"/>
      <c r="I6" s="330"/>
      <c r="J6" s="330"/>
    </row>
    <row r="7" spans="2:10" x14ac:dyDescent="0.25">
      <c r="B7" s="16" t="s">
        <v>0</v>
      </c>
      <c r="C7" s="16"/>
      <c r="D7" s="16"/>
      <c r="E7" s="16"/>
      <c r="F7" s="16"/>
      <c r="G7" s="16"/>
      <c r="H7" s="16"/>
      <c r="I7" s="16"/>
      <c r="J7" s="16"/>
    </row>
    <row r="8" spans="2:10" x14ac:dyDescent="0.25">
      <c r="D8" s="127"/>
      <c r="E8" s="127"/>
      <c r="F8" s="127"/>
      <c r="G8" s="127"/>
      <c r="H8" s="127"/>
      <c r="I8" s="127"/>
      <c r="J8" s="127"/>
    </row>
    <row r="9" spans="2:10" ht="50.4" customHeight="1" x14ac:dyDescent="0.25">
      <c r="D9" s="293"/>
      <c r="E9" s="293"/>
      <c r="F9" s="370" t="s">
        <v>1</v>
      </c>
      <c r="G9" s="371"/>
      <c r="H9" s="371"/>
      <c r="I9" s="371"/>
      <c r="J9" s="371"/>
    </row>
    <row r="10" spans="2:10" ht="4.2" customHeight="1" x14ac:dyDescent="0.25">
      <c r="D10" s="293"/>
      <c r="E10" s="293"/>
      <c r="F10" s="190"/>
      <c r="G10" s="190"/>
      <c r="H10" s="190"/>
      <c r="I10" s="190"/>
      <c r="J10" s="190"/>
    </row>
    <row r="11" spans="2:10" ht="13.95" customHeight="1" x14ac:dyDescent="0.25">
      <c r="D11" s="293"/>
      <c r="E11" s="293"/>
      <c r="F11" s="372" t="s">
        <v>196</v>
      </c>
      <c r="G11" s="373"/>
      <c r="H11" s="373"/>
      <c r="I11" s="373"/>
      <c r="J11" s="373"/>
    </row>
    <row r="12" spans="2:10" ht="13.95" customHeight="1" x14ac:dyDescent="0.25">
      <c r="D12" s="293"/>
      <c r="E12" s="293"/>
      <c r="F12" s="373"/>
      <c r="G12" s="373"/>
      <c r="H12" s="373"/>
      <c r="I12" s="373"/>
      <c r="J12" s="373"/>
    </row>
    <row r="13" spans="2:10" ht="18.600000000000001" customHeight="1" x14ac:dyDescent="0.25">
      <c r="D13" s="293"/>
      <c r="E13" s="293"/>
      <c r="F13" s="373"/>
      <c r="G13" s="373"/>
      <c r="H13" s="373"/>
      <c r="I13" s="373"/>
      <c r="J13" s="373"/>
    </row>
    <row r="14" spans="2:10" ht="4.2" customHeight="1" x14ac:dyDescent="0.25">
      <c r="D14" s="293"/>
      <c r="E14" s="293"/>
      <c r="F14" s="190"/>
      <c r="G14" s="190"/>
      <c r="H14" s="190"/>
      <c r="I14" s="190"/>
      <c r="J14" s="190"/>
    </row>
    <row r="15" spans="2:10" ht="14.4" customHeight="1" x14ac:dyDescent="0.25">
      <c r="D15" s="293"/>
      <c r="E15" s="293"/>
      <c r="F15" s="374" t="s">
        <v>467</v>
      </c>
      <c r="G15" s="375"/>
      <c r="H15" s="375"/>
      <c r="I15" s="375"/>
      <c r="J15" s="375"/>
    </row>
    <row r="16" spans="2:10" ht="73.8" customHeight="1" x14ac:dyDescent="0.25">
      <c r="D16" s="293"/>
      <c r="E16" s="293"/>
      <c r="F16" s="375"/>
      <c r="G16" s="375"/>
      <c r="H16" s="375"/>
      <c r="I16" s="375"/>
      <c r="J16" s="375"/>
    </row>
    <row r="17" spans="2:10" ht="4.2" customHeight="1" x14ac:dyDescent="0.25">
      <c r="D17" s="293"/>
      <c r="E17" s="293"/>
      <c r="F17" s="292"/>
      <c r="G17" s="292"/>
      <c r="H17" s="292"/>
      <c r="I17" s="292"/>
      <c r="J17" s="292"/>
    </row>
    <row r="18" spans="2:10" ht="40.950000000000003" customHeight="1" x14ac:dyDescent="0.25">
      <c r="D18" s="293"/>
      <c r="E18" s="293"/>
      <c r="F18" s="376" t="s">
        <v>2</v>
      </c>
      <c r="G18" s="377"/>
      <c r="H18" s="377"/>
      <c r="I18" s="377"/>
      <c r="J18" s="377"/>
    </row>
    <row r="19" spans="2:10" ht="4.2" customHeight="1" x14ac:dyDescent="0.25">
      <c r="D19" s="293"/>
      <c r="E19" s="293"/>
      <c r="F19" s="292"/>
      <c r="G19" s="292"/>
      <c r="H19" s="292"/>
      <c r="I19" s="292"/>
      <c r="J19" s="292"/>
    </row>
    <row r="20" spans="2:10" ht="13.95" customHeight="1" x14ac:dyDescent="0.25">
      <c r="D20" s="293"/>
      <c r="E20" s="293"/>
      <c r="F20" s="378" t="s">
        <v>3</v>
      </c>
      <c r="G20" s="378"/>
      <c r="H20" s="378"/>
      <c r="I20" s="378"/>
      <c r="J20" s="378"/>
    </row>
    <row r="21" spans="2:10" ht="13.95" customHeight="1" x14ac:dyDescent="0.25">
      <c r="D21" s="293"/>
      <c r="E21" s="293"/>
      <c r="F21" s="378"/>
      <c r="G21" s="378"/>
      <c r="H21" s="378"/>
      <c r="I21" s="378"/>
      <c r="J21" s="378"/>
    </row>
    <row r="22" spans="2:10" ht="22.95" customHeight="1" x14ac:dyDescent="0.25">
      <c r="D22" s="293"/>
      <c r="E22" s="293"/>
      <c r="F22" s="378"/>
      <c r="G22" s="378"/>
      <c r="H22" s="378"/>
      <c r="I22" s="378"/>
      <c r="J22" s="378"/>
    </row>
    <row r="23" spans="2:10" ht="4.2" customHeight="1" x14ac:dyDescent="0.25">
      <c r="D23" s="293"/>
      <c r="E23" s="293"/>
      <c r="F23" s="292"/>
      <c r="G23" s="292"/>
      <c r="H23" s="292"/>
      <c r="I23" s="292"/>
      <c r="J23" s="292"/>
    </row>
    <row r="24" spans="2:10" x14ac:dyDescent="0.25">
      <c r="D24" s="293"/>
      <c r="E24" s="293"/>
      <c r="F24" s="379" t="s">
        <v>466</v>
      </c>
      <c r="G24" s="379"/>
      <c r="H24" s="379"/>
      <c r="I24" s="379"/>
      <c r="J24" s="379"/>
    </row>
    <row r="25" spans="2:10" x14ac:dyDescent="0.25">
      <c r="D25" s="293"/>
      <c r="E25" s="293"/>
      <c r="F25" s="379"/>
      <c r="G25" s="379"/>
      <c r="H25" s="379"/>
      <c r="I25" s="379"/>
      <c r="J25" s="379"/>
    </row>
    <row r="26" spans="2:10" ht="4.2" customHeight="1" x14ac:dyDescent="0.25">
      <c r="D26" s="293"/>
      <c r="E26" s="293"/>
      <c r="F26" s="292"/>
      <c r="G26" s="292"/>
      <c r="H26" s="292"/>
      <c r="I26" s="292"/>
      <c r="J26" s="292"/>
    </row>
    <row r="27" spans="2:10" ht="7.2" customHeight="1" x14ac:dyDescent="0.25">
      <c r="D27" s="293"/>
      <c r="E27" s="293"/>
      <c r="F27" s="368"/>
      <c r="G27" s="368"/>
      <c r="H27" s="368"/>
      <c r="I27" s="368"/>
      <c r="J27" s="368"/>
    </row>
    <row r="28" spans="2:10" ht="13.95" customHeight="1" x14ac:dyDescent="0.25">
      <c r="D28" s="293"/>
      <c r="E28" s="293"/>
      <c r="F28" s="380" t="s">
        <v>4</v>
      </c>
      <c r="G28" s="380"/>
      <c r="H28" s="380"/>
      <c r="I28" s="380"/>
      <c r="J28" s="380"/>
    </row>
    <row r="29" spans="2:10" ht="13.95" customHeight="1" x14ac:dyDescent="0.25">
      <c r="D29" s="293"/>
      <c r="E29" s="293"/>
      <c r="F29" s="380"/>
      <c r="G29" s="380"/>
      <c r="H29" s="380"/>
      <c r="I29" s="380"/>
      <c r="J29" s="380"/>
    </row>
    <row r="30" spans="2:10" ht="6.6" customHeight="1" x14ac:dyDescent="0.25">
      <c r="D30" s="293"/>
      <c r="E30" s="293"/>
      <c r="F30" s="380"/>
      <c r="G30" s="380"/>
      <c r="H30" s="380"/>
      <c r="I30" s="380"/>
      <c r="J30" s="380"/>
    </row>
    <row r="31" spans="2:10" ht="10.199999999999999" customHeight="1" x14ac:dyDescent="0.25">
      <c r="D31" s="293"/>
      <c r="E31" s="293"/>
      <c r="F31" s="381"/>
      <c r="G31" s="381"/>
      <c r="H31" s="381"/>
      <c r="I31" s="381"/>
      <c r="J31" s="381"/>
    </row>
    <row r="32" spans="2:10" x14ac:dyDescent="0.25">
      <c r="B32" s="308" t="s">
        <v>470</v>
      </c>
      <c r="C32" s="309"/>
      <c r="D32" s="310"/>
      <c r="E32" s="310"/>
      <c r="F32" s="309"/>
      <c r="G32" s="310"/>
      <c r="H32" s="310"/>
      <c r="I32" s="311"/>
      <c r="J32" s="311"/>
    </row>
    <row r="33" spans="2:11" ht="6" customHeight="1" x14ac:dyDescent="0.25">
      <c r="D33" s="293"/>
      <c r="E33" s="293"/>
      <c r="F33" s="293"/>
      <c r="G33" s="293"/>
      <c r="H33" s="293"/>
      <c r="I33" s="293"/>
      <c r="J33" s="293"/>
    </row>
    <row r="34" spans="2:11" x14ac:dyDescent="0.25">
      <c r="B34" s="16" t="s">
        <v>5</v>
      </c>
      <c r="C34" s="16"/>
      <c r="D34" s="16"/>
      <c r="E34" s="16"/>
      <c r="F34" s="16"/>
      <c r="G34" s="16"/>
      <c r="H34" s="16"/>
      <c r="I34" s="16"/>
      <c r="J34" s="16"/>
    </row>
    <row r="35" spans="2:11" ht="14.4" thickBot="1" x14ac:dyDescent="0.3">
      <c r="D35" s="127"/>
      <c r="E35" s="127"/>
      <c r="F35" s="127"/>
      <c r="G35" s="127"/>
      <c r="H35" s="127"/>
      <c r="I35" s="127"/>
      <c r="J35" s="127"/>
    </row>
    <row r="36" spans="2:11" ht="14.4" customHeight="1" thickBot="1" x14ac:dyDescent="0.3">
      <c r="B36" s="128"/>
      <c r="C36" s="125"/>
      <c r="D36" s="381" t="s">
        <v>195</v>
      </c>
      <c r="E36" s="381"/>
      <c r="F36" s="381"/>
      <c r="G36" s="381"/>
      <c r="H36" s="381"/>
      <c r="I36" s="381"/>
      <c r="J36" s="381"/>
    </row>
    <row r="37" spans="2:11" ht="14.4" thickBot="1" x14ac:dyDescent="0.3">
      <c r="B37" s="129"/>
      <c r="C37" s="125"/>
      <c r="D37" s="12"/>
      <c r="E37" s="140"/>
      <c r="F37" s="293"/>
      <c r="G37" s="293"/>
      <c r="H37" s="293"/>
      <c r="I37" s="293"/>
      <c r="J37" s="293"/>
    </row>
    <row r="38" spans="2:11" ht="14.4" customHeight="1" thickBot="1" x14ac:dyDescent="0.3">
      <c r="B38" s="289"/>
      <c r="C38" s="125"/>
      <c r="D38" s="368" t="s">
        <v>6</v>
      </c>
      <c r="E38" s="368"/>
      <c r="F38" s="368"/>
      <c r="G38" s="368"/>
      <c r="H38" s="368"/>
      <c r="I38" s="368"/>
      <c r="J38" s="368"/>
    </row>
    <row r="39" spans="2:11" ht="14.4" customHeight="1" thickBot="1" x14ac:dyDescent="0.3">
      <c r="D39" s="368"/>
      <c r="E39" s="368"/>
      <c r="F39" s="368"/>
      <c r="G39" s="368"/>
      <c r="H39" s="368"/>
      <c r="I39" s="368"/>
      <c r="J39" s="368"/>
    </row>
    <row r="40" spans="2:11" ht="14.4" thickBot="1" x14ac:dyDescent="0.3">
      <c r="B40" s="129"/>
      <c r="C40" s="125"/>
      <c r="D40" s="12"/>
      <c r="E40" s="140"/>
      <c r="F40" s="293"/>
      <c r="G40" s="293"/>
      <c r="H40" s="293"/>
      <c r="I40" s="293"/>
      <c r="J40" s="293"/>
    </row>
    <row r="41" spans="2:11" ht="19.5" customHeight="1" thickBot="1" x14ac:dyDescent="0.3">
      <c r="B41" s="191" t="s">
        <v>7</v>
      </c>
      <c r="C41" s="125"/>
      <c r="D41" s="382" t="s">
        <v>8</v>
      </c>
      <c r="E41" s="382"/>
      <c r="F41" s="382"/>
      <c r="G41" s="382"/>
      <c r="H41" s="382"/>
      <c r="I41" s="382"/>
      <c r="J41" s="382"/>
    </row>
    <row r="42" spans="2:11" x14ac:dyDescent="0.25">
      <c r="B42" s="125"/>
      <c r="C42" s="125"/>
      <c r="D42" s="12"/>
      <c r="E42" s="140"/>
      <c r="F42" s="141"/>
      <c r="G42" s="293"/>
      <c r="H42" s="293"/>
      <c r="I42" s="293"/>
      <c r="J42" s="293"/>
    </row>
    <row r="43" spans="2:11" ht="14.4" customHeight="1" x14ac:dyDescent="0.25">
      <c r="B43" s="383" t="s">
        <v>9</v>
      </c>
      <c r="C43" s="115"/>
      <c r="D43" s="381" t="s">
        <v>10</v>
      </c>
      <c r="E43" s="381"/>
      <c r="F43" s="381"/>
      <c r="G43" s="381"/>
      <c r="H43" s="381"/>
      <c r="I43" s="381"/>
      <c r="J43" s="381"/>
    </row>
    <row r="44" spans="2:11" ht="14.4" x14ac:dyDescent="0.25">
      <c r="B44" s="383"/>
      <c r="C44" s="115"/>
      <c r="D44" s="381"/>
      <c r="E44" s="381"/>
      <c r="F44" s="381"/>
      <c r="G44" s="381"/>
      <c r="H44" s="381"/>
      <c r="I44" s="381"/>
      <c r="J44" s="381"/>
    </row>
    <row r="45" spans="2:11" x14ac:dyDescent="0.25">
      <c r="D45" s="124"/>
      <c r="E45" s="124"/>
      <c r="F45" s="126"/>
      <c r="G45" s="126"/>
      <c r="H45" s="126"/>
      <c r="I45" s="126"/>
      <c r="J45" s="126"/>
    </row>
    <row r="46" spans="2:11" ht="45" customHeight="1" x14ac:dyDescent="0.25">
      <c r="B46" s="381" t="s">
        <v>11</v>
      </c>
      <c r="C46" s="381"/>
      <c r="D46" s="381"/>
      <c r="E46" s="381"/>
      <c r="F46" s="381"/>
      <c r="G46" s="381"/>
      <c r="H46" s="381"/>
      <c r="I46" s="381"/>
      <c r="J46" s="381"/>
      <c r="K46" s="119"/>
    </row>
    <row r="47" spans="2:11" x14ac:dyDescent="0.25">
      <c r="D47" s="126"/>
      <c r="E47" s="126"/>
      <c r="F47" s="126"/>
      <c r="G47" s="126"/>
      <c r="H47" s="126"/>
      <c r="I47" s="126"/>
      <c r="J47" s="126"/>
    </row>
    <row r="48" spans="2:11" x14ac:dyDescent="0.25">
      <c r="B48" s="16" t="s">
        <v>12</v>
      </c>
      <c r="C48" s="16"/>
      <c r="D48" s="16"/>
      <c r="E48" s="16"/>
      <c r="F48" s="16"/>
      <c r="G48" s="16"/>
      <c r="H48" s="16"/>
      <c r="I48" s="16"/>
      <c r="J48" s="16"/>
    </row>
    <row r="49" spans="1:10" x14ac:dyDescent="0.25">
      <c r="D49" s="124"/>
      <c r="E49" s="124"/>
      <c r="F49" s="124"/>
      <c r="G49" s="124"/>
      <c r="H49" s="124"/>
      <c r="I49" s="124"/>
      <c r="J49" s="124"/>
    </row>
    <row r="50" spans="1:10" ht="13.95" customHeight="1" x14ac:dyDescent="0.25">
      <c r="B50" s="381" t="s">
        <v>13</v>
      </c>
      <c r="C50" s="381"/>
      <c r="D50" s="381"/>
      <c r="E50" s="381"/>
      <c r="F50" s="381"/>
      <c r="G50" s="381"/>
      <c r="H50" s="381"/>
      <c r="I50" s="381"/>
      <c r="J50" s="381"/>
    </row>
    <row r="51" spans="1:10" x14ac:dyDescent="0.25">
      <c r="D51" s="126"/>
      <c r="E51" s="126"/>
      <c r="F51" s="126"/>
      <c r="G51" s="126"/>
      <c r="H51" s="126"/>
      <c r="I51" s="126"/>
      <c r="J51" s="126"/>
    </row>
    <row r="52" spans="1:10" x14ac:dyDescent="0.25">
      <c r="B52" s="16" t="s">
        <v>464</v>
      </c>
      <c r="C52" s="5"/>
      <c r="D52" s="17"/>
      <c r="E52" s="17"/>
      <c r="F52" s="17"/>
      <c r="G52" s="17"/>
      <c r="H52" s="17"/>
      <c r="I52" s="17"/>
      <c r="J52" s="17"/>
    </row>
    <row r="53" spans="1:10" x14ac:dyDescent="0.25">
      <c r="A53" s="326"/>
      <c r="B53" s="326"/>
      <c r="C53" s="201"/>
      <c r="D53" s="201"/>
      <c r="E53" s="201"/>
    </row>
    <row r="54" spans="1:10" x14ac:dyDescent="0.25">
      <c r="A54" s="326"/>
      <c r="B54" s="326" t="s">
        <v>476</v>
      </c>
      <c r="C54" s="201"/>
      <c r="D54" s="201"/>
      <c r="E54" s="201"/>
    </row>
    <row r="55" spans="1:10" x14ac:dyDescent="0.25">
      <c r="A55" s="326"/>
      <c r="B55" s="326" t="s">
        <v>465</v>
      </c>
      <c r="C55" s="201"/>
      <c r="D55" s="201"/>
      <c r="E55" s="201"/>
    </row>
    <row r="56" spans="1:10" x14ac:dyDescent="0.25">
      <c r="A56" s="326"/>
      <c r="B56" s="326" t="s">
        <v>484</v>
      </c>
      <c r="C56" s="201"/>
      <c r="D56" s="201"/>
      <c r="E56" s="201"/>
    </row>
    <row r="57" spans="1:10" x14ac:dyDescent="0.25">
      <c r="A57" s="326"/>
      <c r="B57" s="327" t="s">
        <v>485</v>
      </c>
      <c r="C57" s="201"/>
      <c r="D57" s="201"/>
      <c r="E57" s="201"/>
    </row>
    <row r="58" spans="1:10" x14ac:dyDescent="0.25">
      <c r="A58" s="326"/>
      <c r="B58" s="326"/>
      <c r="C58" s="201"/>
      <c r="D58" s="201"/>
      <c r="E58" s="201"/>
    </row>
    <row r="59" spans="1:10" x14ac:dyDescent="0.25">
      <c r="A59" s="326"/>
      <c r="B59" s="326"/>
      <c r="C59" s="201"/>
      <c r="D59" s="201"/>
      <c r="E59" s="201"/>
    </row>
    <row r="60" spans="1:10" x14ac:dyDescent="0.25">
      <c r="A60" s="201"/>
      <c r="B60" s="201"/>
      <c r="C60" s="201"/>
      <c r="D60" s="201"/>
      <c r="E60" s="201"/>
    </row>
    <row r="61" spans="1:10" x14ac:dyDescent="0.25">
      <c r="A61" s="201"/>
      <c r="B61" s="201"/>
      <c r="C61" s="201"/>
      <c r="D61" s="201"/>
      <c r="E61" s="201"/>
    </row>
  </sheetData>
  <sheetProtection sheet="1" objects="1" scenarios="1"/>
  <mergeCells count="17">
    <mergeCell ref="D41:J41"/>
    <mergeCell ref="B43:B44"/>
    <mergeCell ref="D43:J44"/>
    <mergeCell ref="B46:J46"/>
    <mergeCell ref="B50:J50"/>
    <mergeCell ref="D38:J39"/>
    <mergeCell ref="B5:J5"/>
    <mergeCell ref="F9:J9"/>
    <mergeCell ref="F11:J13"/>
    <mergeCell ref="F15:J16"/>
    <mergeCell ref="F18:J18"/>
    <mergeCell ref="F20:J22"/>
    <mergeCell ref="F24:J25"/>
    <mergeCell ref="F27:J27"/>
    <mergeCell ref="F28:J30"/>
    <mergeCell ref="F31:J31"/>
    <mergeCell ref="D36:J36"/>
  </mergeCells>
  <hyperlinks>
    <hyperlink ref="F9:J9" location="Input_Projekt!A1" display="Geben Sie die übergeordneten Informationen zu Ihrem Beschaffungsfall ein. Hier können Informationen wie die erwartete jährliche Lauf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9" x14ac:dyDescent="0.25">
      <c r="B2" s="2" t="s">
        <v>14</v>
      </c>
      <c r="I2" s="118" t="s">
        <v>468</v>
      </c>
    </row>
    <row r="4" spans="1:9" x14ac:dyDescent="0.25">
      <c r="B4" s="3" t="s">
        <v>15</v>
      </c>
      <c r="C4" s="3"/>
      <c r="D4" s="3"/>
      <c r="E4" s="3"/>
      <c r="F4" s="3"/>
      <c r="G4" s="3"/>
      <c r="H4" s="3"/>
    </row>
    <row r="6" spans="1:9" x14ac:dyDescent="0.25">
      <c r="B6" s="1" t="s">
        <v>16</v>
      </c>
      <c r="C6" s="388"/>
      <c r="D6" s="389"/>
      <c r="E6" s="389"/>
      <c r="F6" s="389"/>
      <c r="G6" s="389"/>
      <c r="H6" s="390"/>
    </row>
    <row r="7" spans="1:9" x14ac:dyDescent="0.25">
      <c r="C7" s="391"/>
      <c r="D7" s="392"/>
      <c r="E7" s="392"/>
      <c r="F7" s="392"/>
      <c r="G7" s="392"/>
      <c r="H7" s="393"/>
    </row>
    <row r="8" spans="1:9" x14ac:dyDescent="0.25">
      <c r="C8" s="394"/>
      <c r="D8" s="395"/>
      <c r="E8" s="395"/>
      <c r="F8" s="395"/>
      <c r="G8" s="395"/>
      <c r="H8" s="396"/>
    </row>
    <row r="9" spans="1:9" x14ac:dyDescent="0.25">
      <c r="B9" s="7" t="s">
        <v>17</v>
      </c>
      <c r="C9" s="397"/>
      <c r="D9" s="398"/>
      <c r="E9" s="398"/>
      <c r="F9" s="398"/>
      <c r="G9" s="398"/>
      <c r="H9" s="399"/>
    </row>
    <row r="10" spans="1:9" x14ac:dyDescent="0.25">
      <c r="B10" s="1" t="s">
        <v>18</v>
      </c>
      <c r="C10" s="397"/>
      <c r="D10" s="398"/>
      <c r="E10" s="398"/>
      <c r="F10" s="398"/>
      <c r="G10" s="398"/>
      <c r="H10" s="399"/>
    </row>
    <row r="11" spans="1:9" x14ac:dyDescent="0.25">
      <c r="B11" s="1" t="s">
        <v>19</v>
      </c>
      <c r="C11" s="165"/>
      <c r="D11" s="57"/>
      <c r="E11" s="57"/>
      <c r="F11" s="57"/>
      <c r="G11" s="57"/>
      <c r="H11" s="57"/>
    </row>
    <row r="12" spans="1:9" x14ac:dyDescent="0.25">
      <c r="C12" s="185"/>
      <c r="D12" s="57"/>
      <c r="E12" s="57"/>
      <c r="F12" s="57"/>
      <c r="G12" s="57"/>
      <c r="H12" s="57"/>
    </row>
    <row r="13" spans="1:9" ht="14.4" x14ac:dyDescent="0.25">
      <c r="A13" s="193" t="s">
        <v>9</v>
      </c>
      <c r="B13" s="1" t="s">
        <v>20</v>
      </c>
      <c r="C13" s="385"/>
      <c r="D13" s="386"/>
      <c r="E13" s="57"/>
      <c r="F13" s="57"/>
      <c r="G13" s="57"/>
      <c r="H13" s="57"/>
    </row>
    <row r="14" spans="1:9" x14ac:dyDescent="0.25">
      <c r="C14" s="57"/>
      <c r="D14" s="57"/>
      <c r="E14" s="57"/>
      <c r="F14" s="57"/>
      <c r="G14" s="57"/>
      <c r="H14" s="57"/>
    </row>
    <row r="15" spans="1:9" x14ac:dyDescent="0.25">
      <c r="B15" s="1" t="s">
        <v>22</v>
      </c>
      <c r="C15" s="167"/>
      <c r="D15" s="57" t="s">
        <v>23</v>
      </c>
      <c r="E15" s="57"/>
      <c r="F15" s="57"/>
      <c r="G15" s="57"/>
      <c r="H15" s="57"/>
    </row>
    <row r="16" spans="1:9" x14ac:dyDescent="0.25">
      <c r="C16" s="57"/>
      <c r="D16" s="57"/>
      <c r="E16" s="57"/>
      <c r="F16" s="57"/>
      <c r="G16" s="57"/>
      <c r="H16" s="57"/>
    </row>
    <row r="17" spans="1:14" x14ac:dyDescent="0.25">
      <c r="B17" s="1" t="s">
        <v>24</v>
      </c>
      <c r="C17" s="168"/>
      <c r="D17" s="57"/>
      <c r="E17" s="57"/>
      <c r="F17" s="57"/>
      <c r="G17" s="57"/>
      <c r="H17" s="57"/>
    </row>
    <row r="18" spans="1:14" x14ac:dyDescent="0.25">
      <c r="C18" s="57"/>
      <c r="D18" s="57"/>
      <c r="E18" s="57"/>
      <c r="F18" s="57"/>
      <c r="G18" s="57"/>
      <c r="H18" s="57"/>
    </row>
    <row r="19" spans="1:14" x14ac:dyDescent="0.25">
      <c r="B19" s="7" t="s">
        <v>26</v>
      </c>
      <c r="C19" s="166"/>
      <c r="D19" s="57" t="s">
        <v>27</v>
      </c>
      <c r="E19" s="57"/>
      <c r="F19" s="57"/>
      <c r="G19" s="57"/>
      <c r="H19" s="57"/>
    </row>
    <row r="21" spans="1:14" ht="14.4" x14ac:dyDescent="0.25">
      <c r="A21" s="108" t="s">
        <v>9</v>
      </c>
      <c r="B21" s="387" t="s">
        <v>28</v>
      </c>
      <c r="C21" s="384"/>
      <c r="D21" s="384"/>
    </row>
    <row r="22" spans="1:14" x14ac:dyDescent="0.25">
      <c r="B22" s="387"/>
    </row>
    <row r="23" spans="1:14" x14ac:dyDescent="0.25">
      <c r="B23" s="192"/>
    </row>
    <row r="24" spans="1:14" ht="16.2" x14ac:dyDescent="0.35">
      <c r="A24" s="193" t="s">
        <v>9</v>
      </c>
      <c r="B24" s="192" t="s">
        <v>473</v>
      </c>
      <c r="C24" s="168"/>
      <c r="D24" s="194" t="s">
        <v>109</v>
      </c>
      <c r="E24" s="1" t="s">
        <v>496</v>
      </c>
      <c r="F24" s="341">
        <f>Grunddaten!E35</f>
        <v>0</v>
      </c>
      <c r="G24" s="194" t="s">
        <v>109</v>
      </c>
    </row>
    <row r="26" spans="1:14" x14ac:dyDescent="0.25">
      <c r="B26" s="3" t="s">
        <v>30</v>
      </c>
      <c r="C26" s="4"/>
      <c r="D26" s="4"/>
      <c r="E26" s="4"/>
      <c r="F26" s="3"/>
      <c r="G26" s="3"/>
      <c r="H26" s="3"/>
    </row>
    <row r="27" spans="1:14" x14ac:dyDescent="0.25">
      <c r="C27" s="10"/>
      <c r="D27" s="10"/>
      <c r="F27" s="10"/>
      <c r="G27" s="10"/>
      <c r="H27" s="11"/>
      <c r="I27" s="8"/>
      <c r="J27" s="8"/>
      <c r="K27" s="8"/>
      <c r="L27" s="8"/>
      <c r="M27" s="7"/>
      <c r="N27" s="7"/>
    </row>
    <row r="28" spans="1:14" x14ac:dyDescent="0.25">
      <c r="B28" s="186" t="s">
        <v>31</v>
      </c>
      <c r="C28" s="10"/>
      <c r="D28" s="13" t="s">
        <v>32</v>
      </c>
      <c r="F28" s="10"/>
      <c r="G28" s="10"/>
      <c r="I28" s="7"/>
      <c r="J28" s="161" t="s">
        <v>33</v>
      </c>
      <c r="K28" s="8"/>
      <c r="L28" s="8"/>
      <c r="M28" s="7"/>
      <c r="N28" s="7"/>
    </row>
    <row r="29" spans="1:14" ht="14.4" x14ac:dyDescent="0.25">
      <c r="A29" s="108" t="s">
        <v>9</v>
      </c>
      <c r="B29" s="1" t="s">
        <v>34</v>
      </c>
      <c r="C29" s="187">
        <v>50</v>
      </c>
      <c r="D29" s="290"/>
      <c r="E29" s="9" t="s">
        <v>35</v>
      </c>
      <c r="F29" s="188"/>
      <c r="G29" s="189"/>
      <c r="I29" s="7"/>
      <c r="J29" s="161">
        <f>IF(ISNUMBER(D29),D29,C29)</f>
        <v>50</v>
      </c>
      <c r="K29" s="8"/>
      <c r="L29" s="8"/>
      <c r="M29" s="7"/>
      <c r="N29" s="7"/>
    </row>
    <row r="30" spans="1:14" x14ac:dyDescent="0.25">
      <c r="B30" s="1" t="s">
        <v>36</v>
      </c>
      <c r="C30" s="10">
        <f>100-J29</f>
        <v>50</v>
      </c>
      <c r="D30" s="10"/>
      <c r="F30" s="10"/>
      <c r="G30" s="10"/>
      <c r="I30" s="7"/>
      <c r="J30" s="7"/>
      <c r="K30" s="7"/>
      <c r="L30" s="7"/>
      <c r="M30" s="7"/>
      <c r="N30" s="7"/>
    </row>
  </sheetData>
  <sheetProtection sheet="1" objects="1" scenarios="1"/>
  <mergeCells count="6">
    <mergeCell ref="C21:D21"/>
    <mergeCell ref="C13:D13"/>
    <mergeCell ref="B21:B22"/>
    <mergeCell ref="C6:H8"/>
    <mergeCell ref="C9:H9"/>
    <mergeCell ref="C10:H10"/>
  </mergeCells>
  <conditionalFormatting sqref="A22:A23 B21:D21 C22:D23 D24">
    <cfRule type="expression" dxfId="92" priority="5">
      <formula>$C$17&lt;&gt;"Kauf"</formula>
    </cfRule>
  </conditionalFormatting>
  <conditionalFormatting sqref="A21">
    <cfRule type="expression" dxfId="91" priority="4">
      <formula>$C$17&lt;&gt;"Kauf"</formula>
    </cfRule>
  </conditionalFormatting>
  <conditionalFormatting sqref="G24">
    <cfRule type="expression" dxfId="90" priority="3">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C57ADD3A-3CB2-4BEF-8244-0075E3EE693F}">
            <xm:f>ISBLANK(Grunddaten!$E$35)</xm:f>
            <x14:dxf>
              <font>
                <color theme="0"/>
              </font>
              <fill>
                <patternFill>
                  <bgColor theme="0"/>
                </patternFill>
              </fill>
            </x14:dxf>
          </x14:cfRule>
          <xm:sqref>E24:G24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8"/>
  <sheetViews>
    <sheetView showGridLines="0" zoomScaleNormal="100" workbookViewId="0"/>
  </sheetViews>
  <sheetFormatPr baseColWidth="10" defaultColWidth="11.5546875" defaultRowHeight="13.8" x14ac:dyDescent="0.25"/>
  <cols>
    <col min="1" max="1" width="2.109375" style="1" customWidth="1"/>
    <col min="2" max="2" width="5.109375" style="1" customWidth="1"/>
    <col min="3" max="3" width="28.6640625" style="1" customWidth="1"/>
    <col min="4" max="4" width="13.6640625" style="1" customWidth="1"/>
    <col min="5" max="9" width="14.218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37</v>
      </c>
      <c r="D2" s="2"/>
      <c r="J2" s="7"/>
      <c r="K2" s="118" t="s">
        <v>468</v>
      </c>
      <c r="O2" s="7"/>
      <c r="P2" s="7"/>
      <c r="Q2" s="7"/>
      <c r="R2" s="7"/>
    </row>
    <row r="3" spans="2:18" x14ac:dyDescent="0.25">
      <c r="J3" s="7"/>
      <c r="O3" s="7"/>
      <c r="P3" s="7"/>
      <c r="Q3" s="7"/>
      <c r="R3" s="7"/>
    </row>
    <row r="4" spans="2:18" x14ac:dyDescent="0.25">
      <c r="C4" s="170" t="s">
        <v>38</v>
      </c>
      <c r="D4" s="171"/>
      <c r="E4" s="171"/>
      <c r="F4" s="171"/>
      <c r="G4" s="171"/>
      <c r="H4" s="171"/>
      <c r="I4" s="172"/>
      <c r="J4" s="173"/>
      <c r="O4" s="7"/>
      <c r="P4" s="7"/>
      <c r="Q4" s="7"/>
      <c r="R4" s="7"/>
    </row>
    <row r="5" spans="2:18" x14ac:dyDescent="0.25">
      <c r="C5" s="174"/>
      <c r="D5" s="174"/>
      <c r="E5" s="175"/>
      <c r="F5" s="175"/>
      <c r="G5" s="175"/>
      <c r="H5" s="175"/>
      <c r="I5" s="175"/>
      <c r="J5" s="173"/>
      <c r="O5" s="7"/>
      <c r="P5" s="7"/>
      <c r="Q5" s="7"/>
      <c r="R5" s="7"/>
    </row>
    <row r="6" spans="2:18" x14ac:dyDescent="0.25">
      <c r="C6" s="99" t="s">
        <v>39</v>
      </c>
      <c r="D6" s="99"/>
      <c r="E6" s="176">
        <v>1</v>
      </c>
      <c r="F6" s="176">
        <v>2</v>
      </c>
      <c r="G6" s="176">
        <v>3</v>
      </c>
      <c r="H6" s="176">
        <v>4</v>
      </c>
      <c r="I6" s="176">
        <v>5</v>
      </c>
      <c r="J6" s="7"/>
      <c r="K6" s="205"/>
      <c r="L6" s="205"/>
      <c r="M6" s="205"/>
      <c r="N6" s="205"/>
      <c r="O6" s="205"/>
      <c r="P6" s="205"/>
      <c r="Q6" s="7"/>
      <c r="R6" s="7"/>
    </row>
    <row r="7" spans="2:18" s="102" customFormat="1" ht="27.6" customHeight="1" x14ac:dyDescent="0.3">
      <c r="C7" s="177" t="s">
        <v>40</v>
      </c>
      <c r="D7" s="177"/>
      <c r="E7" s="154"/>
      <c r="F7" s="154"/>
      <c r="G7" s="154"/>
      <c r="H7" s="154"/>
      <c r="I7" s="154"/>
      <c r="J7" s="178"/>
      <c r="K7" s="179"/>
      <c r="L7" s="179"/>
      <c r="M7" s="179"/>
      <c r="N7" s="179"/>
      <c r="O7" s="179"/>
      <c r="P7" s="179"/>
      <c r="Q7" s="179"/>
      <c r="R7" s="179"/>
    </row>
    <row r="8" spans="2:18" s="102" customFormat="1" x14ac:dyDescent="0.3">
      <c r="C8" s="177" t="s">
        <v>43</v>
      </c>
      <c r="D8" s="177"/>
      <c r="E8" s="154"/>
      <c r="F8" s="154"/>
      <c r="G8" s="154"/>
      <c r="H8" s="154"/>
      <c r="I8" s="154"/>
      <c r="J8" s="178"/>
      <c r="K8" s="282"/>
      <c r="L8" s="282" t="str">
        <f>IF(J22&gt;0,"FEHLER - bitte treffenden Energieträger wählen","")</f>
        <v/>
      </c>
      <c r="M8" s="282"/>
      <c r="N8" s="282"/>
      <c r="O8" s="273"/>
      <c r="P8" s="179"/>
      <c r="Q8" s="179"/>
      <c r="R8" s="179"/>
    </row>
    <row r="9" spans="2:18" s="102" customFormat="1" x14ac:dyDescent="0.3">
      <c r="C9" s="177" t="s">
        <v>47</v>
      </c>
      <c r="D9" s="177"/>
      <c r="E9" s="155"/>
      <c r="F9" s="155"/>
      <c r="G9" s="155"/>
      <c r="H9" s="155"/>
      <c r="I9" s="155"/>
      <c r="J9" s="285"/>
      <c r="K9" s="283"/>
      <c r="L9" s="286"/>
      <c r="M9" s="286"/>
      <c r="N9" s="283"/>
      <c r="O9" s="179"/>
      <c r="P9" s="179"/>
      <c r="Q9" s="179"/>
      <c r="R9" s="179"/>
    </row>
    <row r="10" spans="2:18" s="102" customFormat="1" x14ac:dyDescent="0.3">
      <c r="C10" s="177" t="s">
        <v>48</v>
      </c>
      <c r="D10" s="177"/>
      <c r="E10" s="155"/>
      <c r="F10" s="155"/>
      <c r="G10" s="155"/>
      <c r="H10" s="155"/>
      <c r="I10" s="155"/>
      <c r="J10" s="285"/>
      <c r="K10" s="283"/>
      <c r="L10" s="412" t="s">
        <v>217</v>
      </c>
      <c r="M10" s="412"/>
      <c r="N10" s="283"/>
      <c r="O10" s="179"/>
      <c r="P10" s="179"/>
      <c r="Q10" s="179"/>
      <c r="R10" s="179"/>
    </row>
    <row r="11" spans="2:18" s="102" customFormat="1" x14ac:dyDescent="0.3">
      <c r="C11" s="177" t="s">
        <v>49</v>
      </c>
      <c r="D11" s="177"/>
      <c r="E11" s="156"/>
      <c r="F11" s="156"/>
      <c r="G11" s="156"/>
      <c r="H11" s="156"/>
      <c r="I11" s="156"/>
      <c r="J11" s="285"/>
      <c r="K11" s="414" t="s">
        <v>218</v>
      </c>
      <c r="L11" s="414"/>
      <c r="M11" s="414"/>
      <c r="N11" s="414"/>
      <c r="O11" s="179"/>
      <c r="P11" s="179"/>
      <c r="Q11" s="179"/>
      <c r="R11" s="179"/>
    </row>
    <row r="12" spans="2:18" s="102" customFormat="1" ht="55.95" customHeight="1" x14ac:dyDescent="0.25">
      <c r="C12" s="180" t="s">
        <v>50</v>
      </c>
      <c r="D12" s="99"/>
      <c r="E12" s="156"/>
      <c r="F12" s="156"/>
      <c r="G12" s="156"/>
      <c r="H12" s="156"/>
      <c r="I12" s="156"/>
      <c r="J12" s="179"/>
      <c r="K12" s="413" t="s">
        <v>216</v>
      </c>
      <c r="L12" s="413"/>
      <c r="M12" s="413"/>
      <c r="N12" s="413"/>
      <c r="O12" s="179"/>
      <c r="P12" s="179"/>
      <c r="Q12" s="179"/>
      <c r="R12" s="179"/>
    </row>
    <row r="13" spans="2:18" s="102" customFormat="1" ht="14.4" x14ac:dyDescent="0.3">
      <c r="C13" s="177" t="str">
        <f>IF(ISBLANK(FinArt), "Art der Beschaffung wählen in:", VLOOKUP(FinArt,FinArtList,3,FALSE))</f>
        <v>Art der Beschaffung wählen in:</v>
      </c>
      <c r="D13" s="347" t="str">
        <f>IF(ISBLANK(FinArt), "Input_Projekt", VLOOKUP(FinArt,FinArtList,2,FALSE))</f>
        <v>Input_Projekt</v>
      </c>
      <c r="E13" s="157"/>
      <c r="F13" s="157"/>
      <c r="G13" s="157"/>
      <c r="H13" s="157"/>
      <c r="I13" s="157"/>
      <c r="J13" s="328"/>
      <c r="K13" s="283"/>
      <c r="L13" s="286"/>
      <c r="M13" s="286"/>
      <c r="N13" s="284"/>
      <c r="O13" s="182"/>
      <c r="P13" s="182"/>
      <c r="Q13" s="179"/>
      <c r="R13" s="179"/>
    </row>
    <row r="14" spans="2:18" s="102" customFormat="1" x14ac:dyDescent="0.3">
      <c r="C14" s="177" t="s">
        <v>481</v>
      </c>
      <c r="D14" s="324" t="s">
        <v>51</v>
      </c>
      <c r="E14" s="157"/>
      <c r="F14" s="157"/>
      <c r="G14" s="157"/>
      <c r="H14" s="157"/>
      <c r="I14" s="157"/>
      <c r="J14" s="325" t="s">
        <v>475</v>
      </c>
      <c r="K14" s="283"/>
      <c r="L14" s="283"/>
      <c r="M14" s="283"/>
      <c r="N14" s="283"/>
      <c r="O14" s="179"/>
      <c r="P14" s="179"/>
      <c r="Q14" s="179"/>
      <c r="R14" s="179"/>
    </row>
    <row r="15" spans="2:18" s="102" customFormat="1" ht="16.95" customHeight="1" x14ac:dyDescent="0.3">
      <c r="B15" s="411" t="s">
        <v>52</v>
      </c>
      <c r="C15" s="409" t="s">
        <v>53</v>
      </c>
      <c r="D15" s="183" t="s">
        <v>54</v>
      </c>
      <c r="E15" s="314"/>
      <c r="F15" s="314"/>
      <c r="G15" s="314"/>
      <c r="H15" s="314"/>
      <c r="I15" s="314"/>
      <c r="J15" s="179"/>
      <c r="K15" s="283"/>
      <c r="L15" s="283"/>
      <c r="M15" s="284"/>
      <c r="N15" s="283"/>
      <c r="P15" s="182"/>
      <c r="Q15" s="182"/>
      <c r="R15" s="179"/>
    </row>
    <row r="16" spans="2:18" s="102" customFormat="1" ht="16.95" customHeight="1" x14ac:dyDescent="0.3">
      <c r="B16" s="411"/>
      <c r="C16" s="410"/>
      <c r="D16" s="181" t="s">
        <v>55</v>
      </c>
      <c r="E16" s="316"/>
      <c r="F16" s="317"/>
      <c r="G16" s="317"/>
      <c r="H16" s="317"/>
      <c r="I16" s="318"/>
      <c r="J16" s="179"/>
      <c r="K16" s="283"/>
      <c r="L16" s="283"/>
      <c r="M16" s="284"/>
      <c r="N16" s="283"/>
      <c r="O16" s="179"/>
      <c r="P16" s="179"/>
      <c r="Q16" s="179"/>
      <c r="R16" s="179"/>
    </row>
    <row r="17" spans="2:18" s="102" customFormat="1" ht="16.95" customHeight="1" x14ac:dyDescent="0.3">
      <c r="B17" s="411"/>
      <c r="C17" s="177" t="s">
        <v>56</v>
      </c>
      <c r="D17" s="181" t="s">
        <v>57</v>
      </c>
      <c r="E17" s="319"/>
      <c r="F17" s="155"/>
      <c r="G17" s="155"/>
      <c r="H17" s="155"/>
      <c r="I17" s="320"/>
      <c r="J17" s="179"/>
      <c r="K17" s="179"/>
      <c r="L17" s="182"/>
      <c r="M17" s="179"/>
      <c r="N17" s="179"/>
      <c r="O17" s="179"/>
      <c r="P17" s="179"/>
      <c r="Q17" s="179"/>
      <c r="R17" s="179"/>
    </row>
    <row r="18" spans="2:18" s="102" customFormat="1" ht="16.95" customHeight="1" x14ac:dyDescent="0.3">
      <c r="B18" s="411"/>
      <c r="C18" s="177" t="s">
        <v>211</v>
      </c>
      <c r="D18" s="181" t="s">
        <v>510</v>
      </c>
      <c r="E18" s="319"/>
      <c r="F18" s="155"/>
      <c r="G18" s="155"/>
      <c r="H18" s="155"/>
      <c r="I18" s="320"/>
      <c r="J18" s="179"/>
      <c r="K18" s="287"/>
      <c r="L18" s="287" t="str">
        <f>IF(SUM(J22:J23)&gt;0,"FEHLER: Bitte alle Werte füllen","")</f>
        <v/>
      </c>
      <c r="M18" s="288"/>
      <c r="N18" s="288"/>
      <c r="O18" s="273"/>
      <c r="P18" s="179"/>
      <c r="Q18" s="179"/>
      <c r="R18" s="179"/>
    </row>
    <row r="19" spans="2:18" s="102" customFormat="1" ht="16.95" customHeight="1" x14ac:dyDescent="0.3">
      <c r="B19" s="411"/>
      <c r="C19" s="177" t="s">
        <v>59</v>
      </c>
      <c r="D19" s="181" t="s">
        <v>510</v>
      </c>
      <c r="E19" s="319"/>
      <c r="F19" s="155"/>
      <c r="G19" s="155"/>
      <c r="H19" s="155"/>
      <c r="I19" s="320"/>
      <c r="J19" s="179"/>
      <c r="K19" s="179"/>
      <c r="L19" s="182"/>
      <c r="M19" s="179"/>
      <c r="N19" s="179"/>
      <c r="O19" s="179"/>
      <c r="P19" s="179"/>
      <c r="Q19" s="179"/>
      <c r="R19" s="179"/>
    </row>
    <row r="20" spans="2:18" s="102" customFormat="1" ht="16.95" customHeight="1" x14ac:dyDescent="0.3">
      <c r="B20" s="411"/>
      <c r="C20" s="177" t="s">
        <v>200</v>
      </c>
      <c r="D20" s="181" t="s">
        <v>94</v>
      </c>
      <c r="E20" s="321"/>
      <c r="F20" s="322"/>
      <c r="G20" s="322"/>
      <c r="H20" s="322"/>
      <c r="I20" s="323"/>
      <c r="J20" s="204"/>
      <c r="K20" s="179"/>
      <c r="L20" s="182"/>
      <c r="M20" s="179"/>
      <c r="N20" s="179"/>
      <c r="O20" s="179"/>
      <c r="P20" s="179"/>
      <c r="Q20" s="179"/>
      <c r="R20" s="179"/>
    </row>
    <row r="21" spans="2:18" s="102" customFormat="1" x14ac:dyDescent="0.3">
      <c r="C21" s="177" t="s">
        <v>60</v>
      </c>
      <c r="D21" s="184" t="s">
        <v>61</v>
      </c>
      <c r="E21" s="315"/>
      <c r="F21" s="315"/>
      <c r="G21" s="315"/>
      <c r="H21" s="315"/>
      <c r="I21" s="315"/>
      <c r="J21" s="179"/>
      <c r="K21" s="179"/>
      <c r="L21" s="179"/>
      <c r="M21" s="179"/>
      <c r="N21" s="179"/>
      <c r="O21" s="179"/>
      <c r="P21" s="179"/>
      <c r="Q21" s="179"/>
      <c r="R21" s="179"/>
    </row>
    <row r="22" spans="2:18" x14ac:dyDescent="0.25">
      <c r="D22" s="274" t="s">
        <v>212</v>
      </c>
      <c r="E22" s="277">
        <f>IF(AND(OR(Energie1="nicht verfügbar",COUNTIF(EnList1,Energie1)&lt;&gt;1),Antriebsart1&lt;&gt;0),1,0)</f>
        <v>0</v>
      </c>
      <c r="F22" s="277">
        <f>IF(AND(OR(Energie2="nicht verfügbar",COUNTIF(EnList2,Energie2)&lt;&gt;1),Antriebsart2&lt;&gt;0),1,0)</f>
        <v>0</v>
      </c>
      <c r="G22" s="277">
        <f>IF(AND(OR(Energie3="nicht verfügbar",COUNTIF(EnList3,Energie3)&lt;&gt;1),Antriebsart3&lt;&gt;0),1,0)</f>
        <v>0</v>
      </c>
      <c r="H22" s="277">
        <f>IF(AND(OR(Energie4="nicht verfügbar",COUNTIF(EnList4,Energie4)&lt;&gt;1),Antriebsart4&lt;&gt;0),1,0)</f>
        <v>0</v>
      </c>
      <c r="I22" s="277">
        <f>IF(AND(OR(Energie5="nicht verfügbar",COUNTIF(EnList5,Energie5)&lt;&gt;1),Antriebsart5&lt;&gt;0),1,0)</f>
        <v>0</v>
      </c>
      <c r="J22" s="161">
        <f>SUM(E22:I22)</f>
        <v>0</v>
      </c>
      <c r="O22" s="7"/>
      <c r="P22" s="7"/>
      <c r="Q22" s="7"/>
      <c r="R22" s="7"/>
    </row>
    <row r="23" spans="2:18" x14ac:dyDescent="0.25">
      <c r="D23" s="274" t="s">
        <v>213</v>
      </c>
      <c r="E23" s="277">
        <f>IF(OR(AND(COUNT(E15:E21)&lt;7,Antriebsart1="Plug-In-Hybrid (PHEV)"),AND(COUNT(E16,E21)&lt;2,Antriebsart1="Vollelektrisch (BEV)"),AND(COUNT(E15,E17:E19)&lt;4,Antriebsart1="Verbrenner")),1,0)</f>
        <v>0</v>
      </c>
      <c r="F23" s="277">
        <f>IF(OR(AND(COUNT(F15:F21)&lt;7,Antriebsart2="Plug-In-Hybrid (PHEV)"),AND(COUNT(F16,F21)&lt;2,Antriebsart2="Vollelektrisch (BEV)"),AND(COUNT(F15,F17:F19)&lt;4,Antriebsart2="Verbrenner")),1,0)</f>
        <v>0</v>
      </c>
      <c r="G23" s="277">
        <f>IF(OR(AND(COUNT(G15:G21)&lt;7,Antriebsart3="Plug-In-Hybrid (PHEV)"),AND(COUNT(G16,G21)&lt;2,Antriebsart3="Vollelektrisch (BEV)"),AND(COUNT(G15,G17:G19)&lt;4,Antriebsart3="Verbrenner")),1,0)</f>
        <v>0</v>
      </c>
      <c r="H23" s="277">
        <f>IF(OR(AND(COUNT(H15:H21)&lt;7,Antriebsart4="Plug-In-Hybrid (PHEV)"),AND(COUNT(H16,H21)&lt;2,Antriebsart4="Vollelektrisch (BEV)"),AND(COUNT(H15,H17:H19)&lt;4,Antriebsart4="Verbrenner")),1,0)</f>
        <v>0</v>
      </c>
      <c r="I23" s="277">
        <f>IF(OR(AND(COUNT(I15:I21)&lt;7,Antriebsart5="Plug-In-Hybrid (PHEV)"),AND(COUNT(I16,I21)&lt;2,Antriebsart5="Vollelektrisch (BEV)"),AND(COUNT(I15,I17:I19)&lt;4,Antriebsart5="Verbrenner")),1,0)</f>
        <v>0</v>
      </c>
      <c r="J23" s="161">
        <f>SUM(E23:I23)</f>
        <v>0</v>
      </c>
      <c r="O23" s="7"/>
      <c r="P23" s="7"/>
      <c r="Q23" s="7"/>
      <c r="R23" s="7"/>
    </row>
    <row r="24" spans="2:18" ht="41.4" customHeight="1" x14ac:dyDescent="0.25">
      <c r="E24" s="406" t="s">
        <v>511</v>
      </c>
      <c r="F24" s="407"/>
      <c r="G24" s="407"/>
      <c r="H24" s="407"/>
      <c r="I24" s="408"/>
    </row>
    <row r="25" spans="2:18" ht="13.2" customHeight="1" x14ac:dyDescent="0.25">
      <c r="E25" s="400" t="s">
        <v>512</v>
      </c>
      <c r="F25" s="401"/>
      <c r="G25" s="401"/>
      <c r="H25" s="401"/>
      <c r="I25" s="402"/>
    </row>
    <row r="26" spans="2:18" x14ac:dyDescent="0.25">
      <c r="E26" s="403"/>
      <c r="F26" s="404"/>
      <c r="G26" s="404"/>
      <c r="H26" s="404"/>
      <c r="I26" s="405"/>
    </row>
    <row r="28" spans="2:18" x14ac:dyDescent="0.25">
      <c r="C28" s="1" t="s">
        <v>62</v>
      </c>
    </row>
  </sheetData>
  <sheetProtection sheet="1" objects="1" scenarios="1"/>
  <mergeCells count="7">
    <mergeCell ref="E25:I26"/>
    <mergeCell ref="E24:I24"/>
    <mergeCell ref="C15:C16"/>
    <mergeCell ref="B15:B20"/>
    <mergeCell ref="L10:M10"/>
    <mergeCell ref="K12:N12"/>
    <mergeCell ref="K11:N11"/>
  </mergeCells>
  <conditionalFormatting sqref="F16">
    <cfRule type="cellIs" dxfId="88" priority="7" operator="greaterThan">
      <formula>IF(Antriebsart2="Vollelektrisch (BEV)", IF(Segment="Standard", maxkWh, maxkWhVan), 1000)</formula>
    </cfRule>
    <cfRule type="expression" dxfId="87" priority="81">
      <formula>Antriebsart2="Verbrenner"</formula>
    </cfRule>
  </conditionalFormatting>
  <conditionalFormatting sqref="G16">
    <cfRule type="cellIs" dxfId="86" priority="6" operator="greaterThan">
      <formula>IF(Antriebsart3="Vollelektrisch (BEV)", IF(Segment="Standard", maxkWh, maxkWhVan), 1000)</formula>
    </cfRule>
    <cfRule type="expression" dxfId="85" priority="80">
      <formula>Antriebsart3="Verbrenner"</formula>
    </cfRule>
  </conditionalFormatting>
  <conditionalFormatting sqref="H16">
    <cfRule type="cellIs" dxfId="84" priority="5" operator="greaterThan">
      <formula>IF(Antriebsart4="Vollelektrisch (BEV)", IF(Segment="Standard", maxkWh, maxkWhVan), 1000)</formula>
    </cfRule>
    <cfRule type="expression" dxfId="83" priority="79">
      <formula>Antriebsart4="Verbrenner"</formula>
    </cfRule>
  </conditionalFormatting>
  <conditionalFormatting sqref="I16">
    <cfRule type="cellIs" dxfId="82" priority="4" operator="greaterThan">
      <formula>IF(Antriebsart5="Vollelektrisch (BEV)", IF(Segment="Standard", maxkWh, maxkWhVan), 1000)</formula>
    </cfRule>
    <cfRule type="expression" dxfId="81" priority="31">
      <formula>Antriebsart5="Verbrenner"</formula>
    </cfRule>
  </conditionalFormatting>
  <conditionalFormatting sqref="F17:F19">
    <cfRule type="expression" dxfId="80" priority="40">
      <formula>Antriebsart2="Vollelektrisch (BEV)"</formula>
    </cfRule>
  </conditionalFormatting>
  <conditionalFormatting sqref="G17:G19">
    <cfRule type="expression" dxfId="79" priority="37">
      <formula>Antriebsart3="Vollelektrisch (BEV)"</formula>
    </cfRule>
  </conditionalFormatting>
  <conditionalFormatting sqref="H17:H19">
    <cfRule type="expression" dxfId="78" priority="36">
      <formula>Antriebsart4="Vollelektrisch (BEV)"</formula>
    </cfRule>
  </conditionalFormatting>
  <conditionalFormatting sqref="I17:I19">
    <cfRule type="expression" dxfId="77" priority="35">
      <formula>Antriebsart5="Vollelektrisch (BEV)"</formula>
    </cfRule>
  </conditionalFormatting>
  <conditionalFormatting sqref="F21">
    <cfRule type="expression" dxfId="76" priority="63">
      <formula>AND(Antriebsart2&lt;&gt;"Vollelektrisch (BEV)",Antriebsart2&lt;&gt;"Plug-In-Hybrid (PHEV)")</formula>
    </cfRule>
  </conditionalFormatting>
  <conditionalFormatting sqref="G21">
    <cfRule type="expression" dxfId="75" priority="62">
      <formula>AND(Antriebsart3&lt;&gt;"Vollelektrisch (BEV)",Antriebsart3&lt;&gt;"Plug-In-Hybrid (PHEV)")</formula>
    </cfRule>
  </conditionalFormatting>
  <conditionalFormatting sqref="H21">
    <cfRule type="expression" dxfId="74" priority="61">
      <formula>AND(Antriebsart4&lt;&gt;"Vollelektrisch (BEV)",Antriebsart4&lt;&gt;"Plug-In-Hybrid (PHEV)")</formula>
    </cfRule>
  </conditionalFormatting>
  <conditionalFormatting sqref="I21">
    <cfRule type="expression" dxfId="73" priority="60">
      <formula>AND(Antriebsart5&lt;&gt;"Vollelektrisch (BEV)",Antriebsart5&lt;&gt;"Plug-In-Hybrid (PHEV)")</formula>
    </cfRule>
  </conditionalFormatting>
  <conditionalFormatting sqref="C14 F14:I14">
    <cfRule type="expression" dxfId="72" priority="59">
      <formula>FinArt&lt;&gt;"Leasing"</formula>
    </cfRule>
  </conditionalFormatting>
  <conditionalFormatting sqref="D14">
    <cfRule type="expression" dxfId="71" priority="58">
      <formula>FinArt="Leasing"</formula>
    </cfRule>
  </conditionalFormatting>
  <conditionalFormatting sqref="F15">
    <cfRule type="expression" dxfId="70" priority="56">
      <formula>Antriebsart2="Vollelektrisch (BEV)"</formula>
    </cfRule>
  </conditionalFormatting>
  <conditionalFormatting sqref="G15">
    <cfRule type="expression" dxfId="69" priority="55">
      <formula>Antriebsart3="Vollelektrisch (BEV)"</formula>
    </cfRule>
  </conditionalFormatting>
  <conditionalFormatting sqref="H15">
    <cfRule type="expression" dxfId="68" priority="54">
      <formula>Antriebsart4="Vollelektrisch (BEV)"</formula>
    </cfRule>
  </conditionalFormatting>
  <conditionalFormatting sqref="I15">
    <cfRule type="expression" dxfId="67" priority="53">
      <formula>Antriebsart5="Vollelektrisch (BEV)"</formula>
    </cfRule>
  </conditionalFormatting>
  <conditionalFormatting sqref="F20">
    <cfRule type="expression" dxfId="66" priority="44">
      <formula>Antriebsart2&lt;&gt;"Plug-In-Hybrid (PHEV)"</formula>
    </cfRule>
  </conditionalFormatting>
  <conditionalFormatting sqref="G20">
    <cfRule type="expression" dxfId="65" priority="43">
      <formula>Antriebsart3&lt;&gt;"Plug-In-Hybrid (PHEV)"</formula>
    </cfRule>
  </conditionalFormatting>
  <conditionalFormatting sqref="H20">
    <cfRule type="expression" dxfId="64" priority="42">
      <formula>Antriebsart4&lt;&gt;"Plug-In-Hybrid (PHEV)"</formula>
    </cfRule>
  </conditionalFormatting>
  <conditionalFormatting sqref="I20">
    <cfRule type="expression" dxfId="63" priority="34">
      <formula>Antriebsart5&lt;&gt;"Plug-In-Hybrid (PHEV)"</formula>
    </cfRule>
  </conditionalFormatting>
  <conditionalFormatting sqref="H17">
    <cfRule type="cellIs" dxfId="62" priority="68" operator="greaterThan">
      <formula>IF(Antriebsart4="Plug-in-Hybrid (PHEV)", maxCO2PHEV, IF(Segment="Standard", maxCO2, maxCO2Van))</formula>
    </cfRule>
  </conditionalFormatting>
  <conditionalFormatting sqref="F18:I18">
    <cfRule type="cellIs" dxfId="61" priority="67" operator="greaterThan">
      <formula>maxNOX</formula>
    </cfRule>
  </conditionalFormatting>
  <conditionalFormatting sqref="F19:I19">
    <cfRule type="cellIs" dxfId="60" priority="66" operator="greaterThan">
      <formula>maxPM</formula>
    </cfRule>
  </conditionalFormatting>
  <conditionalFormatting sqref="F20:I20">
    <cfRule type="cellIs" dxfId="59" priority="46" operator="lessThan">
      <formula>minReichwPHEV</formula>
    </cfRule>
  </conditionalFormatting>
  <conditionalFormatting sqref="F8:I8">
    <cfRule type="expression" dxfId="58" priority="25">
      <formula>F$22=1</formula>
    </cfRule>
  </conditionalFormatting>
  <conditionalFormatting sqref="K8:O8">
    <cfRule type="expression" dxfId="57" priority="24">
      <formula>$J$22=0</formula>
    </cfRule>
  </conditionalFormatting>
  <conditionalFormatting sqref="K18:O18">
    <cfRule type="expression" dxfId="56" priority="23">
      <formula>AND($J$22=0,$J$23=0)</formula>
    </cfRule>
  </conditionalFormatting>
  <conditionalFormatting sqref="E16">
    <cfRule type="expression" dxfId="55" priority="21">
      <formula>Antriebsart1="Verbrenner"</formula>
    </cfRule>
    <cfRule type="cellIs" dxfId="54" priority="84" operator="greaterThan">
      <formula>IF(Antriebsart1="Vollelektrisch (BEV)", IF(Segment="Standard", maxkWh, maxkWhVan), 1000)</formula>
    </cfRule>
  </conditionalFormatting>
  <conditionalFormatting sqref="E17:E19">
    <cfRule type="expression" dxfId="53" priority="12">
      <formula>Antriebsart1="Vollelektrisch (BEV)"</formula>
    </cfRule>
  </conditionalFormatting>
  <conditionalFormatting sqref="E21">
    <cfRule type="expression" dxfId="52" priority="17">
      <formula>AND(Antriebsart1&lt;&gt;"Vollelektrisch (BEV)",Antriebsart1&lt;&gt;"Plug-In-Hybrid (PHEV)")</formula>
    </cfRule>
  </conditionalFormatting>
  <conditionalFormatting sqref="E14">
    <cfRule type="expression" dxfId="51" priority="16">
      <formula>FinArt&lt;&gt;"Leasing"</formula>
    </cfRule>
  </conditionalFormatting>
  <conditionalFormatting sqref="E15">
    <cfRule type="expression" dxfId="50" priority="15">
      <formula>Antriebsart1="Vollelektrisch (BEV)"</formula>
    </cfRule>
  </conditionalFormatting>
  <conditionalFormatting sqref="E20">
    <cfRule type="expression" dxfId="49" priority="13">
      <formula>Antriebsart1&lt;&gt;"Plug-In-Hybrid (PHEV)"</formula>
    </cfRule>
  </conditionalFormatting>
  <conditionalFormatting sqref="E17">
    <cfRule type="cellIs" dxfId="48" priority="20" operator="greaterThan">
      <formula>IF(Antriebsart1="Plug-in-Hybrid (PHEV)", maxCO2PHEV, IF(Segment="Standard", maxCO2, maxCO2Van))</formula>
    </cfRule>
  </conditionalFormatting>
  <conditionalFormatting sqref="E18">
    <cfRule type="cellIs" dxfId="47" priority="19" operator="greaterThan">
      <formula>maxNOX</formula>
    </cfRule>
  </conditionalFormatting>
  <conditionalFormatting sqref="E19">
    <cfRule type="cellIs" dxfId="46" priority="18" operator="greaterThan">
      <formula>maxPM</formula>
    </cfRule>
  </conditionalFormatting>
  <conditionalFormatting sqref="E20">
    <cfRule type="cellIs" dxfId="45" priority="14" operator="lessThan">
      <formula>minReichwPHEV</formula>
    </cfRule>
  </conditionalFormatting>
  <conditionalFormatting sqref="E8">
    <cfRule type="expression" dxfId="44" priority="11">
      <formula>E$22=1</formula>
    </cfRule>
  </conditionalFormatting>
  <conditionalFormatting sqref="C13:D13">
    <cfRule type="expression" dxfId="43" priority="8">
      <formula>ISBLANK(FinArt)</formula>
    </cfRule>
  </conditionalFormatting>
  <conditionalFormatting sqref="I17">
    <cfRule type="cellIs" dxfId="42" priority="3" operator="greaterThan">
      <formula>IF(Antriebsart5="Plug-in-Hybrid (PHEV)", maxCO2PHEV, IF(Segment="Standard", maxCO2, maxCO2Van))</formula>
    </cfRule>
  </conditionalFormatting>
  <conditionalFormatting sqref="G17">
    <cfRule type="cellIs" dxfId="41" priority="2" operator="greaterThan">
      <formula>IF(Antriebsart3="Plug-in-Hybrid (PHEV)", maxCO2PHEV, IF(Segment="Standard", maxCO2, maxCO2Van))</formula>
    </cfRule>
  </conditionalFormatting>
  <conditionalFormatting sqref="F17">
    <cfRule type="cellIs" dxfId="40" priority="1" operator="greaterThan">
      <formula>IF(Antriebsart2="Plug-in-Hybrid (PHEV)", maxCO2PHEV, IF(Segment="Standard", maxCO2, maxCO2Van))</formula>
    </cfRule>
  </conditionalFormatting>
  <dataValidations count="19">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I16" xr:uid="{00000000-0002-0000-0200-000005000000}">
      <formula1>IF(Antriebsart5="Vollelektrisch (BEV)", IF(Segment="Standard", maxkWh, maxkWhVan), 1000)</formula1>
    </dataValidation>
    <dataValidation type="decimal" errorStyle="warning" operator="lessThanOrEqual" allowBlank="1" showErrorMessage="1" errorTitle="CO2-Emissionen zu hoch" error="Der angebotene Pkw überschreitet die maximalen CO2-Emissionen laut Beschaffungsvorschrift." sqref="I17" xr:uid="{00000000-0002-0000-0200-000006000000}">
      <formula1>IF(Antriebsart5="Plug-in-Hybrid (PHEV)", maxCO2PHEV, IF(Segment="Standard", maxCO2, 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 type="decimal" errorStyle="warning" operator="lessThanOrEqual" allowBlank="1" showErrorMessage="1" errorTitle="Verbrauch zu hoch" error="Der angebotene Pkw überschreitet den Maximalverbrauch laut Beschaffungsvorschrift." sqref="F16" xr:uid="{9B371510-714F-4648-8CCE-9408D49EFDC4}">
      <formula1>IF(Antriebsart2="Vollelektrisch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E16" xr:uid="{72816104-E70C-4066-92E8-486A65C83609}">
      <formula1>IF(Antriebsart1="Vollelektrisch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G16" xr:uid="{EFFC6EAA-6384-4EA5-A199-7A758AEA01F8}">
      <formula1>IF(Antriebsart3="Vollelektrisch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H16" xr:uid="{468863E6-6375-450D-AEC2-5837DA8AA8B6}">
      <formula1>IF(Antriebsart4="Vollelektrisch (BEV)", IF(Segment="Standard", maxkWh, maxkWhVan), 1000)</formula1>
    </dataValidation>
    <dataValidation type="decimal" errorStyle="warning" operator="lessThanOrEqual" allowBlank="1" showErrorMessage="1" errorTitle="CO2-Emissionen zu hoch" error="Der angebotene Pkw überschreitet die maximalen CO2-Emissionen laut Beschaffungsvorschrift." sqref="E17" xr:uid="{F96C44BC-4D46-4D2D-8462-A9C112345473}">
      <formula1>IF(Antriebsart1="Plug-in-Hybrid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F17" xr:uid="{3854225B-ED8F-4525-BDA7-E09DB848507F}">
      <formula1>IF(Antriebsart2="Plug-in-Hybrid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G17" xr:uid="{32FF15A9-DE8F-4EB6-8E08-AF820A65017F}">
      <formula1>IF(Antriebsart3="Plug-in-Hybrid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H17" xr:uid="{38B6D6AF-2F45-445E-9681-1E964EFD32E4}">
      <formula1>IF(Antriebsart4="Plug-in-Hybrid (PHEV)", maxCO2PHEV, IF(Segment="Standard", maxCO2, maxCO2Van))</formula1>
    </dataValidation>
  </dataValidations>
  <hyperlinks>
    <hyperlink ref="K2" location="Anleitung!A1" display="zurück zu &quot;Anleitung&quot;" xr:uid="{00000000-0004-0000-0200-000000000000}"/>
    <hyperlink ref="E24:I24"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Q34"/>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 width="11.5546875" style="1"/>
    <col min="17" max="17" width="10.77734375" style="1" customWidth="1"/>
    <col min="18" max="16384" width="11.5546875" style="1"/>
  </cols>
  <sheetData>
    <row r="1" spans="1:10" ht="14.4" x14ac:dyDescent="0.3">
      <c r="B1" s="130" t="s">
        <v>63</v>
      </c>
      <c r="C1" s="130"/>
      <c r="D1" s="130"/>
      <c r="E1" s="130"/>
      <c r="F1" s="131"/>
      <c r="G1" s="131"/>
      <c r="H1" s="131"/>
    </row>
    <row r="2" spans="1:10" ht="14.4" x14ac:dyDescent="0.25">
      <c r="A2" s="108" t="s">
        <v>9</v>
      </c>
      <c r="B2" s="111" t="s">
        <v>64</v>
      </c>
      <c r="C2" s="273"/>
      <c r="D2" s="276" t="str">
        <f ca="1">IF(I26&gt;0,"Resultate ungültig - Eingabewerte fehlen !","")</f>
        <v/>
      </c>
      <c r="E2" s="275"/>
      <c r="F2" s="275"/>
      <c r="G2" s="275"/>
      <c r="H2" s="20"/>
      <c r="J2" s="118" t="s">
        <v>468</v>
      </c>
    </row>
    <row r="3" spans="1:10" x14ac:dyDescent="0.25">
      <c r="A3" s="18"/>
      <c r="B3" s="18"/>
      <c r="C3" s="18"/>
      <c r="D3" s="19"/>
      <c r="E3" s="19"/>
      <c r="F3" s="19"/>
      <c r="G3" s="19"/>
      <c r="H3" s="19"/>
    </row>
    <row r="4" spans="1:10" x14ac:dyDescent="0.25">
      <c r="A4" s="18"/>
      <c r="B4" s="3" t="s">
        <v>65</v>
      </c>
      <c r="C4" s="3"/>
      <c r="D4" s="3"/>
      <c r="E4" s="3"/>
      <c r="F4" s="3"/>
      <c r="G4" s="3"/>
      <c r="H4" s="3"/>
    </row>
    <row r="5" spans="1:10" x14ac:dyDescent="0.25">
      <c r="A5" s="18"/>
    </row>
    <row r="6" spans="1:10" ht="14.4" x14ac:dyDescent="0.3">
      <c r="A6" s="18"/>
      <c r="B6" s="12" t="s">
        <v>16</v>
      </c>
      <c r="C6" s="85" t="str">
        <f>IF(Projektname_Z1=0,"",Projektname_Z1)</f>
        <v/>
      </c>
      <c r="D6" s="86"/>
      <c r="E6" s="86"/>
      <c r="F6" s="86"/>
      <c r="G6" s="86"/>
      <c r="H6" s="87"/>
    </row>
    <row r="7" spans="1:10" ht="14.4" x14ac:dyDescent="0.3">
      <c r="A7" s="18"/>
      <c r="B7" s="12"/>
      <c r="C7" s="88" t="str">
        <f>IF(Projektname_Z2=0,"",Projektname_Z2)</f>
        <v/>
      </c>
      <c r="D7" s="80"/>
      <c r="E7" s="80"/>
      <c r="F7" s="80"/>
      <c r="G7" s="80"/>
      <c r="H7" s="89"/>
    </row>
    <row r="8" spans="1:10" ht="14.4" x14ac:dyDescent="0.3">
      <c r="A8" s="18"/>
      <c r="B8" s="12"/>
      <c r="C8" s="90" t="str">
        <f>IF(Projektname_Z3=0,"",Projektname_Z3)</f>
        <v/>
      </c>
      <c r="D8" s="91"/>
      <c r="E8" s="91"/>
      <c r="F8" s="91"/>
      <c r="G8" s="91"/>
      <c r="H8" s="92"/>
    </row>
    <row r="9" spans="1:10" ht="14.4" x14ac:dyDescent="0.3">
      <c r="A9" s="18"/>
      <c r="B9" s="77" t="s">
        <v>17</v>
      </c>
      <c r="C9" s="93" t="str">
        <f>IF(Unternehmen=0,"",Unternehmen)</f>
        <v/>
      </c>
      <c r="D9" s="94"/>
      <c r="E9" s="94"/>
      <c r="F9" s="94"/>
      <c r="G9" s="94"/>
      <c r="H9" s="95"/>
    </row>
    <row r="10" spans="1:10" ht="14.4" x14ac:dyDescent="0.3">
      <c r="A10" s="18"/>
      <c r="B10" s="12" t="s">
        <v>18</v>
      </c>
      <c r="C10" s="93" t="str">
        <f>IF(Zustaendig=0,"",Zustaendig)</f>
        <v/>
      </c>
      <c r="D10" s="94"/>
      <c r="E10" s="94"/>
      <c r="F10" s="94"/>
      <c r="G10" s="94"/>
      <c r="H10" s="95"/>
    </row>
    <row r="11" spans="1:10" ht="14.4" x14ac:dyDescent="0.3">
      <c r="A11" s="18"/>
      <c r="B11" s="12" t="s">
        <v>19</v>
      </c>
      <c r="C11" s="415" t="str">
        <f>IF(Datum=0,"",Datum)</f>
        <v/>
      </c>
      <c r="D11" s="416"/>
      <c r="E11" s="82"/>
      <c r="F11" s="84"/>
      <c r="G11" s="84"/>
      <c r="H11" s="81"/>
    </row>
    <row r="12" spans="1:10" ht="14.4" x14ac:dyDescent="0.3">
      <c r="A12" s="18"/>
      <c r="B12" s="12"/>
      <c r="C12" s="79"/>
      <c r="E12" s="60" t="s">
        <v>22</v>
      </c>
      <c r="F12" s="96">
        <f>Fahrleistung</f>
        <v>0</v>
      </c>
      <c r="G12" s="97" t="s">
        <v>23</v>
      </c>
      <c r="H12" s="83"/>
    </row>
    <row r="13" spans="1:10" ht="14.4" x14ac:dyDescent="0.3">
      <c r="A13" s="18"/>
      <c r="B13" s="60"/>
      <c r="C13" s="80"/>
      <c r="E13" s="76" t="s">
        <v>26</v>
      </c>
      <c r="F13" s="98">
        <f>Haltedauer</f>
        <v>0</v>
      </c>
      <c r="G13" s="97" t="s">
        <v>27</v>
      </c>
      <c r="H13" s="83"/>
    </row>
    <row r="14" spans="1:10" x14ac:dyDescent="0.25">
      <c r="A14" s="18"/>
      <c r="B14" s="18"/>
      <c r="C14" s="18"/>
      <c r="D14" s="19"/>
      <c r="E14" s="19"/>
      <c r="F14" s="19"/>
      <c r="G14" s="19"/>
      <c r="H14" s="19"/>
    </row>
    <row r="15" spans="1:10" x14ac:dyDescent="0.25">
      <c r="A15" s="18"/>
      <c r="B15" s="21" t="s">
        <v>66</v>
      </c>
      <c r="C15" s="22"/>
      <c r="D15" s="22"/>
      <c r="E15" s="22"/>
      <c r="F15" s="22"/>
      <c r="G15" s="22"/>
      <c r="H15" s="23"/>
    </row>
    <row r="16" spans="1:10" x14ac:dyDescent="0.25">
      <c r="A16" s="18"/>
      <c r="B16" s="39" t="s">
        <v>39</v>
      </c>
      <c r="C16" s="25"/>
      <c r="D16" s="26">
        <v>1</v>
      </c>
      <c r="E16" s="26">
        <v>2</v>
      </c>
      <c r="F16" s="26">
        <v>3</v>
      </c>
      <c r="G16" s="26">
        <v>4</v>
      </c>
      <c r="H16" s="27">
        <v>5</v>
      </c>
    </row>
    <row r="17" spans="1:17" ht="78.75" customHeight="1" x14ac:dyDescent="0.25">
      <c r="A17" s="18"/>
      <c r="B17" s="40"/>
      <c r="C17" s="41"/>
      <c r="D17" s="42" t="str">
        <f>CONCATENATE(Erg.Pkw_1!$C$10," ",Erg.Pkw_1!$C$11," ",Erg.Pkw_1!$C$13," ",Erg.Pkw_1!$C$14)</f>
        <v xml:space="preserve">   </v>
      </c>
      <c r="E17" s="42" t="str">
        <f>CONCATENATE(Erg.Pkw_2!$C$10," ",Erg.Pkw_2!$C$11," ",Erg.Pkw_2!$C$13," ",Erg.Pkw_2!$C$14)</f>
        <v xml:space="preserve">   </v>
      </c>
      <c r="F17" s="42" t="str">
        <f>CONCATENATE(Erg.Pkw_3!$C$10," ",Erg.Pkw_3!$C$11," ",Erg.Pkw_3!$C$13," ",Erg.Pkw_3!$C$14)</f>
        <v xml:space="preserve">   </v>
      </c>
      <c r="G17" s="42" t="str">
        <f>CONCATENATE(Erg.Pkw_4!$C$10," ",Erg.Pkw_4!$C$11," ",Erg.Pkw_4!$C$13," ",Erg.Pkw_4!$C$14)</f>
        <v xml:space="preserve">   </v>
      </c>
      <c r="H17" s="28" t="str">
        <f>CONCATENATE(Erg.Pkw_5!$C$10," ",Erg.Pkw_5!$C$11," ",Erg.Pkw_5!$C$13," ",Erg.Pkw_5!$C$14)</f>
        <v xml:space="preserve">   </v>
      </c>
    </row>
    <row r="18" spans="1:17" x14ac:dyDescent="0.25">
      <c r="A18" s="18"/>
      <c r="B18" s="195" t="s">
        <v>67</v>
      </c>
      <c r="C18" s="196" t="s">
        <v>51</v>
      </c>
      <c r="D18" s="197" t="str">
        <f>IF(FinArt="Kauf",Gesamtpreis1,"")</f>
        <v/>
      </c>
      <c r="E18" s="197" t="str">
        <f>IF(FinArt="Kauf",Gesamtpreis2,"")</f>
        <v/>
      </c>
      <c r="F18" s="197" t="str">
        <f>IF(FinArt="Kauf",Gesamtpreis3,"")</f>
        <v/>
      </c>
      <c r="G18" s="197" t="str">
        <f>IF(FinArt="Kauf",Gesamtpreis4,"")</f>
        <v/>
      </c>
      <c r="H18" s="198" t="str">
        <f>IF(FinArt="Kauf",Gesamtpreis5,"")</f>
        <v/>
      </c>
      <c r="I18" s="119"/>
    </row>
    <row r="19" spans="1:17" ht="14.4" x14ac:dyDescent="0.25">
      <c r="A19" s="333" t="s">
        <v>9</v>
      </c>
      <c r="B19" s="24" t="str">
        <f>IF(FinArt="Kauf",KaufpreisRech,"Fahrzeugkosten (Leasingrate/Miete)")</f>
        <v>Fahrzeugkosten (Leasingrate/Miete)</v>
      </c>
      <c r="C19" s="18" t="s">
        <v>51</v>
      </c>
      <c r="D19" s="43">
        <f>Erg.Pkw_1!$C$54+Erg.Pkw_1!$C$55</f>
        <v>0</v>
      </c>
      <c r="E19" s="43">
        <f>Erg.Pkw_2!$C$54+Erg.Pkw_2!$C$55</f>
        <v>0</v>
      </c>
      <c r="F19" s="43">
        <f>Erg.Pkw_3!$C$54+Erg.Pkw_3!$C$55</f>
        <v>0</v>
      </c>
      <c r="G19" s="43">
        <f>Erg.Pkw_4!$C$54+Erg.Pkw_4!$C$55</f>
        <v>0</v>
      </c>
      <c r="H19" s="44">
        <f>Erg.Pkw_5!$C$54+Erg.Pkw_5!$C$55</f>
        <v>0</v>
      </c>
    </row>
    <row r="20" spans="1:17" x14ac:dyDescent="0.25">
      <c r="A20" s="18"/>
      <c r="B20" s="47" t="s">
        <v>68</v>
      </c>
      <c r="C20" s="18" t="s">
        <v>51</v>
      </c>
      <c r="D20" s="43">
        <f>Erg.Pkw_1!$C$56</f>
        <v>0</v>
      </c>
      <c r="E20" s="43">
        <f>Erg.Pkw_2!$C$56</f>
        <v>0</v>
      </c>
      <c r="F20" s="43">
        <f>Erg.Pkw_3!$C$56</f>
        <v>0</v>
      </c>
      <c r="G20" s="43">
        <f>Erg.Pkw_4!$C$56</f>
        <v>0</v>
      </c>
      <c r="H20" s="44">
        <f>Erg.Pkw_5!$C$56</f>
        <v>0</v>
      </c>
      <c r="J20" s="213"/>
      <c r="K20" s="213"/>
      <c r="L20" s="213"/>
      <c r="M20" s="213"/>
      <c r="N20" s="213"/>
      <c r="O20" s="213"/>
      <c r="P20" s="213"/>
      <c r="Q20" s="213"/>
    </row>
    <row r="21" spans="1:17" x14ac:dyDescent="0.25">
      <c r="A21" s="417" t="s">
        <v>9</v>
      </c>
      <c r="B21" s="29" t="s">
        <v>69</v>
      </c>
      <c r="C21" s="30" t="s">
        <v>51</v>
      </c>
      <c r="D21" s="45">
        <f>Erg.Pkw_1!$C$57</f>
        <v>0</v>
      </c>
      <c r="E21" s="45">
        <f>Erg.Pkw_2!$C$57</f>
        <v>0</v>
      </c>
      <c r="F21" s="45">
        <f>Erg.Pkw_3!$C$57</f>
        <v>0</v>
      </c>
      <c r="G21" s="45">
        <f>Erg.Pkw_4!$C$57</f>
        <v>0</v>
      </c>
      <c r="H21" s="46">
        <f>Erg.Pkw_5!$C$57</f>
        <v>0</v>
      </c>
      <c r="J21" s="213"/>
      <c r="K21" s="213"/>
      <c r="L21" s="213"/>
      <c r="M21" s="213"/>
      <c r="N21" s="213"/>
      <c r="O21" s="213"/>
      <c r="P21" s="213"/>
      <c r="Q21" s="213"/>
    </row>
    <row r="22" spans="1:17" ht="14.4" customHeight="1" x14ac:dyDescent="0.25">
      <c r="A22" s="417"/>
      <c r="B22" s="29" t="s">
        <v>70</v>
      </c>
      <c r="C22" s="30" t="s">
        <v>51</v>
      </c>
      <c r="D22" s="45">
        <f ca="1">Erg.Pkw_1!C41*Haltedauer</f>
        <v>0</v>
      </c>
      <c r="E22" s="45">
        <f ca="1">Erg.Pkw_2!C41*Haltedauer</f>
        <v>0</v>
      </c>
      <c r="F22" s="45">
        <f ca="1">Erg.Pkw_3!C41*Haltedauer</f>
        <v>0</v>
      </c>
      <c r="G22" s="45">
        <f ca="1">Erg.Pkw_4!C41*Haltedauer</f>
        <v>0</v>
      </c>
      <c r="H22" s="46">
        <f ca="1">Erg.Pkw_5!C41*Haltedauer</f>
        <v>0</v>
      </c>
      <c r="I22" s="119"/>
      <c r="J22" s="213"/>
      <c r="K22" s="213"/>
      <c r="L22" s="213"/>
      <c r="M22" s="213"/>
      <c r="N22" s="213"/>
      <c r="O22" s="213"/>
      <c r="P22" s="213"/>
      <c r="Q22" s="213"/>
    </row>
    <row r="23" spans="1:17" x14ac:dyDescent="0.25">
      <c r="A23" s="417"/>
      <c r="B23" s="31" t="s">
        <v>71</v>
      </c>
      <c r="C23" s="48" t="s">
        <v>51</v>
      </c>
      <c r="D23" s="49" t="e">
        <f>Erg.Pkw_1!$C$59</f>
        <v>#DIV/0!</v>
      </c>
      <c r="E23" s="49" t="e">
        <f>Erg.Pkw_2!$C$59</f>
        <v>#DIV/0!</v>
      </c>
      <c r="F23" s="49" t="e">
        <f>Erg.Pkw_3!$C$59</f>
        <v>#DIV/0!</v>
      </c>
      <c r="G23" s="49" t="e">
        <f>Erg.Pkw_4!$C$59</f>
        <v>#DIV/0!</v>
      </c>
      <c r="H23" s="50" t="e">
        <f>Erg.Pkw_5!$C$59</f>
        <v>#DIV/0!</v>
      </c>
      <c r="J23" s="213"/>
      <c r="K23" s="213"/>
      <c r="L23" s="213"/>
      <c r="M23" s="213"/>
      <c r="N23" s="213"/>
      <c r="O23" s="213"/>
      <c r="P23" s="213"/>
      <c r="Q23" s="213"/>
    </row>
    <row r="24" spans="1:17" ht="14.4" thickBot="1" x14ac:dyDescent="0.3">
      <c r="A24" s="18"/>
      <c r="B24" s="51" t="s">
        <v>72</v>
      </c>
      <c r="C24" s="52" t="s">
        <v>51</v>
      </c>
      <c r="D24" s="53" t="e">
        <f t="shared" ref="D24:F24" ca="1" si="0">IF(SUM(D19:D23)=0,"",SUM(D19:D23))</f>
        <v>#DIV/0!</v>
      </c>
      <c r="E24" s="53" t="e">
        <f t="shared" ca="1" si="0"/>
        <v>#DIV/0!</v>
      </c>
      <c r="F24" s="53" t="e">
        <f t="shared" ca="1" si="0"/>
        <v>#DIV/0!</v>
      </c>
      <c r="G24" s="53" t="e">
        <f ca="1">IF(SUM(G19:G23)=0,"",SUM(G19:G23))</f>
        <v>#DIV/0!</v>
      </c>
      <c r="H24" s="54" t="e">
        <f ca="1">IF(SUM(H19:H23)=0,"",SUM(H19:H23))</f>
        <v>#DIV/0!</v>
      </c>
    </row>
    <row r="25" spans="1:17" ht="15" thickTop="1" thickBot="1" x14ac:dyDescent="0.3">
      <c r="A25" s="18"/>
      <c r="B25" s="78" t="s">
        <v>73</v>
      </c>
      <c r="C25" s="52"/>
      <c r="D25" s="53" t="str">
        <f t="shared" ref="D25:F25" ca="1" si="1">IFERROR(_xlfn.RANK.EQ(D24,$D$24:$H$24,1),"")</f>
        <v/>
      </c>
      <c r="E25" s="53" t="str">
        <f t="shared" ca="1" si="1"/>
        <v/>
      </c>
      <c r="F25" s="53" t="str">
        <f t="shared" ca="1" si="1"/>
        <v/>
      </c>
      <c r="G25" s="53" t="str">
        <f ca="1">IFERROR(_xlfn.RANK.EQ(G24,$D$24:$H$24,1),"")</f>
        <v/>
      </c>
      <c r="H25" s="54" t="str">
        <f ca="1">IFERROR(_xlfn.RANK.EQ(H24,$D$24:$H$24,1),"")</f>
        <v/>
      </c>
      <c r="I25" s="119"/>
    </row>
    <row r="26" spans="1:17" ht="20.399999999999999" customHeight="1" thickTop="1" x14ac:dyDescent="0.25">
      <c r="A26" s="18"/>
      <c r="B26" s="120" t="s">
        <v>74</v>
      </c>
      <c r="C26" s="69" t="s">
        <v>213</v>
      </c>
      <c r="D26" s="278">
        <f ca="1">IF(AND(COUNTIF(D19:D23,0)&gt;0,Antriebsart1="Plug-In-Hybrid (PHEV)"),1,IF(AND(COUNTIF(D19:D23,0)&gt;1,Antriebsart1&lt;&gt;0),1,0))</f>
        <v>0</v>
      </c>
      <c r="E26" s="278">
        <f ca="1">IF(AND(COUNTIF(E19:E23,0)&gt;0,Antriebsart2="Plug-In-Hybrid (PHEV)"),1,IF(AND(COUNTIF(E19:E23,0)&gt;1,Antriebsart2&lt;&gt;0),1,0))</f>
        <v>0</v>
      </c>
      <c r="F26" s="278">
        <f ca="1">IF(AND(COUNTIF(F19:F23,0)&gt;0,Antriebsart3="Plug-In-Hybrid (PHEV)"),1,IF(AND(COUNTIF(F19:F23,0)&gt;1,Antriebsart3&lt;&gt;0),1,0))</f>
        <v>0</v>
      </c>
      <c r="G26" s="278">
        <f ca="1">IF(AND(COUNTIF(G19:G23,0)&gt;0,Antriebsart4="Plug-In-Hybrid (PHEV)"),1,IF(AND(COUNTIF(G19:G23,0)&gt;1,Antriebsart4&lt;&gt;0),1,0))</f>
        <v>0</v>
      </c>
      <c r="H26" s="279">
        <f ca="1">IF(AND(COUNTIF(H19:H23,0)&gt;0,Antriebsart5="Plug-In-Hybrid (PHEV)"),1,IF(AND(COUNTIF(H19:H23,0)&gt;1,Antriebsart5&lt;&gt;0),1,0))</f>
        <v>0</v>
      </c>
      <c r="I26" s="280">
        <f ca="1">SUM(D26:H26)+Eingabe_Angebotswerte!J22+Eingabe_Angebotswerte!J23</f>
        <v>0</v>
      </c>
    </row>
    <row r="27" spans="1:17" ht="25.95" customHeight="1" x14ac:dyDescent="0.25">
      <c r="A27" s="35"/>
      <c r="B27" s="36" t="s">
        <v>75</v>
      </c>
      <c r="C27" s="33" t="s">
        <v>76</v>
      </c>
      <c r="D27" s="34" t="e">
        <f>Erg.Pkw_1!$C$62</f>
        <v>#DIV/0!</v>
      </c>
      <c r="E27" s="34" t="e">
        <f>Erg.Pkw_2!$C$62</f>
        <v>#DIV/0!</v>
      </c>
      <c r="F27" s="34" t="e">
        <f>Erg.Pkw_3!$C$62</f>
        <v>#DIV/0!</v>
      </c>
      <c r="G27" s="34" t="e">
        <f>Erg.Pkw_4!$C$62</f>
        <v>#DIV/0!</v>
      </c>
      <c r="H27" s="55" t="e">
        <f>Erg.Pkw_5!$C$62</f>
        <v>#DIV/0!</v>
      </c>
    </row>
    <row r="28" spans="1:17" ht="27" customHeight="1" x14ac:dyDescent="0.25">
      <c r="A28" s="35"/>
      <c r="B28" s="109" t="s">
        <v>77</v>
      </c>
      <c r="C28" s="110" t="s">
        <v>76</v>
      </c>
      <c r="D28" s="37">
        <f ca="1">Erg.Pkw_1!$C$63</f>
        <v>0</v>
      </c>
      <c r="E28" s="37">
        <f ca="1">Erg.Pkw_2!$C$63</f>
        <v>0</v>
      </c>
      <c r="F28" s="37">
        <f ca="1">Erg.Pkw_3!$C$63</f>
        <v>0</v>
      </c>
      <c r="G28" s="37">
        <f ca="1">Erg.Pkw_4!$C$63</f>
        <v>0</v>
      </c>
      <c r="H28" s="38">
        <f ca="1">Erg.Pkw_5!$C$63</f>
        <v>0</v>
      </c>
      <c r="I28" s="102"/>
    </row>
    <row r="30" spans="1:17" x14ac:dyDescent="0.25">
      <c r="B30" s="21" t="s">
        <v>78</v>
      </c>
      <c r="C30" s="22"/>
      <c r="D30" s="22"/>
      <c r="E30" s="22"/>
      <c r="F30" s="22"/>
      <c r="G30" s="22"/>
      <c r="H30" s="23"/>
    </row>
    <row r="31" spans="1:17" ht="363.6" customHeight="1" x14ac:dyDescent="0.25">
      <c r="B31" s="6"/>
      <c r="D31" s="10"/>
      <c r="E31" s="10"/>
      <c r="F31" s="10"/>
      <c r="G31" s="10"/>
      <c r="H31" s="112"/>
      <c r="I31" s="121"/>
    </row>
    <row r="32" spans="1:17" ht="15" customHeight="1" x14ac:dyDescent="0.25">
      <c r="B32" s="132" t="str">
        <f ca="1">D25</f>
        <v/>
      </c>
      <c r="C32" s="133" t="str">
        <f ca="1">E25</f>
        <v/>
      </c>
      <c r="D32" s="135" t="str">
        <f ca="1">F25</f>
        <v/>
      </c>
      <c r="E32" s="135"/>
      <c r="F32" s="134" t="str">
        <f ca="1">G25</f>
        <v/>
      </c>
      <c r="G32" s="135" t="str">
        <f ca="1">H25</f>
        <v/>
      </c>
      <c r="H32" s="113"/>
      <c r="I32" s="119"/>
    </row>
    <row r="33" spans="2:8" x14ac:dyDescent="0.25">
      <c r="D33" s="10"/>
      <c r="E33" s="10"/>
      <c r="F33" s="10"/>
      <c r="G33" s="10"/>
      <c r="H33" s="10"/>
    </row>
    <row r="34" spans="2:8" x14ac:dyDescent="0.25">
      <c r="B34" s="119"/>
    </row>
  </sheetData>
  <sheetProtection sheet="1" objects="1" scenarios="1"/>
  <mergeCells count="2">
    <mergeCell ref="C11:D11"/>
    <mergeCell ref="A21:A23"/>
  </mergeCells>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$I$26=0</formula>
    </cfRule>
  </conditionalFormatting>
  <conditionalFormatting sqref="B32:D32 F32:G32">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2">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Q32"/>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384" width="11.5546875" style="1"/>
  </cols>
  <sheetData>
    <row r="1" spans="1:10" ht="14.4" x14ac:dyDescent="0.3">
      <c r="B1" s="130" t="s">
        <v>63</v>
      </c>
      <c r="C1" s="130"/>
      <c r="D1" s="130"/>
      <c r="E1" s="130"/>
      <c r="F1" s="131"/>
      <c r="G1" s="131"/>
      <c r="H1" s="131"/>
    </row>
    <row r="2" spans="1:10" ht="14.4" x14ac:dyDescent="0.25">
      <c r="A2" s="108" t="s">
        <v>9</v>
      </c>
      <c r="B2" s="111" t="s">
        <v>64</v>
      </c>
      <c r="C2" s="273"/>
      <c r="D2" s="276" t="str">
        <f ca="1">IF(I24&gt;0,"Resultate ungültig - Eingabewerte fehlen !","")</f>
        <v/>
      </c>
      <c r="E2" s="275"/>
      <c r="F2" s="275"/>
      <c r="G2" s="275"/>
      <c r="H2" s="20"/>
      <c r="J2" s="118" t="s">
        <v>468</v>
      </c>
    </row>
    <row r="3" spans="1:10" x14ac:dyDescent="0.25">
      <c r="A3" s="18"/>
      <c r="B3" s="18"/>
      <c r="C3" s="18"/>
      <c r="D3" s="19"/>
      <c r="E3" s="19"/>
      <c r="F3" s="19"/>
      <c r="G3" s="19"/>
      <c r="H3" s="19"/>
    </row>
    <row r="4" spans="1:10" x14ac:dyDescent="0.25">
      <c r="A4" s="18"/>
      <c r="B4" s="3" t="s">
        <v>65</v>
      </c>
      <c r="C4" s="3"/>
      <c r="D4" s="3"/>
      <c r="E4" s="3"/>
      <c r="F4" s="3"/>
      <c r="G4" s="3"/>
      <c r="H4" s="3"/>
    </row>
    <row r="5" spans="1:10" x14ac:dyDescent="0.25">
      <c r="A5" s="18"/>
    </row>
    <row r="6" spans="1:10" ht="14.4" x14ac:dyDescent="0.3">
      <c r="A6" s="18"/>
      <c r="B6" s="12" t="s">
        <v>16</v>
      </c>
      <c r="C6" s="85" t="str">
        <f>IF(Projektname_Z1=0,"",Projektname_Z1)</f>
        <v/>
      </c>
      <c r="D6" s="86"/>
      <c r="E6" s="86"/>
      <c r="F6" s="86"/>
      <c r="G6" s="86"/>
      <c r="H6" s="87"/>
    </row>
    <row r="7" spans="1:10" ht="14.4" x14ac:dyDescent="0.3">
      <c r="A7" s="18"/>
      <c r="B7" s="12"/>
      <c r="C7" s="88" t="str">
        <f>IF(Projektname_Z2=0,"",Projektname_Z2)</f>
        <v/>
      </c>
      <c r="D7" s="80"/>
      <c r="E7" s="80"/>
      <c r="F7" s="80"/>
      <c r="G7" s="80"/>
      <c r="H7" s="89"/>
    </row>
    <row r="8" spans="1:10" ht="14.4" x14ac:dyDescent="0.3">
      <c r="A8" s="18"/>
      <c r="B8" s="12"/>
      <c r="C8" s="90" t="str">
        <f>IF(Projektname_Z3=0,"",Projektname_Z3)</f>
        <v/>
      </c>
      <c r="D8" s="91"/>
      <c r="E8" s="91"/>
      <c r="F8" s="91"/>
      <c r="G8" s="91"/>
      <c r="H8" s="92"/>
    </row>
    <row r="9" spans="1:10" ht="14.4" x14ac:dyDescent="0.3">
      <c r="A9" s="18"/>
      <c r="B9" s="77" t="s">
        <v>17</v>
      </c>
      <c r="C9" s="93" t="str">
        <f>IF(Unternehmen=0,"",Unternehmen)</f>
        <v/>
      </c>
      <c r="D9" s="94"/>
      <c r="E9" s="94"/>
      <c r="F9" s="94"/>
      <c r="G9" s="94"/>
      <c r="H9" s="95"/>
    </row>
    <row r="10" spans="1:10" ht="14.4" x14ac:dyDescent="0.3">
      <c r="A10" s="18"/>
      <c r="B10" s="12" t="s">
        <v>18</v>
      </c>
      <c r="C10" s="93" t="str">
        <f>IF(Zustaendig=0,"",Zustaendig)</f>
        <v/>
      </c>
      <c r="D10" s="94"/>
      <c r="E10" s="94"/>
      <c r="F10" s="94"/>
      <c r="G10" s="94"/>
      <c r="H10" s="95"/>
    </row>
    <row r="11" spans="1:10" ht="14.4" x14ac:dyDescent="0.3">
      <c r="A11" s="18"/>
      <c r="B11" s="12" t="s">
        <v>19</v>
      </c>
      <c r="C11" s="415" t="str">
        <f>IF(Datum=0,"",Datum)</f>
        <v/>
      </c>
      <c r="D11" s="416"/>
      <c r="E11" s="82"/>
      <c r="F11" s="84"/>
      <c r="G11" s="84"/>
      <c r="H11" s="81"/>
    </row>
    <row r="12" spans="1:10" ht="14.4" x14ac:dyDescent="0.3">
      <c r="A12" s="18"/>
      <c r="B12" s="12"/>
      <c r="C12" s="79"/>
      <c r="E12" s="60" t="s">
        <v>22</v>
      </c>
      <c r="F12" s="96">
        <f>Fahrleistung</f>
        <v>0</v>
      </c>
      <c r="G12" s="97" t="s">
        <v>23</v>
      </c>
      <c r="H12" s="83"/>
    </row>
    <row r="13" spans="1:10" ht="14.4" x14ac:dyDescent="0.3">
      <c r="A13" s="18"/>
      <c r="B13" s="60"/>
      <c r="C13" s="80"/>
      <c r="E13" s="76" t="s">
        <v>26</v>
      </c>
      <c r="F13" s="98">
        <f>Haltedauer</f>
        <v>0</v>
      </c>
      <c r="G13" s="97" t="s">
        <v>27</v>
      </c>
      <c r="H13" s="83"/>
    </row>
    <row r="14" spans="1:10" x14ac:dyDescent="0.25">
      <c r="A14" s="18"/>
      <c r="B14" s="18"/>
      <c r="C14" s="18"/>
      <c r="D14" s="19"/>
      <c r="E14" s="19"/>
      <c r="F14" s="19"/>
      <c r="G14" s="19"/>
      <c r="H14" s="19"/>
    </row>
    <row r="15" spans="1:10" x14ac:dyDescent="0.25">
      <c r="A15" s="18"/>
      <c r="B15" s="21" t="s">
        <v>66</v>
      </c>
      <c r="C15" s="22"/>
      <c r="D15" s="22"/>
      <c r="E15" s="22"/>
      <c r="F15" s="22"/>
      <c r="G15" s="22"/>
      <c r="H15" s="23"/>
    </row>
    <row r="16" spans="1:10" x14ac:dyDescent="0.25">
      <c r="A16" s="18"/>
      <c r="B16" s="39" t="s">
        <v>39</v>
      </c>
      <c r="C16" s="25"/>
      <c r="D16" s="26">
        <v>1</v>
      </c>
      <c r="E16" s="26">
        <v>2</v>
      </c>
      <c r="F16" s="26">
        <v>3</v>
      </c>
      <c r="G16" s="26">
        <v>4</v>
      </c>
      <c r="H16" s="27">
        <v>5</v>
      </c>
    </row>
    <row r="17" spans="1:17" ht="54.6" customHeight="1" x14ac:dyDescent="0.25">
      <c r="A17" s="18"/>
      <c r="B17" s="40"/>
      <c r="C17" s="41"/>
      <c r="D17" s="163" t="str">
        <f>CONCATENATE(Erg.Pkw_1!$C$10," ",Erg.Pkw_1!$C$11," ",Erg.Pkw_1!$C$13," ",Erg.Pkw_1!$C$14)</f>
        <v xml:space="preserve">   </v>
      </c>
      <c r="E17" s="163" t="str">
        <f>CONCATENATE(Erg.Pkw_2!$C$10," ",Erg.Pkw_2!$C$11," ",Erg.Pkw_2!$C$13," ",Erg.Pkw_2!$C$14)</f>
        <v xml:space="preserve">   </v>
      </c>
      <c r="F17" s="163" t="str">
        <f>CONCATENATE(Erg.Pkw_3!$C$10," ",Erg.Pkw_3!$C$11," ",Erg.Pkw_3!$C$13," ",Erg.Pkw_3!$C$14)</f>
        <v xml:space="preserve">   </v>
      </c>
      <c r="G17" s="163" t="str">
        <f>CONCATENATE(Erg.Pkw_4!$C$10," ",Erg.Pkw_4!$C$11," ",Erg.Pkw_4!$C$13," ",Erg.Pkw_4!$C$14)</f>
        <v xml:space="preserve">   </v>
      </c>
      <c r="H17" s="164" t="str">
        <f>CONCATENATE(Erg.Pkw_5!$C$10," ",Erg.Pkw_5!$C$11," ",Erg.Pkw_5!$C$13," ",Erg.Pkw_5!$C$14)</f>
        <v xml:space="preserve">   </v>
      </c>
    </row>
    <row r="18" spans="1:17" x14ac:dyDescent="0.25">
      <c r="A18" s="417" t="s">
        <v>9</v>
      </c>
      <c r="B18" s="29" t="s">
        <v>79</v>
      </c>
      <c r="C18" s="30" t="s">
        <v>51</v>
      </c>
      <c r="D18" s="45">
        <f>Erg.Pkw_1!$C$57-D19</f>
        <v>0</v>
      </c>
      <c r="E18" s="45">
        <f>Erg.Pkw_2!$C$57-E19</f>
        <v>0</v>
      </c>
      <c r="F18" s="45">
        <f>Erg.Pkw_3!$C$57-F19</f>
        <v>0</v>
      </c>
      <c r="G18" s="45">
        <f>Erg.Pkw_4!$C$57-G19</f>
        <v>0</v>
      </c>
      <c r="H18" s="46">
        <f>Erg.Pkw_5!$C$57-H19</f>
        <v>0</v>
      </c>
      <c r="J18" s="213"/>
      <c r="K18" s="213"/>
      <c r="L18" s="213"/>
      <c r="M18" s="213"/>
      <c r="N18" s="213"/>
      <c r="O18" s="213"/>
      <c r="P18" s="213"/>
      <c r="Q18" s="213"/>
    </row>
    <row r="19" spans="1:17" x14ac:dyDescent="0.25">
      <c r="A19" s="417"/>
      <c r="B19" s="29" t="s">
        <v>80</v>
      </c>
      <c r="C19" s="30" t="s">
        <v>51</v>
      </c>
      <c r="D19" s="45">
        <f>(Erg.Pkw_1!$C$35+Erg.Pkw_1!$C$36)*Haltedauer</f>
        <v>0</v>
      </c>
      <c r="E19" s="45">
        <f>(Erg.Pkw_2!$C$35+Erg.Pkw_2!$C$36)*Haltedauer</f>
        <v>0</v>
      </c>
      <c r="F19" s="45">
        <f>(Erg.Pkw_3!$C$35+Erg.Pkw_3!$C$36)*Haltedauer</f>
        <v>0</v>
      </c>
      <c r="G19" s="45">
        <f>(Erg.Pkw_4!$C$35+Erg.Pkw_4!$C$36)*Haltedauer</f>
        <v>0</v>
      </c>
      <c r="H19" s="46">
        <f>(Erg.Pkw_5!$C$35+Erg.Pkw_5!$C$36)*Haltedauer</f>
        <v>0</v>
      </c>
      <c r="J19" s="213"/>
      <c r="K19" s="213"/>
      <c r="L19" s="213"/>
      <c r="M19" s="213"/>
      <c r="N19" s="213"/>
      <c r="O19" s="213"/>
      <c r="P19" s="213"/>
      <c r="Q19" s="213"/>
    </row>
    <row r="20" spans="1:17" ht="14.4" customHeight="1" x14ac:dyDescent="0.25">
      <c r="A20" s="417"/>
      <c r="B20" s="29" t="s">
        <v>70</v>
      </c>
      <c r="C20" s="30" t="s">
        <v>51</v>
      </c>
      <c r="D20" s="45">
        <f ca="1">Erg.Pkw_1!C41*Haltedauer</f>
        <v>0</v>
      </c>
      <c r="E20" s="45">
        <f ca="1">Erg.Pkw_2!C41*Haltedauer</f>
        <v>0</v>
      </c>
      <c r="F20" s="45">
        <f ca="1">Erg.Pkw_3!C41*Haltedauer</f>
        <v>0</v>
      </c>
      <c r="G20" s="45">
        <f ca="1">Erg.Pkw_4!C41*Haltedauer</f>
        <v>0</v>
      </c>
      <c r="H20" s="46">
        <f ca="1">Erg.Pkw_5!C41*Haltedauer</f>
        <v>0</v>
      </c>
      <c r="I20" s="119"/>
      <c r="J20" s="213"/>
      <c r="K20" s="213"/>
      <c r="L20" s="213"/>
      <c r="M20" s="213"/>
      <c r="N20" s="213"/>
      <c r="O20" s="213"/>
      <c r="P20" s="213"/>
      <c r="Q20" s="213"/>
    </row>
    <row r="21" spans="1:17" x14ac:dyDescent="0.25">
      <c r="A21" s="417"/>
      <c r="B21" s="31" t="s">
        <v>71</v>
      </c>
      <c r="C21" s="48" t="s">
        <v>51</v>
      </c>
      <c r="D21" s="49" t="e">
        <f>Erg.Pkw_1!$C$59</f>
        <v>#DIV/0!</v>
      </c>
      <c r="E21" s="49" t="e">
        <f>Erg.Pkw_2!$C$59</f>
        <v>#DIV/0!</v>
      </c>
      <c r="F21" s="49" t="e">
        <f>Erg.Pkw_3!$C$59</f>
        <v>#DIV/0!</v>
      </c>
      <c r="G21" s="49" t="e">
        <f>Erg.Pkw_4!$C$59</f>
        <v>#DIV/0!</v>
      </c>
      <c r="H21" s="50" t="e">
        <f>Erg.Pkw_5!$C$59</f>
        <v>#DIV/0!</v>
      </c>
      <c r="J21" s="213"/>
      <c r="K21" s="213"/>
      <c r="L21" s="213"/>
      <c r="M21" s="213"/>
      <c r="N21" s="213"/>
      <c r="O21" s="213"/>
      <c r="P21" s="213"/>
      <c r="Q21" s="213"/>
    </row>
    <row r="22" spans="1:17" ht="14.4" thickBot="1" x14ac:dyDescent="0.3">
      <c r="A22" s="18"/>
      <c r="B22" s="51" t="s">
        <v>72</v>
      </c>
      <c r="C22" s="52" t="s">
        <v>51</v>
      </c>
      <c r="D22" s="53" t="e">
        <f ca="1">IF(SUM(D18:D21)=0,"",SUM(D18:D21))</f>
        <v>#DIV/0!</v>
      </c>
      <c r="E22" s="53" t="e">
        <f t="shared" ref="E22:H22" ca="1" si="0">IF(SUM(E18:E21)=0,"",SUM(E18:E21))</f>
        <v>#DIV/0!</v>
      </c>
      <c r="F22" s="53" t="e">
        <f t="shared" ca="1" si="0"/>
        <v>#DIV/0!</v>
      </c>
      <c r="G22" s="53" t="e">
        <f t="shared" ca="1" si="0"/>
        <v>#DIV/0!</v>
      </c>
      <c r="H22" s="54" t="e">
        <f t="shared" ca="1" si="0"/>
        <v>#DIV/0!</v>
      </c>
    </row>
    <row r="23" spans="1:17" ht="15" thickTop="1" thickBot="1" x14ac:dyDescent="0.3">
      <c r="A23" s="18"/>
      <c r="B23" s="78" t="s">
        <v>73</v>
      </c>
      <c r="C23" s="52"/>
      <c r="D23" s="53" t="str">
        <f ca="1">IFERROR(_xlfn.RANK.EQ(D22,$D$22:$H$22,1),"")</f>
        <v/>
      </c>
      <c r="E23" s="53" t="str">
        <f t="shared" ref="E23:H23" ca="1" si="1">IFERROR(_xlfn.RANK.EQ(E22,$D$22:$H$22,1),"")</f>
        <v/>
      </c>
      <c r="F23" s="53" t="str">
        <f t="shared" ca="1" si="1"/>
        <v/>
      </c>
      <c r="G23" s="53" t="str">
        <f t="shared" ca="1" si="1"/>
        <v/>
      </c>
      <c r="H23" s="54" t="str">
        <f t="shared" ca="1" si="1"/>
        <v/>
      </c>
      <c r="I23" s="119"/>
    </row>
    <row r="24" spans="1:17" ht="20.399999999999999" customHeight="1" thickTop="1" x14ac:dyDescent="0.25">
      <c r="A24" s="18"/>
      <c r="B24" s="120" t="s">
        <v>74</v>
      </c>
      <c r="C24" s="69" t="s">
        <v>213</v>
      </c>
      <c r="D24" s="278">
        <f ca="1">IF(AND(COUNTIF(D18:D21,0)&gt;0,Antriebsart1="Plug-In-Hybrid (PHEV)"),1,IF(AND(COUNTIF(D18:D21,0)&gt;1,Antriebsart1="Verbrenner"),1,IF(AND(COUNTIF(D18:D21,0)&gt;2,Antriebsart1&lt;&gt;""),1,0)))</f>
        <v>0</v>
      </c>
      <c r="E24" s="278">
        <f ca="1">IF(AND(COUNTIF(E18:E21,0)&gt;0,Antriebsart2="Plug-In-Hybrid (PHEV)"),1,IF(AND(COUNTIF(E18:E21,0)&gt;1,Antriebsart2="Verbrenner"),1,IF(AND(COUNTIF(E18:E21,0)&gt;2,Antriebsart2&lt;&gt;""),1,0)))</f>
        <v>0</v>
      </c>
      <c r="F24" s="278">
        <f ca="1">IF(AND(COUNTIF(F18:F21,0)&gt;0,Antriebsart3="Plug-In-Hybrid (PHEV)"),1,IF(AND(COUNTIF(F18:F21,0)&gt;1,Antriebsart3="Verbrenner"),1,IF(AND(COUNTIF(F18:F21,0)&gt;2,Antriebsart3&lt;&gt;""),1,0)))</f>
        <v>0</v>
      </c>
      <c r="G24" s="278">
        <f ca="1">IF(AND(COUNTIF(G18:G21,0)&gt;0,Antriebsart4="Plug-In-Hybrid (PHEV)"),1,IF(AND(COUNTIF(G18:G21,0)&gt;1,Antriebsart4="Verbrenner"),1,IF(AND(COUNTIF(G18:G21,0)&gt;2,Antriebsart4&lt;&gt;""),1,0)))</f>
        <v>0</v>
      </c>
      <c r="H24" s="279">
        <f ca="1">IF(AND(COUNTIF(H18:H21,0)&gt;0,Antriebsart5="Plug-In-Hybrid (PHEV)"),1,IF(AND(COUNTIF(H18:H21,0)&gt;1,Antriebsart5="Verbrenner"),1,IF(AND(COUNTIF(H18:H21,0)&gt;2,Antriebsart5&lt;&gt;""),1,0)))</f>
        <v>0</v>
      </c>
      <c r="I24" s="280">
        <f ca="1">SUM(D24:H24)+Eingabe_Angebotswerte!J23</f>
        <v>0</v>
      </c>
    </row>
    <row r="25" spans="1:17" ht="25.95" customHeight="1" x14ac:dyDescent="0.25">
      <c r="A25" s="35"/>
      <c r="B25" s="36" t="s">
        <v>75</v>
      </c>
      <c r="C25" s="33" t="s">
        <v>76</v>
      </c>
      <c r="D25" s="34" t="e">
        <f>Erg.Pkw_1!$C$62</f>
        <v>#DIV/0!</v>
      </c>
      <c r="E25" s="34" t="e">
        <f>Erg.Pkw_2!$C$62</f>
        <v>#DIV/0!</v>
      </c>
      <c r="F25" s="34" t="e">
        <f>Erg.Pkw_3!$C$62</f>
        <v>#DIV/0!</v>
      </c>
      <c r="G25" s="34" t="e">
        <f>Erg.Pkw_4!$C$62</f>
        <v>#DIV/0!</v>
      </c>
      <c r="H25" s="55" t="e">
        <f>Erg.Pkw_5!$C$62</f>
        <v>#DIV/0!</v>
      </c>
    </row>
    <row r="26" spans="1:17" ht="27" customHeight="1" x14ac:dyDescent="0.25">
      <c r="A26" s="35"/>
      <c r="B26" s="109" t="s">
        <v>77</v>
      </c>
      <c r="C26" s="110" t="s">
        <v>76</v>
      </c>
      <c r="D26" s="37">
        <f ca="1">Erg.Pkw_1!$C$63</f>
        <v>0</v>
      </c>
      <c r="E26" s="37">
        <f ca="1">Erg.Pkw_2!$C$63</f>
        <v>0</v>
      </c>
      <c r="F26" s="37">
        <f ca="1">Erg.Pkw_3!$C$63</f>
        <v>0</v>
      </c>
      <c r="G26" s="37">
        <f ca="1">Erg.Pkw_4!$C$63</f>
        <v>0</v>
      </c>
      <c r="H26" s="38">
        <f ca="1">Erg.Pkw_5!$C$63</f>
        <v>0</v>
      </c>
      <c r="I26" s="102"/>
    </row>
    <row r="28" spans="1:17" x14ac:dyDescent="0.25">
      <c r="B28" s="21" t="s">
        <v>81</v>
      </c>
      <c r="C28" s="22"/>
      <c r="D28" s="22"/>
      <c r="E28" s="22"/>
      <c r="F28" s="22"/>
      <c r="G28" s="22"/>
      <c r="H28" s="23"/>
    </row>
    <row r="29" spans="1:17" ht="363.6" customHeight="1" x14ac:dyDescent="0.25">
      <c r="B29" s="6"/>
      <c r="D29" s="10"/>
      <c r="E29" s="10"/>
      <c r="F29" s="10"/>
      <c r="G29" s="10"/>
      <c r="H29" s="112"/>
      <c r="I29" s="121"/>
    </row>
    <row r="30" spans="1:17" ht="15" customHeight="1" x14ac:dyDescent="0.25">
      <c r="B30" s="132" t="str">
        <f ca="1">D23</f>
        <v/>
      </c>
      <c r="C30" s="133" t="str">
        <f ca="1">E23</f>
        <v/>
      </c>
      <c r="D30" s="135" t="str">
        <f ca="1">F23</f>
        <v/>
      </c>
      <c r="E30" s="135"/>
      <c r="F30" s="134" t="str">
        <f ca="1">G23</f>
        <v/>
      </c>
      <c r="G30" s="135" t="str">
        <f ca="1">H23</f>
        <v/>
      </c>
      <c r="H30" s="113"/>
      <c r="I30" s="119"/>
    </row>
    <row r="31" spans="1:17" x14ac:dyDescent="0.25">
      <c r="D31" s="10"/>
      <c r="E31" s="10"/>
      <c r="F31" s="10"/>
      <c r="G31" s="10"/>
      <c r="H31" s="10"/>
      <c r="I31" s="119"/>
    </row>
    <row r="32" spans="1:17" x14ac:dyDescent="0.25">
      <c r="B32" s="119"/>
    </row>
  </sheetData>
  <sheetProtection sheet="1" objects="1" scenarios="1"/>
  <mergeCells count="2">
    <mergeCell ref="C11:D11"/>
    <mergeCell ref="A18:A21"/>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$I$24=0</formula>
    </cfRule>
  </conditionalFormatting>
  <conditionalFormatting sqref="B30:D30 F30:G30">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0">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44"/>
  <sheetViews>
    <sheetView showGridLines="0" zoomScaleNormal="100" workbookViewId="0"/>
  </sheetViews>
  <sheetFormatPr baseColWidth="10" defaultColWidth="11.5546875" defaultRowHeight="13.8" x14ac:dyDescent="0.25"/>
  <cols>
    <col min="1" max="1" width="5" style="1" customWidth="1"/>
    <col min="2" max="2" width="29.77734375" style="1" customWidth="1"/>
    <col min="3" max="3" width="28.33203125" style="1" bestFit="1" customWidth="1"/>
    <col min="4" max="4" width="13.5546875" style="1" customWidth="1"/>
    <col min="5" max="5" width="13.88671875" style="1" customWidth="1"/>
    <col min="6" max="6" width="14.6640625" style="1" customWidth="1"/>
    <col min="7" max="7" width="10.6640625" style="10" hidden="1" customWidth="1"/>
    <col min="8" max="8" width="19.33203125" style="1" customWidth="1"/>
    <col min="9" max="9" width="12.88671875" style="1" customWidth="1"/>
    <col min="10" max="16384" width="11.5546875" style="1"/>
  </cols>
  <sheetData>
    <row r="1" spans="1:9" ht="14.4" x14ac:dyDescent="0.25">
      <c r="G1" s="108" t="s">
        <v>9</v>
      </c>
    </row>
    <row r="2" spans="1:9" x14ac:dyDescent="0.25">
      <c r="A2" s="131"/>
      <c r="B2" s="215" t="s">
        <v>82</v>
      </c>
      <c r="C2" s="131"/>
      <c r="D2" s="131"/>
      <c r="E2" s="131"/>
      <c r="F2" s="131"/>
      <c r="G2" s="216"/>
      <c r="H2" s="131"/>
      <c r="I2" s="118" t="s">
        <v>468</v>
      </c>
    </row>
    <row r="3" spans="1:9" x14ac:dyDescent="0.25">
      <c r="A3" s="131"/>
      <c r="B3" s="131"/>
      <c r="C3" s="131"/>
      <c r="D3" s="131"/>
      <c r="E3" s="131"/>
      <c r="F3" s="131"/>
      <c r="G3" s="216"/>
      <c r="H3" s="131"/>
    </row>
    <row r="4" spans="1:9" x14ac:dyDescent="0.25">
      <c r="A4" s="131"/>
      <c r="B4" s="169" t="s">
        <v>83</v>
      </c>
      <c r="C4" s="5"/>
      <c r="D4" s="5"/>
      <c r="E4" s="5"/>
      <c r="F4" s="5"/>
      <c r="G4" s="216"/>
      <c r="H4" s="131"/>
    </row>
    <row r="5" spans="1:9" x14ac:dyDescent="0.25">
      <c r="A5" s="217"/>
      <c r="B5" s="239"/>
      <c r="C5" s="261"/>
      <c r="D5" s="261"/>
      <c r="E5" s="261"/>
      <c r="F5" s="261"/>
      <c r="G5" s="216"/>
      <c r="H5" s="131"/>
    </row>
    <row r="6" spans="1:9" ht="27.6" x14ac:dyDescent="0.25">
      <c r="A6" s="217"/>
      <c r="B6" s="262" t="s">
        <v>84</v>
      </c>
      <c r="C6" s="263" t="s">
        <v>40</v>
      </c>
      <c r="D6" s="264" t="s">
        <v>85</v>
      </c>
      <c r="E6" s="272" t="s">
        <v>86</v>
      </c>
      <c r="F6" s="271" t="s">
        <v>87</v>
      </c>
      <c r="G6" s="218" t="s">
        <v>88</v>
      </c>
      <c r="H6" s="131"/>
    </row>
    <row r="7" spans="1:9" ht="13.8" customHeight="1" x14ac:dyDescent="0.25">
      <c r="A7" s="217"/>
      <c r="B7" s="418" t="s">
        <v>197</v>
      </c>
      <c r="C7" s="265" t="s">
        <v>42</v>
      </c>
      <c r="D7" s="266">
        <v>120</v>
      </c>
      <c r="E7" s="337"/>
      <c r="F7" s="265" t="s">
        <v>57</v>
      </c>
      <c r="G7" s="219">
        <f>IF(ISNUMBER(E7),E7,D7)</f>
        <v>120</v>
      </c>
      <c r="H7" s="131"/>
    </row>
    <row r="8" spans="1:9" x14ac:dyDescent="0.25">
      <c r="A8" s="217"/>
      <c r="B8" s="419"/>
      <c r="C8" s="265" t="s">
        <v>192</v>
      </c>
      <c r="D8" s="266">
        <v>130</v>
      </c>
      <c r="E8" s="337"/>
      <c r="F8" s="265" t="s">
        <v>57</v>
      </c>
      <c r="G8" s="219">
        <f t="shared" ref="G8:G13" si="0">IF(ISNUMBER(E8),E8,D8)</f>
        <v>130</v>
      </c>
      <c r="H8" s="131"/>
    </row>
    <row r="9" spans="1:9" x14ac:dyDescent="0.25">
      <c r="A9" s="217"/>
      <c r="B9" s="420"/>
      <c r="C9" s="265" t="s">
        <v>89</v>
      </c>
      <c r="D9" s="266">
        <v>40</v>
      </c>
      <c r="E9" s="337"/>
      <c r="F9" s="265" t="s">
        <v>57</v>
      </c>
      <c r="G9" s="219">
        <f t="shared" si="0"/>
        <v>40</v>
      </c>
      <c r="H9" s="131"/>
    </row>
    <row r="10" spans="1:9" ht="16.2" x14ac:dyDescent="0.25">
      <c r="A10" s="217"/>
      <c r="B10" s="267" t="s">
        <v>487</v>
      </c>
      <c r="C10" s="265" t="s">
        <v>90</v>
      </c>
      <c r="D10" s="266">
        <v>64</v>
      </c>
      <c r="E10" s="337"/>
      <c r="F10" s="265" t="s">
        <v>510</v>
      </c>
      <c r="G10" s="219">
        <f t="shared" si="0"/>
        <v>64</v>
      </c>
      <c r="H10" s="131"/>
    </row>
    <row r="11" spans="1:9" x14ac:dyDescent="0.25">
      <c r="A11" s="217"/>
      <c r="B11" s="267" t="s">
        <v>488</v>
      </c>
      <c r="C11" s="265" t="s">
        <v>90</v>
      </c>
      <c r="D11" s="266">
        <v>3.6</v>
      </c>
      <c r="E11" s="337"/>
      <c r="F11" s="265" t="s">
        <v>510</v>
      </c>
      <c r="G11" s="219">
        <f t="shared" si="0"/>
        <v>3.6</v>
      </c>
      <c r="H11" s="131"/>
    </row>
    <row r="12" spans="1:9" x14ac:dyDescent="0.25">
      <c r="A12" s="217"/>
      <c r="B12" s="418" t="s">
        <v>489</v>
      </c>
      <c r="C12" s="265" t="s">
        <v>91</v>
      </c>
      <c r="D12" s="266">
        <v>19</v>
      </c>
      <c r="E12" s="337"/>
      <c r="F12" s="265" t="s">
        <v>92</v>
      </c>
      <c r="G12" s="219">
        <f t="shared" si="0"/>
        <v>19</v>
      </c>
      <c r="H12" s="131"/>
    </row>
    <row r="13" spans="1:9" x14ac:dyDescent="0.25">
      <c r="A13" s="217"/>
      <c r="B13" s="420"/>
      <c r="C13" s="265" t="s">
        <v>93</v>
      </c>
      <c r="D13" s="266">
        <v>21</v>
      </c>
      <c r="E13" s="337"/>
      <c r="F13" s="265" t="s">
        <v>92</v>
      </c>
      <c r="G13" s="219">
        <f t="shared" si="0"/>
        <v>21</v>
      </c>
      <c r="H13" s="131"/>
    </row>
    <row r="14" spans="1:9" s="8" customFormat="1" ht="27.6" x14ac:dyDescent="0.25">
      <c r="A14" s="260"/>
      <c r="B14" s="269" t="s">
        <v>490</v>
      </c>
      <c r="C14" s="270" t="s">
        <v>89</v>
      </c>
      <c r="D14" s="268">
        <v>60</v>
      </c>
      <c r="E14" s="338"/>
      <c r="F14" s="270" t="s">
        <v>94</v>
      </c>
      <c r="G14" s="219">
        <f>IF(ISNUMBER(E14),E14,D14)</f>
        <v>60</v>
      </c>
      <c r="H14" s="220"/>
    </row>
    <row r="15" spans="1:9" x14ac:dyDescent="0.25">
      <c r="A15" s="131"/>
      <c r="B15" s="131"/>
      <c r="C15" s="131"/>
      <c r="D15" s="131"/>
      <c r="E15" s="131"/>
      <c r="F15" s="131"/>
      <c r="G15" s="216"/>
      <c r="H15" s="131"/>
    </row>
    <row r="16" spans="1:9" x14ac:dyDescent="0.25">
      <c r="A16" s="131"/>
      <c r="B16" s="131"/>
      <c r="C16" s="131"/>
      <c r="D16" s="131"/>
      <c r="E16" s="131"/>
      <c r="F16" s="131"/>
      <c r="G16" s="216"/>
      <c r="H16" s="131"/>
    </row>
    <row r="18" spans="1:9" x14ac:dyDescent="0.25">
      <c r="A18" s="222"/>
      <c r="B18" s="221" t="s">
        <v>95</v>
      </c>
      <c r="C18" s="221"/>
      <c r="D18" s="222" t="s">
        <v>474</v>
      </c>
      <c r="E18" s="222"/>
      <c r="F18" s="222"/>
      <c r="G18" s="223"/>
      <c r="H18" s="223"/>
      <c r="I18" s="223"/>
    </row>
    <row r="19" spans="1:9" x14ac:dyDescent="0.25">
      <c r="A19" s="222"/>
      <c r="B19" s="222"/>
      <c r="C19" s="222"/>
      <c r="D19" s="222"/>
      <c r="E19" s="222"/>
      <c r="F19" s="222"/>
      <c r="G19" s="211"/>
      <c r="H19" s="223"/>
      <c r="I19" s="223"/>
    </row>
    <row r="20" spans="1:9" x14ac:dyDescent="0.25">
      <c r="A20" s="225"/>
      <c r="B20" s="3" t="s">
        <v>96</v>
      </c>
      <c r="C20" s="3"/>
      <c r="D20" s="4"/>
      <c r="E20" s="4"/>
      <c r="F20" s="4"/>
      <c r="G20" s="211"/>
      <c r="H20" s="224"/>
      <c r="I20" s="224"/>
    </row>
    <row r="21" spans="1:9" x14ac:dyDescent="0.25">
      <c r="A21" s="225"/>
      <c r="B21" s="201"/>
      <c r="C21" s="201"/>
      <c r="D21" s="238"/>
      <c r="E21" s="201"/>
      <c r="F21" s="239"/>
      <c r="G21" s="211"/>
      <c r="H21" s="224"/>
      <c r="I21" s="224"/>
    </row>
    <row r="22" spans="1:9" x14ac:dyDescent="0.25">
      <c r="A22" s="225"/>
      <c r="B22" s="201" t="s">
        <v>43</v>
      </c>
      <c r="C22" s="201"/>
      <c r="D22" s="240" t="s">
        <v>97</v>
      </c>
      <c r="E22" s="241"/>
      <c r="F22" s="242"/>
      <c r="G22" s="211"/>
      <c r="H22" s="224"/>
      <c r="I22" s="224"/>
    </row>
    <row r="23" spans="1:9" ht="27.6" x14ac:dyDescent="0.25">
      <c r="A23" s="225"/>
      <c r="B23" s="201"/>
      <c r="C23" s="201"/>
      <c r="D23" s="243"/>
      <c r="E23" s="244" t="s">
        <v>86</v>
      </c>
      <c r="F23" s="245" t="s">
        <v>87</v>
      </c>
      <c r="G23" s="246" t="s">
        <v>98</v>
      </c>
      <c r="H23" s="227" t="s">
        <v>99</v>
      </c>
      <c r="I23" s="313" t="s">
        <v>472</v>
      </c>
    </row>
    <row r="24" spans="1:9" ht="14.4" x14ac:dyDescent="0.3">
      <c r="A24" s="233"/>
      <c r="B24" s="247" t="s">
        <v>100</v>
      </c>
      <c r="C24" s="248"/>
      <c r="D24" s="249">
        <v>46.3</v>
      </c>
      <c r="E24" s="339"/>
      <c r="F24" s="250" t="s">
        <v>101</v>
      </c>
      <c r="G24" s="246">
        <f>IF(ISNUMBER(E24),E24,D24)/100</f>
        <v>0.46299999999999997</v>
      </c>
      <c r="H24" s="228" t="s">
        <v>462</v>
      </c>
      <c r="I24" s="312"/>
    </row>
    <row r="25" spans="1:9" ht="14.4" x14ac:dyDescent="0.3">
      <c r="A25" s="233"/>
      <c r="B25" s="251" t="s">
        <v>102</v>
      </c>
      <c r="C25" s="245"/>
      <c r="D25" s="249">
        <v>55.2</v>
      </c>
      <c r="E25" s="339"/>
      <c r="F25" s="250" t="s">
        <v>101</v>
      </c>
      <c r="G25" s="246">
        <f>IF(ISNUMBER(E25),E25,D25)/100</f>
        <v>0.55200000000000005</v>
      </c>
      <c r="H25" s="228" t="s">
        <v>103</v>
      </c>
      <c r="I25" s="312"/>
    </row>
    <row r="26" spans="1:9" ht="14.4" hidden="1" x14ac:dyDescent="0.25">
      <c r="A26" s="234"/>
      <c r="B26" s="252" t="s">
        <v>44</v>
      </c>
      <c r="C26" s="253"/>
      <c r="D26" s="254"/>
      <c r="E26" s="340"/>
      <c r="F26" s="201"/>
      <c r="G26" s="246">
        <f>G24*Input_Projekt!J29/100+G25*(1-Input_Projekt!J29/100)</f>
        <v>0.50750000000000006</v>
      </c>
      <c r="H26" s="228"/>
      <c r="I26" s="312"/>
    </row>
    <row r="27" spans="1:9" x14ac:dyDescent="0.25">
      <c r="A27" s="422"/>
      <c r="B27" s="247" t="s">
        <v>45</v>
      </c>
      <c r="C27" s="248"/>
      <c r="D27" s="336">
        <v>1.659</v>
      </c>
      <c r="E27" s="339"/>
      <c r="F27" s="250" t="s">
        <v>104</v>
      </c>
      <c r="G27" s="246">
        <f t="shared" ref="G27:G29" si="1">IF(ISNUMBER(E27),E27,D27)</f>
        <v>1.659</v>
      </c>
      <c r="H27" s="228" t="s">
        <v>501</v>
      </c>
      <c r="I27" s="312"/>
    </row>
    <row r="28" spans="1:9" x14ac:dyDescent="0.25">
      <c r="A28" s="422"/>
      <c r="B28" s="247" t="s">
        <v>46</v>
      </c>
      <c r="C28" s="248"/>
      <c r="D28" s="336">
        <v>1.784</v>
      </c>
      <c r="E28" s="339"/>
      <c r="F28" s="250" t="s">
        <v>104</v>
      </c>
      <c r="G28" s="246">
        <f t="shared" si="1"/>
        <v>1.784</v>
      </c>
      <c r="H28" s="228" t="s">
        <v>501</v>
      </c>
      <c r="I28" s="312"/>
    </row>
    <row r="29" spans="1:9" ht="14.4" x14ac:dyDescent="0.25">
      <c r="A29" s="234"/>
      <c r="B29" s="247" t="s">
        <v>105</v>
      </c>
      <c r="C29" s="248"/>
      <c r="D29" s="255">
        <v>1.2</v>
      </c>
      <c r="E29" s="339"/>
      <c r="F29" s="250" t="s">
        <v>106</v>
      </c>
      <c r="G29" s="246">
        <f t="shared" si="1"/>
        <v>1.2</v>
      </c>
      <c r="H29" s="228" t="s">
        <v>500</v>
      </c>
      <c r="I29" s="312"/>
    </row>
    <row r="30" spans="1:9" ht="14.4" x14ac:dyDescent="0.25">
      <c r="A30" s="235"/>
      <c r="B30" s="222"/>
      <c r="C30" s="222"/>
      <c r="D30" s="223"/>
      <c r="E30" s="229"/>
      <c r="F30" s="222"/>
      <c r="G30" s="226"/>
      <c r="H30" s="223"/>
      <c r="I30" s="223"/>
    </row>
    <row r="31" spans="1:9" x14ac:dyDescent="0.25">
      <c r="A31" s="222"/>
      <c r="B31" s="222"/>
      <c r="C31" s="222"/>
      <c r="D31" s="223"/>
      <c r="E31" s="223"/>
      <c r="F31" s="222"/>
      <c r="G31" s="223"/>
      <c r="H31" s="223"/>
      <c r="I31" s="223"/>
    </row>
    <row r="32" spans="1:9" x14ac:dyDescent="0.25">
      <c r="A32" s="222"/>
      <c r="B32" s="3" t="s">
        <v>107</v>
      </c>
      <c r="C32" s="3"/>
      <c r="D32" s="4"/>
      <c r="E32" s="4"/>
      <c r="F32" s="4"/>
      <c r="G32" s="256"/>
      <c r="H32" s="230"/>
      <c r="I32" s="230"/>
    </row>
    <row r="33" spans="1:9" ht="13.8" customHeight="1" x14ac:dyDescent="0.25">
      <c r="A33" s="222"/>
      <c r="B33" s="423" t="s">
        <v>483</v>
      </c>
      <c r="C33" s="423"/>
      <c r="D33" s="423"/>
      <c r="E33" s="423"/>
      <c r="F33" s="423"/>
      <c r="G33" s="246" t="s">
        <v>98</v>
      </c>
      <c r="H33" s="231"/>
      <c r="I33" s="231"/>
    </row>
    <row r="34" spans="1:9" ht="27.6" x14ac:dyDescent="0.25">
      <c r="A34" s="222"/>
      <c r="B34" s="201"/>
      <c r="C34" s="201"/>
      <c r="D34" s="201"/>
      <c r="E34" s="257" t="s">
        <v>86</v>
      </c>
      <c r="F34" s="201"/>
      <c r="G34" s="211"/>
      <c r="H34" s="224"/>
      <c r="I34" s="224"/>
    </row>
    <row r="35" spans="1:9" ht="16.2" x14ac:dyDescent="0.35">
      <c r="A35" s="236"/>
      <c r="B35" s="201" t="s">
        <v>108</v>
      </c>
      <c r="C35" s="201"/>
      <c r="D35" s="258">
        <f>IF(KostTHGVorgabe="(Niedrig) 200",200,500)</f>
        <v>500</v>
      </c>
      <c r="E35" s="291"/>
      <c r="F35" s="250" t="s">
        <v>109</v>
      </c>
      <c r="G35" s="246">
        <f>IF(ISNUMBER(E35),E35,D35)</f>
        <v>500</v>
      </c>
      <c r="H35" s="228" t="s">
        <v>503</v>
      </c>
      <c r="I35" s="312"/>
    </row>
    <row r="36" spans="1:9" x14ac:dyDescent="0.25">
      <c r="A36" s="222"/>
      <c r="B36" s="201"/>
      <c r="C36" s="201"/>
      <c r="D36" s="211"/>
      <c r="E36" s="211"/>
      <c r="F36" s="259"/>
      <c r="G36" s="246"/>
      <c r="H36" s="224"/>
      <c r="I36" s="224"/>
    </row>
    <row r="37" spans="1:9" x14ac:dyDescent="0.25">
      <c r="A37" s="222"/>
      <c r="B37" s="201" t="s">
        <v>110</v>
      </c>
      <c r="C37" s="201"/>
      <c r="D37" s="258">
        <v>0.02</v>
      </c>
      <c r="E37" s="291"/>
      <c r="F37" s="250" t="s">
        <v>111</v>
      </c>
      <c r="G37" s="246">
        <f>IF(ISNUMBER(E37),E37,D37)</f>
        <v>0.02</v>
      </c>
      <c r="H37" s="228" t="s">
        <v>503</v>
      </c>
      <c r="I37" s="312"/>
    </row>
    <row r="38" spans="1:9" x14ac:dyDescent="0.25">
      <c r="A38" s="222"/>
      <c r="B38" s="201" t="s">
        <v>506</v>
      </c>
      <c r="C38" s="201"/>
      <c r="D38" s="258">
        <v>0.15</v>
      </c>
      <c r="E38" s="291"/>
      <c r="F38" s="250" t="s">
        <v>111</v>
      </c>
      <c r="G38" s="246">
        <f>IF(ISNUMBER(E38),E38,D38)</f>
        <v>0.15</v>
      </c>
      <c r="H38" s="228" t="s">
        <v>503</v>
      </c>
      <c r="I38" s="312"/>
    </row>
    <row r="39" spans="1:9" x14ac:dyDescent="0.25">
      <c r="A39" s="222"/>
      <c r="B39" s="232"/>
      <c r="C39" s="222"/>
      <c r="D39" s="223"/>
      <c r="E39" s="223"/>
      <c r="F39" s="222"/>
      <c r="G39" s="237"/>
      <c r="H39" s="224"/>
      <c r="I39" s="224"/>
    </row>
    <row r="40" spans="1:9" x14ac:dyDescent="0.25">
      <c r="A40" s="294"/>
      <c r="B40" s="294"/>
      <c r="C40" s="295"/>
      <c r="D40" s="294"/>
      <c r="E40" s="294"/>
      <c r="F40" s="294"/>
      <c r="G40" s="296"/>
      <c r="H40" s="297"/>
      <c r="I40" s="297"/>
    </row>
    <row r="41" spans="1:9" x14ac:dyDescent="0.25">
      <c r="A41" s="294"/>
      <c r="B41" s="298" t="s">
        <v>486</v>
      </c>
      <c r="C41" s="299"/>
      <c r="D41" s="299"/>
      <c r="E41" s="299"/>
      <c r="F41" s="298"/>
      <c r="G41" s="300"/>
      <c r="H41" s="294"/>
      <c r="I41" s="294"/>
    </row>
    <row r="42" spans="1:9" ht="16.2" x14ac:dyDescent="0.35">
      <c r="A42" s="294"/>
      <c r="B42" s="421" t="s">
        <v>158</v>
      </c>
      <c r="C42" s="421"/>
      <c r="D42" s="301">
        <v>84</v>
      </c>
      <c r="E42" s="291"/>
      <c r="F42" s="302" t="s">
        <v>159</v>
      </c>
      <c r="G42" s="303">
        <f>IF(ISNUMBER(E42),E42,D42)</f>
        <v>84</v>
      </c>
      <c r="H42" s="228" t="s">
        <v>497</v>
      </c>
      <c r="I42" s="312"/>
    </row>
    <row r="43" spans="1:9" x14ac:dyDescent="0.25">
      <c r="A43" s="294"/>
      <c r="B43" s="304" t="s">
        <v>505</v>
      </c>
      <c r="C43" s="305"/>
      <c r="D43" s="305"/>
      <c r="E43" s="294"/>
      <c r="F43" s="294"/>
      <c r="G43" s="297"/>
      <c r="H43" s="294"/>
      <c r="I43" s="294"/>
    </row>
    <row r="44" spans="1:9" x14ac:dyDescent="0.25">
      <c r="A44" s="294"/>
      <c r="B44" s="294"/>
      <c r="C44" s="306"/>
      <c r="D44" s="306"/>
      <c r="E44" s="307"/>
      <c r="F44" s="294"/>
      <c r="G44" s="297"/>
      <c r="H44" s="294"/>
      <c r="I44" s="294"/>
    </row>
  </sheetData>
  <sheetProtection sheet="1" objects="1" scenarios="1"/>
  <mergeCells count="5">
    <mergeCell ref="B7:B9"/>
    <mergeCell ref="B12:B13"/>
    <mergeCell ref="B42:C42"/>
    <mergeCell ref="A27:A28"/>
    <mergeCell ref="B33:F33"/>
  </mergeCells>
  <conditionalFormatting sqref="I24">
    <cfRule type="expression" dxfId="14" priority="10">
      <formula>E24&lt;&gt;""</formula>
    </cfRule>
  </conditionalFormatting>
  <conditionalFormatting sqref="I25">
    <cfRule type="expression" dxfId="13" priority="9">
      <formula>E25&lt;&gt;""</formula>
    </cfRule>
  </conditionalFormatting>
  <conditionalFormatting sqref="I27">
    <cfRule type="expression" dxfId="12" priority="8">
      <formula>E27&lt;&gt;""</formula>
    </cfRule>
  </conditionalFormatting>
  <conditionalFormatting sqref="I28">
    <cfRule type="expression" dxfId="11" priority="7">
      <formula>E28&lt;&gt;""</formula>
    </cfRule>
  </conditionalFormatting>
  <conditionalFormatting sqref="I29">
    <cfRule type="expression" dxfId="10" priority="6">
      <formula>E29&lt;&gt;""</formula>
    </cfRule>
  </conditionalFormatting>
  <conditionalFormatting sqref="I35">
    <cfRule type="expression" dxfId="9" priority="5">
      <formula>E35&lt;&gt;""</formula>
    </cfRule>
  </conditionalFormatting>
  <conditionalFormatting sqref="I37">
    <cfRule type="expression" dxfId="8" priority="4">
      <formula>E37&lt;&gt;""</formula>
    </cfRule>
  </conditionalFormatting>
  <conditionalFormatting sqref="I38">
    <cfRule type="expression" dxfId="7" priority="3">
      <formula>E38&lt;&gt;""</formula>
    </cfRule>
  </conditionalFormatting>
  <conditionalFormatting sqref="I42">
    <cfRule type="expression" dxfId="6" priority="2">
      <formula>E42&lt;&gt;""</formula>
    </cfRule>
  </conditionalFormatting>
  <conditionalFormatting sqref="I23">
    <cfRule type="expression" dxfId="5" priority="1">
      <formula>SUM(E24:E42)&gt;0</formula>
    </cfRule>
  </conditionalFormatting>
  <hyperlinks>
    <hyperlink ref="I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37" customWidth="1"/>
    <col min="6" max="6" width="25.33203125" style="1" hidden="1" customWidth="1"/>
    <col min="7" max="16384" width="11.5546875" style="1"/>
  </cols>
  <sheetData>
    <row r="1" spans="1:7" x14ac:dyDescent="0.25">
      <c r="F1" s="7"/>
    </row>
    <row r="2" spans="1:7" x14ac:dyDescent="0.25">
      <c r="B2" s="2" t="s">
        <v>112</v>
      </c>
      <c r="E2" s="118" t="s">
        <v>468</v>
      </c>
      <c r="F2" s="7"/>
      <c r="G2" s="118"/>
    </row>
    <row r="3" spans="1:7" x14ac:dyDescent="0.25">
      <c r="F3" s="7"/>
    </row>
    <row r="4" spans="1:7" x14ac:dyDescent="0.25">
      <c r="B4" s="3" t="s">
        <v>113</v>
      </c>
      <c r="C4" s="100"/>
      <c r="D4" s="100"/>
      <c r="F4" s="7"/>
    </row>
    <row r="5" spans="1:7" x14ac:dyDescent="0.25">
      <c r="F5" s="137" t="str">
        <f>IF(Antriebsart1="Vollelektrisch (BEV)","Strom","nicht verfügbar")</f>
        <v>nicht verfügbar</v>
      </c>
    </row>
    <row r="6" spans="1:7" x14ac:dyDescent="0.25">
      <c r="B6" s="2" t="s">
        <v>39</v>
      </c>
      <c r="C6" s="56">
        <v>1</v>
      </c>
      <c r="F6" s="137" t="str">
        <f>IF(OR(Antriebsart1="Verbrenner",Antriebsart1="Plug-In-Hybrid (PHEV)"),"Diesel","nicht verfügbar")</f>
        <v>nicht verfügbar</v>
      </c>
    </row>
    <row r="7" spans="1:7" x14ac:dyDescent="0.25">
      <c r="B7" s="1" t="s">
        <v>47</v>
      </c>
      <c r="C7" s="114" t="str">
        <f>IF(Anbieter1=0,"",Anbieter1)</f>
        <v/>
      </c>
      <c r="F7" s="137" t="str">
        <f>IF(OR(Antriebsart1="Verbrenner",Antriebsart1="Plug-In-Hybrid (PHEV)"),"Benzin","nicht verfügbar")</f>
        <v>nicht verfügbar</v>
      </c>
    </row>
    <row r="8" spans="1:7" x14ac:dyDescent="0.25">
      <c r="C8" s="114"/>
      <c r="F8" s="137" t="str">
        <f>IF(Antriebsart1="Verbrenner","Erdgas (CNG)","nicht verfügbar")</f>
        <v>nicht verfügbar</v>
      </c>
    </row>
    <row r="9" spans="1:7" x14ac:dyDescent="0.25">
      <c r="B9" s="2" t="s">
        <v>114</v>
      </c>
      <c r="C9" s="114"/>
      <c r="F9" s="137"/>
    </row>
    <row r="10" spans="1:7" x14ac:dyDescent="0.25">
      <c r="B10" s="1" t="s">
        <v>115</v>
      </c>
      <c r="C10" s="114" t="str">
        <f>IF(Hersteller1=0,"",Hersteller1)</f>
        <v/>
      </c>
      <c r="D10" s="57"/>
      <c r="F10" s="137"/>
    </row>
    <row r="11" spans="1:7" x14ac:dyDescent="0.25">
      <c r="B11" s="1" t="s">
        <v>49</v>
      </c>
      <c r="C11" s="114" t="str">
        <f>IF(Modell1=0,"",Modell1)</f>
        <v/>
      </c>
      <c r="D11" s="57"/>
      <c r="F11" s="137"/>
    </row>
    <row r="12" spans="1:7" ht="43.95" customHeight="1" x14ac:dyDescent="0.25">
      <c r="B12" s="58" t="s">
        <v>116</v>
      </c>
      <c r="C12" s="114" t="str">
        <f>IF(Zusatzinfo1=0,"",Zusatzinfo1)</f>
        <v/>
      </c>
      <c r="D12" s="57"/>
      <c r="F12" s="137"/>
    </row>
    <row r="13" spans="1:7" x14ac:dyDescent="0.25">
      <c r="B13" s="59" t="s">
        <v>40</v>
      </c>
      <c r="C13" s="114" t="str">
        <f>IF(Antriebsart1=0,"",Antriebsart1)</f>
        <v/>
      </c>
      <c r="F13" s="7"/>
    </row>
    <row r="14" spans="1:7" x14ac:dyDescent="0.25">
      <c r="A14" s="119"/>
      <c r="B14" s="2" t="s">
        <v>43</v>
      </c>
      <c r="C14" s="114" t="str">
        <f>IF(Energie1=0,"",Energie1)</f>
        <v/>
      </c>
      <c r="D14" s="99"/>
      <c r="E14" s="145"/>
      <c r="F14" s="7"/>
    </row>
    <row r="15" spans="1:7" s="137" customFormat="1" ht="13.95" customHeight="1" x14ac:dyDescent="0.25">
      <c r="A15" s="136"/>
      <c r="C15" s="139"/>
      <c r="F15" s="7"/>
    </row>
    <row r="16" spans="1:7" x14ac:dyDescent="0.25">
      <c r="B16" s="3" t="s">
        <v>198</v>
      </c>
      <c r="C16" s="3"/>
      <c r="D16" s="3"/>
      <c r="F16" s="137"/>
    </row>
    <row r="17" spans="1:6" s="201" customFormat="1" x14ac:dyDescent="0.25">
      <c r="B17" s="202"/>
      <c r="C17" s="202"/>
      <c r="D17" s="202"/>
      <c r="E17" s="203"/>
      <c r="F17" s="203"/>
    </row>
    <row r="18" spans="1:6" s="201" customFormat="1" x14ac:dyDescent="0.25">
      <c r="B18" s="75" t="s">
        <v>199</v>
      </c>
      <c r="C18" s="361">
        <f>0.0057*(ReichwPHEV1/23)^3-0.0838*(ReichwPHEV1/23)^2+0.4261*(ReichwPHEV1/23)+ 0.1633</f>
        <v>0.1633</v>
      </c>
      <c r="D18" s="207"/>
      <c r="E18" s="203"/>
      <c r="F18" s="203"/>
    </row>
    <row r="19" spans="1:6" s="201" customFormat="1" x14ac:dyDescent="0.25">
      <c r="B19" s="1" t="s">
        <v>209</v>
      </c>
      <c r="C19" s="362">
        <f>Verbrauch1/(1-0.9*C18)</f>
        <v>0</v>
      </c>
      <c r="D19" s="205" t="s">
        <v>54</v>
      </c>
      <c r="E19" s="203"/>
      <c r="F19" s="203"/>
    </row>
    <row r="20" spans="1:6" s="201" customFormat="1" x14ac:dyDescent="0.25">
      <c r="B20" s="75" t="s">
        <v>210</v>
      </c>
      <c r="C20" s="363">
        <f>VerbEl_WLTP1/C18</f>
        <v>0</v>
      </c>
      <c r="D20" s="207" t="s">
        <v>55</v>
      </c>
      <c r="E20" s="203"/>
      <c r="F20" s="203"/>
    </row>
    <row r="21" spans="1:6" s="201" customFormat="1" x14ac:dyDescent="0.25">
      <c r="B21" s="209" t="s">
        <v>201</v>
      </c>
      <c r="C21" s="364">
        <f>0.0021*(ReichwPHEV1/23)^3-0.0358*(ReichwPHEV1/23)^2+0.2607*(ReichwPHEV1/23)- 0.0267</f>
        <v>-2.6700000000000002E-2</v>
      </c>
      <c r="D21" s="210"/>
      <c r="E21" s="203"/>
      <c r="F21" s="203"/>
    </row>
    <row r="22" spans="1:6" s="201" customFormat="1" x14ac:dyDescent="0.25">
      <c r="A22" s="428" t="s">
        <v>9</v>
      </c>
      <c r="B22" s="427" t="s">
        <v>208</v>
      </c>
      <c r="C22" s="365">
        <f>C19*(1-0.9*C21)</f>
        <v>0</v>
      </c>
      <c r="D22" s="208" t="s">
        <v>54</v>
      </c>
      <c r="E22" s="203"/>
      <c r="F22" s="203"/>
    </row>
    <row r="23" spans="1:6" s="201" customFormat="1" x14ac:dyDescent="0.25">
      <c r="A23" s="428"/>
      <c r="B23" s="410"/>
      <c r="C23" s="365">
        <f>C20*C21</f>
        <v>0</v>
      </c>
      <c r="D23" s="206" t="s">
        <v>55</v>
      </c>
      <c r="E23" s="203"/>
      <c r="F23" s="203"/>
    </row>
    <row r="24" spans="1:6" s="137" customFormat="1" ht="14.4" x14ac:dyDescent="0.25">
      <c r="A24" s="138"/>
      <c r="C24" s="199"/>
      <c r="D24" s="7"/>
    </row>
    <row r="25" spans="1:6" x14ac:dyDescent="0.25">
      <c r="B25" s="3" t="s">
        <v>117</v>
      </c>
      <c r="C25" s="100"/>
      <c r="D25" s="100"/>
      <c r="F25" s="119"/>
    </row>
    <row r="26" spans="1:6" x14ac:dyDescent="0.25">
      <c r="F26" s="137"/>
    </row>
    <row r="27" spans="1:6" x14ac:dyDescent="0.25">
      <c r="B27" s="62" t="s">
        <v>68</v>
      </c>
      <c r="C27" s="63"/>
      <c r="D27" s="62"/>
      <c r="F27" s="137"/>
    </row>
    <row r="28" spans="1:6" x14ac:dyDescent="0.25">
      <c r="B28" s="1" t="s">
        <v>118</v>
      </c>
      <c r="C28" s="348">
        <f>IF(Antriebsart1="Vollelektrisch (BEV)",0,IFERROR(VLOOKUP(Energie1,EnKostList,6,FALSE),0)*IF(Antriebsart1="Plug-In-Hybrid (PHEV)",VerbPHEV1,Verbrauch1)/100*Fahrleistung)</f>
        <v>0</v>
      </c>
      <c r="D28" s="2" t="s">
        <v>119</v>
      </c>
      <c r="F28" s="137"/>
    </row>
    <row r="29" spans="1:6" x14ac:dyDescent="0.25">
      <c r="B29" s="1" t="s">
        <v>44</v>
      </c>
      <c r="C29" s="348">
        <f>IF(Antriebsart1="Verbrenner",0,VLOOKUP("Strom",EnKostList,6,FALSE)*IF(Antriebsart1="Plug-In-Hybrid (PHEV)",VerbElPHEV1,VerbEl_WLTP1)/100*Fahrleistung)</f>
        <v>0</v>
      </c>
      <c r="D29" s="2" t="s">
        <v>119</v>
      </c>
    </row>
    <row r="30" spans="1:6" ht="14.4" thickBot="1" x14ac:dyDescent="0.3">
      <c r="B30" s="66" t="s">
        <v>72</v>
      </c>
      <c r="C30" s="349">
        <f>SUM(C28:C29)</f>
        <v>0</v>
      </c>
      <c r="D30" s="66" t="s">
        <v>119</v>
      </c>
    </row>
    <row r="31" spans="1:6" ht="14.4" thickTop="1" x14ac:dyDescent="0.25">
      <c r="C31" s="10"/>
      <c r="D31" s="2"/>
    </row>
    <row r="32" spans="1:6" x14ac:dyDescent="0.25">
      <c r="B32" s="62" t="s">
        <v>120</v>
      </c>
      <c r="C32" s="160" t="str">
        <f>CONCATENATE("Energieträger: ",Energie1)</f>
        <v xml:space="preserve">Energieträger: </v>
      </c>
      <c r="D32" s="62"/>
      <c r="F32" s="161"/>
    </row>
    <row r="33" spans="1:6" ht="16.2" x14ac:dyDescent="0.35">
      <c r="B33" s="1" t="s">
        <v>121</v>
      </c>
      <c r="C33" s="348">
        <f>IF(Antriebsart1="Plug-In-Hybrid (PHEV)",VerbPHEV1*VLOOKUP(Energie1,CO2List,2,FALSE)/100,CO2_1)*Fahrleistung/1000000</f>
        <v>0</v>
      </c>
      <c r="D33" s="2" t="s">
        <v>122</v>
      </c>
      <c r="F33" s="119"/>
    </row>
    <row r="34" spans="1:6" x14ac:dyDescent="0.25">
      <c r="B34" s="1" t="s">
        <v>108</v>
      </c>
      <c r="C34" s="348">
        <f>C33*Kost_THG</f>
        <v>0</v>
      </c>
      <c r="D34" s="2" t="s">
        <v>119</v>
      </c>
    </row>
    <row r="35" spans="1:6" x14ac:dyDescent="0.25">
      <c r="B35" s="1" t="s">
        <v>58</v>
      </c>
      <c r="C35" s="348">
        <f>IF(Energie1="Strom",0,NOX_1*Fahrleistung*Kost_NOX/1000)</f>
        <v>0</v>
      </c>
      <c r="D35" s="2" t="s">
        <v>119</v>
      </c>
    </row>
    <row r="36" spans="1:6" x14ac:dyDescent="0.25">
      <c r="B36" s="1" t="s">
        <v>59</v>
      </c>
      <c r="C36" s="348">
        <f>IF(Energie1="Strom",0,Partikel1*Fahrleistung*Kost_Partikel/1000)</f>
        <v>0</v>
      </c>
      <c r="D36" s="2" t="s">
        <v>119</v>
      </c>
    </row>
    <row r="37" spans="1:6" ht="14.4" thickBot="1" x14ac:dyDescent="0.3">
      <c r="B37" s="66" t="s">
        <v>72</v>
      </c>
      <c r="C37" s="349">
        <f>SUM(C34:C36)</f>
        <v>0</v>
      </c>
      <c r="D37" s="66" t="s">
        <v>119</v>
      </c>
    </row>
    <row r="38" spans="1:6" ht="14.4" thickTop="1" x14ac:dyDescent="0.25">
      <c r="D38" s="2"/>
    </row>
    <row r="39" spans="1:6" x14ac:dyDescent="0.25">
      <c r="B39" s="62" t="s">
        <v>123</v>
      </c>
      <c r="C39" s="160" t="str">
        <f>CONCATENATE("Energieträger: ",Energie1,IF(Antriebsart1="Plug-In-Hybrid (PHEV)","+Strom",""))</f>
        <v xml:space="preserve">Energieträger: </v>
      </c>
      <c r="D39" s="62"/>
    </row>
    <row r="40" spans="1:6" ht="16.2" x14ac:dyDescent="0.35">
      <c r="B40" s="1" t="s">
        <v>121</v>
      </c>
      <c r="C40" s="348">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0</v>
      </c>
      <c r="D40" s="2" t="s">
        <v>122</v>
      </c>
      <c r="F40" s="119"/>
    </row>
    <row r="41" spans="1:6" x14ac:dyDescent="0.25">
      <c r="B41" s="1" t="s">
        <v>124</v>
      </c>
      <c r="C41" s="348">
        <f ca="1">C40*Kost_THG</f>
        <v>0</v>
      </c>
      <c r="D41" s="2" t="s">
        <v>119</v>
      </c>
    </row>
    <row r="43" spans="1:6" x14ac:dyDescent="0.25">
      <c r="B43" s="3" t="s">
        <v>125</v>
      </c>
      <c r="C43" s="100"/>
      <c r="D43" s="100"/>
      <c r="F43" s="119"/>
    </row>
    <row r="44" spans="1:6" x14ac:dyDescent="0.25">
      <c r="B44" s="32"/>
      <c r="C44" s="32"/>
      <c r="D44" s="32"/>
    </row>
    <row r="45" spans="1:6" x14ac:dyDescent="0.25">
      <c r="A45" s="119"/>
      <c r="B45" s="101" t="s">
        <v>126</v>
      </c>
      <c r="C45" s="146" t="s">
        <v>127</v>
      </c>
      <c r="D45" s="64"/>
    </row>
    <row r="46" spans="1:6" ht="16.2" customHeight="1" x14ac:dyDescent="0.25">
      <c r="A46" s="426" t="s">
        <v>9</v>
      </c>
      <c r="B46" s="424" t="s">
        <v>121</v>
      </c>
      <c r="C46" s="350">
        <f>IF(OR(Antriebsart1="Vollelektrisch (BEV)",Antriebsart1="Plug-In-Hybrid (PHEV)"),Batterie1*Batterie_THG/1000,0)</f>
        <v>0</v>
      </c>
      <c r="D46" s="143" t="s">
        <v>128</v>
      </c>
      <c r="E46" s="139"/>
      <c r="F46" s="119"/>
    </row>
    <row r="47" spans="1:6" ht="16.2" customHeight="1" x14ac:dyDescent="0.25">
      <c r="A47" s="426"/>
      <c r="B47" s="425"/>
      <c r="C47" s="366" t="e">
        <f>IF((Fahrleistung*16)&lt;220000,C46*10^6/(Fahrleistung*16),C46*10^6/220000)</f>
        <v>#DIV/0!</v>
      </c>
      <c r="D47" s="142" t="s">
        <v>129</v>
      </c>
      <c r="E47" s="139"/>
      <c r="F47" s="119"/>
    </row>
    <row r="48" spans="1:6" x14ac:dyDescent="0.25">
      <c r="B48" s="1" t="s">
        <v>130</v>
      </c>
      <c r="C48" s="358" t="e">
        <f>IF(C47*Fahrleistung/10^6*Haltedauer&lt;C46, C47*Fahrleistung/10^6*Kost_THG, C46/Haltedauer*Kost_THG)</f>
        <v>#DIV/0!</v>
      </c>
      <c r="D48" s="2" t="s">
        <v>119</v>
      </c>
    </row>
    <row r="49" spans="2:6" x14ac:dyDescent="0.25">
      <c r="D49" s="2"/>
    </row>
    <row r="50" spans="2:6" x14ac:dyDescent="0.25">
      <c r="F50" s="119"/>
    </row>
    <row r="51" spans="2:6" x14ac:dyDescent="0.25">
      <c r="B51" s="3" t="str">
        <f>CONCATENATE("Lebenszykluskosten"," (Haltedauer: ",Haltedauer," Jahre)")</f>
        <v>Lebenszykluskosten (Haltedauer:  Jahre)</v>
      </c>
      <c r="C51" s="100"/>
      <c r="D51" s="100"/>
    </row>
    <row r="52" spans="2:6" x14ac:dyDescent="0.25">
      <c r="B52" s="1" t="s">
        <v>131</v>
      </c>
    </row>
    <row r="54" spans="2:6" x14ac:dyDescent="0.25">
      <c r="B54" s="71" t="s">
        <v>132</v>
      </c>
      <c r="C54" s="351">
        <f>IF(FinArt="Kauf",IF(KaufpreisRech="Kaufpreis",Gesamtpreis1,0),Gesamtpreis1*Haltedauer*12+IF(FinArt="Leasing",LeasSondZahl1,0))</f>
        <v>0</v>
      </c>
      <c r="D54" s="71" t="s">
        <v>51</v>
      </c>
      <c r="F54" s="60"/>
    </row>
    <row r="55" spans="2:6" x14ac:dyDescent="0.25">
      <c r="B55" s="1" t="s">
        <v>133</v>
      </c>
      <c r="C55" s="352">
        <f>IF(AND(KaufpreisRech="Wertminderung",FinArt="Kauf"),Gesamtpreis1-Gesamtpreis1*(-0.2*LN(Haltedauer)+0.667),0)</f>
        <v>0</v>
      </c>
      <c r="D55" s="1" t="s">
        <v>51</v>
      </c>
      <c r="F55" s="60"/>
    </row>
    <row r="56" spans="2:6" x14ac:dyDescent="0.25">
      <c r="B56" s="1" t="s">
        <v>68</v>
      </c>
      <c r="C56" s="352">
        <f>C30*Haltedauer</f>
        <v>0</v>
      </c>
      <c r="D56" s="1" t="s">
        <v>51</v>
      </c>
      <c r="F56" s="60"/>
    </row>
    <row r="57" spans="2:6" x14ac:dyDescent="0.25">
      <c r="B57" s="1" t="s">
        <v>134</v>
      </c>
      <c r="C57" s="352">
        <f>C37*Haltedauer</f>
        <v>0</v>
      </c>
      <c r="D57" s="1" t="s">
        <v>51</v>
      </c>
      <c r="F57" s="60"/>
    </row>
    <row r="58" spans="2:6" x14ac:dyDescent="0.25">
      <c r="B58" s="1" t="s">
        <v>124</v>
      </c>
      <c r="C58" s="352">
        <f ca="1">C41*Haltedauer</f>
        <v>0</v>
      </c>
      <c r="D58" s="1" t="s">
        <v>51</v>
      </c>
      <c r="F58" s="60"/>
    </row>
    <row r="59" spans="2:6" x14ac:dyDescent="0.25">
      <c r="B59" s="75" t="s">
        <v>71</v>
      </c>
      <c r="C59" s="353" t="e">
        <f>C48*Haltedauer</f>
        <v>#DIV/0!</v>
      </c>
      <c r="D59" s="75" t="s">
        <v>51</v>
      </c>
      <c r="F59" s="162"/>
    </row>
    <row r="60" spans="2:6" ht="14.4" thickBot="1" x14ac:dyDescent="0.3">
      <c r="B60" s="66" t="s">
        <v>72</v>
      </c>
      <c r="C60" s="354" t="e">
        <f ca="1">SUM(C54:C59)</f>
        <v>#DIV/0!</v>
      </c>
      <c r="D60" s="66" t="s">
        <v>51</v>
      </c>
      <c r="F60" s="60"/>
    </row>
    <row r="61" spans="2:6" ht="14.4" thickTop="1" x14ac:dyDescent="0.25">
      <c r="C61" s="10"/>
    </row>
    <row r="62" spans="2:6" ht="16.2" x14ac:dyDescent="0.35">
      <c r="B62" s="71" t="s">
        <v>135</v>
      </c>
      <c r="C62" s="367" t="e">
        <f>IF(C47*Fahrleistung/10^6*Haltedauer&lt;C46, C47*Fahrleistung/10^6*Haltedauer, C46)</f>
        <v>#DIV/0!</v>
      </c>
      <c r="D62" s="71" t="s">
        <v>136</v>
      </c>
    </row>
    <row r="63" spans="2:6" ht="16.2" x14ac:dyDescent="0.35">
      <c r="B63" s="75" t="s">
        <v>77</v>
      </c>
      <c r="C63" s="356">
        <f ca="1">C33*Haltedauer+C40*Haltedauer</f>
        <v>0</v>
      </c>
      <c r="D63" s="75" t="s">
        <v>136</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137</v>
      </c>
      <c r="E2" s="118" t="s">
        <v>468</v>
      </c>
      <c r="F2" s="137"/>
    </row>
    <row r="3" spans="1:6" x14ac:dyDescent="0.25">
      <c r="E3" s="137"/>
      <c r="F3" s="137"/>
    </row>
    <row r="4" spans="1:6" x14ac:dyDescent="0.25">
      <c r="B4" s="3" t="s">
        <v>113</v>
      </c>
      <c r="C4" s="3"/>
      <c r="D4" s="3"/>
      <c r="E4" s="137"/>
      <c r="F4" s="137"/>
    </row>
    <row r="5" spans="1:6" x14ac:dyDescent="0.25">
      <c r="E5" s="137"/>
      <c r="F5" s="137" t="str">
        <f>IF(Antriebsart2="Vollelektrisch (BEV)","Strom","nicht verfügbar")</f>
        <v>nicht verfügbar</v>
      </c>
    </row>
    <row r="6" spans="1:6" x14ac:dyDescent="0.25">
      <c r="B6" s="2" t="s">
        <v>39</v>
      </c>
      <c r="C6" s="56">
        <v>2</v>
      </c>
      <c r="E6" s="137"/>
      <c r="F6" s="137" t="str">
        <f>IF(OR(Antriebsart2="Verbrenner",Antriebsart2="Plug-In-Hybrid (PHEV)"),"Diesel","nicht verfügbar")</f>
        <v>nicht verfügbar</v>
      </c>
    </row>
    <row r="7" spans="1:6" x14ac:dyDescent="0.25">
      <c r="B7" s="1" t="s">
        <v>47</v>
      </c>
      <c r="C7" s="114" t="str">
        <f>IF(Anbieter2=0,"",Anbieter2)</f>
        <v/>
      </c>
      <c r="E7" s="137"/>
      <c r="F7" s="137" t="str">
        <f>IF(OR(Antriebsart2="Verbrenner",Antriebsart2="Plug-In-Hybrid (PHEV)"),"Benzin","nicht verfügbar")</f>
        <v>nicht verfügbar</v>
      </c>
    </row>
    <row r="8" spans="1:6" x14ac:dyDescent="0.25">
      <c r="C8" s="114"/>
      <c r="E8" s="137"/>
      <c r="F8" s="137" t="str">
        <f>IF(Antriebsart2="Verbrenner","Erdgas (CNG)","nicht verfügbar")</f>
        <v>nicht verfügbar</v>
      </c>
    </row>
    <row r="9" spans="1:6" x14ac:dyDescent="0.25">
      <c r="B9" s="2" t="s">
        <v>114</v>
      </c>
      <c r="C9" s="114"/>
      <c r="E9" s="137"/>
      <c r="F9" s="137"/>
    </row>
    <row r="10" spans="1:6" x14ac:dyDescent="0.25">
      <c r="B10" s="1" t="s">
        <v>115</v>
      </c>
      <c r="C10" s="114" t="str">
        <f>IF(Hersteller2=0,"",Hersteller2)</f>
        <v/>
      </c>
      <c r="D10" s="57"/>
      <c r="E10" s="137"/>
      <c r="F10" s="137"/>
    </row>
    <row r="11" spans="1:6" x14ac:dyDescent="0.25">
      <c r="B11" s="1" t="s">
        <v>49</v>
      </c>
      <c r="C11" s="114" t="str">
        <f>IF(Modell2=0,"",Modell2)</f>
        <v/>
      </c>
      <c r="D11" s="57"/>
      <c r="E11" s="137"/>
      <c r="F11" s="137"/>
    </row>
    <row r="12" spans="1:6" ht="43.95" customHeight="1" x14ac:dyDescent="0.25">
      <c r="B12" s="58" t="s">
        <v>116</v>
      </c>
      <c r="C12" s="114" t="str">
        <f>IF(Zusatzinfo2=0,"",Zusatzinfo2)</f>
        <v/>
      </c>
      <c r="D12" s="57"/>
      <c r="E12" s="137"/>
      <c r="F12" s="137"/>
    </row>
    <row r="13" spans="1:6" x14ac:dyDescent="0.25">
      <c r="B13" s="59" t="s">
        <v>40</v>
      </c>
      <c r="C13" s="114" t="str">
        <f>IF(Antriebsart2=0,"",Antriebsart2)</f>
        <v/>
      </c>
      <c r="E13" s="137"/>
      <c r="F13" s="137"/>
    </row>
    <row r="14" spans="1:6" x14ac:dyDescent="0.25">
      <c r="B14" s="2" t="s">
        <v>43</v>
      </c>
      <c r="C14" s="114" t="str">
        <f>IF(Energie2=0,"",Energie2)</f>
        <v/>
      </c>
      <c r="D14" s="99"/>
      <c r="E14" s="137"/>
      <c r="F14" s="137"/>
    </row>
    <row r="15" spans="1:6" s="137" customFormat="1" ht="14.4" x14ac:dyDescent="0.25">
      <c r="A15" s="138"/>
      <c r="C15" s="139"/>
    </row>
    <row r="16" spans="1:6" x14ac:dyDescent="0.25">
      <c r="B16" s="3" t="s">
        <v>198</v>
      </c>
      <c r="C16" s="3"/>
      <c r="D16" s="3"/>
      <c r="E16" s="137"/>
      <c r="F16" s="137"/>
    </row>
    <row r="17" spans="1:6" s="201" customFormat="1" x14ac:dyDescent="0.25">
      <c r="B17" s="202"/>
      <c r="C17" s="202"/>
      <c r="D17" s="202"/>
      <c r="E17" s="203"/>
      <c r="F17" s="203"/>
    </row>
    <row r="18" spans="1:6" s="201" customFormat="1" x14ac:dyDescent="0.25">
      <c r="B18" s="75" t="s">
        <v>199</v>
      </c>
      <c r="C18" s="361">
        <f>0.0057*(ReichwPHEV2/23)^3-0.0838*(ReichwPHEV2/23)^2+0.4261*(ReichwPHEV2/23)+ 0.1633</f>
        <v>0.1633</v>
      </c>
      <c r="D18" s="207"/>
      <c r="E18" s="203"/>
      <c r="F18" s="203"/>
    </row>
    <row r="19" spans="1:6" s="201" customFormat="1" x14ac:dyDescent="0.25">
      <c r="B19" s="1" t="s">
        <v>209</v>
      </c>
      <c r="C19" s="362">
        <f>Verbrauch2/(1-0.9*C18)</f>
        <v>0</v>
      </c>
      <c r="D19" s="205" t="s">
        <v>54</v>
      </c>
      <c r="E19" s="203"/>
      <c r="F19" s="203"/>
    </row>
    <row r="20" spans="1:6" s="201" customFormat="1" x14ac:dyDescent="0.25">
      <c r="B20" s="75" t="s">
        <v>210</v>
      </c>
      <c r="C20" s="363">
        <f>VerbEl_WLTP2/C18</f>
        <v>0</v>
      </c>
      <c r="D20" s="207" t="s">
        <v>55</v>
      </c>
      <c r="E20" s="203"/>
      <c r="F20" s="203"/>
    </row>
    <row r="21" spans="1:6" s="201" customFormat="1" x14ac:dyDescent="0.25">
      <c r="B21" s="209" t="s">
        <v>201</v>
      </c>
      <c r="C21" s="364">
        <f>0.0021*(ReichwPHEV2/23)^3-0.0358*(ReichwPHEV2/23)^2+0.2607*(ReichwPHEV2/23)- 0.0267</f>
        <v>-2.6700000000000002E-2</v>
      </c>
      <c r="D21" s="210"/>
      <c r="E21" s="203"/>
      <c r="F21" s="203"/>
    </row>
    <row r="22" spans="1:6" s="201" customFormat="1" x14ac:dyDescent="0.25">
      <c r="A22" s="428" t="s">
        <v>9</v>
      </c>
      <c r="B22" s="427" t="s">
        <v>208</v>
      </c>
      <c r="C22" s="365">
        <f>C19*(1-0.9*C21)</f>
        <v>0</v>
      </c>
      <c r="D22" s="208" t="s">
        <v>54</v>
      </c>
      <c r="E22" s="203"/>
      <c r="F22" s="203"/>
    </row>
    <row r="23" spans="1:6" s="201" customFormat="1" x14ac:dyDescent="0.25">
      <c r="A23" s="428"/>
      <c r="B23" s="410"/>
      <c r="C23" s="365">
        <f>C20*C21</f>
        <v>0</v>
      </c>
      <c r="D23" s="206" t="s">
        <v>55</v>
      </c>
      <c r="E23" s="203"/>
      <c r="F23" s="203"/>
    </row>
    <row r="24" spans="1:6" s="137" customFormat="1" ht="14.4" x14ac:dyDescent="0.25">
      <c r="A24" s="138"/>
      <c r="C24" s="199"/>
      <c r="D24" s="7"/>
    </row>
    <row r="25" spans="1:6" x14ac:dyDescent="0.25">
      <c r="B25" s="3" t="s">
        <v>117</v>
      </c>
      <c r="C25" s="3"/>
      <c r="D25" s="3"/>
      <c r="E25" s="137"/>
      <c r="F25" s="137"/>
    </row>
    <row r="26" spans="1:6" x14ac:dyDescent="0.25">
      <c r="E26" s="137"/>
      <c r="F26" s="137"/>
    </row>
    <row r="27" spans="1:6" x14ac:dyDescent="0.25">
      <c r="B27" s="62" t="s">
        <v>68</v>
      </c>
      <c r="C27" s="63"/>
      <c r="D27" s="62"/>
      <c r="E27" s="137"/>
      <c r="F27" s="137"/>
    </row>
    <row r="28" spans="1:6" x14ac:dyDescent="0.25">
      <c r="B28" s="1" t="s">
        <v>118</v>
      </c>
      <c r="C28" s="348">
        <f>IF(Antriebsart2="Vollelektrisch (BEV)",0,IFERROR(VLOOKUP(Energie2,EnKostList,6,FALSE),0)*IF(Antriebsart2="Plug-In-Hybrid (PHEV)",VerbPHEV2,Verbrauch2)/100*Fahrleistung)</f>
        <v>0</v>
      </c>
      <c r="D28" s="2" t="s">
        <v>119</v>
      </c>
      <c r="E28" s="137"/>
      <c r="F28" s="137"/>
    </row>
    <row r="29" spans="1:6" x14ac:dyDescent="0.25">
      <c r="B29" s="1" t="s">
        <v>44</v>
      </c>
      <c r="C29" s="348">
        <f>IF(Antriebsart2="Verbrenner",0,VLOOKUP("Strom",EnKostList,6,FALSE)*IF(Antriebsart2="Plug-In-Hybrid (PHEV)",VerbElPHEV2,VerbEl_WLTP2)/100*Fahrleistung)</f>
        <v>0</v>
      </c>
      <c r="D29" s="2" t="s">
        <v>119</v>
      </c>
      <c r="E29" s="137"/>
      <c r="F29" s="137"/>
    </row>
    <row r="30" spans="1:6" ht="14.4" thickBot="1" x14ac:dyDescent="0.3">
      <c r="B30" s="66" t="s">
        <v>72</v>
      </c>
      <c r="C30" s="349">
        <f>SUM(C28:C29)</f>
        <v>0</v>
      </c>
      <c r="D30" s="66" t="s">
        <v>119</v>
      </c>
      <c r="E30" s="137"/>
      <c r="F30" s="137"/>
    </row>
    <row r="31" spans="1:6" ht="14.4" thickTop="1" x14ac:dyDescent="0.25">
      <c r="C31" s="10"/>
      <c r="D31" s="2"/>
      <c r="E31" s="137"/>
      <c r="F31" s="137"/>
    </row>
    <row r="32" spans="1:6" x14ac:dyDescent="0.25">
      <c r="B32" s="62" t="s">
        <v>120</v>
      </c>
      <c r="C32" s="160" t="str">
        <f>CONCATENATE("Energieträger: ",Energie2)</f>
        <v xml:space="preserve">Energieträger: </v>
      </c>
      <c r="D32" s="62"/>
      <c r="E32" s="137"/>
      <c r="F32" s="137"/>
    </row>
    <row r="33" spans="1:6" ht="16.2" x14ac:dyDescent="0.35">
      <c r="B33" s="1" t="s">
        <v>121</v>
      </c>
      <c r="C33" s="348">
        <f>IF(Antriebsart2="Plug-In-Hybrid (PHEV)",VerbPHEV2*VLOOKUP(Energie2,CO2List,2,FALSE)/100,CO2_2)*Fahrleistung/1000000</f>
        <v>0</v>
      </c>
      <c r="D33" s="2" t="s">
        <v>122</v>
      </c>
      <c r="E33" s="137"/>
      <c r="F33" s="137"/>
    </row>
    <row r="34" spans="1:6" x14ac:dyDescent="0.25">
      <c r="B34" s="1" t="s">
        <v>108</v>
      </c>
      <c r="C34" s="348">
        <f>C33*Kost_THG</f>
        <v>0</v>
      </c>
      <c r="D34" s="2" t="s">
        <v>119</v>
      </c>
      <c r="E34" s="137"/>
      <c r="F34" s="137"/>
    </row>
    <row r="35" spans="1:6" x14ac:dyDescent="0.25">
      <c r="B35" s="7" t="s">
        <v>58</v>
      </c>
      <c r="C35" s="357">
        <f>IF(Energie2="Strom",0,NOX_2*Fahrleistung*Kost_NOX/1000)</f>
        <v>0</v>
      </c>
      <c r="D35" s="67" t="s">
        <v>119</v>
      </c>
      <c r="E35" s="137"/>
      <c r="F35" s="137"/>
    </row>
    <row r="36" spans="1:6" x14ac:dyDescent="0.25">
      <c r="B36" s="7" t="s">
        <v>59</v>
      </c>
      <c r="C36" s="357">
        <f>IF(Energie2="Strom",0,Partikel2*Fahrleistung*Kost_Partikel/1000)</f>
        <v>0</v>
      </c>
      <c r="D36" s="67" t="s">
        <v>119</v>
      </c>
      <c r="E36" s="137"/>
      <c r="F36" s="137"/>
    </row>
    <row r="37" spans="1:6" ht="14.4" thickBot="1" x14ac:dyDescent="0.3">
      <c r="B37" s="66" t="s">
        <v>72</v>
      </c>
      <c r="C37" s="349">
        <f>SUM(C34:C36)</f>
        <v>0</v>
      </c>
      <c r="D37" s="66" t="s">
        <v>119</v>
      </c>
      <c r="E37" s="137"/>
      <c r="F37" s="137"/>
    </row>
    <row r="38" spans="1:6" ht="14.4" thickTop="1" x14ac:dyDescent="0.25">
      <c r="B38" s="14"/>
      <c r="D38" s="2"/>
      <c r="E38" s="137"/>
      <c r="F38" s="137"/>
    </row>
    <row r="39" spans="1:6" x14ac:dyDescent="0.25">
      <c r="B39" s="62" t="s">
        <v>123</v>
      </c>
      <c r="C39" s="160" t="str">
        <f>CONCATENATE("Energieträger: ",Energie2,IF(Antriebsart2="Plug-In-Hybrid (PHEV)","+Strom",""))</f>
        <v xml:space="preserve">Energieträger: </v>
      </c>
      <c r="D39" s="62"/>
      <c r="E39" s="137"/>
      <c r="F39" s="137"/>
    </row>
    <row r="40" spans="1:6" ht="16.2" x14ac:dyDescent="0.35">
      <c r="B40" s="1" t="s">
        <v>121</v>
      </c>
      <c r="C40" s="348">
        <f ca="1">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v>
      </c>
      <c r="D40" s="2" t="s">
        <v>122</v>
      </c>
      <c r="E40" s="137"/>
      <c r="F40" s="137"/>
    </row>
    <row r="41" spans="1:6" x14ac:dyDescent="0.25">
      <c r="B41" s="1" t="s">
        <v>124</v>
      </c>
      <c r="C41" s="348">
        <f ca="1">C40*Kost_THG</f>
        <v>0</v>
      </c>
      <c r="D41" s="2" t="s">
        <v>119</v>
      </c>
      <c r="E41" s="137"/>
      <c r="F41" s="137"/>
    </row>
    <row r="42" spans="1:6" x14ac:dyDescent="0.25">
      <c r="E42" s="137"/>
      <c r="F42" s="137"/>
    </row>
    <row r="43" spans="1:6" x14ac:dyDescent="0.25">
      <c r="B43" s="3" t="s">
        <v>125</v>
      </c>
      <c r="C43" s="3"/>
      <c r="D43" s="3"/>
      <c r="E43" s="137"/>
      <c r="F43" s="137"/>
    </row>
    <row r="44" spans="1:6" x14ac:dyDescent="0.25">
      <c r="B44" s="69"/>
      <c r="C44" s="69"/>
      <c r="D44" s="69"/>
      <c r="E44" s="137"/>
      <c r="F44" s="137"/>
    </row>
    <row r="45" spans="1:6" s="70" customFormat="1" x14ac:dyDescent="0.25">
      <c r="A45" s="119"/>
      <c r="B45" s="101" t="s">
        <v>126</v>
      </c>
      <c r="C45" s="146" t="s">
        <v>127</v>
      </c>
      <c r="D45" s="64"/>
      <c r="E45" s="137"/>
      <c r="F45" s="137"/>
    </row>
    <row r="46" spans="1:6" s="70" customFormat="1" ht="16.2" x14ac:dyDescent="0.25">
      <c r="A46" s="426" t="s">
        <v>9</v>
      </c>
      <c r="B46" s="424" t="s">
        <v>121</v>
      </c>
      <c r="C46" s="350">
        <f>IF(OR(Antriebsart2="Vollelektrisch (BEV)",Antriebsart2="Plug-In-Hybrid (PHEV)"),Batterie2*Batterie_THG/1000,0)</f>
        <v>0</v>
      </c>
      <c r="D46" s="143" t="s">
        <v>128</v>
      </c>
      <c r="E46" s="139"/>
      <c r="F46" s="137"/>
    </row>
    <row r="47" spans="1:6" s="70" customFormat="1" ht="16.2" x14ac:dyDescent="0.25">
      <c r="A47" s="426"/>
      <c r="B47" s="425"/>
      <c r="C47" s="350" t="e">
        <f>IF((Fahrleistung*16)&lt;220000,C46*10^6/(Fahrleistung*16),C46*10^6/220000)</f>
        <v>#DIV/0!</v>
      </c>
      <c r="D47" s="142" t="s">
        <v>129</v>
      </c>
      <c r="E47" s="139"/>
      <c r="F47" s="137"/>
    </row>
    <row r="48" spans="1:6" x14ac:dyDescent="0.25">
      <c r="B48" s="1" t="s">
        <v>130</v>
      </c>
      <c r="C48" s="348" t="e">
        <f>IF(C47*Fahrleistung/10^6*Haltedauer&lt;C46, C47*Fahrleistung/10^6*Kost_THG, C46/Haltedauer*Kost_THG)</f>
        <v>#DIV/0!</v>
      </c>
      <c r="D48" s="2" t="s">
        <v>119</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Jahre)</v>
      </c>
      <c r="C51" s="100"/>
      <c r="D51" s="100"/>
    </row>
    <row r="52" spans="1:6" x14ac:dyDescent="0.25">
      <c r="B52" s="1" t="s">
        <v>131</v>
      </c>
    </row>
    <row r="54" spans="1:6" s="73" customFormat="1" ht="14.4" x14ac:dyDescent="0.3">
      <c r="A54" s="1"/>
      <c r="B54" s="71" t="s">
        <v>132</v>
      </c>
      <c r="C54" s="351">
        <f>IF(FinArt="Kauf",IF(KaufpreisRech="Kaufpreis",Gesamtpreis2,0),Gesamtpreis2*Haltedauer*12+IF(FinArt="Leasing",LeasSondZahl2,0))</f>
        <v>0</v>
      </c>
      <c r="D54" s="71" t="s">
        <v>51</v>
      </c>
      <c r="E54" s="72"/>
      <c r="F54" s="60"/>
    </row>
    <row r="55" spans="1:6" s="74" customFormat="1" x14ac:dyDescent="0.25">
      <c r="A55" s="1"/>
      <c r="B55" s="1" t="s">
        <v>133</v>
      </c>
      <c r="C55" s="352">
        <f>IF(AND(KaufpreisRech="Wertminderung",FinArt="Kauf"),Gesamtpreis2-Gesamtpreis2*(-0.2*LN(Haltedauer)+0.667),0)</f>
        <v>0</v>
      </c>
      <c r="D55" s="1" t="s">
        <v>51</v>
      </c>
      <c r="E55" s="137"/>
      <c r="F55" s="76"/>
    </row>
    <row r="56" spans="1:6" x14ac:dyDescent="0.25">
      <c r="B56" s="1" t="s">
        <v>68</v>
      </c>
      <c r="C56" s="352">
        <f>C30*Haltedauer</f>
        <v>0</v>
      </c>
      <c r="D56" s="1" t="s">
        <v>51</v>
      </c>
      <c r="F56" s="76"/>
    </row>
    <row r="57" spans="1:6" x14ac:dyDescent="0.25">
      <c r="B57" s="1" t="s">
        <v>134</v>
      </c>
      <c r="C57" s="352">
        <f>C37*Haltedauer</f>
        <v>0</v>
      </c>
      <c r="D57" s="1" t="s">
        <v>51</v>
      </c>
      <c r="F57" s="60"/>
    </row>
    <row r="58" spans="1:6" x14ac:dyDescent="0.25">
      <c r="B58" s="1" t="s">
        <v>124</v>
      </c>
      <c r="C58" s="352">
        <f ca="1">C41*Haltedauer</f>
        <v>0</v>
      </c>
      <c r="D58" s="1" t="s">
        <v>51</v>
      </c>
      <c r="F58" s="60"/>
    </row>
    <row r="59" spans="1:6" x14ac:dyDescent="0.25">
      <c r="B59" s="75" t="s">
        <v>71</v>
      </c>
      <c r="C59" s="353" t="e">
        <f>C48*Haltedauer</f>
        <v>#DIV/0!</v>
      </c>
      <c r="D59" s="75" t="s">
        <v>51</v>
      </c>
      <c r="F59" s="162"/>
    </row>
    <row r="60" spans="1:6" ht="14.4" thickBot="1" x14ac:dyDescent="0.3">
      <c r="B60" s="66" t="s">
        <v>72</v>
      </c>
      <c r="C60" s="354" t="e">
        <f ca="1">SUM(C54:C59)</f>
        <v>#DIV/0!</v>
      </c>
      <c r="D60" s="66" t="s">
        <v>51</v>
      </c>
      <c r="E60" s="14"/>
      <c r="F60" s="60"/>
    </row>
    <row r="61" spans="1:6" s="61" customFormat="1" ht="14.4" thickTop="1" x14ac:dyDescent="0.25">
      <c r="A61" s="1"/>
      <c r="B61" s="1"/>
      <c r="C61" s="10"/>
      <c r="D61" s="1"/>
      <c r="E61" s="14"/>
      <c r="F61" s="1"/>
    </row>
    <row r="62" spans="1:6" ht="16.2" x14ac:dyDescent="0.35">
      <c r="B62" s="71" t="s">
        <v>135</v>
      </c>
      <c r="C62" s="355" t="e">
        <f>IF(C47*Fahrleistung/10^6*Haltedauer&lt;C46, C47*Fahrleistung/10^6*Haltedauer, C46)</f>
        <v>#DIV/0!</v>
      </c>
      <c r="D62" s="71" t="s">
        <v>136</v>
      </c>
    </row>
    <row r="63" spans="1:6" ht="16.2" x14ac:dyDescent="0.35">
      <c r="B63" s="75" t="s">
        <v>77</v>
      </c>
      <c r="C63" s="356">
        <f ca="1">C33*Haltedauer+C40*Haltedauer</f>
        <v>0</v>
      </c>
      <c r="D63" s="75" t="s">
        <v>136</v>
      </c>
      <c r="E63" s="74"/>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138</v>
      </c>
      <c r="E2" s="118" t="s">
        <v>468</v>
      </c>
      <c r="F2" s="137"/>
    </row>
    <row r="3" spans="1:6" x14ac:dyDescent="0.25">
      <c r="E3" s="137"/>
      <c r="F3" s="137"/>
    </row>
    <row r="4" spans="1:6" x14ac:dyDescent="0.25">
      <c r="B4" s="3" t="s">
        <v>113</v>
      </c>
      <c r="C4" s="3"/>
      <c r="D4" s="3"/>
      <c r="E4" s="137"/>
      <c r="F4" s="137"/>
    </row>
    <row r="5" spans="1:6" x14ac:dyDescent="0.25">
      <c r="E5" s="137"/>
      <c r="F5" s="137" t="str">
        <f>IF(Antriebsart3="Vollelektrisch (BEV)","Strom","nicht verfügbar")</f>
        <v>nicht verfügbar</v>
      </c>
    </row>
    <row r="6" spans="1:6" x14ac:dyDescent="0.25">
      <c r="B6" s="2" t="s">
        <v>39</v>
      </c>
      <c r="C6" s="56">
        <v>3</v>
      </c>
      <c r="E6" s="137"/>
      <c r="F6" s="137" t="str">
        <f>IF(OR(Antriebsart3="Verbrenner",Antriebsart3="Plug-In-Hybrid (PHEV)"),"Diesel","nicht verfügbar")</f>
        <v>nicht verfügbar</v>
      </c>
    </row>
    <row r="7" spans="1:6" x14ac:dyDescent="0.25">
      <c r="B7" s="1" t="s">
        <v>47</v>
      </c>
      <c r="C7" s="114" t="str">
        <f>IF(Anbieter3=0,"",Anbieter3)</f>
        <v/>
      </c>
      <c r="E7" s="137"/>
      <c r="F7" s="137" t="str">
        <f>IF(OR(Antriebsart3="Verbrenner",Antriebsart3="Plug-In-Hybrid (PHEV)"),"Benzin","nicht verfügbar")</f>
        <v>nicht verfügbar</v>
      </c>
    </row>
    <row r="8" spans="1:6" x14ac:dyDescent="0.25">
      <c r="C8" s="114"/>
      <c r="E8" s="137"/>
      <c r="F8" s="137" t="str">
        <f>IF(Antriebsart3="Verbrenner","Erdgas (CNG)","nicht verfügbar")</f>
        <v>nicht verfügbar</v>
      </c>
    </row>
    <row r="9" spans="1:6" x14ac:dyDescent="0.25">
      <c r="B9" s="2" t="s">
        <v>114</v>
      </c>
      <c r="C9" s="114"/>
      <c r="E9" s="137"/>
      <c r="F9" s="137"/>
    </row>
    <row r="10" spans="1:6" x14ac:dyDescent="0.25">
      <c r="B10" s="1" t="s">
        <v>115</v>
      </c>
      <c r="C10" s="114" t="str">
        <f>IF(Hersteller3=0,"",Hersteller3)</f>
        <v/>
      </c>
      <c r="D10" s="57"/>
      <c r="E10" s="137"/>
      <c r="F10" s="137"/>
    </row>
    <row r="11" spans="1:6" x14ac:dyDescent="0.25">
      <c r="B11" s="1" t="s">
        <v>49</v>
      </c>
      <c r="C11" s="114" t="str">
        <f>IF(Modell3=0,"",Modell3)</f>
        <v/>
      </c>
      <c r="D11" s="57"/>
      <c r="E11" s="137"/>
      <c r="F11" s="137"/>
    </row>
    <row r="12" spans="1:6" ht="43.95" customHeight="1" x14ac:dyDescent="0.25">
      <c r="B12" s="58" t="s">
        <v>116</v>
      </c>
      <c r="C12" s="114" t="str">
        <f>IF(Zusatzinfo3=0,"",Zusatzinfo3)</f>
        <v/>
      </c>
      <c r="D12" s="57"/>
      <c r="E12" s="137"/>
      <c r="F12" s="137"/>
    </row>
    <row r="13" spans="1:6" x14ac:dyDescent="0.25">
      <c r="B13" s="59" t="s">
        <v>40</v>
      </c>
      <c r="C13" s="114" t="str">
        <f>IF(Antriebsart3=0,"",Antriebsart3)</f>
        <v/>
      </c>
      <c r="E13" s="137"/>
      <c r="F13" s="137"/>
    </row>
    <row r="14" spans="1:6" x14ac:dyDescent="0.25">
      <c r="B14" s="2" t="s">
        <v>43</v>
      </c>
      <c r="C14" s="114" t="str">
        <f>IF(Energie3=0,"",Energie3)</f>
        <v/>
      </c>
      <c r="D14" s="99"/>
      <c r="E14" s="137"/>
      <c r="F14" s="137"/>
    </row>
    <row r="15" spans="1:6" s="137" customFormat="1" ht="14.4" x14ac:dyDescent="0.25">
      <c r="A15" s="138"/>
      <c r="C15" s="139"/>
    </row>
    <row r="16" spans="1:6" x14ac:dyDescent="0.25">
      <c r="B16" s="3" t="s">
        <v>198</v>
      </c>
      <c r="C16" s="3"/>
      <c r="D16" s="3"/>
      <c r="E16" s="137"/>
      <c r="F16" s="137"/>
    </row>
    <row r="17" spans="1:6" s="201" customFormat="1" x14ac:dyDescent="0.25">
      <c r="B17" s="202"/>
      <c r="C17" s="202"/>
      <c r="D17" s="202"/>
      <c r="E17" s="203"/>
      <c r="F17" s="203"/>
    </row>
    <row r="18" spans="1:6" s="201" customFormat="1" x14ac:dyDescent="0.25">
      <c r="B18" s="75" t="s">
        <v>199</v>
      </c>
      <c r="C18" s="361">
        <f>0.0057*(ReichwPHEV3/23)^3-0.0838*(ReichwPHEV3/23)^2+0.4261*(ReichwPHEV3/23)+ 0.1633</f>
        <v>0.1633</v>
      </c>
      <c r="D18" s="207"/>
      <c r="E18" s="203"/>
      <c r="F18" s="203"/>
    </row>
    <row r="19" spans="1:6" s="201" customFormat="1" x14ac:dyDescent="0.25">
      <c r="B19" s="1" t="s">
        <v>209</v>
      </c>
      <c r="C19" s="362">
        <f>Verbrauch3/(1-0.9*C18)</f>
        <v>0</v>
      </c>
      <c r="D19" s="205" t="s">
        <v>54</v>
      </c>
      <c r="E19" s="203"/>
      <c r="F19" s="203"/>
    </row>
    <row r="20" spans="1:6" s="201" customFormat="1" x14ac:dyDescent="0.25">
      <c r="B20" s="75" t="s">
        <v>210</v>
      </c>
      <c r="C20" s="363">
        <f>VerbEl_WLTP3/C18</f>
        <v>0</v>
      </c>
      <c r="D20" s="207" t="s">
        <v>55</v>
      </c>
      <c r="E20" s="203"/>
      <c r="F20" s="203"/>
    </row>
    <row r="21" spans="1:6" s="201" customFormat="1" x14ac:dyDescent="0.25">
      <c r="B21" s="209" t="s">
        <v>201</v>
      </c>
      <c r="C21" s="364">
        <f>0.0021*(ReichwPHEV3/23)^3-0.0358*(ReichwPHEV3/23)^2+0.2607*(ReichwPHEV3/23)- 0.0267</f>
        <v>-2.6700000000000002E-2</v>
      </c>
      <c r="D21" s="210"/>
      <c r="E21" s="203"/>
      <c r="F21" s="203"/>
    </row>
    <row r="22" spans="1:6" s="201" customFormat="1" x14ac:dyDescent="0.25">
      <c r="A22" s="428" t="s">
        <v>9</v>
      </c>
      <c r="B22" s="427" t="s">
        <v>208</v>
      </c>
      <c r="C22" s="365">
        <f>C19*(1-0.9*C21)</f>
        <v>0</v>
      </c>
      <c r="D22" s="208" t="s">
        <v>54</v>
      </c>
      <c r="E22" s="203"/>
      <c r="F22" s="203"/>
    </row>
    <row r="23" spans="1:6" s="201" customFormat="1" x14ac:dyDescent="0.25">
      <c r="A23" s="428"/>
      <c r="B23" s="410"/>
      <c r="C23" s="365">
        <f>C20*C21</f>
        <v>0</v>
      </c>
      <c r="D23" s="206" t="s">
        <v>55</v>
      </c>
      <c r="E23" s="203"/>
      <c r="F23" s="203"/>
    </row>
    <row r="24" spans="1:6" s="137" customFormat="1" ht="14.4" x14ac:dyDescent="0.25">
      <c r="A24" s="138"/>
      <c r="C24" s="199"/>
      <c r="D24" s="7"/>
    </row>
    <row r="25" spans="1:6" x14ac:dyDescent="0.25">
      <c r="B25" s="3" t="s">
        <v>117</v>
      </c>
      <c r="C25" s="3"/>
      <c r="D25" s="3"/>
      <c r="E25" s="137"/>
      <c r="F25" s="137"/>
    </row>
    <row r="26" spans="1:6" x14ac:dyDescent="0.25">
      <c r="E26" s="137"/>
      <c r="F26" s="137"/>
    </row>
    <row r="27" spans="1:6" x14ac:dyDescent="0.25">
      <c r="B27" s="62" t="s">
        <v>68</v>
      </c>
      <c r="C27" s="63"/>
      <c r="D27" s="62"/>
      <c r="E27" s="137"/>
      <c r="F27" s="137"/>
    </row>
    <row r="28" spans="1:6" x14ac:dyDescent="0.25">
      <c r="B28" s="1" t="s">
        <v>118</v>
      </c>
      <c r="C28" s="348">
        <f>IF(Antriebsart3="Vollelektrisch (BEV)",0,IFERROR(VLOOKUP(Energie3,EnKostList,6,FALSE),0)*IF(Antriebsart3="Plug-In-Hybrid (PHEV)",VerbPHEV3,Verbrauch3)/100*Fahrleistung)</f>
        <v>0</v>
      </c>
      <c r="D28" s="2" t="s">
        <v>119</v>
      </c>
      <c r="E28" s="137"/>
      <c r="F28" s="137"/>
    </row>
    <row r="29" spans="1:6" x14ac:dyDescent="0.25">
      <c r="B29" s="1" t="s">
        <v>44</v>
      </c>
      <c r="C29" s="348">
        <f>IF(Antriebsart3="Verbrenner",0,VLOOKUP("Strom",EnKostList,6,FALSE)*IF(Antriebsart3="Plug-In-Hybrid (PHEV)",VerbElPHEV3,VerbEl_WLTP3)/100*Fahrleistung)</f>
        <v>0</v>
      </c>
      <c r="D29" s="2" t="s">
        <v>119</v>
      </c>
      <c r="E29" s="137"/>
      <c r="F29" s="137"/>
    </row>
    <row r="30" spans="1:6" ht="14.4" thickBot="1" x14ac:dyDescent="0.3">
      <c r="B30" s="66" t="s">
        <v>72</v>
      </c>
      <c r="C30" s="349">
        <f>SUM(C28:C29)</f>
        <v>0</v>
      </c>
      <c r="D30" s="66" t="s">
        <v>119</v>
      </c>
      <c r="E30" s="137"/>
      <c r="F30" s="137"/>
    </row>
    <row r="31" spans="1:6" ht="14.4" thickTop="1" x14ac:dyDescent="0.25">
      <c r="C31" s="10"/>
      <c r="D31" s="2"/>
      <c r="E31" s="137"/>
      <c r="F31" s="137"/>
    </row>
    <row r="32" spans="1:6" x14ac:dyDescent="0.25">
      <c r="B32" s="62" t="s">
        <v>120</v>
      </c>
      <c r="C32" s="160" t="str">
        <f>CONCATENATE("Energieträger: ",Energie3)</f>
        <v xml:space="preserve">Energieträger: </v>
      </c>
      <c r="D32" s="62"/>
      <c r="E32" s="137"/>
      <c r="F32" s="137"/>
    </row>
    <row r="33" spans="1:6" ht="16.2" x14ac:dyDescent="0.35">
      <c r="B33" s="1" t="s">
        <v>121</v>
      </c>
      <c r="C33" s="348">
        <f>IF(Antriebsart3="Plug-In-Hybrid (PHEV)",VerbPHEV3*VLOOKUP(Energie3,CO2List,2,FALSE)/100,CO2_3)*Fahrleistung/1000000</f>
        <v>0</v>
      </c>
      <c r="D33" s="2" t="s">
        <v>122</v>
      </c>
      <c r="E33" s="137"/>
      <c r="F33" s="137"/>
    </row>
    <row r="34" spans="1:6" x14ac:dyDescent="0.25">
      <c r="B34" s="1" t="s">
        <v>108</v>
      </c>
      <c r="C34" s="348">
        <f>C33*Kost_THG</f>
        <v>0</v>
      </c>
      <c r="D34" s="2" t="s">
        <v>119</v>
      </c>
      <c r="E34" s="137"/>
      <c r="F34" s="137"/>
    </row>
    <row r="35" spans="1:6" x14ac:dyDescent="0.25">
      <c r="B35" s="7" t="s">
        <v>58</v>
      </c>
      <c r="C35" s="357">
        <f>IF(Energie3="Strom",0,NOX_3*Fahrleistung*Kost_NOX/1000)</f>
        <v>0</v>
      </c>
      <c r="D35" s="67" t="s">
        <v>119</v>
      </c>
      <c r="E35" s="137"/>
      <c r="F35" s="137"/>
    </row>
    <row r="36" spans="1:6" x14ac:dyDescent="0.25">
      <c r="B36" s="7" t="s">
        <v>59</v>
      </c>
      <c r="C36" s="357">
        <f>IF(Energie3="Strom",0,Partikel3*Fahrleistung*Kost_Partikel/1000)</f>
        <v>0</v>
      </c>
      <c r="D36" s="67" t="s">
        <v>119</v>
      </c>
      <c r="E36" s="137"/>
      <c r="F36" s="137"/>
    </row>
    <row r="37" spans="1:6" ht="14.4" thickBot="1" x14ac:dyDescent="0.3">
      <c r="B37" s="66" t="s">
        <v>72</v>
      </c>
      <c r="C37" s="349">
        <f>SUM(C34:C36)</f>
        <v>0</v>
      </c>
      <c r="D37" s="66" t="s">
        <v>119</v>
      </c>
      <c r="E37" s="137"/>
      <c r="F37" s="137"/>
    </row>
    <row r="38" spans="1:6" ht="14.4" thickTop="1" x14ac:dyDescent="0.25">
      <c r="B38" s="14"/>
      <c r="D38" s="2"/>
      <c r="E38" s="137"/>
      <c r="F38" s="137"/>
    </row>
    <row r="39" spans="1:6" x14ac:dyDescent="0.25">
      <c r="B39" s="62" t="s">
        <v>123</v>
      </c>
      <c r="C39" s="160" t="str">
        <f>CONCATENATE("Energieträger: ",Energie3,IF(Antriebsart3="Plug-In-Hybrid (PHEV)","+Strom",""))</f>
        <v xml:space="preserve">Energieträger: </v>
      </c>
      <c r="D39" s="62"/>
      <c r="E39" s="137"/>
      <c r="F39" s="137"/>
    </row>
    <row r="40" spans="1:6" ht="16.2" x14ac:dyDescent="0.35">
      <c r="B40" s="1" t="s">
        <v>121</v>
      </c>
      <c r="C40" s="348">
        <f ca="1">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v>
      </c>
      <c r="D40" s="2" t="s">
        <v>122</v>
      </c>
      <c r="E40" s="137"/>
      <c r="F40" s="137"/>
    </row>
    <row r="41" spans="1:6" x14ac:dyDescent="0.25">
      <c r="B41" s="1" t="s">
        <v>124</v>
      </c>
      <c r="C41" s="348">
        <f ca="1">C40*Kost_THG</f>
        <v>0</v>
      </c>
      <c r="D41" s="2" t="s">
        <v>119</v>
      </c>
      <c r="E41" s="137"/>
      <c r="F41" s="137"/>
    </row>
    <row r="42" spans="1:6" x14ac:dyDescent="0.25">
      <c r="E42" s="137"/>
      <c r="F42" s="137"/>
    </row>
    <row r="43" spans="1:6" x14ac:dyDescent="0.25">
      <c r="B43" s="3" t="s">
        <v>125</v>
      </c>
      <c r="C43" s="3"/>
      <c r="D43" s="3"/>
      <c r="E43" s="137"/>
      <c r="F43" s="137"/>
    </row>
    <row r="44" spans="1:6" x14ac:dyDescent="0.25">
      <c r="B44" s="69"/>
      <c r="C44" s="69"/>
      <c r="D44" s="69"/>
      <c r="E44" s="137"/>
      <c r="F44" s="137"/>
    </row>
    <row r="45" spans="1:6" s="70" customFormat="1" x14ac:dyDescent="0.25">
      <c r="A45" s="119"/>
      <c r="B45" s="101" t="s">
        <v>126</v>
      </c>
      <c r="C45" s="146" t="s">
        <v>127</v>
      </c>
      <c r="D45" s="64"/>
      <c r="E45" s="137"/>
      <c r="F45" s="137"/>
    </row>
    <row r="46" spans="1:6" s="70" customFormat="1" ht="16.2" x14ac:dyDescent="0.25">
      <c r="A46" s="426" t="s">
        <v>9</v>
      </c>
      <c r="B46" s="424" t="s">
        <v>121</v>
      </c>
      <c r="C46" s="350">
        <f>IF(OR(Antriebsart3="Vollelektrisch (BEV)",Antriebsart3="Plug-In-Hybrid (PHEV)"),Batterie3*Batterie_THG/1000,0)</f>
        <v>0</v>
      </c>
      <c r="D46" s="143" t="s">
        <v>128</v>
      </c>
      <c r="E46" s="139"/>
      <c r="F46" s="145"/>
    </row>
    <row r="47" spans="1:6" s="70" customFormat="1" ht="16.2" x14ac:dyDescent="0.25">
      <c r="A47" s="426"/>
      <c r="B47" s="425"/>
      <c r="C47" s="350" t="e">
        <f>IF((Fahrleistung*16)&lt;220000,C46*10^6/(Fahrleistung*16),C46*10^6/220000)</f>
        <v>#DIV/0!</v>
      </c>
      <c r="D47" s="142" t="s">
        <v>129</v>
      </c>
      <c r="E47" s="139"/>
      <c r="F47" s="145"/>
    </row>
    <row r="48" spans="1:6" x14ac:dyDescent="0.25">
      <c r="B48" s="1" t="s">
        <v>130</v>
      </c>
      <c r="C48" s="348" t="e">
        <f>IF(C47*Fahrleistung/10^6*Haltedauer&lt;C46, C47*Fahrleistung/10^6*Kost_THG, C46/Haltedauer*Kost_THG)</f>
        <v>#DIV/0!</v>
      </c>
      <c r="D48" s="2" t="s">
        <v>119</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Jahre)</v>
      </c>
      <c r="C51" s="100"/>
      <c r="D51" s="100"/>
    </row>
    <row r="52" spans="1:6" x14ac:dyDescent="0.25">
      <c r="B52" s="1" t="s">
        <v>131</v>
      </c>
    </row>
    <row r="54" spans="1:6" s="73" customFormat="1" ht="14.4" x14ac:dyDescent="0.3">
      <c r="A54" s="1"/>
      <c r="B54" s="71" t="s">
        <v>132</v>
      </c>
      <c r="C54" s="351">
        <f>IF(FinArt="Kauf",IF(KaufpreisRech="Kaufpreis",Gesamtpreis3,0),Gesamtpreis3*Haltedauer*12+IF(FinArt="Leasing",LeasSondZahl3,0))</f>
        <v>0</v>
      </c>
      <c r="D54" s="71" t="s">
        <v>51</v>
      </c>
      <c r="E54" s="72"/>
      <c r="F54" s="60"/>
    </row>
    <row r="55" spans="1:6" s="74" customFormat="1" x14ac:dyDescent="0.25">
      <c r="A55" s="1"/>
      <c r="B55" s="1" t="s">
        <v>133</v>
      </c>
      <c r="C55" s="352">
        <f>IF(AND(KaufpreisRech="Wertminderung",FinArt="Kauf"),Gesamtpreis3-Gesamtpreis3*(-0.2*LN(Haltedauer)+0.667),0)</f>
        <v>0</v>
      </c>
      <c r="D55" s="1" t="s">
        <v>51</v>
      </c>
      <c r="E55" s="137"/>
      <c r="F55" s="76"/>
    </row>
    <row r="56" spans="1:6" x14ac:dyDescent="0.25">
      <c r="B56" s="1" t="s">
        <v>68</v>
      </c>
      <c r="C56" s="352">
        <f>C30*Haltedauer</f>
        <v>0</v>
      </c>
      <c r="D56" s="1" t="s">
        <v>51</v>
      </c>
      <c r="F56" s="76"/>
    </row>
    <row r="57" spans="1:6" x14ac:dyDescent="0.25">
      <c r="B57" s="1" t="s">
        <v>134</v>
      </c>
      <c r="C57" s="352">
        <f>C37*Haltedauer</f>
        <v>0</v>
      </c>
      <c r="D57" s="1" t="s">
        <v>51</v>
      </c>
      <c r="F57" s="60"/>
    </row>
    <row r="58" spans="1:6" x14ac:dyDescent="0.25">
      <c r="B58" s="1" t="s">
        <v>124</v>
      </c>
      <c r="C58" s="352">
        <f ca="1">C41*Haltedauer</f>
        <v>0</v>
      </c>
      <c r="D58" s="1" t="s">
        <v>51</v>
      </c>
      <c r="F58" s="60"/>
    </row>
    <row r="59" spans="1:6" x14ac:dyDescent="0.25">
      <c r="B59" s="75" t="s">
        <v>71</v>
      </c>
      <c r="C59" s="353" t="e">
        <f>C48*Haltedauer</f>
        <v>#DIV/0!</v>
      </c>
      <c r="D59" s="75" t="s">
        <v>51</v>
      </c>
      <c r="F59" s="162"/>
    </row>
    <row r="60" spans="1:6" ht="14.4" thickBot="1" x14ac:dyDescent="0.3">
      <c r="B60" s="66" t="s">
        <v>72</v>
      </c>
      <c r="C60" s="354" t="e">
        <f ca="1">SUM(C54:C59)</f>
        <v>#DIV/0!</v>
      </c>
      <c r="D60" s="66" t="s">
        <v>51</v>
      </c>
      <c r="E60" s="14"/>
      <c r="F60" s="60"/>
    </row>
    <row r="61" spans="1:6" s="61" customFormat="1" ht="14.4" thickTop="1" x14ac:dyDescent="0.25">
      <c r="A61" s="1"/>
      <c r="B61" s="1"/>
      <c r="C61" s="10"/>
      <c r="D61" s="1"/>
      <c r="E61" s="14"/>
      <c r="F61" s="1"/>
    </row>
    <row r="62" spans="1:6" ht="16.2" x14ac:dyDescent="0.35">
      <c r="B62" s="71" t="s">
        <v>135</v>
      </c>
      <c r="C62" s="355" t="e">
        <f>IF(C47*Fahrleistung/10^6*Haltedauer&lt;C46, C47*Fahrleistung/10^6*Haltedauer, C46)</f>
        <v>#DIV/0!</v>
      </c>
      <c r="D62" s="71" t="s">
        <v>136</v>
      </c>
    </row>
    <row r="63" spans="1:6" ht="16.2" x14ac:dyDescent="0.35">
      <c r="B63" s="75" t="s">
        <v>77</v>
      </c>
      <c r="C63" s="356">
        <f ca="1">C33*Haltedauer+C40*Haltedauer</f>
        <v>0</v>
      </c>
      <c r="D63" s="75" t="s">
        <v>136</v>
      </c>
      <c r="E63" s="74"/>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139</v>
      </c>
      <c r="E2" s="118" t="s">
        <v>468</v>
      </c>
      <c r="F2" s="137"/>
    </row>
    <row r="3" spans="1:6" x14ac:dyDescent="0.25">
      <c r="E3" s="137"/>
      <c r="F3" s="137"/>
    </row>
    <row r="4" spans="1:6" x14ac:dyDescent="0.25">
      <c r="B4" s="3" t="s">
        <v>113</v>
      </c>
      <c r="C4" s="3"/>
      <c r="D4" s="3"/>
      <c r="E4" s="137"/>
      <c r="F4" s="137"/>
    </row>
    <row r="5" spans="1:6" x14ac:dyDescent="0.25">
      <c r="E5" s="137"/>
      <c r="F5" s="137" t="str">
        <f>IF(Antriebsart4="Vollelektrisch (BEV)","Strom","nicht verfügbar")</f>
        <v>nicht verfügbar</v>
      </c>
    </row>
    <row r="6" spans="1:6" x14ac:dyDescent="0.25">
      <c r="B6" s="2" t="s">
        <v>39</v>
      </c>
      <c r="C6" s="56">
        <v>4</v>
      </c>
      <c r="E6" s="137"/>
      <c r="F6" s="137" t="str">
        <f>IF(OR(Antriebsart4="Verbrenner",Antriebsart4="Plug-In-Hybrid (PHEV)"),"Diesel","nicht verfügbar")</f>
        <v>nicht verfügbar</v>
      </c>
    </row>
    <row r="7" spans="1:6" x14ac:dyDescent="0.25">
      <c r="B7" s="1" t="s">
        <v>47</v>
      </c>
      <c r="C7" s="114" t="str">
        <f>IF(Anbieter4=0,"",Anbieter4)</f>
        <v/>
      </c>
      <c r="E7" s="137"/>
      <c r="F7" s="137" t="str">
        <f>IF(OR(Antriebsart4="Verbrenner",Antriebsart4="Plug-In-Hybrid (PHEV)"),"Benzin","nicht verfügbar")</f>
        <v>nicht verfügbar</v>
      </c>
    </row>
    <row r="8" spans="1:6" x14ac:dyDescent="0.25">
      <c r="C8" s="114"/>
      <c r="E8" s="137"/>
      <c r="F8" s="137" t="str">
        <f>IF(Antriebsart4="Verbrenner","Erdgas (CNG)","nicht verfügbar")</f>
        <v>nicht verfügbar</v>
      </c>
    </row>
    <row r="9" spans="1:6" x14ac:dyDescent="0.25">
      <c r="B9" s="2" t="s">
        <v>114</v>
      </c>
      <c r="C9" s="114"/>
      <c r="E9" s="137"/>
      <c r="F9" s="137"/>
    </row>
    <row r="10" spans="1:6" x14ac:dyDescent="0.25">
      <c r="B10" s="1" t="s">
        <v>115</v>
      </c>
      <c r="C10" s="114" t="str">
        <f>IF(Hersteller4=0,"",Hersteller4)</f>
        <v/>
      </c>
      <c r="D10" s="57"/>
      <c r="E10" s="137"/>
      <c r="F10" s="137"/>
    </row>
    <row r="11" spans="1:6" x14ac:dyDescent="0.25">
      <c r="B11" s="1" t="s">
        <v>49</v>
      </c>
      <c r="C11" s="114" t="str">
        <f>IF(Modell4=0,"",Modell4)</f>
        <v/>
      </c>
      <c r="D11" s="57"/>
      <c r="E11" s="137"/>
      <c r="F11" s="137"/>
    </row>
    <row r="12" spans="1:6" ht="43.95" customHeight="1" x14ac:dyDescent="0.25">
      <c r="B12" s="58" t="s">
        <v>116</v>
      </c>
      <c r="C12" s="114" t="str">
        <f>IF(Zusatzinfo4=0,"",Zusatzinfo4)</f>
        <v/>
      </c>
      <c r="D12" s="57"/>
      <c r="E12" s="137"/>
      <c r="F12" s="137"/>
    </row>
    <row r="13" spans="1:6" x14ac:dyDescent="0.25">
      <c r="B13" s="59" t="s">
        <v>40</v>
      </c>
      <c r="C13" s="114" t="str">
        <f>IF(Antriebsart4=0,"",Antriebsart4)</f>
        <v/>
      </c>
      <c r="E13" s="137"/>
      <c r="F13" s="137"/>
    </row>
    <row r="14" spans="1:6" x14ac:dyDescent="0.25">
      <c r="B14" s="2" t="s">
        <v>43</v>
      </c>
      <c r="C14" s="114" t="str">
        <f>IF(Energie4=0,"",Energie4)</f>
        <v/>
      </c>
      <c r="D14" s="99"/>
      <c r="E14" s="137"/>
      <c r="F14" s="137"/>
    </row>
    <row r="15" spans="1:6" s="137" customFormat="1" ht="14.4" x14ac:dyDescent="0.25">
      <c r="A15" s="138"/>
      <c r="C15" s="139"/>
    </row>
    <row r="16" spans="1:6" x14ac:dyDescent="0.25">
      <c r="B16" s="3" t="s">
        <v>198</v>
      </c>
      <c r="C16" s="3"/>
      <c r="D16" s="3"/>
      <c r="E16" s="137"/>
      <c r="F16" s="137"/>
    </row>
    <row r="17" spans="1:6" s="201" customFormat="1" x14ac:dyDescent="0.25">
      <c r="B17" s="202"/>
      <c r="C17" s="202"/>
      <c r="D17" s="202"/>
      <c r="E17" s="203"/>
      <c r="F17" s="203"/>
    </row>
    <row r="18" spans="1:6" s="201" customFormat="1" x14ac:dyDescent="0.25">
      <c r="B18" s="75" t="s">
        <v>199</v>
      </c>
      <c r="C18" s="361">
        <f>0.0057*(ReichwPHEV4/23)^3-0.0838*(ReichwPHEV4/23)^2+0.4261*(ReichwPHEV4/23)+ 0.1633</f>
        <v>0.1633</v>
      </c>
      <c r="D18" s="207"/>
      <c r="E18" s="203"/>
      <c r="F18" s="203"/>
    </row>
    <row r="19" spans="1:6" s="201" customFormat="1" x14ac:dyDescent="0.25">
      <c r="B19" s="1" t="s">
        <v>209</v>
      </c>
      <c r="C19" s="362">
        <f>Verbrauch4/(1-0.9*C18)</f>
        <v>0</v>
      </c>
      <c r="D19" s="205" t="s">
        <v>54</v>
      </c>
      <c r="E19" s="203"/>
      <c r="F19" s="203"/>
    </row>
    <row r="20" spans="1:6" s="201" customFormat="1" x14ac:dyDescent="0.25">
      <c r="B20" s="75" t="s">
        <v>210</v>
      </c>
      <c r="C20" s="363">
        <f>VerbEl_WLTP4/C18</f>
        <v>0</v>
      </c>
      <c r="D20" s="207" t="s">
        <v>55</v>
      </c>
      <c r="E20" s="203"/>
      <c r="F20" s="203"/>
    </row>
    <row r="21" spans="1:6" s="201" customFormat="1" x14ac:dyDescent="0.25">
      <c r="B21" s="209" t="s">
        <v>201</v>
      </c>
      <c r="C21" s="364">
        <f>0.0021*(ReichwPHEV4/23)^3-0.0358*(ReichwPHEV4/23)^2+0.2607*(ReichwPHEV4/23)- 0.0267</f>
        <v>-2.6700000000000002E-2</v>
      </c>
      <c r="D21" s="210"/>
      <c r="E21" s="203"/>
      <c r="F21" s="203"/>
    </row>
    <row r="22" spans="1:6" s="201" customFormat="1" ht="14.4" customHeight="1" x14ac:dyDescent="0.25">
      <c r="A22" s="428" t="s">
        <v>9</v>
      </c>
      <c r="B22" s="427" t="s">
        <v>208</v>
      </c>
      <c r="C22" s="365">
        <f>C19*(1-0.9*C21)</f>
        <v>0</v>
      </c>
      <c r="D22" s="208" t="s">
        <v>54</v>
      </c>
      <c r="E22" s="203"/>
      <c r="F22" s="203"/>
    </row>
    <row r="23" spans="1:6" s="201" customFormat="1" x14ac:dyDescent="0.25">
      <c r="A23" s="428"/>
      <c r="B23" s="410"/>
      <c r="C23" s="365">
        <f>C20*C21</f>
        <v>0</v>
      </c>
      <c r="D23" s="206" t="s">
        <v>55</v>
      </c>
      <c r="E23" s="203"/>
      <c r="F23" s="203"/>
    </row>
    <row r="24" spans="1:6" s="137" customFormat="1" ht="14.4" x14ac:dyDescent="0.25">
      <c r="A24" s="138"/>
      <c r="C24" s="199"/>
      <c r="D24" s="7"/>
    </row>
    <row r="25" spans="1:6" x14ac:dyDescent="0.25">
      <c r="B25" s="3" t="s">
        <v>117</v>
      </c>
      <c r="C25" s="3"/>
      <c r="D25" s="3"/>
      <c r="E25" s="137"/>
      <c r="F25" s="137"/>
    </row>
    <row r="26" spans="1:6" x14ac:dyDescent="0.25">
      <c r="E26" s="137"/>
      <c r="F26" s="137"/>
    </row>
    <row r="27" spans="1:6" x14ac:dyDescent="0.25">
      <c r="B27" s="62" t="s">
        <v>68</v>
      </c>
      <c r="C27" s="63"/>
      <c r="D27" s="62"/>
      <c r="E27" s="137"/>
      <c r="F27" s="137"/>
    </row>
    <row r="28" spans="1:6" x14ac:dyDescent="0.25">
      <c r="B28" s="1" t="s">
        <v>118</v>
      </c>
      <c r="C28" s="358">
        <f>IF(Antriebsart4="Vollelektrisch (BEV)",0,IFERROR(VLOOKUP(Energie4,EnKostList,6,FALSE),0)*IF(Antriebsart4="Plug-In-Hybrid (PHEV)",VerbPHEV4,Verbrauch4)/100*Fahrleistung)</f>
        <v>0</v>
      </c>
      <c r="D28" s="2" t="s">
        <v>119</v>
      </c>
      <c r="E28" s="137"/>
      <c r="F28" s="137"/>
    </row>
    <row r="29" spans="1:6" x14ac:dyDescent="0.25">
      <c r="B29" s="1" t="s">
        <v>44</v>
      </c>
      <c r="C29" s="348">
        <f>IF(Antriebsart4="Verbrenner",0,VLOOKUP("Strom",EnKostList,6,FALSE)*IF(Antriebsart4="Plug-In-Hybrid (PHEV)",VerbElPHEV4,VerbEl_WLTP4)/100*Fahrleistung)</f>
        <v>0</v>
      </c>
      <c r="D29" s="2" t="s">
        <v>119</v>
      </c>
      <c r="E29" s="137"/>
      <c r="F29" s="137"/>
    </row>
    <row r="30" spans="1:6" ht="14.4" thickBot="1" x14ac:dyDescent="0.3">
      <c r="B30" s="66" t="s">
        <v>72</v>
      </c>
      <c r="C30" s="349">
        <f>SUM(C28:C29)</f>
        <v>0</v>
      </c>
      <c r="D30" s="66" t="s">
        <v>119</v>
      </c>
      <c r="E30" s="137"/>
      <c r="F30" s="137"/>
    </row>
    <row r="31" spans="1:6" ht="14.4" thickTop="1" x14ac:dyDescent="0.25">
      <c r="C31" s="10"/>
      <c r="D31" s="2"/>
      <c r="E31" s="137"/>
      <c r="F31" s="137"/>
    </row>
    <row r="32" spans="1:6" x14ac:dyDescent="0.25">
      <c r="B32" s="62" t="s">
        <v>120</v>
      </c>
      <c r="C32" s="160" t="str">
        <f>CONCATENATE("Energieträger: ",Energie4)</f>
        <v xml:space="preserve">Energieträger: </v>
      </c>
      <c r="D32" s="62"/>
      <c r="E32" s="137"/>
      <c r="F32" s="137"/>
    </row>
    <row r="33" spans="1:6" ht="16.2" x14ac:dyDescent="0.35">
      <c r="B33" s="1" t="s">
        <v>121</v>
      </c>
      <c r="C33" s="358">
        <f>IF(Antriebsart4="Plug-In-Hybrid (PHEV)",VerbPHEV4*VLOOKUP(Energie4,CO2List,2,FALSE)/100,CO2_4)*Fahrleistung/1000000</f>
        <v>0</v>
      </c>
      <c r="D33" s="2" t="s">
        <v>122</v>
      </c>
      <c r="E33" s="137"/>
      <c r="F33" s="137"/>
    </row>
    <row r="34" spans="1:6" x14ac:dyDescent="0.25">
      <c r="B34" s="1" t="s">
        <v>108</v>
      </c>
      <c r="C34" s="348">
        <f>C33*Kost_THG</f>
        <v>0</v>
      </c>
      <c r="D34" s="2" t="s">
        <v>119</v>
      </c>
      <c r="E34" s="137"/>
      <c r="F34" s="137"/>
    </row>
    <row r="35" spans="1:6" x14ac:dyDescent="0.25">
      <c r="B35" s="7" t="s">
        <v>58</v>
      </c>
      <c r="C35" s="357">
        <f>IF(Energie4="Strom",0,NOX_4*Fahrleistung*Kost_NOX/1000)</f>
        <v>0</v>
      </c>
      <c r="D35" s="67" t="s">
        <v>119</v>
      </c>
      <c r="E35" s="137"/>
      <c r="F35" s="137"/>
    </row>
    <row r="36" spans="1:6" x14ac:dyDescent="0.25">
      <c r="B36" s="7" t="s">
        <v>59</v>
      </c>
      <c r="C36" s="357">
        <f>IF(Energie4="Strom",0,Partikel4*Fahrleistung*Kost_Partikel/1000)</f>
        <v>0</v>
      </c>
      <c r="D36" s="67" t="s">
        <v>119</v>
      </c>
      <c r="E36" s="137"/>
      <c r="F36" s="137"/>
    </row>
    <row r="37" spans="1:6" ht="14.4" thickBot="1" x14ac:dyDescent="0.3">
      <c r="B37" s="66" t="s">
        <v>72</v>
      </c>
      <c r="C37" s="349">
        <f>SUM(C34:C36)</f>
        <v>0</v>
      </c>
      <c r="D37" s="66" t="s">
        <v>119</v>
      </c>
      <c r="E37" s="137"/>
      <c r="F37" s="137"/>
    </row>
    <row r="38" spans="1:6" ht="14.4" thickTop="1" x14ac:dyDescent="0.25">
      <c r="B38" s="14"/>
      <c r="D38" s="2"/>
      <c r="E38" s="137"/>
      <c r="F38" s="137"/>
    </row>
    <row r="39" spans="1:6" x14ac:dyDescent="0.25">
      <c r="B39" s="62" t="s">
        <v>123</v>
      </c>
      <c r="C39" s="160" t="str">
        <f>CONCATENATE("Energieträger: ",Energie4,IF(Antriebsart4="Plug-In-Hybrid (PHEV)","+Strom",""))</f>
        <v xml:space="preserve">Energieträger: </v>
      </c>
      <c r="D39" s="62"/>
      <c r="E39" s="137"/>
      <c r="F39" s="137"/>
    </row>
    <row r="40" spans="1:6" ht="16.2" x14ac:dyDescent="0.35">
      <c r="B40" s="1" t="s">
        <v>121</v>
      </c>
      <c r="C40" s="358">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v>
      </c>
      <c r="D40" s="2" t="s">
        <v>122</v>
      </c>
      <c r="E40" s="137"/>
      <c r="F40" s="137"/>
    </row>
    <row r="41" spans="1:6" x14ac:dyDescent="0.25">
      <c r="B41" s="1" t="s">
        <v>124</v>
      </c>
      <c r="C41" s="348">
        <f ca="1">C40*Kost_THG</f>
        <v>0</v>
      </c>
      <c r="D41" s="2" t="s">
        <v>119</v>
      </c>
      <c r="E41" s="137"/>
      <c r="F41" s="137"/>
    </row>
    <row r="42" spans="1:6" x14ac:dyDescent="0.25">
      <c r="E42" s="137"/>
      <c r="F42" s="137"/>
    </row>
    <row r="43" spans="1:6" x14ac:dyDescent="0.25">
      <c r="B43" s="3" t="s">
        <v>125</v>
      </c>
      <c r="C43" s="3"/>
      <c r="D43" s="3"/>
      <c r="E43" s="137"/>
      <c r="F43" s="137"/>
    </row>
    <row r="44" spans="1:6" x14ac:dyDescent="0.25">
      <c r="B44" s="69"/>
      <c r="C44" s="69"/>
      <c r="D44" s="69"/>
      <c r="E44" s="137"/>
      <c r="F44" s="137"/>
    </row>
    <row r="45" spans="1:6" s="70" customFormat="1" x14ac:dyDescent="0.25">
      <c r="A45" s="119"/>
      <c r="B45" s="101" t="s">
        <v>126</v>
      </c>
      <c r="C45" s="146" t="s">
        <v>127</v>
      </c>
      <c r="D45" s="64"/>
      <c r="E45" s="137"/>
      <c r="F45" s="137"/>
    </row>
    <row r="46" spans="1:6" s="70" customFormat="1" ht="16.2" x14ac:dyDescent="0.25">
      <c r="A46" s="426" t="s">
        <v>9</v>
      </c>
      <c r="B46" s="424" t="s">
        <v>121</v>
      </c>
      <c r="C46" s="350">
        <f>IF(OR(Antriebsart4="Vollelektrisch (BEV)",Antriebsart4="Plug-In-Hybrid (PHEV)"),Batterie4*Batterie_THG/1000,0)</f>
        <v>0</v>
      </c>
      <c r="D46" s="143" t="s">
        <v>128</v>
      </c>
      <c r="E46" s="139"/>
      <c r="F46" s="137"/>
    </row>
    <row r="47" spans="1:6" s="70" customFormat="1" ht="16.2" x14ac:dyDescent="0.25">
      <c r="A47" s="426"/>
      <c r="B47" s="425"/>
      <c r="C47" s="350" t="e">
        <f>IF((Fahrleistung*16)&lt;220000,C46*10^6/(Fahrleistung*16),C46*10^6/220000)</f>
        <v>#DIV/0!</v>
      </c>
      <c r="D47" s="142" t="s">
        <v>129</v>
      </c>
      <c r="E47" s="139"/>
      <c r="F47" s="137"/>
    </row>
    <row r="48" spans="1:6" x14ac:dyDescent="0.25">
      <c r="B48" s="1" t="s">
        <v>130</v>
      </c>
      <c r="C48" s="348" t="e">
        <f>IF(C47*Fahrleistung/10^6*Haltedauer&lt;C46, C47*Fahrleistung/10^6*Kost_THG, C46/Haltedauer*Kost_THG)</f>
        <v>#DIV/0!</v>
      </c>
      <c r="D48" s="2" t="s">
        <v>119</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Jahre)</v>
      </c>
      <c r="C51" s="100"/>
      <c r="D51" s="100"/>
    </row>
    <row r="52" spans="1:6" x14ac:dyDescent="0.25">
      <c r="B52" s="1" t="s">
        <v>131</v>
      </c>
    </row>
    <row r="54" spans="1:6" s="73" customFormat="1" ht="14.4" x14ac:dyDescent="0.3">
      <c r="A54" s="1"/>
      <c r="B54" s="71" t="s">
        <v>132</v>
      </c>
      <c r="C54" s="351">
        <f>IF(FinArt="Kauf",IF(KaufpreisRech="Kaufpreis",Gesamtpreis4,0),Gesamtpreis4*Haltedauer*12+IF(FinArt="Leasing",LeasSondZahl4,0))</f>
        <v>0</v>
      </c>
      <c r="D54" s="71" t="s">
        <v>51</v>
      </c>
      <c r="E54" s="72"/>
      <c r="F54" s="60"/>
    </row>
    <row r="55" spans="1:6" s="74" customFormat="1" x14ac:dyDescent="0.25">
      <c r="A55" s="1"/>
      <c r="B55" s="1" t="s">
        <v>133</v>
      </c>
      <c r="C55" s="352">
        <f>IF(AND(KaufpreisRech="Wertminderung",FinArt="Kauf"),Gesamtpreis4-Gesamtpreis4*(-0.2*LN(Haltedauer)+0.667),0)</f>
        <v>0</v>
      </c>
      <c r="D55" s="1" t="s">
        <v>51</v>
      </c>
      <c r="E55" s="137"/>
      <c r="F55" s="76"/>
    </row>
    <row r="56" spans="1:6" x14ac:dyDescent="0.25">
      <c r="B56" s="1" t="s">
        <v>68</v>
      </c>
      <c r="C56" s="352">
        <f>C30*Haltedauer</f>
        <v>0</v>
      </c>
      <c r="D56" s="1" t="s">
        <v>51</v>
      </c>
      <c r="F56" s="76"/>
    </row>
    <row r="57" spans="1:6" x14ac:dyDescent="0.25">
      <c r="B57" s="1" t="s">
        <v>134</v>
      </c>
      <c r="C57" s="352">
        <f>C37*Haltedauer</f>
        <v>0</v>
      </c>
      <c r="D57" s="1" t="s">
        <v>51</v>
      </c>
      <c r="F57" s="60"/>
    </row>
    <row r="58" spans="1:6" x14ac:dyDescent="0.25">
      <c r="B58" s="1" t="s">
        <v>124</v>
      </c>
      <c r="C58" s="352">
        <f ca="1">C41*Haltedauer</f>
        <v>0</v>
      </c>
      <c r="D58" s="1" t="s">
        <v>51</v>
      </c>
      <c r="F58" s="60"/>
    </row>
    <row r="59" spans="1:6" x14ac:dyDescent="0.25">
      <c r="B59" s="75" t="s">
        <v>71</v>
      </c>
      <c r="C59" s="353" t="e">
        <f>C48*Haltedauer</f>
        <v>#DIV/0!</v>
      </c>
      <c r="D59" s="75" t="s">
        <v>51</v>
      </c>
      <c r="F59" s="162"/>
    </row>
    <row r="60" spans="1:6" ht="14.4" thickBot="1" x14ac:dyDescent="0.3">
      <c r="B60" s="66" t="s">
        <v>72</v>
      </c>
      <c r="C60" s="354" t="e">
        <f ca="1">SUM(C54:C59)</f>
        <v>#DIV/0!</v>
      </c>
      <c r="D60" s="66" t="s">
        <v>51</v>
      </c>
      <c r="E60" s="14"/>
      <c r="F60" s="60"/>
    </row>
    <row r="61" spans="1:6" s="61" customFormat="1" ht="14.4" thickTop="1" x14ac:dyDescent="0.25">
      <c r="A61" s="1"/>
      <c r="B61" s="1"/>
      <c r="C61" s="10"/>
      <c r="D61" s="1"/>
      <c r="E61" s="14"/>
      <c r="F61" s="1"/>
    </row>
    <row r="62" spans="1:6" ht="16.2" x14ac:dyDescent="0.35">
      <c r="B62" s="71" t="s">
        <v>135</v>
      </c>
      <c r="C62" s="355" t="e">
        <f>IF(C47*Fahrleistung/10^6*Haltedauer&lt;C46, C47*Fahrleistung/10^6*Haltedauer, C46)</f>
        <v>#DIV/0!</v>
      </c>
      <c r="D62" s="71" t="s">
        <v>136</v>
      </c>
    </row>
    <row r="63" spans="1:6" ht="16.2" x14ac:dyDescent="0.35">
      <c r="B63" s="75" t="s">
        <v>77</v>
      </c>
      <c r="C63" s="356">
        <f ca="1">C33*Haltedauer+C40*Haltedauer</f>
        <v>0</v>
      </c>
      <c r="D63" s="75" t="s">
        <v>136</v>
      </c>
      <c r="E63" s="74"/>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2:6" x14ac:dyDescent="0.25">
      <c r="E1" s="137"/>
      <c r="F1" s="137"/>
    </row>
    <row r="2" spans="2:6" x14ac:dyDescent="0.25">
      <c r="B2" s="2" t="s">
        <v>140</v>
      </c>
      <c r="E2" s="118" t="s">
        <v>468</v>
      </c>
      <c r="F2" s="137"/>
    </row>
    <row r="3" spans="2:6" x14ac:dyDescent="0.25">
      <c r="E3" s="137"/>
      <c r="F3" s="137"/>
    </row>
    <row r="4" spans="2:6" x14ac:dyDescent="0.25">
      <c r="B4" s="3" t="s">
        <v>113</v>
      </c>
      <c r="C4" s="3"/>
      <c r="D4" s="3"/>
      <c r="E4" s="137"/>
      <c r="F4" s="137"/>
    </row>
    <row r="5" spans="2:6" x14ac:dyDescent="0.25">
      <c r="E5" s="137"/>
      <c r="F5" s="137" t="str">
        <f>IF(Antriebsart5="Vollelektrisch (BEV)","Strom","nicht verfügbar")</f>
        <v>nicht verfügbar</v>
      </c>
    </row>
    <row r="6" spans="2:6" x14ac:dyDescent="0.25">
      <c r="B6" s="2" t="s">
        <v>39</v>
      </c>
      <c r="C6" s="56">
        <v>5</v>
      </c>
      <c r="E6" s="137"/>
      <c r="F6" s="137" t="str">
        <f>IF(OR(Antriebsart5="Verbrenner",Antriebsart5="Plug-In-Hybrid (PHEV)"),"Diesel","nicht verfügbar")</f>
        <v>nicht verfügbar</v>
      </c>
    </row>
    <row r="7" spans="2:6" x14ac:dyDescent="0.25">
      <c r="B7" s="1" t="s">
        <v>47</v>
      </c>
      <c r="C7" s="114" t="str">
        <f>IF(Anbieter5=0,"",Anbieter5)</f>
        <v/>
      </c>
      <c r="E7" s="137"/>
      <c r="F7" s="137" t="str">
        <f>IF(OR(Antriebsart5="Verbrenner",Antriebsart5="Plug-In-Hybrid (PHEV)"),"Benzin","nicht verfügbar")</f>
        <v>nicht verfügbar</v>
      </c>
    </row>
    <row r="8" spans="2:6" x14ac:dyDescent="0.25">
      <c r="C8" s="114"/>
      <c r="E8" s="137"/>
      <c r="F8" s="137" t="str">
        <f>IF(Antriebsart5="Verbrenner","Erdgas (CNG)","nicht verfügbar")</f>
        <v>nicht verfügbar</v>
      </c>
    </row>
    <row r="9" spans="2:6" x14ac:dyDescent="0.25">
      <c r="B9" s="2" t="s">
        <v>114</v>
      </c>
      <c r="C9" s="114"/>
      <c r="E9" s="137"/>
      <c r="F9" s="137"/>
    </row>
    <row r="10" spans="2:6" x14ac:dyDescent="0.25">
      <c r="B10" s="1" t="s">
        <v>115</v>
      </c>
      <c r="C10" s="114" t="str">
        <f>IF(Hersteller5=0,"",Hersteller5)</f>
        <v/>
      </c>
      <c r="D10" s="57"/>
      <c r="E10" s="137"/>
      <c r="F10" s="137"/>
    </row>
    <row r="11" spans="2:6" x14ac:dyDescent="0.25">
      <c r="B11" s="1" t="s">
        <v>49</v>
      </c>
      <c r="C11" s="114" t="str">
        <f>IF(Modell5=0,"",Modell5)</f>
        <v/>
      </c>
      <c r="D11" s="57"/>
      <c r="E11" s="137"/>
      <c r="F11" s="137"/>
    </row>
    <row r="12" spans="2:6" ht="43.95" customHeight="1" x14ac:dyDescent="0.25">
      <c r="B12" s="58" t="s">
        <v>116</v>
      </c>
      <c r="C12" s="114" t="str">
        <f>IF(Zusatzinfo5=0,"",Zusatzinfo5)</f>
        <v/>
      </c>
      <c r="D12" s="57"/>
      <c r="E12" s="137"/>
      <c r="F12" s="137"/>
    </row>
    <row r="13" spans="2:6" x14ac:dyDescent="0.25">
      <c r="B13" s="59" t="s">
        <v>40</v>
      </c>
      <c r="C13" s="114" t="str">
        <f>IF(Antriebsart5=0,"",Antriebsart5)</f>
        <v/>
      </c>
      <c r="E13" s="137"/>
      <c r="F13" s="137"/>
    </row>
    <row r="14" spans="2:6" x14ac:dyDescent="0.25">
      <c r="B14" s="2" t="s">
        <v>43</v>
      </c>
      <c r="C14" s="114" t="str">
        <f>IF(Energie5=0,"",Energie5)</f>
        <v/>
      </c>
      <c r="D14" s="99"/>
      <c r="E14" s="137"/>
      <c r="F14" s="137"/>
    </row>
    <row r="15" spans="2:6" x14ac:dyDescent="0.25">
      <c r="B15" s="2"/>
      <c r="C15" s="194"/>
      <c r="D15" s="200"/>
      <c r="E15" s="137"/>
      <c r="F15" s="137"/>
    </row>
    <row r="16" spans="2:6" ht="13.8" customHeight="1" x14ac:dyDescent="0.25">
      <c r="B16" s="3" t="s">
        <v>198</v>
      </c>
      <c r="C16" s="3"/>
      <c r="D16" s="3"/>
      <c r="E16" s="137"/>
      <c r="F16" s="137"/>
    </row>
    <row r="17" spans="1:6" s="201" customFormat="1" ht="13.8" customHeight="1" x14ac:dyDescent="0.25">
      <c r="A17" s="214"/>
      <c r="B17" s="202"/>
      <c r="C17" s="202"/>
      <c r="D17" s="202"/>
      <c r="E17" s="203"/>
      <c r="F17" s="203"/>
    </row>
    <row r="18" spans="1:6" s="201" customFormat="1" x14ac:dyDescent="0.25">
      <c r="B18" s="75" t="s">
        <v>199</v>
      </c>
      <c r="C18" s="361">
        <f>0.0057*(ReichwPHEV5/23)^3-0.0838*(ReichwPHEV5/23)^2+0.4261*(ReichwPHEV5/23)+ 0.1633</f>
        <v>0.1633</v>
      </c>
      <c r="D18" s="207"/>
      <c r="E18" s="203"/>
      <c r="F18" s="203"/>
    </row>
    <row r="19" spans="1:6" s="201" customFormat="1" x14ac:dyDescent="0.25">
      <c r="B19" s="1" t="s">
        <v>209</v>
      </c>
      <c r="C19" s="362">
        <f>Verbrauch5/(1-0.9*C18)</f>
        <v>0</v>
      </c>
      <c r="D19" s="205" t="s">
        <v>54</v>
      </c>
      <c r="E19" s="203"/>
      <c r="F19" s="203"/>
    </row>
    <row r="20" spans="1:6" s="201" customFormat="1" x14ac:dyDescent="0.25">
      <c r="B20" s="75" t="s">
        <v>210</v>
      </c>
      <c r="C20" s="363">
        <f>VerbEl_WLTP5/C18</f>
        <v>0</v>
      </c>
      <c r="D20" s="207" t="s">
        <v>55</v>
      </c>
      <c r="E20" s="203"/>
      <c r="F20" s="203"/>
    </row>
    <row r="21" spans="1:6" s="201" customFormat="1" x14ac:dyDescent="0.25">
      <c r="B21" s="209" t="s">
        <v>201</v>
      </c>
      <c r="C21" s="364">
        <f>0.0021*(ReichwPHEV5/23)^3-0.0358*(ReichwPHEV5/23)^2+0.2607*(ReichwPHEV5/23)- 0.0267</f>
        <v>-2.6700000000000002E-2</v>
      </c>
      <c r="D21" s="210"/>
      <c r="E21" s="203"/>
      <c r="F21" s="203"/>
    </row>
    <row r="22" spans="1:6" s="201" customFormat="1" ht="14.4" customHeight="1" x14ac:dyDescent="0.25">
      <c r="A22" s="428" t="s">
        <v>9</v>
      </c>
      <c r="B22" s="427" t="s">
        <v>208</v>
      </c>
      <c r="C22" s="365">
        <f>C19*(1-0.9*C21)</f>
        <v>0</v>
      </c>
      <c r="D22" s="208" t="s">
        <v>54</v>
      </c>
      <c r="E22" s="203"/>
      <c r="F22" s="203"/>
    </row>
    <row r="23" spans="1:6" s="201" customFormat="1" x14ac:dyDescent="0.25">
      <c r="A23" s="428"/>
      <c r="B23" s="410"/>
      <c r="C23" s="365">
        <f>C20*C21</f>
        <v>0</v>
      </c>
      <c r="D23" s="206" t="s">
        <v>55</v>
      </c>
      <c r="E23" s="203"/>
      <c r="F23" s="203"/>
    </row>
    <row r="24" spans="1:6" s="137" customFormat="1" ht="14.4" x14ac:dyDescent="0.25">
      <c r="A24" s="138"/>
      <c r="C24" s="199"/>
      <c r="D24" s="7"/>
    </row>
    <row r="25" spans="1:6" x14ac:dyDescent="0.25">
      <c r="B25" s="3" t="s">
        <v>117</v>
      </c>
      <c r="C25" s="3"/>
      <c r="D25" s="3"/>
      <c r="E25" s="137"/>
      <c r="F25" s="137"/>
    </row>
    <row r="26" spans="1:6" x14ac:dyDescent="0.25">
      <c r="E26" s="137"/>
      <c r="F26" s="137"/>
    </row>
    <row r="27" spans="1:6" x14ac:dyDescent="0.25">
      <c r="B27" s="62" t="s">
        <v>68</v>
      </c>
      <c r="C27" s="63"/>
      <c r="D27" s="62"/>
      <c r="E27" s="137"/>
      <c r="F27" s="137"/>
    </row>
    <row r="28" spans="1:6" x14ac:dyDescent="0.25">
      <c r="B28" s="1" t="s">
        <v>118</v>
      </c>
      <c r="C28" s="358">
        <f>IF(Antriebsart5="Vollelektrisch (BEV)",0,IFERROR(VLOOKUP(Energie5,EnKostList,6,FALSE),0)*IF(Antriebsart5="Plug-In-Hybrid (PHEV)",VerbPHEV5,Verbrauch5)/100*Fahrleistung)</f>
        <v>0</v>
      </c>
      <c r="D28" s="2" t="s">
        <v>119</v>
      </c>
      <c r="E28" s="137"/>
      <c r="F28" s="137"/>
    </row>
    <row r="29" spans="1:6" x14ac:dyDescent="0.25">
      <c r="B29" s="1" t="s">
        <v>44</v>
      </c>
      <c r="C29" s="358">
        <f>IF(Antriebsart5="Verbrenner",0,VLOOKUP("Strom",EnKostList,6,FALSE)*IF(Antriebsart5="Plug-In-Hybrid (PHEV)",VerbElPHEV5,VerbEl_WLTP5)/100*Fahrleistung)</f>
        <v>0</v>
      </c>
      <c r="D29" s="2" t="s">
        <v>119</v>
      </c>
      <c r="E29" s="137"/>
      <c r="F29" s="137"/>
    </row>
    <row r="30" spans="1:6" ht="14.4" thickBot="1" x14ac:dyDescent="0.3">
      <c r="B30" s="66" t="s">
        <v>72</v>
      </c>
      <c r="C30" s="359">
        <f>SUM(C28:C29)</f>
        <v>0</v>
      </c>
      <c r="D30" s="66" t="s">
        <v>119</v>
      </c>
      <c r="E30" s="137"/>
      <c r="F30" s="137"/>
    </row>
    <row r="31" spans="1:6" ht="14.4" thickTop="1" x14ac:dyDescent="0.25">
      <c r="C31" s="211"/>
      <c r="D31" s="2"/>
      <c r="E31" s="137"/>
      <c r="F31" s="137"/>
    </row>
    <row r="32" spans="1:6" x14ac:dyDescent="0.25">
      <c r="B32" s="62" t="s">
        <v>120</v>
      </c>
      <c r="C32" s="212" t="str">
        <f>CONCATENATE("Energieträger: ",Energie5)</f>
        <v xml:space="preserve">Energieträger: </v>
      </c>
      <c r="D32" s="62"/>
      <c r="E32" s="137"/>
      <c r="F32" s="137"/>
    </row>
    <row r="33" spans="1:6" ht="16.2" x14ac:dyDescent="0.35">
      <c r="A33" s="138"/>
      <c r="B33" s="1" t="s">
        <v>121</v>
      </c>
      <c r="C33" s="358">
        <f>IF(Antriebsart5="Plug-In-Hybrid (PHEV)",VerbPHEV5*VLOOKUP(Energie5,CO2List,2,FALSE)/100,CO2_5)*Fahrleistung/1000000</f>
        <v>0</v>
      </c>
      <c r="D33" s="2" t="s">
        <v>122</v>
      </c>
      <c r="E33" s="137"/>
      <c r="F33" s="137"/>
    </row>
    <row r="34" spans="1:6" x14ac:dyDescent="0.25">
      <c r="B34" s="1" t="s">
        <v>108</v>
      </c>
      <c r="C34" s="358">
        <f>C33*Kost_THG</f>
        <v>0</v>
      </c>
      <c r="D34" s="2" t="s">
        <v>119</v>
      </c>
      <c r="E34" s="137"/>
      <c r="F34" s="137"/>
    </row>
    <row r="35" spans="1:6" x14ac:dyDescent="0.25">
      <c r="B35" s="7" t="s">
        <v>58</v>
      </c>
      <c r="C35" s="360">
        <f>IF(Energie5="Strom",0,NOX_5*Fahrleistung*Kost_NOX/1000)</f>
        <v>0</v>
      </c>
      <c r="D35" s="67" t="s">
        <v>119</v>
      </c>
      <c r="E35" s="137"/>
      <c r="F35" s="137"/>
    </row>
    <row r="36" spans="1:6" x14ac:dyDescent="0.25">
      <c r="B36" s="7" t="s">
        <v>59</v>
      </c>
      <c r="C36" s="360">
        <f>IF(Energie5="Strom",0,Partikel5*Fahrleistung*Kost_Partikel/1000)</f>
        <v>0</v>
      </c>
      <c r="D36" s="67" t="s">
        <v>119</v>
      </c>
      <c r="E36" s="137"/>
      <c r="F36" s="137"/>
    </row>
    <row r="37" spans="1:6" ht="14.4" thickBot="1" x14ac:dyDescent="0.3">
      <c r="B37" s="66" t="s">
        <v>72</v>
      </c>
      <c r="C37" s="359">
        <f>SUM(C34:C36)</f>
        <v>0</v>
      </c>
      <c r="D37" s="66" t="s">
        <v>119</v>
      </c>
      <c r="E37" s="137"/>
      <c r="F37" s="137"/>
    </row>
    <row r="38" spans="1:6" ht="14.4" thickTop="1" x14ac:dyDescent="0.25">
      <c r="B38" s="14"/>
      <c r="C38" s="201"/>
      <c r="D38" s="2"/>
      <c r="E38" s="137"/>
      <c r="F38" s="137"/>
    </row>
    <row r="39" spans="1:6" x14ac:dyDescent="0.25">
      <c r="B39" s="62" t="s">
        <v>123</v>
      </c>
      <c r="C39" s="212" t="str">
        <f>CONCATENATE("Energieträger: ",Energie5,IF(Antriebsart5="Plug-In-Hybrid (PHEV)","+Strom",""))</f>
        <v xml:space="preserve">Energieträger: </v>
      </c>
      <c r="D39" s="62"/>
      <c r="E39" s="137"/>
      <c r="F39" s="137"/>
    </row>
    <row r="40" spans="1:6" ht="16.2" x14ac:dyDescent="0.35">
      <c r="B40" s="1" t="s">
        <v>121</v>
      </c>
      <c r="C40" s="358">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v>
      </c>
      <c r="D40" s="2" t="s">
        <v>122</v>
      </c>
      <c r="E40" s="137"/>
      <c r="F40" s="137"/>
    </row>
    <row r="41" spans="1:6" x14ac:dyDescent="0.25">
      <c r="B41" s="1" t="s">
        <v>124</v>
      </c>
      <c r="C41" s="348">
        <f ca="1">C40*Kost_THG</f>
        <v>0</v>
      </c>
      <c r="D41" s="2" t="s">
        <v>119</v>
      </c>
      <c r="E41" s="137"/>
      <c r="F41" s="137"/>
    </row>
    <row r="42" spans="1:6" x14ac:dyDescent="0.25">
      <c r="E42" s="137"/>
      <c r="F42" s="137"/>
    </row>
    <row r="43" spans="1:6" x14ac:dyDescent="0.25">
      <c r="B43" s="3" t="s">
        <v>125</v>
      </c>
      <c r="C43" s="3"/>
      <c r="D43" s="3"/>
      <c r="E43" s="137"/>
      <c r="F43" s="137"/>
    </row>
    <row r="44" spans="1:6" x14ac:dyDescent="0.25">
      <c r="B44" s="69"/>
      <c r="C44" s="69"/>
      <c r="D44" s="69"/>
      <c r="E44" s="137"/>
      <c r="F44" s="137"/>
    </row>
    <row r="45" spans="1:6" s="70" customFormat="1" x14ac:dyDescent="0.25">
      <c r="A45" s="119"/>
      <c r="B45" s="101" t="s">
        <v>126</v>
      </c>
      <c r="C45" s="146" t="s">
        <v>127</v>
      </c>
      <c r="D45" s="64"/>
      <c r="E45" s="137"/>
      <c r="F45" s="137"/>
    </row>
    <row r="46" spans="1:6" s="70" customFormat="1" ht="16.2" x14ac:dyDescent="0.25">
      <c r="A46" s="426" t="s">
        <v>9</v>
      </c>
      <c r="B46" s="424" t="s">
        <v>121</v>
      </c>
      <c r="C46" s="350">
        <f>IF(OR(Antriebsart5="Vollelektrisch (BEV)",Antriebsart5="Plug-In-Hybrid (PHEV)"),Batterie5*Batterie_THG/1000,0)</f>
        <v>0</v>
      </c>
      <c r="D46" s="143" t="s">
        <v>128</v>
      </c>
      <c r="E46" s="139"/>
      <c r="F46" s="137"/>
    </row>
    <row r="47" spans="1:6" s="70" customFormat="1" ht="16.2" x14ac:dyDescent="0.25">
      <c r="A47" s="426"/>
      <c r="B47" s="425"/>
      <c r="C47" s="350" t="e">
        <f>IF((Fahrleistung*16)&lt;220000,C46*10^6/(Fahrleistung*16),C46*10^6/220000)</f>
        <v>#DIV/0!</v>
      </c>
      <c r="D47" s="142" t="s">
        <v>129</v>
      </c>
      <c r="E47" s="139"/>
      <c r="F47" s="137"/>
    </row>
    <row r="48" spans="1:6" x14ac:dyDescent="0.25">
      <c r="B48" s="1" t="s">
        <v>130</v>
      </c>
      <c r="C48" s="348" t="e">
        <f>IF(C47*Fahrleistung/10^6*Haltedauer&lt;C46, C47*Fahrleistung/10^6*Kost_THG, C46/Haltedauer*Kost_THG)</f>
        <v>#DIV/0!</v>
      </c>
      <c r="D48" s="2" t="s">
        <v>119</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Jahre)</v>
      </c>
      <c r="C51" s="100"/>
      <c r="D51" s="100"/>
    </row>
    <row r="52" spans="1:6" x14ac:dyDescent="0.25">
      <c r="B52" s="1" t="s">
        <v>131</v>
      </c>
    </row>
    <row r="54" spans="1:6" s="73" customFormat="1" ht="14.4" x14ac:dyDescent="0.3">
      <c r="A54" s="1"/>
      <c r="B54" s="71" t="s">
        <v>132</v>
      </c>
      <c r="C54" s="351">
        <f>IF(FinArt="Kauf",IF(KaufpreisRech="Kaufpreis",Gesamtpreis5,0),Gesamtpreis5*Haltedauer*12+IF(FinArt="Leasing",LeasSondZahl5,0))</f>
        <v>0</v>
      </c>
      <c r="D54" s="71" t="s">
        <v>51</v>
      </c>
      <c r="E54" s="72"/>
      <c r="F54" s="60"/>
    </row>
    <row r="55" spans="1:6" s="74" customFormat="1" x14ac:dyDescent="0.25">
      <c r="A55" s="1"/>
      <c r="B55" s="1" t="s">
        <v>133</v>
      </c>
      <c r="C55" s="352">
        <f>IF(AND(KaufpreisRech="Wertminderung",FinArt="Kauf"),Gesamtpreis5-Gesamtpreis5*(-0.2*LN(Haltedauer)+0.667),0)</f>
        <v>0</v>
      </c>
      <c r="D55" s="1" t="s">
        <v>51</v>
      </c>
      <c r="E55" s="137"/>
      <c r="F55" s="76"/>
    </row>
    <row r="56" spans="1:6" x14ac:dyDescent="0.25">
      <c r="B56" s="1" t="s">
        <v>68</v>
      </c>
      <c r="C56" s="352">
        <f>C30*Haltedauer</f>
        <v>0</v>
      </c>
      <c r="D56" s="1" t="s">
        <v>51</v>
      </c>
      <c r="F56" s="76"/>
    </row>
    <row r="57" spans="1:6" x14ac:dyDescent="0.25">
      <c r="B57" s="1" t="s">
        <v>134</v>
      </c>
      <c r="C57" s="352">
        <f>C37*Haltedauer</f>
        <v>0</v>
      </c>
      <c r="D57" s="1" t="s">
        <v>51</v>
      </c>
      <c r="F57" s="60"/>
    </row>
    <row r="58" spans="1:6" x14ac:dyDescent="0.25">
      <c r="B58" s="1" t="s">
        <v>124</v>
      </c>
      <c r="C58" s="352">
        <f ca="1">C41*Haltedauer</f>
        <v>0</v>
      </c>
      <c r="D58" s="1" t="s">
        <v>51</v>
      </c>
      <c r="F58" s="60"/>
    </row>
    <row r="59" spans="1:6" x14ac:dyDescent="0.25">
      <c r="B59" s="75" t="s">
        <v>71</v>
      </c>
      <c r="C59" s="353" t="e">
        <f>C48*Haltedauer</f>
        <v>#DIV/0!</v>
      </c>
      <c r="D59" s="75" t="s">
        <v>51</v>
      </c>
      <c r="F59" s="162"/>
    </row>
    <row r="60" spans="1:6" ht="14.4" thickBot="1" x14ac:dyDescent="0.3">
      <c r="B60" s="66" t="s">
        <v>72</v>
      </c>
      <c r="C60" s="354" t="e">
        <f ca="1">SUM(C54:C59)</f>
        <v>#DIV/0!</v>
      </c>
      <c r="D60" s="66" t="s">
        <v>51</v>
      </c>
      <c r="E60" s="14"/>
      <c r="F60" s="60"/>
    </row>
    <row r="61" spans="1:6" s="61" customFormat="1" ht="14.4" thickTop="1" x14ac:dyDescent="0.25">
      <c r="A61" s="1"/>
      <c r="B61" s="1"/>
      <c r="C61" s="10"/>
      <c r="D61" s="1"/>
      <c r="E61" s="14"/>
      <c r="F61" s="1"/>
    </row>
    <row r="62" spans="1:6" ht="16.2" x14ac:dyDescent="0.35">
      <c r="B62" s="71" t="s">
        <v>135</v>
      </c>
      <c r="C62" s="355" t="e">
        <f>IF(C47*Fahrleistung/10^6*Haltedauer&lt;C46, C47*Fahrleistung/10^6*Haltedauer, C46)</f>
        <v>#DIV/0!</v>
      </c>
      <c r="D62" s="71" t="s">
        <v>136</v>
      </c>
    </row>
    <row r="63" spans="1:6" ht="16.2" x14ac:dyDescent="0.35">
      <c r="B63" s="75" t="s">
        <v>77</v>
      </c>
      <c r="C63" s="356">
        <f ca="1">C33*Haltedauer+C40*Haltedauer</f>
        <v>0</v>
      </c>
      <c r="D63" s="75" t="s">
        <v>136</v>
      </c>
      <c r="E63" s="74"/>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3"/>
  <sheetViews>
    <sheetView showGridLines="0" zoomScaleNormal="100" workbookViewId="0"/>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141</v>
      </c>
      <c r="G2" s="118" t="s">
        <v>468</v>
      </c>
    </row>
    <row r="4" spans="1:8" x14ac:dyDescent="0.25">
      <c r="B4" s="3" t="s">
        <v>142</v>
      </c>
      <c r="C4" s="5"/>
      <c r="D4" s="5"/>
      <c r="E4" s="5"/>
    </row>
    <row r="6" spans="1:8" x14ac:dyDescent="0.25">
      <c r="C6" s="65" t="s">
        <v>143</v>
      </c>
      <c r="D6" s="65" t="s">
        <v>144</v>
      </c>
      <c r="E6" s="1" t="s">
        <v>87</v>
      </c>
    </row>
    <row r="7" spans="1:8" ht="16.2" x14ac:dyDescent="0.35">
      <c r="B7" s="1" t="s">
        <v>45</v>
      </c>
      <c r="C7" s="10">
        <v>74</v>
      </c>
      <c r="D7" s="10">
        <v>15.8</v>
      </c>
      <c r="E7" s="12" t="s">
        <v>145</v>
      </c>
    </row>
    <row r="8" spans="1:8" ht="16.2" x14ac:dyDescent="0.35">
      <c r="B8" s="1" t="s">
        <v>46</v>
      </c>
      <c r="C8" s="10">
        <v>75.2</v>
      </c>
      <c r="D8" s="10">
        <v>14.2</v>
      </c>
      <c r="E8" s="12" t="s">
        <v>145</v>
      </c>
    </row>
    <row r="9" spans="1:8" ht="16.2" x14ac:dyDescent="0.35">
      <c r="B9" s="1" t="s">
        <v>105</v>
      </c>
      <c r="C9" s="10">
        <v>55.8</v>
      </c>
      <c r="D9" s="10">
        <v>13.7</v>
      </c>
      <c r="E9" s="12" t="s">
        <v>145</v>
      </c>
    </row>
    <row r="10" spans="1:8" ht="8.4" customHeight="1" x14ac:dyDescent="0.25">
      <c r="C10" s="10"/>
      <c r="D10" s="10"/>
    </row>
    <row r="11" spans="1:8" ht="12" customHeight="1" x14ac:dyDescent="0.25">
      <c r="B11" s="103" t="s">
        <v>146</v>
      </c>
      <c r="C11" s="10"/>
      <c r="D11" s="10"/>
    </row>
    <row r="12" spans="1:8" x14ac:dyDescent="0.25">
      <c r="C12" s="10"/>
    </row>
    <row r="13" spans="1:8" x14ac:dyDescent="0.25">
      <c r="B13" s="3" t="s">
        <v>147</v>
      </c>
      <c r="C13" s="104"/>
      <c r="D13" s="5"/>
      <c r="E13" s="5"/>
    </row>
    <row r="14" spans="1:8" x14ac:dyDescent="0.25">
      <c r="B14" s="7"/>
      <c r="C14" s="15"/>
      <c r="D14" s="7"/>
      <c r="E14" s="7"/>
      <c r="F14" s="7"/>
      <c r="H14" s="119"/>
    </row>
    <row r="15" spans="1:8" ht="14.4" customHeight="1" x14ac:dyDescent="0.25">
      <c r="B15" s="122" t="s">
        <v>43</v>
      </c>
      <c r="C15" s="429" t="s">
        <v>220</v>
      </c>
      <c r="D15" s="429"/>
      <c r="E15" s="430" t="s">
        <v>148</v>
      </c>
      <c r="F15" s="430"/>
    </row>
    <row r="16" spans="1:8" x14ac:dyDescent="0.25">
      <c r="A16" s="69"/>
      <c r="B16" s="1" t="s">
        <v>45</v>
      </c>
      <c r="C16" s="60">
        <v>1</v>
      </c>
      <c r="D16" s="1" t="s">
        <v>150</v>
      </c>
      <c r="E16" s="60">
        <v>35.872</v>
      </c>
      <c r="F16" s="123" t="s">
        <v>149</v>
      </c>
    </row>
    <row r="17" spans="1:31" x14ac:dyDescent="0.25">
      <c r="B17" s="1" t="s">
        <v>46</v>
      </c>
      <c r="C17" s="60">
        <v>1</v>
      </c>
      <c r="D17" s="1" t="s">
        <v>150</v>
      </c>
      <c r="E17" s="60">
        <v>32.44</v>
      </c>
      <c r="F17" s="123" t="s">
        <v>149</v>
      </c>
    </row>
    <row r="18" spans="1:31" x14ac:dyDescent="0.25">
      <c r="A18" s="69"/>
      <c r="B18" s="1" t="s">
        <v>105</v>
      </c>
      <c r="C18" s="60">
        <v>1</v>
      </c>
      <c r="D18" s="1" t="s">
        <v>151</v>
      </c>
      <c r="E18" s="60">
        <v>46.5</v>
      </c>
      <c r="F18" s="123" t="s">
        <v>149</v>
      </c>
    </row>
    <row r="19" spans="1:31" ht="9.6" customHeight="1" x14ac:dyDescent="0.25">
      <c r="C19" s="10"/>
      <c r="E19" s="10"/>
      <c r="F19" s="68"/>
    </row>
    <row r="20" spans="1:31" ht="10.199999999999999" customHeight="1" x14ac:dyDescent="0.25">
      <c r="B20" s="103" t="s">
        <v>507</v>
      </c>
      <c r="D20" s="118"/>
      <c r="E20" s="10"/>
    </row>
    <row r="23" spans="1:31" x14ac:dyDescent="0.25">
      <c r="B23" s="3" t="s">
        <v>142</v>
      </c>
      <c r="C23" s="5"/>
      <c r="D23" s="5"/>
      <c r="E23" s="5"/>
    </row>
    <row r="24" spans="1:31" x14ac:dyDescent="0.25">
      <c r="B24" s="69"/>
      <c r="H24" s="147" t="s">
        <v>492</v>
      </c>
      <c r="I24" s="147"/>
      <c r="J24" s="147"/>
      <c r="K24" s="147"/>
      <c r="M24" s="151" t="s">
        <v>493</v>
      </c>
      <c r="N24" s="151"/>
      <c r="O24" s="151"/>
      <c r="P24" s="151"/>
      <c r="Q24" s="151"/>
      <c r="R24" s="151"/>
    </row>
    <row r="25" spans="1:31" x14ac:dyDescent="0.25">
      <c r="B25" s="69"/>
      <c r="C25" s="65" t="s">
        <v>143</v>
      </c>
      <c r="D25" s="65" t="s">
        <v>144</v>
      </c>
      <c r="E25" s="1" t="s">
        <v>87</v>
      </c>
    </row>
    <row r="26" spans="1:31" ht="16.2" x14ac:dyDescent="0.35">
      <c r="A26" s="153" t="s">
        <v>9</v>
      </c>
      <c r="B26" s="7" t="s">
        <v>44</v>
      </c>
      <c r="C26" s="60">
        <v>0</v>
      </c>
      <c r="D26" s="150">
        <f ca="1">SUMIF(I26:AE26,YEAR(TODAY())+ROUND(Haltedauer,0),I28:AE28)</f>
        <v>402.5333333333333</v>
      </c>
      <c r="E26" s="77" t="s">
        <v>152</v>
      </c>
      <c r="F26" s="11"/>
      <c r="H26" s="60" t="s">
        <v>153</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431" t="s">
        <v>9</v>
      </c>
      <c r="B27" s="1" t="s">
        <v>45</v>
      </c>
      <c r="C27" s="107">
        <f>C7*E16</f>
        <v>2654.5279999999998</v>
      </c>
      <c r="D27" s="107">
        <f>D7*E16</f>
        <v>566.77760000000001</v>
      </c>
      <c r="E27" s="12" t="s">
        <v>154</v>
      </c>
      <c r="H27" s="60" t="s">
        <v>155</v>
      </c>
      <c r="I27" s="148">
        <v>420</v>
      </c>
      <c r="J27" s="149">
        <v>402.53333333333336</v>
      </c>
      <c r="K27" s="149">
        <v>385.06666666666672</v>
      </c>
      <c r="L27" s="152">
        <v>367.6</v>
      </c>
      <c r="M27" s="1">
        <v>351.6</v>
      </c>
      <c r="N27" s="1">
        <v>335.6</v>
      </c>
      <c r="O27" s="1">
        <v>319.60000000000002</v>
      </c>
      <c r="P27" s="1">
        <v>303.60000000000002</v>
      </c>
      <c r="Q27" s="152">
        <v>287.60000000000002</v>
      </c>
      <c r="R27" s="1">
        <v>265.44</v>
      </c>
      <c r="S27" s="1">
        <v>243.28</v>
      </c>
      <c r="T27" s="1">
        <v>221.12</v>
      </c>
      <c r="U27" s="1">
        <v>198.96</v>
      </c>
      <c r="V27" s="152">
        <v>176.8</v>
      </c>
      <c r="W27" s="149">
        <v>158.84</v>
      </c>
      <c r="X27" s="149">
        <v>140.88</v>
      </c>
      <c r="Y27" s="149">
        <v>122.91999999999999</v>
      </c>
      <c r="Z27" s="1">
        <v>104.95999999999998</v>
      </c>
      <c r="AA27" s="152">
        <v>87</v>
      </c>
      <c r="AB27" s="107">
        <v>69.04000000000002</v>
      </c>
      <c r="AC27" s="149">
        <v>51.080000000000041</v>
      </c>
      <c r="AD27" s="149">
        <v>33.120000000000061</v>
      </c>
      <c r="AE27" s="1">
        <v>15.160000000000082</v>
      </c>
    </row>
    <row r="28" spans="1:31" ht="16.2" x14ac:dyDescent="0.35">
      <c r="A28" s="426"/>
      <c r="B28" s="1" t="s">
        <v>46</v>
      </c>
      <c r="C28" s="107">
        <f>C8*E17</f>
        <v>2439.4879999999998</v>
      </c>
      <c r="D28" s="107">
        <f>D8*E17</f>
        <v>460.64799999999997</v>
      </c>
      <c r="E28" s="12" t="s">
        <v>154</v>
      </c>
      <c r="H28" s="60" t="s">
        <v>156</v>
      </c>
      <c r="I28" s="1">
        <v>420</v>
      </c>
      <c r="J28" s="149">
        <f>AVERAGE($I$27:J27)</f>
        <v>411.26666666666665</v>
      </c>
      <c r="K28" s="149">
        <f>AVERAGE($I$27:K27)</f>
        <v>402.5333333333333</v>
      </c>
      <c r="L28" s="149">
        <f>AVERAGE($I$27:L27)</f>
        <v>393.79999999999995</v>
      </c>
      <c r="M28" s="149">
        <f>AVERAGE($I$27:M27)</f>
        <v>385.35999999999996</v>
      </c>
      <c r="N28" s="149">
        <f>AVERAGE($I$27:N27)</f>
        <v>377.06666666666661</v>
      </c>
      <c r="O28" s="149">
        <f>AVERAGE($I$27:O27)</f>
        <v>368.85714285714278</v>
      </c>
      <c r="P28" s="149">
        <f>AVERAGE($I$27:P27)</f>
        <v>360.69999999999993</v>
      </c>
      <c r="Q28" s="149">
        <f>AVERAGE($I$27:Q27)</f>
        <v>352.57777777777773</v>
      </c>
      <c r="R28" s="149">
        <f>AVERAGE($I$27:R27)</f>
        <v>343.86399999999992</v>
      </c>
      <c r="S28" s="149">
        <f>AVERAGE($I$27:S27)</f>
        <v>334.71999999999997</v>
      </c>
      <c r="T28" s="149">
        <f>AVERAGE($I$27:T27)</f>
        <v>325.25333333333327</v>
      </c>
      <c r="U28" s="149">
        <f>AVERAGE($I$27:U27)</f>
        <v>315.53846153846149</v>
      </c>
      <c r="V28" s="149">
        <f>AVERAGE($I$27:V27)</f>
        <v>305.62857142857138</v>
      </c>
      <c r="W28" s="149">
        <f>AVERAGE($I$27:W27)</f>
        <v>295.84266666666662</v>
      </c>
      <c r="X28" s="149">
        <f>AVERAGE($I$27:X27)</f>
        <v>286.15749999999997</v>
      </c>
      <c r="Y28" s="149">
        <f>AVERAGE($I$27:Y27)</f>
        <v>276.55529411764701</v>
      </c>
      <c r="Z28" s="149">
        <f>AVERAGE($I$27:Z27)</f>
        <v>267.02222222222218</v>
      </c>
      <c r="AA28" s="149">
        <f>AVERAGE($I$27:AA27)</f>
        <v>257.54736842105262</v>
      </c>
      <c r="AB28" s="149">
        <f>AVERAGE($I$27:AB27)</f>
        <v>248.12199999999999</v>
      </c>
      <c r="AC28" s="149">
        <f>AVERAGE($I$27:AC27)</f>
        <v>238.7390476190476</v>
      </c>
      <c r="AD28" s="149">
        <f>AVERAGE($I$27:AD27)</f>
        <v>229.39272727272726</v>
      </c>
      <c r="AE28" s="149">
        <f>AVERAGE($I$27:AE27)</f>
        <v>220.07826086956518</v>
      </c>
    </row>
    <row r="29" spans="1:31" ht="16.2" x14ac:dyDescent="0.35">
      <c r="A29" s="426"/>
      <c r="B29" s="1" t="s">
        <v>105</v>
      </c>
      <c r="C29" s="107">
        <f>C9*E18</f>
        <v>2594.6999999999998</v>
      </c>
      <c r="D29" s="107">
        <f>D9*E18</f>
        <v>637.04999999999995</v>
      </c>
      <c r="E29" s="12" t="s">
        <v>157</v>
      </c>
    </row>
    <row r="30" spans="1:31" x14ac:dyDescent="0.25">
      <c r="C30" s="105"/>
      <c r="D30" s="105"/>
    </row>
    <row r="31" spans="1:31" x14ac:dyDescent="0.25">
      <c r="C31" s="105"/>
      <c r="D31" s="105"/>
    </row>
    <row r="32" spans="1:31" x14ac:dyDescent="0.25">
      <c r="B32" s="116"/>
      <c r="C32" s="117"/>
      <c r="D32" s="10"/>
    </row>
    <row r="33" spans="3:3" x14ac:dyDescent="0.25">
      <c r="C33" s="106"/>
    </row>
  </sheetData>
  <sheetProtection sheet="1" objects="1" scenarios="1"/>
  <mergeCells count="3">
    <mergeCell ref="C15:D15"/>
    <mergeCell ref="E15:F15"/>
    <mergeCell ref="A27:A29"/>
  </mergeCells>
  <hyperlinks>
    <hyperlink ref="G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I28:AD28"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Normal="10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160</v>
      </c>
      <c r="C2" s="5"/>
      <c r="D2" s="5"/>
      <c r="E2" s="5"/>
    </row>
    <row r="3" spans="2:5" x14ac:dyDescent="0.25">
      <c r="B3" s="1" t="s">
        <v>25</v>
      </c>
      <c r="C3" s="1" t="s">
        <v>51</v>
      </c>
      <c r="D3" s="1" t="s">
        <v>477</v>
      </c>
    </row>
    <row r="4" spans="2:5" x14ac:dyDescent="0.25">
      <c r="B4" s="1" t="s">
        <v>161</v>
      </c>
      <c r="C4" s="1" t="s">
        <v>162</v>
      </c>
      <c r="D4" s="1" t="s">
        <v>478</v>
      </c>
    </row>
    <row r="5" spans="2:5" x14ac:dyDescent="0.25">
      <c r="B5" s="1" t="s">
        <v>163</v>
      </c>
      <c r="C5" s="1" t="s">
        <v>162</v>
      </c>
      <c r="D5" s="1" t="s">
        <v>479</v>
      </c>
    </row>
    <row r="7" spans="2:5" x14ac:dyDescent="0.25">
      <c r="B7" s="3" t="s">
        <v>40</v>
      </c>
      <c r="C7" s="5"/>
      <c r="D7" s="5"/>
    </row>
    <row r="8" spans="2:5" x14ac:dyDescent="0.25">
      <c r="B8" s="1" t="s">
        <v>41</v>
      </c>
    </row>
    <row r="9" spans="2:5" x14ac:dyDescent="0.25">
      <c r="B9" s="1" t="s">
        <v>513</v>
      </c>
    </row>
    <row r="10" spans="2:5" x14ac:dyDescent="0.25">
      <c r="B10" s="1" t="s">
        <v>42</v>
      </c>
    </row>
    <row r="12" spans="2:5" x14ac:dyDescent="0.25">
      <c r="B12" s="3" t="s">
        <v>43</v>
      </c>
      <c r="C12" s="5"/>
    </row>
    <row r="13" spans="2:5" x14ac:dyDescent="0.25">
      <c r="B13" s="1" t="s">
        <v>164</v>
      </c>
    </row>
    <row r="14" spans="2:5" x14ac:dyDescent="0.25">
      <c r="B14" s="1" t="s">
        <v>165</v>
      </c>
      <c r="D14" s="1" t="s">
        <v>166</v>
      </c>
    </row>
    <row r="15" spans="2:5" x14ac:dyDescent="0.25">
      <c r="B15" s="1" t="s">
        <v>167</v>
      </c>
      <c r="D15" s="1" t="s">
        <v>168</v>
      </c>
    </row>
    <row r="16" spans="2:5" x14ac:dyDescent="0.25">
      <c r="B16" s="1" t="s">
        <v>169</v>
      </c>
    </row>
    <row r="17" spans="2:5" x14ac:dyDescent="0.25">
      <c r="B17" s="1" t="s">
        <v>170</v>
      </c>
    </row>
    <row r="19" spans="2:5" x14ac:dyDescent="0.25">
      <c r="B19" s="3" t="s">
        <v>171</v>
      </c>
      <c r="C19" s="5"/>
      <c r="D19" s="5"/>
      <c r="E19" s="5"/>
    </row>
    <row r="20" spans="2:5" x14ac:dyDescent="0.25">
      <c r="B20" s="1" t="s">
        <v>44</v>
      </c>
      <c r="D20" s="1" t="s">
        <v>61</v>
      </c>
    </row>
    <row r="21" spans="2:5" x14ac:dyDescent="0.25">
      <c r="B21" s="1" t="s">
        <v>45</v>
      </c>
      <c r="D21" s="1" t="s">
        <v>150</v>
      </c>
    </row>
    <row r="22" spans="2:5" x14ac:dyDescent="0.25">
      <c r="B22" s="1" t="s">
        <v>46</v>
      </c>
      <c r="D22" s="1" t="s">
        <v>150</v>
      </c>
    </row>
    <row r="23" spans="2:5" x14ac:dyDescent="0.25">
      <c r="B23" s="1" t="s">
        <v>105</v>
      </c>
      <c r="D23" s="1" t="s">
        <v>151</v>
      </c>
    </row>
    <row r="25" spans="2:5" x14ac:dyDescent="0.25">
      <c r="B25" s="3" t="s">
        <v>172</v>
      </c>
      <c r="C25" s="5"/>
      <c r="D25" s="5"/>
    </row>
    <row r="26" spans="2:5" x14ac:dyDescent="0.25">
      <c r="B26" s="1" t="s">
        <v>67</v>
      </c>
    </row>
    <row r="27" spans="2:5" x14ac:dyDescent="0.25">
      <c r="B27" s="1" t="s">
        <v>29</v>
      </c>
    </row>
    <row r="29" spans="2:5" x14ac:dyDescent="0.25">
      <c r="B29" s="3" t="s">
        <v>20</v>
      </c>
      <c r="C29" s="3"/>
    </row>
    <row r="30" spans="2:5" x14ac:dyDescent="0.25">
      <c r="B30" s="1" t="s">
        <v>21</v>
      </c>
    </row>
    <row r="31" spans="2:5" x14ac:dyDescent="0.25">
      <c r="B31" s="1" t="s">
        <v>173</v>
      </c>
    </row>
    <row r="33" spans="2:5" x14ac:dyDescent="0.25">
      <c r="B33" s="3" t="s">
        <v>108</v>
      </c>
      <c r="C33" s="5"/>
      <c r="D33" s="5"/>
      <c r="E33" s="5"/>
    </row>
    <row r="34" spans="2:5" x14ac:dyDescent="0.25">
      <c r="B34" s="12" t="s">
        <v>194</v>
      </c>
    </row>
    <row r="35" spans="2:5" x14ac:dyDescent="0.25">
      <c r="B35" s="12" t="s">
        <v>193</v>
      </c>
    </row>
  </sheetData>
  <sheetProtection sheet="1" objects="1" scenarios="1"/>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172"/>
  <sheetViews>
    <sheetView showGridLines="0" zoomScaleNormal="100" workbookViewId="0"/>
  </sheetViews>
  <sheetFormatPr baseColWidth="10" defaultRowHeight="13.8" x14ac:dyDescent="0.25"/>
  <cols>
    <col min="1" max="1" width="4.6640625" style="1" customWidth="1"/>
    <col min="2" max="16384" width="11.5546875" style="1"/>
  </cols>
  <sheetData>
    <row r="2" spans="2:17" x14ac:dyDescent="0.25">
      <c r="B2" s="2" t="s">
        <v>214</v>
      </c>
      <c r="Q2" s="118" t="s">
        <v>468</v>
      </c>
    </row>
    <row r="39" spans="2:9" ht="15" customHeight="1" x14ac:dyDescent="0.25">
      <c r="B39" s="281" t="s">
        <v>215</v>
      </c>
    </row>
    <row r="40" spans="2:9" ht="15" customHeight="1" x14ac:dyDescent="0.25">
      <c r="B40" s="281" t="s">
        <v>495</v>
      </c>
    </row>
    <row r="41" spans="2:9" ht="15" customHeight="1" x14ac:dyDescent="0.25">
      <c r="B41" s="281" t="s">
        <v>219</v>
      </c>
    </row>
    <row r="42" spans="2:9" ht="15" customHeight="1" x14ac:dyDescent="0.25">
      <c r="B42" s="281"/>
    </row>
    <row r="43" spans="2:9" ht="15" customHeight="1" x14ac:dyDescent="0.25">
      <c r="B43" s="281"/>
    </row>
    <row r="44" spans="2:9" ht="15" customHeight="1" x14ac:dyDescent="0.25">
      <c r="B44" s="2" t="s">
        <v>491</v>
      </c>
    </row>
    <row r="45" spans="2:9" ht="15" customHeight="1" x14ac:dyDescent="0.25">
      <c r="B45" s="331" t="s">
        <v>482</v>
      </c>
      <c r="I45" s="118"/>
    </row>
    <row r="46" spans="2:9" ht="15" customHeight="1" x14ac:dyDescent="0.25">
      <c r="B46" s="329"/>
      <c r="I46" s="118"/>
    </row>
    <row r="48" spans="2:9" x14ac:dyDescent="0.25">
      <c r="B48" s="2" t="s">
        <v>461</v>
      </c>
    </row>
    <row r="50" spans="2:4" x14ac:dyDescent="0.25">
      <c r="B50" s="1" t="s">
        <v>267</v>
      </c>
      <c r="D50" s="1" t="s">
        <v>268</v>
      </c>
    </row>
    <row r="51" spans="2:4" x14ac:dyDescent="0.25">
      <c r="B51" s="1" t="s">
        <v>290</v>
      </c>
      <c r="D51" s="1" t="s">
        <v>291</v>
      </c>
    </row>
    <row r="52" spans="2:4" x14ac:dyDescent="0.25">
      <c r="B52" s="1" t="s">
        <v>292</v>
      </c>
      <c r="D52" s="1" t="s">
        <v>293</v>
      </c>
    </row>
    <row r="53" spans="2:4" x14ac:dyDescent="0.25">
      <c r="B53" s="1" t="s">
        <v>26</v>
      </c>
      <c r="D53" s="1" t="s">
        <v>306</v>
      </c>
    </row>
    <row r="54" spans="2:4" x14ac:dyDescent="0.25">
      <c r="B54" s="1" t="s">
        <v>317</v>
      </c>
      <c r="D54" s="1" t="s">
        <v>318</v>
      </c>
    </row>
    <row r="55" spans="2:4" x14ac:dyDescent="0.25">
      <c r="B55" s="1" t="s">
        <v>329</v>
      </c>
      <c r="D55" s="1" t="s">
        <v>330</v>
      </c>
    </row>
    <row r="56" spans="2:4" x14ac:dyDescent="0.25">
      <c r="B56" s="1" t="s">
        <v>387</v>
      </c>
      <c r="D56" s="1" t="s">
        <v>388</v>
      </c>
    </row>
    <row r="57" spans="2:4" x14ac:dyDescent="0.25">
      <c r="B57" s="1" t="s">
        <v>389</v>
      </c>
      <c r="D57" s="1" t="s">
        <v>390</v>
      </c>
    </row>
    <row r="58" spans="2:4" x14ac:dyDescent="0.25">
      <c r="B58" s="1" t="s">
        <v>391</v>
      </c>
      <c r="D58" s="1" t="s">
        <v>392</v>
      </c>
    </row>
    <row r="59" spans="2:4" x14ac:dyDescent="0.25">
      <c r="B59" s="1" t="s">
        <v>403</v>
      </c>
      <c r="D59" s="1" t="s">
        <v>404</v>
      </c>
    </row>
    <row r="60" spans="2:4" x14ac:dyDescent="0.25">
      <c r="B60" s="1" t="s">
        <v>407</v>
      </c>
      <c r="D60" s="1" t="s">
        <v>408</v>
      </c>
    </row>
    <row r="61" spans="2:4" x14ac:dyDescent="0.25">
      <c r="B61" s="1" t="s">
        <v>459</v>
      </c>
      <c r="D61" s="1" t="s">
        <v>460</v>
      </c>
    </row>
    <row r="62" spans="2:4" x14ac:dyDescent="0.25">
      <c r="B62" s="1" t="s">
        <v>221</v>
      </c>
      <c r="D62" s="1" t="s">
        <v>222</v>
      </c>
    </row>
    <row r="63" spans="2:4" x14ac:dyDescent="0.25">
      <c r="B63" s="1" t="s">
        <v>223</v>
      </c>
      <c r="D63" s="1" t="s">
        <v>224</v>
      </c>
    </row>
    <row r="64" spans="2:4" x14ac:dyDescent="0.25">
      <c r="B64" s="1" t="s">
        <v>225</v>
      </c>
      <c r="D64" s="1" t="s">
        <v>226</v>
      </c>
    </row>
    <row r="65" spans="2:4" x14ac:dyDescent="0.25">
      <c r="B65" s="1" t="s">
        <v>227</v>
      </c>
      <c r="D65" s="1" t="s">
        <v>228</v>
      </c>
    </row>
    <row r="66" spans="2:4" x14ac:dyDescent="0.25">
      <c r="B66" s="1" t="s">
        <v>229</v>
      </c>
      <c r="D66" s="1" t="s">
        <v>230</v>
      </c>
    </row>
    <row r="67" spans="2:4" x14ac:dyDescent="0.25">
      <c r="B67" s="1" t="s">
        <v>233</v>
      </c>
      <c r="D67" s="1" t="s">
        <v>234</v>
      </c>
    </row>
    <row r="68" spans="2:4" x14ac:dyDescent="0.25">
      <c r="B68" s="1" t="s">
        <v>235</v>
      </c>
      <c r="D68" s="1" t="s">
        <v>236</v>
      </c>
    </row>
    <row r="69" spans="2:4" x14ac:dyDescent="0.25">
      <c r="B69" s="1" t="s">
        <v>237</v>
      </c>
      <c r="D69" s="1" t="s">
        <v>238</v>
      </c>
    </row>
    <row r="70" spans="2:4" x14ac:dyDescent="0.25">
      <c r="B70" s="1" t="s">
        <v>239</v>
      </c>
      <c r="D70" s="1" t="s">
        <v>240</v>
      </c>
    </row>
    <row r="71" spans="2:4" x14ac:dyDescent="0.25">
      <c r="B71" s="1" t="s">
        <v>241</v>
      </c>
      <c r="D71" s="1" t="s">
        <v>242</v>
      </c>
    </row>
    <row r="72" spans="2:4" x14ac:dyDescent="0.25">
      <c r="B72" s="1" t="s">
        <v>245</v>
      </c>
      <c r="D72" s="1" t="s">
        <v>246</v>
      </c>
    </row>
    <row r="73" spans="2:4" x14ac:dyDescent="0.25">
      <c r="B73" s="1" t="s">
        <v>247</v>
      </c>
      <c r="D73" s="1" t="s">
        <v>248</v>
      </c>
    </row>
    <row r="74" spans="2:4" x14ac:dyDescent="0.25">
      <c r="B74" s="1" t="s">
        <v>249</v>
      </c>
      <c r="D74" s="1" t="s">
        <v>250</v>
      </c>
    </row>
    <row r="75" spans="2:4" x14ac:dyDescent="0.25">
      <c r="B75" s="1" t="s">
        <v>251</v>
      </c>
      <c r="D75" s="1" t="s">
        <v>252</v>
      </c>
    </row>
    <row r="76" spans="2:4" x14ac:dyDescent="0.25">
      <c r="B76" s="1" t="s">
        <v>253</v>
      </c>
      <c r="D76" s="1" t="s">
        <v>254</v>
      </c>
    </row>
    <row r="77" spans="2:4" x14ac:dyDescent="0.25">
      <c r="B77" s="1" t="s">
        <v>255</v>
      </c>
      <c r="D77" s="1" t="s">
        <v>256</v>
      </c>
    </row>
    <row r="78" spans="2:4" x14ac:dyDescent="0.25">
      <c r="B78" s="1" t="s">
        <v>257</v>
      </c>
      <c r="D78" s="1" t="s">
        <v>258</v>
      </c>
    </row>
    <row r="79" spans="2:4" x14ac:dyDescent="0.25">
      <c r="B79" s="1" t="s">
        <v>259</v>
      </c>
      <c r="D79" s="1" t="s">
        <v>260</v>
      </c>
    </row>
    <row r="80" spans="2:4" x14ac:dyDescent="0.25">
      <c r="B80" s="1" t="s">
        <v>261</v>
      </c>
      <c r="D80" s="1" t="s">
        <v>262</v>
      </c>
    </row>
    <row r="81" spans="2:4" x14ac:dyDescent="0.25">
      <c r="B81" s="1" t="s">
        <v>263</v>
      </c>
      <c r="D81" s="1" t="s">
        <v>264</v>
      </c>
    </row>
    <row r="82" spans="2:4" x14ac:dyDescent="0.25">
      <c r="B82" s="1" t="s">
        <v>271</v>
      </c>
      <c r="D82" s="1" t="s">
        <v>272</v>
      </c>
    </row>
    <row r="83" spans="2:4" x14ac:dyDescent="0.25">
      <c r="B83" s="1" t="s">
        <v>273</v>
      </c>
      <c r="D83" s="1" t="s">
        <v>274</v>
      </c>
    </row>
    <row r="84" spans="2:4" x14ac:dyDescent="0.25">
      <c r="B84" s="1" t="s">
        <v>275</v>
      </c>
      <c r="D84" s="1" t="s">
        <v>276</v>
      </c>
    </row>
    <row r="85" spans="2:4" x14ac:dyDescent="0.25">
      <c r="B85" s="1" t="s">
        <v>277</v>
      </c>
      <c r="D85" s="1" t="s">
        <v>278</v>
      </c>
    </row>
    <row r="86" spans="2:4" x14ac:dyDescent="0.25">
      <c r="B86" s="1" t="s">
        <v>279</v>
      </c>
      <c r="D86" s="1" t="s">
        <v>280</v>
      </c>
    </row>
    <row r="87" spans="2:4" x14ac:dyDescent="0.25">
      <c r="B87" s="1" t="s">
        <v>296</v>
      </c>
      <c r="D87" s="1" t="s">
        <v>297</v>
      </c>
    </row>
    <row r="88" spans="2:4" x14ac:dyDescent="0.25">
      <c r="B88" s="1" t="s">
        <v>298</v>
      </c>
      <c r="D88" s="1" t="s">
        <v>299</v>
      </c>
    </row>
    <row r="89" spans="2:4" x14ac:dyDescent="0.25">
      <c r="B89" s="1" t="s">
        <v>300</v>
      </c>
      <c r="D89" s="1" t="s">
        <v>301</v>
      </c>
    </row>
    <row r="90" spans="2:4" x14ac:dyDescent="0.25">
      <c r="B90" s="1" t="s">
        <v>302</v>
      </c>
      <c r="D90" s="1" t="s">
        <v>303</v>
      </c>
    </row>
    <row r="91" spans="2:4" x14ac:dyDescent="0.25">
      <c r="B91" s="1" t="s">
        <v>304</v>
      </c>
      <c r="D91" s="1" t="s">
        <v>305</v>
      </c>
    </row>
    <row r="92" spans="2:4" x14ac:dyDescent="0.25">
      <c r="B92" s="1" t="s">
        <v>307</v>
      </c>
      <c r="D92" s="1" t="s">
        <v>308</v>
      </c>
    </row>
    <row r="93" spans="2:4" x14ac:dyDescent="0.25">
      <c r="B93" s="1" t="s">
        <v>309</v>
      </c>
      <c r="D93" s="1" t="s">
        <v>310</v>
      </c>
    </row>
    <row r="94" spans="2:4" x14ac:dyDescent="0.25">
      <c r="B94" s="1" t="s">
        <v>311</v>
      </c>
      <c r="D94" s="1" t="s">
        <v>312</v>
      </c>
    </row>
    <row r="95" spans="2:4" x14ac:dyDescent="0.25">
      <c r="B95" s="1" t="s">
        <v>313</v>
      </c>
      <c r="D95" s="1" t="s">
        <v>314</v>
      </c>
    </row>
    <row r="96" spans="2:4" x14ac:dyDescent="0.25">
      <c r="B96" s="1" t="s">
        <v>315</v>
      </c>
      <c r="D96" s="1" t="s">
        <v>316</v>
      </c>
    </row>
    <row r="97" spans="2:4" x14ac:dyDescent="0.25">
      <c r="B97" s="1" t="s">
        <v>331</v>
      </c>
      <c r="D97" s="1" t="s">
        <v>332</v>
      </c>
    </row>
    <row r="98" spans="2:4" x14ac:dyDescent="0.25">
      <c r="B98" s="1" t="s">
        <v>333</v>
      </c>
      <c r="D98" s="1" t="s">
        <v>334</v>
      </c>
    </row>
    <row r="99" spans="2:4" x14ac:dyDescent="0.25">
      <c r="B99" s="1" t="s">
        <v>335</v>
      </c>
      <c r="D99" s="1" t="s">
        <v>336</v>
      </c>
    </row>
    <row r="100" spans="2:4" x14ac:dyDescent="0.25">
      <c r="B100" s="1" t="s">
        <v>337</v>
      </c>
      <c r="D100" s="1" t="s">
        <v>338</v>
      </c>
    </row>
    <row r="101" spans="2:4" x14ac:dyDescent="0.25">
      <c r="B101" s="1" t="s">
        <v>339</v>
      </c>
      <c r="D101" s="1" t="s">
        <v>340</v>
      </c>
    </row>
    <row r="102" spans="2:4" x14ac:dyDescent="0.25">
      <c r="B102" s="1" t="s">
        <v>357</v>
      </c>
      <c r="D102" s="1" t="s">
        <v>358</v>
      </c>
    </row>
    <row r="103" spans="2:4" x14ac:dyDescent="0.25">
      <c r="B103" s="1" t="s">
        <v>359</v>
      </c>
      <c r="D103" s="1" t="s">
        <v>360</v>
      </c>
    </row>
    <row r="104" spans="2:4" x14ac:dyDescent="0.25">
      <c r="B104" s="1" t="s">
        <v>361</v>
      </c>
      <c r="D104" s="1" t="s">
        <v>362</v>
      </c>
    </row>
    <row r="105" spans="2:4" x14ac:dyDescent="0.25">
      <c r="B105" s="1" t="s">
        <v>363</v>
      </c>
      <c r="D105" s="1" t="s">
        <v>364</v>
      </c>
    </row>
    <row r="106" spans="2:4" x14ac:dyDescent="0.25">
      <c r="B106" s="1" t="s">
        <v>365</v>
      </c>
      <c r="D106" s="1" t="s">
        <v>366</v>
      </c>
    </row>
    <row r="107" spans="2:4" x14ac:dyDescent="0.25">
      <c r="B107" s="1" t="s">
        <v>367</v>
      </c>
      <c r="D107" s="1" t="s">
        <v>368</v>
      </c>
    </row>
    <row r="108" spans="2:4" x14ac:dyDescent="0.25">
      <c r="B108" s="1" t="s">
        <v>369</v>
      </c>
      <c r="D108" s="1" t="s">
        <v>370</v>
      </c>
    </row>
    <row r="109" spans="2:4" x14ac:dyDescent="0.25">
      <c r="B109" s="1" t="s">
        <v>371</v>
      </c>
      <c r="D109" s="1" t="s">
        <v>372</v>
      </c>
    </row>
    <row r="110" spans="2:4" x14ac:dyDescent="0.25">
      <c r="B110" s="1" t="s">
        <v>373</v>
      </c>
      <c r="D110" s="1" t="s">
        <v>374</v>
      </c>
    </row>
    <row r="111" spans="2:4" x14ac:dyDescent="0.25">
      <c r="B111" s="1" t="s">
        <v>375</v>
      </c>
      <c r="D111" s="1" t="s">
        <v>376</v>
      </c>
    </row>
    <row r="112" spans="2:4" x14ac:dyDescent="0.25">
      <c r="B112" s="1" t="s">
        <v>377</v>
      </c>
      <c r="D112" s="1" t="s">
        <v>378</v>
      </c>
    </row>
    <row r="113" spans="2:4" x14ac:dyDescent="0.25">
      <c r="B113" s="1" t="s">
        <v>379</v>
      </c>
      <c r="D113" s="1" t="s">
        <v>380</v>
      </c>
    </row>
    <row r="114" spans="2:4" x14ac:dyDescent="0.25">
      <c r="B114" s="1" t="s">
        <v>381</v>
      </c>
      <c r="D114" s="1" t="s">
        <v>382</v>
      </c>
    </row>
    <row r="115" spans="2:4" x14ac:dyDescent="0.25">
      <c r="B115" s="1" t="s">
        <v>383</v>
      </c>
      <c r="D115" s="1" t="s">
        <v>384</v>
      </c>
    </row>
    <row r="116" spans="2:4" x14ac:dyDescent="0.25">
      <c r="B116" s="1" t="s">
        <v>385</v>
      </c>
      <c r="D116" s="1" t="s">
        <v>386</v>
      </c>
    </row>
    <row r="117" spans="2:4" x14ac:dyDescent="0.25">
      <c r="B117" s="1" t="s">
        <v>393</v>
      </c>
      <c r="D117" s="1" t="s">
        <v>394</v>
      </c>
    </row>
    <row r="118" spans="2:4" x14ac:dyDescent="0.25">
      <c r="B118" s="1" t="s">
        <v>395</v>
      </c>
      <c r="D118" s="1" t="s">
        <v>396</v>
      </c>
    </row>
    <row r="119" spans="2:4" x14ac:dyDescent="0.25">
      <c r="B119" s="1" t="s">
        <v>397</v>
      </c>
      <c r="D119" s="1" t="s">
        <v>398</v>
      </c>
    </row>
    <row r="120" spans="2:4" x14ac:dyDescent="0.25">
      <c r="B120" s="1" t="s">
        <v>399</v>
      </c>
      <c r="D120" s="1" t="s">
        <v>400</v>
      </c>
    </row>
    <row r="121" spans="2:4" x14ac:dyDescent="0.25">
      <c r="B121" s="1" t="s">
        <v>401</v>
      </c>
      <c r="D121" s="1" t="s">
        <v>402</v>
      </c>
    </row>
    <row r="122" spans="2:4" x14ac:dyDescent="0.25">
      <c r="B122" s="1" t="s">
        <v>409</v>
      </c>
      <c r="D122" s="1" t="s">
        <v>410</v>
      </c>
    </row>
    <row r="123" spans="2:4" x14ac:dyDescent="0.25">
      <c r="B123" s="1" t="s">
        <v>411</v>
      </c>
      <c r="D123" s="1" t="s">
        <v>412</v>
      </c>
    </row>
    <row r="124" spans="2:4" x14ac:dyDescent="0.25">
      <c r="B124" s="1" t="s">
        <v>413</v>
      </c>
      <c r="D124" s="1" t="s">
        <v>414</v>
      </c>
    </row>
    <row r="125" spans="2:4" x14ac:dyDescent="0.25">
      <c r="B125" s="1" t="s">
        <v>415</v>
      </c>
      <c r="D125" s="1" t="s">
        <v>416</v>
      </c>
    </row>
    <row r="126" spans="2:4" x14ac:dyDescent="0.25">
      <c r="B126" s="1" t="s">
        <v>417</v>
      </c>
      <c r="D126" s="1" t="s">
        <v>418</v>
      </c>
    </row>
    <row r="127" spans="2:4" x14ac:dyDescent="0.25">
      <c r="B127" s="1" t="s">
        <v>439</v>
      </c>
      <c r="D127" s="1" t="s">
        <v>440</v>
      </c>
    </row>
    <row r="128" spans="2:4" x14ac:dyDescent="0.25">
      <c r="B128" s="1" t="s">
        <v>441</v>
      </c>
      <c r="D128" s="1" t="s">
        <v>442</v>
      </c>
    </row>
    <row r="129" spans="2:4" x14ac:dyDescent="0.25">
      <c r="B129" s="1" t="s">
        <v>443</v>
      </c>
      <c r="D129" s="1" t="s">
        <v>444</v>
      </c>
    </row>
    <row r="130" spans="2:4" x14ac:dyDescent="0.25">
      <c r="B130" s="1" t="s">
        <v>445</v>
      </c>
      <c r="D130" s="1" t="s">
        <v>446</v>
      </c>
    </row>
    <row r="131" spans="2:4" x14ac:dyDescent="0.25">
      <c r="B131" s="1" t="s">
        <v>447</v>
      </c>
      <c r="D131" s="1" t="s">
        <v>448</v>
      </c>
    </row>
    <row r="132" spans="2:4" x14ac:dyDescent="0.25">
      <c r="B132" s="1" t="s">
        <v>449</v>
      </c>
      <c r="D132" s="1" t="s">
        <v>450</v>
      </c>
    </row>
    <row r="133" spans="2:4" x14ac:dyDescent="0.25">
      <c r="B133" s="1" t="s">
        <v>451</v>
      </c>
      <c r="D133" s="1" t="s">
        <v>452</v>
      </c>
    </row>
    <row r="134" spans="2:4" x14ac:dyDescent="0.25">
      <c r="B134" s="1" t="s">
        <v>453</v>
      </c>
      <c r="D134" s="1" t="s">
        <v>454</v>
      </c>
    </row>
    <row r="135" spans="2:4" x14ac:dyDescent="0.25">
      <c r="B135" s="1" t="s">
        <v>455</v>
      </c>
      <c r="D135" s="1" t="s">
        <v>456</v>
      </c>
    </row>
    <row r="136" spans="2:4" x14ac:dyDescent="0.25">
      <c r="B136" s="1" t="s">
        <v>457</v>
      </c>
      <c r="D136" s="1" t="s">
        <v>458</v>
      </c>
    </row>
    <row r="137" spans="2:4" x14ac:dyDescent="0.25">
      <c r="B137" s="1" t="s">
        <v>281</v>
      </c>
      <c r="D137" s="1" t="s">
        <v>282</v>
      </c>
    </row>
    <row r="138" spans="2:4" x14ac:dyDescent="0.25">
      <c r="B138" s="1" t="s">
        <v>321</v>
      </c>
      <c r="D138" s="1" t="s">
        <v>322</v>
      </c>
    </row>
    <row r="139" spans="2:4" x14ac:dyDescent="0.25">
      <c r="B139" s="1" t="s">
        <v>323</v>
      </c>
      <c r="D139" s="1" t="s">
        <v>324</v>
      </c>
    </row>
    <row r="140" spans="2:4" x14ac:dyDescent="0.25">
      <c r="B140" s="1" t="s">
        <v>325</v>
      </c>
      <c r="D140" s="1" t="s">
        <v>326</v>
      </c>
    </row>
    <row r="141" spans="2:4" x14ac:dyDescent="0.25">
      <c r="B141" s="1" t="s">
        <v>341</v>
      </c>
      <c r="D141" s="1" t="s">
        <v>342</v>
      </c>
    </row>
    <row r="142" spans="2:4" x14ac:dyDescent="0.25">
      <c r="B142" s="1" t="s">
        <v>343</v>
      </c>
      <c r="D142" s="1" t="s">
        <v>344</v>
      </c>
    </row>
    <row r="143" spans="2:4" x14ac:dyDescent="0.25">
      <c r="B143" s="1" t="s">
        <v>345</v>
      </c>
      <c r="D143" s="1" t="s">
        <v>346</v>
      </c>
    </row>
    <row r="144" spans="2:4" x14ac:dyDescent="0.25">
      <c r="B144" s="1" t="s">
        <v>347</v>
      </c>
      <c r="D144" s="1" t="s">
        <v>348</v>
      </c>
    </row>
    <row r="145" spans="2:4" x14ac:dyDescent="0.25">
      <c r="B145" s="1" t="s">
        <v>349</v>
      </c>
      <c r="D145" s="1" t="s">
        <v>350</v>
      </c>
    </row>
    <row r="146" spans="2:4" x14ac:dyDescent="0.25">
      <c r="B146" s="1" t="s">
        <v>351</v>
      </c>
      <c r="D146" s="1" t="s">
        <v>352</v>
      </c>
    </row>
    <row r="147" spans="2:4" x14ac:dyDescent="0.25">
      <c r="B147" s="1" t="s">
        <v>353</v>
      </c>
      <c r="D147" s="1" t="s">
        <v>354</v>
      </c>
    </row>
    <row r="148" spans="2:4" x14ac:dyDescent="0.25">
      <c r="B148" s="1" t="s">
        <v>355</v>
      </c>
      <c r="D148" s="1" t="s">
        <v>356</v>
      </c>
    </row>
    <row r="149" spans="2:4" x14ac:dyDescent="0.25">
      <c r="B149" s="1" t="s">
        <v>164</v>
      </c>
      <c r="D149" s="1" t="s">
        <v>283</v>
      </c>
    </row>
    <row r="150" spans="2:4" x14ac:dyDescent="0.25">
      <c r="B150" s="1" t="s">
        <v>165</v>
      </c>
      <c r="D150" s="1" t="s">
        <v>284</v>
      </c>
    </row>
    <row r="151" spans="2:4" x14ac:dyDescent="0.25">
      <c r="B151" s="1" t="s">
        <v>167</v>
      </c>
      <c r="D151" s="1" t="s">
        <v>285</v>
      </c>
    </row>
    <row r="152" spans="2:4" x14ac:dyDescent="0.25">
      <c r="B152" s="1" t="s">
        <v>169</v>
      </c>
      <c r="D152" s="1" t="s">
        <v>286</v>
      </c>
    </row>
    <row r="153" spans="2:4" x14ac:dyDescent="0.25">
      <c r="B153" s="1" t="s">
        <v>170</v>
      </c>
      <c r="D153" s="1" t="s">
        <v>287</v>
      </c>
    </row>
    <row r="154" spans="2:4" x14ac:dyDescent="0.25">
      <c r="B154" s="1" t="s">
        <v>419</v>
      </c>
      <c r="D154" s="1" t="s">
        <v>420</v>
      </c>
    </row>
    <row r="155" spans="2:4" x14ac:dyDescent="0.25">
      <c r="B155" s="1" t="s">
        <v>421</v>
      </c>
      <c r="D155" s="1" t="s">
        <v>422</v>
      </c>
    </row>
    <row r="156" spans="2:4" x14ac:dyDescent="0.25">
      <c r="B156" s="1" t="s">
        <v>423</v>
      </c>
      <c r="D156" s="1" t="s">
        <v>424</v>
      </c>
    </row>
    <row r="157" spans="2:4" x14ac:dyDescent="0.25">
      <c r="B157" s="1" t="s">
        <v>425</v>
      </c>
      <c r="D157" s="1" t="s">
        <v>426</v>
      </c>
    </row>
    <row r="158" spans="2:4" x14ac:dyDescent="0.25">
      <c r="B158" s="1" t="s">
        <v>427</v>
      </c>
      <c r="D158" s="1" t="s">
        <v>428</v>
      </c>
    </row>
    <row r="159" spans="2:4" x14ac:dyDescent="0.25">
      <c r="B159" s="1" t="s">
        <v>429</v>
      </c>
      <c r="D159" s="1" t="s">
        <v>430</v>
      </c>
    </row>
    <row r="160" spans="2:4" x14ac:dyDescent="0.25">
      <c r="B160" s="1" t="s">
        <v>431</v>
      </c>
      <c r="D160" s="1" t="s">
        <v>432</v>
      </c>
    </row>
    <row r="161" spans="2:4" x14ac:dyDescent="0.25">
      <c r="B161" s="1" t="s">
        <v>433</v>
      </c>
      <c r="D161" s="1" t="s">
        <v>434</v>
      </c>
    </row>
    <row r="162" spans="2:4" x14ac:dyDescent="0.25">
      <c r="B162" s="1" t="s">
        <v>435</v>
      </c>
      <c r="D162" s="1" t="s">
        <v>436</v>
      </c>
    </row>
    <row r="163" spans="2:4" x14ac:dyDescent="0.25">
      <c r="B163" s="1" t="s">
        <v>437</v>
      </c>
      <c r="D163" s="1" t="s">
        <v>438</v>
      </c>
    </row>
    <row r="164" spans="2:4" x14ac:dyDescent="0.25">
      <c r="B164" s="1" t="s">
        <v>243</v>
      </c>
      <c r="D164" s="1" t="s">
        <v>244</v>
      </c>
    </row>
    <row r="165" spans="2:4" x14ac:dyDescent="0.25">
      <c r="B165" s="1" t="s">
        <v>265</v>
      </c>
      <c r="D165" s="1" t="s">
        <v>266</v>
      </c>
    </row>
    <row r="166" spans="2:4" x14ac:dyDescent="0.25">
      <c r="B166" s="1" t="s">
        <v>288</v>
      </c>
      <c r="D166" s="1" t="s">
        <v>289</v>
      </c>
    </row>
    <row r="167" spans="2:4" x14ac:dyDescent="0.25">
      <c r="B167" s="1" t="s">
        <v>231</v>
      </c>
      <c r="D167" s="1" t="s">
        <v>232</v>
      </c>
    </row>
    <row r="168" spans="2:4" x14ac:dyDescent="0.25">
      <c r="B168" s="1" t="s">
        <v>269</v>
      </c>
      <c r="D168" s="1" t="s">
        <v>270</v>
      </c>
    </row>
    <row r="169" spans="2:4" x14ac:dyDescent="0.25">
      <c r="B169" s="1" t="s">
        <v>294</v>
      </c>
      <c r="D169" s="1" t="s">
        <v>295</v>
      </c>
    </row>
    <row r="170" spans="2:4" x14ac:dyDescent="0.25">
      <c r="B170" s="1" t="s">
        <v>319</v>
      </c>
      <c r="D170" s="1" t="s">
        <v>320</v>
      </c>
    </row>
    <row r="171" spans="2:4" x14ac:dyDescent="0.25">
      <c r="B171" s="1" t="s">
        <v>327</v>
      </c>
      <c r="D171" s="1" t="s">
        <v>328</v>
      </c>
    </row>
    <row r="172" spans="2:4" x14ac:dyDescent="0.25">
      <c r="B172" s="1" t="s">
        <v>405</v>
      </c>
      <c r="D172" s="1" t="s">
        <v>406</v>
      </c>
    </row>
  </sheetData>
  <sheetProtection sheet="1" objects="1" scenarios="1"/>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I34"/>
  <sheetViews>
    <sheetView showGridLines="0" workbookViewId="0"/>
  </sheetViews>
  <sheetFormatPr baseColWidth="10" defaultColWidth="11.5546875" defaultRowHeight="11.4" x14ac:dyDescent="0.2"/>
  <cols>
    <col min="1" max="1" width="4.44140625" style="103" customWidth="1"/>
    <col min="2" max="2" width="22.88671875" style="103" customWidth="1"/>
    <col min="3" max="3" width="88.6640625" style="103" customWidth="1"/>
    <col min="4" max="16384" width="11.5546875" style="103"/>
  </cols>
  <sheetData>
    <row r="2" spans="2:5" ht="13.2" x14ac:dyDescent="0.25">
      <c r="B2" s="3" t="s">
        <v>174</v>
      </c>
      <c r="C2" s="144"/>
      <c r="E2" s="118" t="s">
        <v>468</v>
      </c>
    </row>
    <row r="4" spans="2:5" s="342" customFormat="1" x14ac:dyDescent="0.2">
      <c r="B4" s="342" t="s">
        <v>500</v>
      </c>
      <c r="C4" s="342" t="s">
        <v>499</v>
      </c>
    </row>
    <row r="5" spans="2:5" s="342" customFormat="1" x14ac:dyDescent="0.2">
      <c r="C5" s="344" t="s">
        <v>175</v>
      </c>
    </row>
    <row r="6" spans="2:5" s="342" customFormat="1" x14ac:dyDescent="0.2">
      <c r="B6" s="342" t="s">
        <v>501</v>
      </c>
      <c r="C6" s="342" t="s">
        <v>176</v>
      </c>
    </row>
    <row r="7" spans="2:5" s="342" customFormat="1" x14ac:dyDescent="0.2">
      <c r="C7" s="344" t="s">
        <v>177</v>
      </c>
    </row>
    <row r="8" spans="2:5" s="342" customFormat="1" x14ac:dyDescent="0.2">
      <c r="B8" s="342" t="s">
        <v>178</v>
      </c>
      <c r="C8" s="342" t="s">
        <v>179</v>
      </c>
    </row>
    <row r="9" spans="2:5" s="342" customFormat="1" x14ac:dyDescent="0.2">
      <c r="C9" s="344" t="s">
        <v>463</v>
      </c>
    </row>
    <row r="10" spans="2:5" s="342" customFormat="1" x14ac:dyDescent="0.2">
      <c r="B10" s="342" t="s">
        <v>462</v>
      </c>
      <c r="C10" s="335" t="s">
        <v>502</v>
      </c>
    </row>
    <row r="11" spans="2:5" s="342" customFormat="1" x14ac:dyDescent="0.2">
      <c r="C11" s="344" t="s">
        <v>180</v>
      </c>
    </row>
    <row r="12" spans="2:5" s="342" customFormat="1" ht="22.8" customHeight="1" x14ac:dyDescent="0.2">
      <c r="B12" s="345" t="s">
        <v>181</v>
      </c>
      <c r="C12" s="335" t="s">
        <v>469</v>
      </c>
    </row>
    <row r="13" spans="2:5" s="342" customFormat="1" x14ac:dyDescent="0.2">
      <c r="B13" s="335"/>
      <c r="C13" s="344" t="s">
        <v>182</v>
      </c>
    </row>
    <row r="14" spans="2:5" s="342" customFormat="1" ht="22.8" x14ac:dyDescent="0.2">
      <c r="B14" s="346" t="s">
        <v>497</v>
      </c>
      <c r="C14" s="342" t="s">
        <v>498</v>
      </c>
    </row>
    <row r="15" spans="2:5" s="342" customFormat="1" ht="22.8" customHeight="1" x14ac:dyDescent="0.2">
      <c r="C15" s="334" t="s">
        <v>184</v>
      </c>
    </row>
    <row r="16" spans="2:5" s="342" customFormat="1" x14ac:dyDescent="0.2">
      <c r="B16" s="346" t="s">
        <v>503</v>
      </c>
      <c r="C16" s="342" t="s">
        <v>504</v>
      </c>
    </row>
    <row r="17" spans="2:9" s="342" customFormat="1" ht="26.4" x14ac:dyDescent="0.25">
      <c r="C17" s="343" t="s">
        <v>514</v>
      </c>
    </row>
    <row r="18" spans="2:9" x14ac:dyDescent="0.2">
      <c r="B18" s="103" t="s">
        <v>508</v>
      </c>
      <c r="C18" s="103" t="s">
        <v>187</v>
      </c>
    </row>
    <row r="19" spans="2:9" ht="22.8" customHeight="1" x14ac:dyDescent="0.2">
      <c r="C19" s="334" t="s">
        <v>188</v>
      </c>
      <c r="D19" s="334"/>
      <c r="E19" s="334"/>
      <c r="F19" s="334"/>
      <c r="G19" s="334"/>
      <c r="H19" s="334"/>
      <c r="I19" s="334"/>
    </row>
    <row r="20" spans="2:9" s="342" customFormat="1" x14ac:dyDescent="0.2">
      <c r="B20" s="342" t="s">
        <v>103</v>
      </c>
      <c r="C20" s="342" t="s">
        <v>494</v>
      </c>
    </row>
    <row r="21" spans="2:9" s="342" customFormat="1" x14ac:dyDescent="0.2">
      <c r="C21" s="344" t="s">
        <v>183</v>
      </c>
    </row>
    <row r="22" spans="2:9" s="342" customFormat="1" x14ac:dyDescent="0.2">
      <c r="B22" s="342" t="s">
        <v>204</v>
      </c>
      <c r="C22" s="342" t="s">
        <v>203</v>
      </c>
    </row>
    <row r="23" spans="2:9" s="342" customFormat="1" x14ac:dyDescent="0.2">
      <c r="C23" s="344" t="s">
        <v>202</v>
      </c>
    </row>
    <row r="24" spans="2:9" s="342" customFormat="1" x14ac:dyDescent="0.2">
      <c r="B24" s="342" t="s">
        <v>206</v>
      </c>
      <c r="C24" s="342" t="s">
        <v>205</v>
      </c>
    </row>
    <row r="25" spans="2:9" s="342" customFormat="1" x14ac:dyDescent="0.2">
      <c r="C25" s="344" t="s">
        <v>207</v>
      </c>
    </row>
    <row r="26" spans="2:9" s="342" customFormat="1" x14ac:dyDescent="0.2">
      <c r="B26" s="342" t="s">
        <v>185</v>
      </c>
      <c r="C26" s="342" t="s">
        <v>186</v>
      </c>
    </row>
    <row r="27" spans="2:9" s="342" customFormat="1" x14ac:dyDescent="0.2">
      <c r="C27" s="344" t="s">
        <v>471</v>
      </c>
    </row>
    <row r="28" spans="2:9" s="342" customFormat="1" x14ac:dyDescent="0.2">
      <c r="B28" s="342" t="s">
        <v>189</v>
      </c>
      <c r="C28" s="342" t="s">
        <v>190</v>
      </c>
    </row>
    <row r="29" spans="2:9" s="342" customFormat="1" ht="22.8" customHeight="1" x14ac:dyDescent="0.2">
      <c r="C29" s="334" t="s">
        <v>191</v>
      </c>
    </row>
    <row r="30" spans="2:9" s="342" customFormat="1" x14ac:dyDescent="0.2"/>
    <row r="31" spans="2:9" s="342" customFormat="1" x14ac:dyDescent="0.2"/>
    <row r="32" spans="2:9" s="342" customFormat="1" x14ac:dyDescent="0.2"/>
    <row r="33" s="342" customFormat="1" x14ac:dyDescent="0.2"/>
    <row r="34" s="342" customFormat="1" x14ac:dyDescent="0.2"/>
  </sheetData>
  <sheetProtection sheet="1" objects="1" scenarios="1"/>
  <hyperlinks>
    <hyperlink ref="C15" r:id="rId1" xr:uid="{00000000-0004-0000-0E00-000000000000}"/>
    <hyperlink ref="C27" r:id="rId2" xr:uid="{00000000-0004-0000-0E00-000001000000}"/>
    <hyperlink ref="C29" r:id="rId3" xr:uid="{00000000-0004-0000-0E00-000002000000}"/>
    <hyperlink ref="C9" r:id="rId4" xr:uid="{00000000-0004-0000-0E00-000003000000}"/>
    <hyperlink ref="C13" r:id="rId5" xr:uid="{00000000-0004-0000-0E00-000004000000}"/>
    <hyperlink ref="C21" r:id="rId6" xr:uid="{00000000-0004-0000-0E00-000007000000}"/>
    <hyperlink ref="C11" r:id="rId7" xr:uid="{00000000-0004-0000-0E00-00000A000000}"/>
    <hyperlink ref="C23" r:id="rId8" xr:uid="{00000000-0004-0000-0E00-00000C000000}"/>
    <hyperlink ref="E2" location="Anleitung!A1" display="zurück zu &quot;Anleitung&quot;" xr:uid="{00000000-0004-0000-0E00-00000E000000}"/>
    <hyperlink ref="C5" r:id="rId9" xr:uid="{00000000-0004-0000-0E00-000008000000}"/>
    <hyperlink ref="C7" r:id="rId10" location="seit-2021" xr:uid="{00000000-0004-0000-0E00-000006000000}"/>
    <hyperlink ref="C17" r:id="rId11" xr:uid="{9358B48D-96B7-4028-8449-E1D2AE260611}"/>
    <hyperlink ref="C27" r:id="rId12" display="https://www.transportenvironment.org/wp-content/uploads/2022/05/TE_LCA_Update-June.pdf" xr:uid="{00000000-0004-0000-0E00-00000D000000}"/>
    <hyperlink ref="C19" r:id="rId13" xr:uid="{BED7236F-CE1E-46EE-833A-AB32404E4527}"/>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B43F9A2BF99C145A97E1F24240CACC5" ma:contentTypeVersion="3" ma:contentTypeDescription="Ein neues Dokument erstellen." ma:contentTypeScope="" ma:versionID="ad7cb359a54e5cc452fc9ddca52c1c6e">
  <xsd:schema xmlns:xsd="http://www.w3.org/2001/XMLSchema" xmlns:xs="http://www.w3.org/2001/XMLSchema" xmlns:p="http://schemas.microsoft.com/office/2006/metadata/properties" xmlns:ns2="0b6e3095-4fd5-4f76-ae54-62b873214d55" targetNamespace="http://schemas.microsoft.com/office/2006/metadata/properties" ma:root="true" ma:fieldsID="0a0e0858071e0fd1d5bbfdbf33b5c725" ns2:_="">
    <xsd:import namespace="0b6e3095-4fd5-4f76-ae54-62b873214d55"/>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e3095-4fd5-4f76-ae54-62b873214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A61372-8E32-4858-8148-26B097EA79D4}"/>
</file>

<file path=customXml/itemProps2.xml><?xml version="1.0" encoding="utf-8"?>
<ds:datastoreItem xmlns:ds="http://schemas.openxmlformats.org/officeDocument/2006/customXml" ds:itemID="{651615EB-DE44-4BF4-BD1E-846AB7A3DA36}">
  <ds:schemaRefs>
    <ds:schemaRef ds:uri="http://purl.org/dc/elements/1.1/"/>
    <ds:schemaRef ds:uri="http://schemas.microsoft.com/office/2006/metadata/properties"/>
    <ds:schemaRef ds:uri="6998d7be-1ad0-4716-9c60-ba76cfe9b1f3"/>
    <ds:schemaRef ds:uri="http://purl.org/dc/terms/"/>
    <ds:schemaRef ds:uri="http://schemas.microsoft.com/office/2006/documentManagement/types"/>
    <ds:schemaRef ds:uri="5e4dc333-02c0-4d6f-a03d-d04a548a7be7"/>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2A2CDCF-36F6-4C30-8F9B-D45880CB8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129</vt:i4>
      </vt:variant>
    </vt:vector>
  </HeadingPairs>
  <TitlesOfParts>
    <vt:vector size="144"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Erg.Pkw_1!Druckbereich</vt:lpstr>
      <vt:lpstr>Erg.Pkw_2!Druckbereich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maxkWh</vt:lpstr>
      <vt:lpstr>maxkWhVan</vt:lpstr>
      <vt:lpstr>maxNOX</vt:lpstr>
      <vt:lpstr>maxPM</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cp:lastPrinted>2023-12-18T12:33:50Z</cp:lastPrinted>
  <dcterms:created xsi:type="dcterms:W3CDTF">2022-09-15T12:00:20Z</dcterms:created>
  <dcterms:modified xsi:type="dcterms:W3CDTF">2024-01-10T11:16:03Z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0x0101009B43F9A2BF99C145A97E1F24240CACC5</vt:lpwstr>
  </property>
  <property fmtid="{D5CDD505-2E9C-101B-9397-08002B2CF9AE}" pid="3" name="MediaServiceImageTags">
    <vt:lpwstr/>
  </property>
</Properties>
</file>