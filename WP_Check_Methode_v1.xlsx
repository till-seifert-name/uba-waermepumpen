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hidePivotFieldList="1"/>
  <mc:AlternateContent xmlns:mc="http://schemas.openxmlformats.org/markup-compatibility/2006">
    <mc:Choice Requires="x15">
      <x15ac:absPath xmlns:x15ac="http://schemas.microsoft.com/office/spreadsheetml/2010/11/ac" url="https://ifeu2.sharepoint.com/sites/UBAWPDatenbankTool/Freigegebene Dokumente/General/AP2/AP2.2_Tool/Excel_Vorlage/clean/"/>
    </mc:Choice>
  </mc:AlternateContent>
  <xr:revisionPtr revIDLastSave="0" documentId="8_{BF4FBA09-40FC-4072-A06A-E73BF18ED9C9}" xr6:coauthVersionLast="47" xr6:coauthVersionMax="47" xr10:uidLastSave="{00000000-0000-0000-0000-000000000000}"/>
  <bookViews>
    <workbookView xWindow="-120" yWindow="-120" windowWidth="29040" windowHeight="15720" tabRatio="892" firstSheet="4" activeTab="4" xr2:uid="{A10A0F36-B874-41D6-91FE-FDCA14A38822}"/>
  </bookViews>
  <sheets>
    <sheet name="PAR" sheetId="26" r:id="rId1"/>
    <sheet name="Syntax" sheetId="25" r:id="rId2"/>
    <sheet name="IN_build" sheetId="28" r:id="rId3"/>
    <sheet name="IN_rooms" sheetId="2" r:id="rId4"/>
    <sheet name="clc_load" sheetId="6" r:id="rId5"/>
    <sheet name="clc_power" sheetId="30" r:id="rId6"/>
    <sheet name="clc_build" sheetId="33" r:id="rId7"/>
    <sheet name="TXT_rooms" sheetId="34" r:id="rId8"/>
    <sheet name="TXT_build" sheetId="35" r:id="rId9"/>
    <sheet name="OUT_rooms" sheetId="36" r:id="rId10"/>
    <sheet name="OUT_build" sheetId="37" r:id="rId11"/>
    <sheet name="U_GEG_A.7" sheetId="15" r:id="rId12"/>
    <sheet name="Daten" sheetId="3" r:id="rId13"/>
    <sheet name="Data_radiator" sheetId="4" r:id="rId14"/>
    <sheet name="U_Werte_IWU" sheetId="16" r:id="rId15"/>
    <sheet name="Normaußentemperatur_12831" sheetId="11" r:id="rId16"/>
  </sheets>
  <definedNames>
    <definedName name="_xlnm._FilterDatabase" localSheetId="4" hidden="1">clc_load!$A$1:$Q$76</definedName>
    <definedName name="_xlnm._FilterDatabase" localSheetId="3" hidden="1">IN_rooms!$B$1:$Y$69</definedName>
    <definedName name="_xlnm._FilterDatabase" localSheetId="8" hidden="1">TXT_build!$A$1:$D$1</definedName>
    <definedName name="_xlnm._FilterDatabase" localSheetId="7" hidden="1">TXT_rooms!$A$1:$E$1</definedName>
    <definedName name="Deckenheizung">#REF!</definedName>
    <definedName name="DropdownlisteHeizungsrohre" localSheetId="13">#REF!</definedName>
    <definedName name="DropdownlisteHeizungsrohre">#REF!</definedName>
    <definedName name="Flachheizkörper">Flachheizkoerper_senkrecht_profiliert[Flachheizkoerper_senkrecht_profiliert]</definedName>
    <definedName name="Fußbodenheizung">#REF!</definedName>
    <definedName name="Gewinderohr">Tabelle8[[#All],[Gewinderohr_Hoehe]]</definedName>
    <definedName name="Gliederheizkröper">Gliederheizkörper[[#All],[Gliederheizkörper]]</definedName>
    <definedName name="HeinzungsrohreDatensaetze" localSheetId="13">#REF!</definedName>
    <definedName name="HeinzungsrohreDatensaetze">#REF!</definedName>
    <definedName name="Heizkörpertypen">Heizkoerpertyp[Heizkörpertypen]</definedName>
    <definedName name="Konvektor">Tabelle12[Konvektor]</definedName>
    <definedName name="lambda_ins_thick">PAR!$B$2</definedName>
    <definedName name="Log_ÜT_Norm">49.83</definedName>
    <definedName name="p">"INDEX(PAR[Parameter];1)"</definedName>
    <definedName name="Rohrheizkörper">Tabelle11[Rohrheizkörper]</definedName>
    <definedName name="Rohrradiator">Tabelle10[Rohrradiator]</definedName>
    <definedName name="Rohrradiatoren">Tabelle10[Rohrradiator]</definedName>
    <definedName name="Stahlrippenohr">Tabelle29[[#Headers],[Stahlrippenrohr_Hoehe]]</definedName>
    <definedName name="Stahlrohr">Tabelle28[[#All],[Stahlrohr_Hoehe]]</definedName>
    <definedName name="TRL_Ziel">45</definedName>
    <definedName name="TVL_Ziel">55</definedName>
    <definedName name="Wandheizu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0" i="33" l="1"/>
  <c r="R31" i="36" a="1"/>
  <c r="R31" i="36"/>
  <c r="S31" i="36" a="1"/>
  <c r="S31" i="36"/>
  <c r="T31" i="36" a="1"/>
  <c r="T31" i="36" s="1"/>
  <c r="U31" i="36" a="1"/>
  <c r="U31" i="36" s="1"/>
  <c r="V31" i="36" a="1"/>
  <c r="V31" i="36" s="1"/>
  <c r="R32" i="36" a="1"/>
  <c r="R32" i="36" s="1"/>
  <c r="S32" i="36" a="1"/>
  <c r="S32" i="36" s="1"/>
  <c r="T32" i="36" a="1"/>
  <c r="T32" i="36" s="1"/>
  <c r="U32" i="36" a="1"/>
  <c r="U32" i="36" s="1"/>
  <c r="V32" i="36" a="1"/>
  <c r="V32" i="36" s="1"/>
  <c r="I43" i="33" l="1"/>
  <c r="I60" i="36" a="1"/>
  <c r="I60" i="36" s="1"/>
  <c r="I61" i="36" s="1"/>
  <c r="J60" i="36" a="1"/>
  <c r="J60" i="36" s="1"/>
  <c r="J61" i="36" s="1"/>
  <c r="K60" i="36" a="1"/>
  <c r="K60" i="36" s="1"/>
  <c r="K61" i="36" s="1"/>
  <c r="L60" i="36" a="1"/>
  <c r="L60" i="36" s="1"/>
  <c r="L61" i="36" s="1"/>
  <c r="M60" i="36" a="1"/>
  <c r="M60" i="36" s="1"/>
  <c r="M61" i="36" s="1"/>
  <c r="N60" i="36" a="1"/>
  <c r="N60" i="36" s="1"/>
  <c r="N61" i="36" s="1"/>
  <c r="O60" i="36" a="1"/>
  <c r="O60" i="36"/>
  <c r="P60" i="36" a="1"/>
  <c r="P60" i="36" s="1"/>
  <c r="P61" i="36" s="1"/>
  <c r="Q60" i="36" a="1"/>
  <c r="Q60" i="36" s="1"/>
  <c r="Q61" i="36" s="1"/>
  <c r="R60" i="36" a="1"/>
  <c r="R60" i="36" s="1"/>
  <c r="R61" i="36" s="1"/>
  <c r="S60" i="36" a="1"/>
  <c r="S60" i="36" s="1"/>
  <c r="S61" i="36" s="1"/>
  <c r="T60" i="36" a="1"/>
  <c r="T60" i="36"/>
  <c r="T61" i="36" s="1"/>
  <c r="U60" i="36" a="1"/>
  <c r="U60" i="36" s="1"/>
  <c r="U61" i="36" s="1"/>
  <c r="V60" i="36" a="1"/>
  <c r="V60" i="36" s="1"/>
  <c r="V61" i="36" s="1"/>
  <c r="I62" i="36" a="1"/>
  <c r="I62" i="36" s="1"/>
  <c r="I63" i="36" s="1"/>
  <c r="J62" i="36" a="1"/>
  <c r="J62" i="36" s="1"/>
  <c r="J63" i="36" s="1"/>
  <c r="K62" i="36" a="1"/>
  <c r="K62" i="36" s="1"/>
  <c r="K63" i="36" s="1"/>
  <c r="L62" i="36" a="1"/>
  <c r="L62" i="36" s="1"/>
  <c r="L63" i="36" s="1"/>
  <c r="M62" i="36" a="1"/>
  <c r="M62" i="36" s="1"/>
  <c r="M63" i="36" s="1"/>
  <c r="N62" i="36" a="1"/>
  <c r="N62" i="36" s="1"/>
  <c r="N63" i="36" s="1"/>
  <c r="O62" i="36" a="1"/>
  <c r="O62" i="36" s="1"/>
  <c r="O63" i="36" s="1"/>
  <c r="P62" i="36" a="1"/>
  <c r="P62" i="36" s="1"/>
  <c r="P63" i="36" s="1"/>
  <c r="Q62" i="36" a="1"/>
  <c r="Q62" i="36" s="1"/>
  <c r="Q63" i="36" s="1"/>
  <c r="R62" i="36" a="1"/>
  <c r="R62" i="36" s="1"/>
  <c r="R63" i="36" s="1"/>
  <c r="S62" i="36" a="1"/>
  <c r="S62" i="36" s="1"/>
  <c r="S63" i="36" s="1"/>
  <c r="T62" i="36" a="1"/>
  <c r="T62" i="36"/>
  <c r="T63" i="36" s="1"/>
  <c r="U62" i="36" a="1"/>
  <c r="U62" i="36" s="1"/>
  <c r="U63" i="36" s="1"/>
  <c r="V62" i="36" a="1"/>
  <c r="V62" i="36" s="1"/>
  <c r="V63" i="36" s="1"/>
  <c r="H62" i="36" a="1"/>
  <c r="H62" i="36" s="1"/>
  <c r="H63" i="36" s="1"/>
  <c r="H60" i="36" a="1"/>
  <c r="H60" i="36" s="1"/>
  <c r="H61" i="36" s="1"/>
  <c r="J54" i="36"/>
  <c r="J55" i="36" s="1"/>
  <c r="K54" i="36"/>
  <c r="K55" i="36" s="1"/>
  <c r="L54" i="36"/>
  <c r="M54" i="36"/>
  <c r="M55" i="36" s="1"/>
  <c r="N54" i="36"/>
  <c r="N55" i="36" s="1"/>
  <c r="O54" i="36"/>
  <c r="O55" i="36" s="1"/>
  <c r="P54" i="36"/>
  <c r="P55" i="36" s="1"/>
  <c r="Q54" i="36"/>
  <c r="Q55" i="36" s="1"/>
  <c r="R54" i="36"/>
  <c r="R55" i="36" s="1"/>
  <c r="S54" i="36"/>
  <c r="S55" i="36" s="1"/>
  <c r="T54" i="36"/>
  <c r="T55" i="36" s="1"/>
  <c r="U54" i="36"/>
  <c r="U55" i="36" s="1"/>
  <c r="V54" i="36"/>
  <c r="V55" i="36" s="1"/>
  <c r="H54" i="36"/>
  <c r="I58" i="36"/>
  <c r="I59" i="36" s="1"/>
  <c r="J58" i="36"/>
  <c r="J59" i="36" s="1"/>
  <c r="K58" i="36"/>
  <c r="K59" i="36" s="1"/>
  <c r="L58" i="36"/>
  <c r="M58" i="36"/>
  <c r="M59" i="36" s="1"/>
  <c r="N58" i="36"/>
  <c r="O58" i="36"/>
  <c r="P58" i="36"/>
  <c r="P59" i="36" s="1"/>
  <c r="Q58" i="36"/>
  <c r="R58" i="36"/>
  <c r="S58" i="36"/>
  <c r="T58" i="36"/>
  <c r="U58" i="36"/>
  <c r="U59" i="36" s="1"/>
  <c r="V58" i="36"/>
  <c r="H58" i="36"/>
  <c r="H59" i="36" s="1"/>
  <c r="L59" i="36"/>
  <c r="V59" i="36"/>
  <c r="I57" i="36"/>
  <c r="N57" i="36"/>
  <c r="J57" i="36"/>
  <c r="K57" i="36"/>
  <c r="L57" i="36"/>
  <c r="M57" i="36"/>
  <c r="O57" i="36"/>
  <c r="I50" i="36"/>
  <c r="J50" i="36"/>
  <c r="K50" i="36"/>
  <c r="L50" i="36"/>
  <c r="M50" i="36"/>
  <c r="N50" i="36"/>
  <c r="O50" i="36"/>
  <c r="P50" i="36"/>
  <c r="Q50" i="36"/>
  <c r="R50" i="36"/>
  <c r="S50" i="36"/>
  <c r="S51" i="36" s="1"/>
  <c r="T50" i="36"/>
  <c r="T51" i="36" s="1"/>
  <c r="U50" i="36"/>
  <c r="V50" i="36"/>
  <c r="I51" i="36"/>
  <c r="J51" i="36"/>
  <c r="K51" i="36"/>
  <c r="L51" i="36"/>
  <c r="M51" i="36"/>
  <c r="N51" i="36"/>
  <c r="O51" i="36"/>
  <c r="P51" i="36"/>
  <c r="Q51" i="36"/>
  <c r="R51" i="36"/>
  <c r="U51" i="36"/>
  <c r="V51" i="36"/>
  <c r="I52" i="36"/>
  <c r="J52" i="36"/>
  <c r="K52" i="36"/>
  <c r="L52" i="36"/>
  <c r="M52" i="36"/>
  <c r="N52" i="36"/>
  <c r="O52" i="36"/>
  <c r="O53" i="36" s="1"/>
  <c r="P52" i="36"/>
  <c r="P53" i="36" s="1"/>
  <c r="Q52" i="36"/>
  <c r="R52" i="36"/>
  <c r="S52" i="36"/>
  <c r="T52" i="36"/>
  <c r="U52" i="36"/>
  <c r="U53" i="36" s="1"/>
  <c r="V52" i="36"/>
  <c r="I53" i="36"/>
  <c r="J53" i="36"/>
  <c r="K53" i="36"/>
  <c r="L53" i="36"/>
  <c r="M53" i="36"/>
  <c r="N53" i="36"/>
  <c r="Q53" i="36"/>
  <c r="R53" i="36"/>
  <c r="S53" i="36"/>
  <c r="T53" i="36"/>
  <c r="V53" i="36"/>
  <c r="L55" i="36"/>
  <c r="O59" i="36"/>
  <c r="T59" i="36"/>
  <c r="N59" i="36"/>
  <c r="Q59" i="36"/>
  <c r="R59" i="36"/>
  <c r="S59" i="36"/>
  <c r="O61" i="36"/>
  <c r="I64" i="36"/>
  <c r="I65" i="36" s="1"/>
  <c r="J64" i="36"/>
  <c r="K64" i="36"/>
  <c r="L64" i="36"/>
  <c r="L65" i="36" s="1"/>
  <c r="M64" i="36"/>
  <c r="M65" i="36" s="1"/>
  <c r="N64" i="36"/>
  <c r="O64" i="36"/>
  <c r="O65" i="36" s="1"/>
  <c r="P64" i="36"/>
  <c r="Q64" i="36"/>
  <c r="Q65" i="36" s="1"/>
  <c r="R64" i="36"/>
  <c r="S64" i="36"/>
  <c r="T64" i="36"/>
  <c r="U64" i="36"/>
  <c r="V64" i="36"/>
  <c r="J65" i="36"/>
  <c r="K65" i="36"/>
  <c r="N65" i="36"/>
  <c r="P65" i="36"/>
  <c r="R65" i="36"/>
  <c r="S65" i="36"/>
  <c r="T65" i="36"/>
  <c r="U65" i="36"/>
  <c r="V65" i="36"/>
  <c r="H64" i="36"/>
  <c r="H51" i="36"/>
  <c r="H50" i="36"/>
  <c r="R3" i="36" a="1"/>
  <c r="R3" i="36" s="1"/>
  <c r="S3" i="36" a="1"/>
  <c r="S3" i="36" s="1"/>
  <c r="T3" i="36" a="1"/>
  <c r="T3" i="36" s="1"/>
  <c r="U3" i="36" a="1"/>
  <c r="U3" i="36" s="1"/>
  <c r="V3" i="36" a="1"/>
  <c r="V3" i="36" s="1"/>
  <c r="H65" i="36" l="1"/>
  <c r="S10" i="36" a="1"/>
  <c r="S10" i="36" s="1"/>
  <c r="U10" i="36" a="1"/>
  <c r="U10" i="36" s="1"/>
  <c r="V10" i="36" a="1"/>
  <c r="V10" i="36" s="1"/>
  <c r="J14" i="6" a="1"/>
  <c r="J14" i="6" s="1"/>
  <c r="K14" i="6" a="1"/>
  <c r="K14" i="6" s="1"/>
  <c r="L14" i="6" a="1"/>
  <c r="L14" i="6" s="1"/>
  <c r="M14" i="6" a="1"/>
  <c r="M14" i="6" s="1"/>
  <c r="N14" i="6" a="1"/>
  <c r="N14" i="6" s="1"/>
  <c r="O14" i="6" a="1"/>
  <c r="O14" i="6" s="1"/>
  <c r="P14" i="6" a="1"/>
  <c r="P14" i="6" s="1"/>
  <c r="Q14" i="6" a="1"/>
  <c r="Q14" i="6" s="1"/>
  <c r="R14" i="6" a="1"/>
  <c r="R14" i="6" s="1"/>
  <c r="S14" i="6" a="1"/>
  <c r="S14" i="6" s="1"/>
  <c r="T14" i="6" a="1"/>
  <c r="T14" i="6" s="1"/>
  <c r="U14" i="6" a="1"/>
  <c r="U14" i="6" s="1"/>
  <c r="V14" i="6" a="1"/>
  <c r="V14" i="6" s="1"/>
  <c r="W14" i="6" a="1"/>
  <c r="W14" i="6" s="1"/>
  <c r="K26" i="6" a="1"/>
  <c r="K26" i="6" s="1"/>
  <c r="K6" i="6" s="1"/>
  <c r="L26" i="6" a="1"/>
  <c r="L26" i="6" s="1"/>
  <c r="L6" i="6" s="1"/>
  <c r="M26" i="6" a="1"/>
  <c r="M26" i="6" s="1"/>
  <c r="M6" i="6" s="1"/>
  <c r="N26" i="6" a="1"/>
  <c r="N26" i="6" s="1"/>
  <c r="N29" i="6" s="1"/>
  <c r="O26" i="6" a="1"/>
  <c r="O26" i="6" s="1"/>
  <c r="P26" i="6" a="1"/>
  <c r="P26" i="6" s="1"/>
  <c r="P29" i="6" s="1"/>
  <c r="Q26" i="6" a="1"/>
  <c r="Q26" i="6" s="1"/>
  <c r="Q29" i="6" s="1"/>
  <c r="R26" i="6" a="1"/>
  <c r="R26" i="6" s="1"/>
  <c r="R29" i="6" s="1"/>
  <c r="S26" i="6" a="1"/>
  <c r="S26" i="6" s="1"/>
  <c r="S29" i="6" s="1"/>
  <c r="T26" i="6" a="1"/>
  <c r="T26" i="6" s="1"/>
  <c r="T29" i="6" s="1"/>
  <c r="U26" i="6" a="1"/>
  <c r="U26" i="6" s="1"/>
  <c r="U29" i="6" s="1"/>
  <c r="V26" i="6" a="1"/>
  <c r="V26" i="6" s="1"/>
  <c r="V6" i="6" s="1"/>
  <c r="W26" i="6" a="1"/>
  <c r="W26" i="6" s="1"/>
  <c r="W6" i="6" s="1"/>
  <c r="R7" i="28" a="1"/>
  <c r="R7" i="28" s="1"/>
  <c r="V29" i="36" a="1"/>
  <c r="V29" i="36" s="1"/>
  <c r="U29" i="36" a="1"/>
  <c r="U29" i="36" s="1"/>
  <c r="T29" i="36" a="1"/>
  <c r="T29" i="36" s="1"/>
  <c r="S29" i="36" a="1"/>
  <c r="S29" i="36" s="1"/>
  <c r="R29" i="36" a="1"/>
  <c r="R29" i="36" s="1"/>
  <c r="V28" i="36" a="1"/>
  <c r="V28" i="36" s="1"/>
  <c r="U28" i="36" a="1"/>
  <c r="U28" i="36" s="1"/>
  <c r="T28" i="36" a="1"/>
  <c r="T28" i="36" s="1"/>
  <c r="S28" i="36" a="1"/>
  <c r="S28" i="36" s="1"/>
  <c r="R28" i="36" a="1"/>
  <c r="R28" i="36" s="1"/>
  <c r="N42" i="33"/>
  <c r="O42" i="33"/>
  <c r="P42" i="33"/>
  <c r="N41" i="33"/>
  <c r="O41" i="33"/>
  <c r="P41" i="33"/>
  <c r="L41" i="33"/>
  <c r="M41" i="33"/>
  <c r="L42" i="33"/>
  <c r="M42" i="33"/>
  <c r="O6" i="6" l="1"/>
  <c r="O29" i="6"/>
  <c r="V29" i="6"/>
  <c r="M29" i="6"/>
  <c r="L29" i="6"/>
  <c r="W29" i="6"/>
  <c r="K29" i="6"/>
  <c r="U6" i="6"/>
  <c r="S6" i="6"/>
  <c r="N6" i="6"/>
  <c r="Q6" i="6"/>
  <c r="T6" i="6"/>
  <c r="R6" i="6"/>
  <c r="P6" i="6"/>
  <c r="W7" i="28"/>
  <c r="R40" i="36" l="1" a="1"/>
  <c r="R40" i="36" s="1"/>
  <c r="S40" i="36" a="1"/>
  <c r="S40" i="36" s="1"/>
  <c r="T40" i="36" a="1"/>
  <c r="T40" i="36" s="1"/>
  <c r="U40" i="36" a="1"/>
  <c r="U40" i="36" s="1"/>
  <c r="V40" i="36" a="1"/>
  <c r="V40" i="36" s="1"/>
  <c r="R41" i="36" a="1"/>
  <c r="R41" i="36" s="1"/>
  <c r="S41" i="36" a="1"/>
  <c r="S41" i="36" s="1"/>
  <c r="T41" i="36" a="1"/>
  <c r="T41" i="36" s="1"/>
  <c r="U41" i="36" a="1"/>
  <c r="U41" i="36" s="1"/>
  <c r="V41" i="36" a="1"/>
  <c r="V41" i="36" s="1"/>
  <c r="R42" i="36" a="1"/>
  <c r="R42" i="36" s="1"/>
  <c r="S42" i="36" a="1"/>
  <c r="S42" i="36" s="1"/>
  <c r="T42" i="36" a="1"/>
  <c r="T42" i="36" s="1"/>
  <c r="U42" i="36" a="1"/>
  <c r="U42" i="36" s="1"/>
  <c r="V42" i="36" a="1"/>
  <c r="V42" i="36" s="1"/>
  <c r="R43" i="36" a="1"/>
  <c r="R43" i="36" s="1"/>
  <c r="S43" i="36" a="1"/>
  <c r="S43" i="36" s="1"/>
  <c r="T43" i="36" a="1"/>
  <c r="T43" i="36" s="1"/>
  <c r="U43" i="36" a="1"/>
  <c r="U43" i="36" s="1"/>
  <c r="V43" i="36" a="1"/>
  <c r="V43" i="36" s="1"/>
  <c r="R35" i="36" a="1"/>
  <c r="R35" i="36" s="1"/>
  <c r="S35" i="36" a="1"/>
  <c r="S35" i="36" s="1"/>
  <c r="T35" i="36" a="1"/>
  <c r="T35" i="36" s="1"/>
  <c r="U35" i="36" a="1"/>
  <c r="U35" i="36" s="1"/>
  <c r="V35" i="36" a="1"/>
  <c r="V35" i="36" s="1"/>
  <c r="L31" i="6" l="1" a="1"/>
  <c r="L31" i="6" s="1"/>
  <c r="L32" i="6" s="1"/>
  <c r="M31" i="6" a="1"/>
  <c r="M31" i="6" s="1"/>
  <c r="M32" i="6" s="1"/>
  <c r="N31" i="6" a="1"/>
  <c r="N31" i="6" s="1"/>
  <c r="N32" i="6" s="1"/>
  <c r="O31" i="6" a="1"/>
  <c r="O31" i="6" s="1"/>
  <c r="O32" i="6" s="1"/>
  <c r="P31" i="6" a="1"/>
  <c r="P31" i="6" s="1"/>
  <c r="P32" i="6" s="1"/>
  <c r="Q31" i="6" a="1"/>
  <c r="Q31" i="6" s="1"/>
  <c r="Q32" i="6" s="1"/>
  <c r="R31" i="6" a="1"/>
  <c r="R31" i="6" s="1"/>
  <c r="R32" i="6" s="1"/>
  <c r="S31" i="6" a="1"/>
  <c r="S31" i="6" s="1"/>
  <c r="S32" i="6" s="1"/>
  <c r="T31" i="6" a="1"/>
  <c r="T31" i="6" s="1"/>
  <c r="T32" i="6" s="1"/>
  <c r="U31" i="6" a="1"/>
  <c r="U31" i="6" s="1"/>
  <c r="U32" i="6" s="1"/>
  <c r="V31" i="6" a="1"/>
  <c r="V31" i="6" s="1"/>
  <c r="V32" i="6" s="1"/>
  <c r="W31" i="6" a="1"/>
  <c r="W31" i="6" s="1"/>
  <c r="W32" i="6" s="1"/>
  <c r="J31" i="2" a="1"/>
  <c r="J31" i="2" s="1"/>
  <c r="J31" i="6" a="1"/>
  <c r="J31" i="6" s="1"/>
  <c r="J32" i="6" s="1"/>
  <c r="I31" i="2" a="1"/>
  <c r="I31" i="2" s="1"/>
  <c r="I31" i="6" l="1" a="1"/>
  <c r="I31" i="6" s="1"/>
  <c r="I32" i="6" s="1"/>
  <c r="I32" i="2" l="1"/>
  <c r="K31" i="6" a="1"/>
  <c r="K31" i="6" s="1"/>
  <c r="K32" i="6" s="1"/>
  <c r="I31" i="30"/>
  <c r="R8" i="28" a="1"/>
  <c r="R8" i="28" s="1"/>
  <c r="S77" i="2" l="1"/>
  <c r="I5" i="6"/>
  <c r="R36" i="36"/>
  <c r="S36" i="36"/>
  <c r="T36" i="36"/>
  <c r="U36" i="36"/>
  <c r="V36" i="36"/>
  <c r="R37" i="36"/>
  <c r="S37" i="36"/>
  <c r="T37" i="36"/>
  <c r="U37" i="36"/>
  <c r="V37" i="36"/>
  <c r="R9" i="36" l="1" a="1"/>
  <c r="R9" i="36" s="1"/>
  <c r="S9" i="36" a="1"/>
  <c r="S9" i="36" s="1"/>
  <c r="T9" i="36" a="1"/>
  <c r="T9" i="36" s="1"/>
  <c r="U9" i="36" a="1"/>
  <c r="U9" i="36" s="1"/>
  <c r="V9" i="36" a="1"/>
  <c r="V9" i="36" s="1"/>
  <c r="R24" i="36" a="1"/>
  <c r="R24" i="36" s="1"/>
  <c r="S24" i="36" a="1"/>
  <c r="S24" i="36" s="1"/>
  <c r="T24" i="36" a="1"/>
  <c r="T24" i="36" s="1"/>
  <c r="U24" i="36" a="1"/>
  <c r="U24" i="36" s="1"/>
  <c r="V24" i="36" a="1"/>
  <c r="V24" i="36" s="1"/>
  <c r="L9" i="33" l="1"/>
  <c r="L45" i="33" s="1"/>
  <c r="H9" i="33"/>
  <c r="H45" i="33" s="1"/>
  <c r="I9" i="33"/>
  <c r="I45" i="33" s="1"/>
  <c r="J9" i="33"/>
  <c r="J45" i="33" s="1"/>
  <c r="K9" i="33"/>
  <c r="K45" i="33" s="1"/>
  <c r="R11" i="28" a="1"/>
  <c r="R11" i="28" s="1"/>
  <c r="T11" i="28" s="1" a="1"/>
  <c r="T11" i="28" s="1"/>
  <c r="R10" i="28" a="1"/>
  <c r="R10" i="28" s="1"/>
  <c r="T10" i="28" s="1" a="1"/>
  <c r="T10" i="28" s="1"/>
  <c r="R9" i="28" a="1"/>
  <c r="R9" i="28" s="1"/>
  <c r="T7" i="28" a="1"/>
  <c r="T7" i="28" s="1"/>
  <c r="T9" i="28" l="1" a="1"/>
  <c r="T9" i="28" s="1"/>
  <c r="AD79" i="2"/>
  <c r="U79" i="2"/>
  <c r="S79" i="2"/>
  <c r="AB79" i="2"/>
  <c r="V79" i="2"/>
  <c r="AE79" i="2"/>
  <c r="AC79" i="2"/>
  <c r="X79" i="2"/>
  <c r="T79" i="2"/>
  <c r="Y79" i="2"/>
  <c r="AF79" i="2"/>
  <c r="AA79" i="2"/>
  <c r="W79" i="2"/>
  <c r="Z79" i="2"/>
  <c r="S74" i="2" a="1"/>
  <c r="S74" i="2" s="1"/>
  <c r="AC74" i="2" a="1"/>
  <c r="AC74" i="2" s="1"/>
  <c r="AA74" i="2" a="1"/>
  <c r="AA74" i="2" s="1"/>
  <c r="T74" i="2" a="1"/>
  <c r="T74" i="2" s="1"/>
  <c r="U74" i="2" a="1"/>
  <c r="U74" i="2" s="1"/>
  <c r="AD74" i="2" a="1"/>
  <c r="AD74" i="2" s="1"/>
  <c r="V74" i="2" a="1"/>
  <c r="V74" i="2" s="1"/>
  <c r="W74" i="2" a="1"/>
  <c r="W74" i="2" s="1"/>
  <c r="AE74" i="2" a="1"/>
  <c r="AE74" i="2" s="1"/>
  <c r="AF74" i="2" a="1"/>
  <c r="AF74" i="2" s="1"/>
  <c r="AB74" i="2" a="1"/>
  <c r="AB74" i="2" s="1"/>
  <c r="X74" i="2" a="1"/>
  <c r="X74" i="2" s="1"/>
  <c r="Y74" i="2" a="1"/>
  <c r="Y74" i="2" s="1"/>
  <c r="Z74" i="2" a="1"/>
  <c r="Z74" i="2" s="1"/>
  <c r="AC73" i="2"/>
  <c r="R73" i="2"/>
  <c r="AD73" i="2"/>
  <c r="S73" i="2"/>
  <c r="AE73" i="2"/>
  <c r="Z73" i="2"/>
  <c r="AF73" i="2"/>
  <c r="T73" i="2"/>
  <c r="U73" i="2"/>
  <c r="AA73" i="2"/>
  <c r="V73" i="2"/>
  <c r="W73" i="2"/>
  <c r="AB73" i="2"/>
  <c r="X73" i="2"/>
  <c r="Y73" i="2"/>
  <c r="K42" i="6"/>
  <c r="J60" i="6"/>
  <c r="K60" i="6"/>
  <c r="L60" i="6"/>
  <c r="M60" i="6"/>
  <c r="N60" i="6"/>
  <c r="O60" i="6"/>
  <c r="P60" i="6"/>
  <c r="Q60" i="6"/>
  <c r="R60" i="6"/>
  <c r="S60" i="6"/>
  <c r="T60" i="6"/>
  <c r="U60" i="6"/>
  <c r="V60" i="6"/>
  <c r="W60" i="6"/>
  <c r="I60" i="6"/>
  <c r="H3" i="30"/>
  <c r="P16" i="28"/>
  <c r="P18" i="28"/>
  <c r="R74" i="2" a="1"/>
  <c r="R74" i="2" l="1"/>
  <c r="R16" i="36"/>
  <c r="R22" i="36" s="1"/>
  <c r="S16" i="36"/>
  <c r="S22" i="36" s="1"/>
  <c r="T16" i="36"/>
  <c r="T22" i="36" s="1"/>
  <c r="U16" i="36"/>
  <c r="U22" i="36" s="1"/>
  <c r="V16" i="36"/>
  <c r="V22" i="36" s="1"/>
  <c r="R17" i="36"/>
  <c r="S17" i="36"/>
  <c r="T17" i="36"/>
  <c r="U17" i="36"/>
  <c r="V17" i="36"/>
  <c r="R14" i="36"/>
  <c r="S14" i="36"/>
  <c r="T14" i="36"/>
  <c r="U14" i="36"/>
  <c r="V14" i="36"/>
  <c r="R15" i="36"/>
  <c r="S15" i="36"/>
  <c r="T15" i="36"/>
  <c r="U15" i="36"/>
  <c r="V15" i="36"/>
  <c r="R11" i="36"/>
  <c r="R20" i="36" s="1"/>
  <c r="R47" i="36" s="1" a="1"/>
  <c r="R47" i="36" s="1"/>
  <c r="S11" i="36"/>
  <c r="S20" i="36" s="1"/>
  <c r="T11" i="36"/>
  <c r="T20" i="36" s="1"/>
  <c r="U11" i="36"/>
  <c r="U20" i="36" s="1"/>
  <c r="U47" i="36" s="1" a="1"/>
  <c r="U47" i="36" s="1"/>
  <c r="V11" i="36"/>
  <c r="V20" i="36" s="1"/>
  <c r="R12" i="36"/>
  <c r="R25" i="36" s="1" a="1"/>
  <c r="R25" i="36" s="1"/>
  <c r="S12" i="36"/>
  <c r="S25" i="36" s="1" a="1"/>
  <c r="S25" i="36" s="1"/>
  <c r="T12" i="36"/>
  <c r="T25" i="36" s="1" a="1"/>
  <c r="T25" i="36" s="1"/>
  <c r="U12" i="36"/>
  <c r="U25" i="36" s="1" a="1"/>
  <c r="U25" i="36" s="1"/>
  <c r="V12" i="36"/>
  <c r="V25" i="36" s="1" a="1"/>
  <c r="V25" i="36" s="1"/>
  <c r="U7" i="36" a="1"/>
  <c r="U7" i="36" s="1"/>
  <c r="V7" i="36" a="1"/>
  <c r="V7" i="36" s="1"/>
  <c r="U8" i="36" a="1"/>
  <c r="U8" i="36" s="1"/>
  <c r="V8" i="36" a="1"/>
  <c r="V8" i="36" s="1"/>
  <c r="R7" i="36" a="1"/>
  <c r="R7" i="36" s="1"/>
  <c r="R10" i="36" s="1" a="1"/>
  <c r="R10" i="36" s="1"/>
  <c r="S7" i="36" a="1"/>
  <c r="S7" i="36" s="1"/>
  <c r="T7" i="36" a="1"/>
  <c r="T7" i="36" s="1"/>
  <c r="T10" i="36" s="1" a="1"/>
  <c r="T10" i="36" s="1"/>
  <c r="R8" i="36" a="1"/>
  <c r="R8" i="36" s="1"/>
  <c r="S8" i="36" a="1"/>
  <c r="S8" i="36" s="1"/>
  <c r="T8" i="36" a="1"/>
  <c r="T8" i="36" s="1"/>
  <c r="T39" i="2"/>
  <c r="R39" i="2"/>
  <c r="F78" i="2"/>
  <c r="F77" i="2"/>
  <c r="F76" i="2"/>
  <c r="K33" i="6" a="1"/>
  <c r="K33" i="6" s="1"/>
  <c r="M33" i="6" a="1"/>
  <c r="M33" i="6" s="1"/>
  <c r="S33" i="6" a="1"/>
  <c r="S33" i="6" s="1"/>
  <c r="T33" i="6" a="1"/>
  <c r="T33" i="6" s="1"/>
  <c r="U33" i="6" a="1"/>
  <c r="U33" i="6" s="1"/>
  <c r="V33" i="6" a="1"/>
  <c r="V33" i="6" s="1"/>
  <c r="W33" i="6" a="1"/>
  <c r="W33" i="6" s="1"/>
  <c r="J7" i="6"/>
  <c r="K7" i="6"/>
  <c r="L7" i="6"/>
  <c r="M7" i="6"/>
  <c r="N7" i="6"/>
  <c r="O7" i="6"/>
  <c r="P7" i="6"/>
  <c r="Q7" i="6"/>
  <c r="R7" i="6"/>
  <c r="S7" i="6"/>
  <c r="T7" i="6"/>
  <c r="U7" i="6"/>
  <c r="V7" i="6"/>
  <c r="W7" i="6"/>
  <c r="I7" i="6"/>
  <c r="J9" i="6"/>
  <c r="K9" i="6"/>
  <c r="L9" i="6"/>
  <c r="M9" i="6"/>
  <c r="N9" i="6"/>
  <c r="O9" i="6"/>
  <c r="P9" i="6"/>
  <c r="Q9" i="6"/>
  <c r="R9" i="6"/>
  <c r="S9" i="6"/>
  <c r="T9" i="6"/>
  <c r="U9" i="6"/>
  <c r="V9" i="6"/>
  <c r="W9" i="6"/>
  <c r="I9" i="6"/>
  <c r="G58" i="30"/>
  <c r="G31" i="30"/>
  <c r="J5" i="6"/>
  <c r="K5" i="6"/>
  <c r="L5" i="6"/>
  <c r="M5" i="6"/>
  <c r="N5" i="6"/>
  <c r="P9" i="33"/>
  <c r="P45" i="33" s="1"/>
  <c r="AB3" i="2"/>
  <c r="S5" i="6" s="1"/>
  <c r="AC3" i="2"/>
  <c r="T5" i="6" s="1"/>
  <c r="AD3" i="2"/>
  <c r="U5" i="6" s="1"/>
  <c r="AE3" i="2"/>
  <c r="V5" i="6" s="1"/>
  <c r="AF3" i="2"/>
  <c r="W5" i="6" s="1"/>
  <c r="G9" i="33"/>
  <c r="G45" i="33" s="1"/>
  <c r="J3" i="6"/>
  <c r="K3" i="6"/>
  <c r="L3" i="6"/>
  <c r="M3" i="6"/>
  <c r="N3" i="6"/>
  <c r="O3" i="6"/>
  <c r="P3" i="6"/>
  <c r="Q3" i="6"/>
  <c r="R3" i="6"/>
  <c r="S3" i="6"/>
  <c r="T3" i="6"/>
  <c r="U3" i="6"/>
  <c r="V3" i="6"/>
  <c r="W3" i="6"/>
  <c r="J4" i="6"/>
  <c r="K4" i="6"/>
  <c r="K27" i="6" s="1" a="1"/>
  <c r="K27" i="6" s="1"/>
  <c r="L4" i="6"/>
  <c r="L27" i="6" s="1" a="1"/>
  <c r="L27" i="6" s="1"/>
  <c r="M4" i="6"/>
  <c r="M27" i="6" s="1" a="1"/>
  <c r="M27" i="6" s="1"/>
  <c r="N4" i="6"/>
  <c r="O4" i="6"/>
  <c r="P4" i="6"/>
  <c r="Q4" i="6"/>
  <c r="Q27" i="6" s="1" a="1"/>
  <c r="Q27" i="6" s="1"/>
  <c r="R4" i="6"/>
  <c r="R27" i="6" s="1" a="1"/>
  <c r="R27" i="6" s="1"/>
  <c r="S4" i="6"/>
  <c r="T4" i="6"/>
  <c r="T27" i="6" s="1" a="1"/>
  <c r="T27" i="6" s="1"/>
  <c r="U4" i="6"/>
  <c r="U27" i="6" s="1" a="1"/>
  <c r="U27" i="6" s="1"/>
  <c r="V4" i="6"/>
  <c r="V27" i="6" s="1" a="1"/>
  <c r="V27" i="6" s="1"/>
  <c r="W4" i="6"/>
  <c r="W27" i="6" s="1" a="1"/>
  <c r="W27" i="6" s="1"/>
  <c r="R5" i="6"/>
  <c r="K25" i="6"/>
  <c r="K24" i="6" s="1"/>
  <c r="L25" i="6"/>
  <c r="L24" i="6" s="1"/>
  <c r="M25" i="6"/>
  <c r="M24" i="6" s="1"/>
  <c r="N25" i="6"/>
  <c r="N24" i="6" s="1"/>
  <c r="O25" i="6"/>
  <c r="O24" i="6" s="1"/>
  <c r="P25" i="6"/>
  <c r="P24" i="6" s="1"/>
  <c r="Q25" i="6"/>
  <c r="Q24" i="6" s="1"/>
  <c r="R25" i="6"/>
  <c r="R24" i="6" s="1"/>
  <c r="S25" i="6"/>
  <c r="S24" i="6" s="1"/>
  <c r="T25" i="6"/>
  <c r="T24" i="6" s="1"/>
  <c r="U25" i="6"/>
  <c r="U24" i="6" s="1"/>
  <c r="V25" i="6"/>
  <c r="V24" i="6" s="1"/>
  <c r="W25" i="6"/>
  <c r="W24" i="6" s="1"/>
  <c r="I25" i="6"/>
  <c r="I24" i="6" s="1"/>
  <c r="I20" i="6"/>
  <c r="S20" i="6"/>
  <c r="R20" i="6"/>
  <c r="U20" i="6"/>
  <c r="N20" i="6"/>
  <c r="J20" i="6"/>
  <c r="W20" i="6"/>
  <c r="V20" i="6"/>
  <c r="O20" i="6"/>
  <c r="V23" i="36" l="1"/>
  <c r="V46" i="36"/>
  <c r="U23" i="36"/>
  <c r="U46" i="36"/>
  <c r="V47" i="36" a="1"/>
  <c r="V47" i="36" s="1"/>
  <c r="T23" i="36"/>
  <c r="T46" i="36"/>
  <c r="S23" i="36"/>
  <c r="S46" i="36"/>
  <c r="R23" i="36"/>
  <c r="R46" i="36"/>
  <c r="T47" i="36" a="1"/>
  <c r="T47" i="36" s="1"/>
  <c r="S47" i="36" a="1"/>
  <c r="S47" i="36" s="1"/>
  <c r="L33" i="6" a="1"/>
  <c r="L33" i="6" s="1"/>
  <c r="N27" i="6" a="1"/>
  <c r="N27" i="6" s="1"/>
  <c r="K37" i="6" a="1"/>
  <c r="K37" i="6" s="1"/>
  <c r="I37" i="6" a="1"/>
  <c r="I37" i="6" s="1"/>
  <c r="V30" i="36" a="1"/>
  <c r="V30" i="36" s="1"/>
  <c r="U30" i="36" a="1"/>
  <c r="U30" i="36" s="1"/>
  <c r="T30" i="36" a="1"/>
  <c r="T30" i="36" s="1"/>
  <c r="S30" i="36" a="1"/>
  <c r="S30" i="36" s="1"/>
  <c r="R30" i="36" a="1"/>
  <c r="R30" i="36" s="1"/>
  <c r="P27" i="6" a="1"/>
  <c r="P27" i="6" s="1"/>
  <c r="J33" i="6" a="1"/>
  <c r="J33" i="6" s="1"/>
  <c r="P5" i="6"/>
  <c r="N9" i="33"/>
  <c r="N45" i="33" s="1"/>
  <c r="O5" i="6"/>
  <c r="M9" i="33"/>
  <c r="M45" i="33" s="1"/>
  <c r="Q5" i="6"/>
  <c r="O9" i="33"/>
  <c r="O45" i="33" s="1"/>
  <c r="N33" i="6" a="1"/>
  <c r="N33" i="6" s="1"/>
  <c r="R33" i="6" a="1"/>
  <c r="R33" i="6" s="1"/>
  <c r="P31" i="33"/>
  <c r="Q33" i="6" a="1"/>
  <c r="Q33" i="6" s="1"/>
  <c r="P33" i="6" a="1"/>
  <c r="P33" i="6" s="1"/>
  <c r="O33" i="6" a="1"/>
  <c r="O33" i="6" s="1"/>
  <c r="J27" i="6" a="1"/>
  <c r="J27" i="6" s="1"/>
  <c r="J15" i="6" a="1"/>
  <c r="J15" i="6" s="1"/>
  <c r="S27" i="6" a="1"/>
  <c r="S27" i="6" s="1"/>
  <c r="O27" i="6" a="1"/>
  <c r="O27" i="6" s="1"/>
  <c r="S21" i="36"/>
  <c r="R21" i="36"/>
  <c r="T21" i="36"/>
  <c r="U21" i="36"/>
  <c r="V21" i="36"/>
  <c r="R26" i="36" a="1"/>
  <c r="R26" i="36" s="1"/>
  <c r="S26" i="36" a="1"/>
  <c r="S26" i="36" s="1"/>
  <c r="T26" i="36" a="1"/>
  <c r="T26" i="36" s="1"/>
  <c r="V26" i="36" a="1"/>
  <c r="V26" i="36" s="1"/>
  <c r="U26" i="36" a="1"/>
  <c r="U26" i="36" s="1"/>
  <c r="U35" i="6"/>
  <c r="U13" i="36"/>
  <c r="S13" i="36"/>
  <c r="V13" i="36"/>
  <c r="T13" i="36"/>
  <c r="R13" i="36"/>
  <c r="S35" i="6"/>
  <c r="W35" i="6"/>
  <c r="T35" i="6"/>
  <c r="V35" i="6"/>
  <c r="R35" i="6"/>
  <c r="P32" i="33" s="1"/>
  <c r="J10" i="6"/>
  <c r="I49" i="36" s="1"/>
  <c r="K10" i="6"/>
  <c r="J49" i="36" s="1"/>
  <c r="L10" i="6"/>
  <c r="K49" i="36" s="1"/>
  <c r="M10" i="6"/>
  <c r="L49" i="36" s="1"/>
  <c r="N10" i="6"/>
  <c r="M49" i="36" s="1"/>
  <c r="O10" i="6"/>
  <c r="P10" i="6"/>
  <c r="Q10" i="6"/>
  <c r="R10" i="6"/>
  <c r="S10" i="6"/>
  <c r="T10" i="6"/>
  <c r="U10" i="6"/>
  <c r="V10" i="6"/>
  <c r="W10" i="6"/>
  <c r="H49" i="36"/>
  <c r="I3" i="30"/>
  <c r="J3" i="30"/>
  <c r="K3" i="30"/>
  <c r="L3" i="30"/>
  <c r="M3" i="30"/>
  <c r="N3" i="30"/>
  <c r="O3" i="30"/>
  <c r="P3" i="30"/>
  <c r="Q3" i="30"/>
  <c r="R3" i="30"/>
  <c r="S3" i="30"/>
  <c r="T3" i="30"/>
  <c r="U3" i="30"/>
  <c r="H4" i="30"/>
  <c r="H7" i="30" s="1"/>
  <c r="I4" i="30"/>
  <c r="I7" i="30" s="1"/>
  <c r="J4" i="30"/>
  <c r="J7" i="30" s="1"/>
  <c r="K4" i="30"/>
  <c r="K7" i="30" s="1"/>
  <c r="L4" i="30"/>
  <c r="L7" i="30" s="1"/>
  <c r="M4" i="30"/>
  <c r="M7" i="30" s="1"/>
  <c r="N4" i="30"/>
  <c r="N7" i="30" s="1"/>
  <c r="O4" i="30"/>
  <c r="O7" i="30" s="1"/>
  <c r="P4" i="30"/>
  <c r="Q4" i="30"/>
  <c r="R4" i="30"/>
  <c r="R7" i="30" s="1"/>
  <c r="S4" i="30"/>
  <c r="S7" i="30" s="1"/>
  <c r="T4" i="30"/>
  <c r="T7" i="30" s="1"/>
  <c r="U4" i="30"/>
  <c r="U7" i="30" s="1"/>
  <c r="H5" i="30"/>
  <c r="I5" i="30"/>
  <c r="J5" i="30"/>
  <c r="K5" i="30"/>
  <c r="L5" i="30"/>
  <c r="M5" i="30"/>
  <c r="N5" i="30"/>
  <c r="O5" i="30"/>
  <c r="P5" i="30"/>
  <c r="Q5" i="30"/>
  <c r="R5" i="30"/>
  <c r="S5" i="30"/>
  <c r="T5" i="30"/>
  <c r="U5" i="30"/>
  <c r="H6" i="30"/>
  <c r="I6" i="30"/>
  <c r="J6" i="30"/>
  <c r="K6" i="30"/>
  <c r="L6" i="30"/>
  <c r="M6" i="30"/>
  <c r="N6" i="30"/>
  <c r="O6" i="30"/>
  <c r="P6" i="30"/>
  <c r="Q6" i="30"/>
  <c r="R6" i="30"/>
  <c r="S6" i="30"/>
  <c r="T6" i="30"/>
  <c r="U6" i="30"/>
  <c r="H10" i="30"/>
  <c r="I10" i="30"/>
  <c r="J10" i="30"/>
  <c r="K10" i="30"/>
  <c r="L10" i="30"/>
  <c r="M10" i="30"/>
  <c r="N10" i="30"/>
  <c r="O10" i="30"/>
  <c r="P10" i="30"/>
  <c r="Q10" i="30"/>
  <c r="R10" i="30"/>
  <c r="S10" i="30"/>
  <c r="T10" i="30"/>
  <c r="U10" i="30"/>
  <c r="H11" i="30"/>
  <c r="I11" i="30"/>
  <c r="J11" i="30"/>
  <c r="K11" i="30"/>
  <c r="L11" i="30"/>
  <c r="M11" i="30"/>
  <c r="N11" i="30"/>
  <c r="O11" i="30"/>
  <c r="P11" i="30"/>
  <c r="Q11" i="30"/>
  <c r="R11" i="30"/>
  <c r="S11" i="30"/>
  <c r="T11" i="30"/>
  <c r="U11" i="30"/>
  <c r="H15" i="30"/>
  <c r="I15" i="30"/>
  <c r="J15" i="30"/>
  <c r="K15" i="30"/>
  <c r="L15" i="30"/>
  <c r="M15" i="30"/>
  <c r="N15" i="30"/>
  <c r="O15" i="30"/>
  <c r="P15" i="30"/>
  <c r="Q15" i="30"/>
  <c r="R15" i="30"/>
  <c r="S15" i="30"/>
  <c r="T15" i="30"/>
  <c r="U15" i="30"/>
  <c r="H16" i="30"/>
  <c r="I16" i="30"/>
  <c r="J16" i="30"/>
  <c r="K16" i="30"/>
  <c r="L16" i="30"/>
  <c r="M16" i="30"/>
  <c r="N16" i="30"/>
  <c r="O16" i="30"/>
  <c r="P16" i="30"/>
  <c r="Q16" i="30"/>
  <c r="R16" i="30"/>
  <c r="S16" i="30"/>
  <c r="T16" i="30"/>
  <c r="U16" i="30"/>
  <c r="H17" i="30"/>
  <c r="I17" i="30"/>
  <c r="J17" i="30"/>
  <c r="K17" i="30"/>
  <c r="L17" i="30"/>
  <c r="M17" i="30"/>
  <c r="N17" i="30"/>
  <c r="O17" i="30"/>
  <c r="P17" i="30"/>
  <c r="Q17" i="30"/>
  <c r="R17" i="30"/>
  <c r="S17" i="30"/>
  <c r="T17" i="30"/>
  <c r="U17" i="30"/>
  <c r="H19" i="30"/>
  <c r="I19" i="30"/>
  <c r="J19" i="30"/>
  <c r="K19" i="30"/>
  <c r="L19" i="30"/>
  <c r="M19" i="30"/>
  <c r="N19" i="30"/>
  <c r="O19" i="30"/>
  <c r="P19" i="30"/>
  <c r="Q19" i="30"/>
  <c r="R19" i="30"/>
  <c r="S19" i="30"/>
  <c r="T19" i="30"/>
  <c r="U19" i="30"/>
  <c r="H20" i="30"/>
  <c r="I20" i="30"/>
  <c r="J20" i="30"/>
  <c r="K20" i="30"/>
  <c r="L20" i="30"/>
  <c r="M20" i="30"/>
  <c r="N20" i="30"/>
  <c r="O20" i="30"/>
  <c r="P20" i="30"/>
  <c r="Q20" i="30"/>
  <c r="R20" i="30"/>
  <c r="S20" i="30"/>
  <c r="T20" i="30"/>
  <c r="U20" i="30"/>
  <c r="H22" i="30"/>
  <c r="I22" i="30"/>
  <c r="J22" i="30"/>
  <c r="K22" i="30"/>
  <c r="L22" i="30"/>
  <c r="M22" i="30"/>
  <c r="N22" i="30"/>
  <c r="O22" i="30"/>
  <c r="P22" i="30"/>
  <c r="Q22" i="30"/>
  <c r="R22" i="30"/>
  <c r="S22" i="30"/>
  <c r="T22" i="30"/>
  <c r="U22" i="30"/>
  <c r="H23" i="30"/>
  <c r="I23" i="30"/>
  <c r="J23" i="30"/>
  <c r="K23" i="30"/>
  <c r="L23" i="30"/>
  <c r="M23" i="30"/>
  <c r="N23" i="30"/>
  <c r="O23" i="30"/>
  <c r="P23" i="30"/>
  <c r="Q23" i="30"/>
  <c r="R23" i="30"/>
  <c r="S23" i="30"/>
  <c r="T23" i="30"/>
  <c r="U23" i="30"/>
  <c r="H27" i="30"/>
  <c r="I27" i="30"/>
  <c r="J27" i="30"/>
  <c r="K27" i="30"/>
  <c r="L27" i="30"/>
  <c r="M27" i="30"/>
  <c r="N27" i="30"/>
  <c r="O27" i="30"/>
  <c r="P27" i="30"/>
  <c r="Q27" i="30"/>
  <c r="R27" i="30"/>
  <c r="S27" i="30"/>
  <c r="T27" i="30"/>
  <c r="U27" i="30"/>
  <c r="H28" i="30"/>
  <c r="H30" i="30" s="1" a="1"/>
  <c r="H30" i="30" s="1"/>
  <c r="I28" i="30"/>
  <c r="I30" i="30" s="1" a="1"/>
  <c r="I30" i="30" s="1"/>
  <c r="J28" i="30"/>
  <c r="J30" i="30" s="1" a="1"/>
  <c r="J30" i="30" s="1"/>
  <c r="K28" i="30"/>
  <c r="K30" i="30" s="1" a="1"/>
  <c r="K30" i="30" s="1"/>
  <c r="L28" i="30"/>
  <c r="L30" i="30" s="1" a="1"/>
  <c r="L30" i="30" s="1"/>
  <c r="M28" i="30"/>
  <c r="M30" i="30" s="1" a="1"/>
  <c r="M30" i="30" s="1"/>
  <c r="N28" i="30"/>
  <c r="O28" i="30"/>
  <c r="O30" i="30" s="1" a="1"/>
  <c r="O30" i="30" s="1"/>
  <c r="P28" i="30"/>
  <c r="Q28" i="30"/>
  <c r="Q30" i="30" s="1" a="1"/>
  <c r="Q30" i="30" s="1"/>
  <c r="R28" i="30"/>
  <c r="R30" i="30" s="1" a="1"/>
  <c r="R30" i="30" s="1"/>
  <c r="S28" i="30"/>
  <c r="S30" i="30" s="1" a="1"/>
  <c r="S30" i="30" s="1"/>
  <c r="T28" i="30"/>
  <c r="T30" i="30" s="1" a="1"/>
  <c r="T30" i="30" s="1"/>
  <c r="U28" i="30"/>
  <c r="U30" i="30" s="1" a="1"/>
  <c r="U30" i="30" s="1"/>
  <c r="H29" i="30"/>
  <c r="I29" i="30"/>
  <c r="J29" i="30"/>
  <c r="K29" i="30"/>
  <c r="L29" i="30"/>
  <c r="M29" i="30"/>
  <c r="N29" i="30"/>
  <c r="O29" i="30"/>
  <c r="P29" i="30"/>
  <c r="Q29" i="30"/>
  <c r="R29" i="30"/>
  <c r="S29" i="30"/>
  <c r="T29" i="30"/>
  <c r="U29" i="30"/>
  <c r="H31" i="30"/>
  <c r="J31" i="30"/>
  <c r="K31" i="30"/>
  <c r="L31" i="30"/>
  <c r="M31" i="30"/>
  <c r="N31" i="30"/>
  <c r="O31" i="30"/>
  <c r="P31" i="30"/>
  <c r="Q31" i="30"/>
  <c r="R31" i="30"/>
  <c r="S31" i="30"/>
  <c r="T31" i="30"/>
  <c r="U31" i="30"/>
  <c r="H32" i="30"/>
  <c r="I32" i="30"/>
  <c r="J32" i="30"/>
  <c r="K32" i="30"/>
  <c r="L32" i="30"/>
  <c r="M32" i="30"/>
  <c r="N32" i="30"/>
  <c r="O32" i="30"/>
  <c r="P32" i="30"/>
  <c r="Q32" i="30"/>
  <c r="R32" i="30"/>
  <c r="S32" i="30"/>
  <c r="T32" i="30"/>
  <c r="U32" i="30"/>
  <c r="H35" i="30"/>
  <c r="I35" i="30"/>
  <c r="J35" i="30"/>
  <c r="K35" i="30"/>
  <c r="L35" i="30"/>
  <c r="M35" i="30"/>
  <c r="N35" i="30"/>
  <c r="O35" i="30"/>
  <c r="P35" i="30"/>
  <c r="Q35" i="30"/>
  <c r="R35" i="30"/>
  <c r="S35" i="30"/>
  <c r="T35" i="30"/>
  <c r="U35" i="30"/>
  <c r="H36" i="30"/>
  <c r="I36" i="30"/>
  <c r="J36" i="30"/>
  <c r="K36" i="30"/>
  <c r="L36" i="30"/>
  <c r="M36" i="30"/>
  <c r="N36" i="30"/>
  <c r="O36" i="30"/>
  <c r="P36" i="30"/>
  <c r="Q36" i="30"/>
  <c r="R36" i="30"/>
  <c r="S36" i="30"/>
  <c r="T36" i="30"/>
  <c r="U36" i="30"/>
  <c r="H54" i="30"/>
  <c r="H55" i="30" s="1"/>
  <c r="I54" i="30"/>
  <c r="J54" i="30"/>
  <c r="J55" i="30" s="1"/>
  <c r="K54" i="30"/>
  <c r="K55" i="30" s="1"/>
  <c r="L54" i="30"/>
  <c r="L55" i="30" s="1"/>
  <c r="M54" i="30"/>
  <c r="M55" i="30" s="1"/>
  <c r="N54" i="30"/>
  <c r="N55" i="30" s="1"/>
  <c r="O54" i="30"/>
  <c r="O55" i="30" s="1"/>
  <c r="P54" i="30"/>
  <c r="P55" i="30" s="1"/>
  <c r="Q54" i="30"/>
  <c r="Q55" i="30" s="1"/>
  <c r="R54" i="30"/>
  <c r="R55" i="30" s="1"/>
  <c r="S54" i="30"/>
  <c r="S55" i="30" s="1"/>
  <c r="T54" i="30"/>
  <c r="U54" i="30"/>
  <c r="H56" i="30"/>
  <c r="I56" i="30"/>
  <c r="J56" i="30"/>
  <c r="K56" i="30"/>
  <c r="L56" i="30"/>
  <c r="M56" i="30"/>
  <c r="N56" i="30"/>
  <c r="O56" i="30"/>
  <c r="P56" i="30"/>
  <c r="Q56" i="30"/>
  <c r="R56" i="30"/>
  <c r="S56" i="30"/>
  <c r="T56" i="30"/>
  <c r="U56" i="30"/>
  <c r="H57" i="30"/>
  <c r="I57" i="30"/>
  <c r="J57" i="30"/>
  <c r="K57" i="30"/>
  <c r="L57" i="30"/>
  <c r="M57" i="30"/>
  <c r="N57" i="30"/>
  <c r="O57" i="30"/>
  <c r="P57" i="30"/>
  <c r="Q57" i="30"/>
  <c r="R57" i="30"/>
  <c r="S57" i="30"/>
  <c r="T57" i="30"/>
  <c r="U57" i="30"/>
  <c r="H58" i="30"/>
  <c r="I58" i="30"/>
  <c r="J58" i="30"/>
  <c r="K58" i="30"/>
  <c r="L58" i="30"/>
  <c r="M58" i="30"/>
  <c r="N58" i="30"/>
  <c r="O58" i="30"/>
  <c r="P58" i="30"/>
  <c r="Q58" i="30"/>
  <c r="R58" i="30"/>
  <c r="S58" i="30"/>
  <c r="T58" i="30"/>
  <c r="U58" i="30"/>
  <c r="H61" i="30"/>
  <c r="I61" i="30"/>
  <c r="J61" i="30"/>
  <c r="K61" i="30"/>
  <c r="L61" i="30"/>
  <c r="M61" i="30"/>
  <c r="N61" i="30"/>
  <c r="O61" i="30"/>
  <c r="P61" i="30"/>
  <c r="Q61" i="30"/>
  <c r="R61" i="30"/>
  <c r="S61" i="30"/>
  <c r="T61" i="30"/>
  <c r="U61" i="30"/>
  <c r="H62" i="30"/>
  <c r="I62" i="30"/>
  <c r="J62" i="30"/>
  <c r="K62" i="30"/>
  <c r="L62" i="30"/>
  <c r="M62" i="30"/>
  <c r="N62" i="30"/>
  <c r="O62" i="30"/>
  <c r="P62" i="30"/>
  <c r="Q62" i="30"/>
  <c r="R62" i="30"/>
  <c r="S62" i="30"/>
  <c r="T62" i="30"/>
  <c r="U62" i="30"/>
  <c r="H69" i="30"/>
  <c r="I69" i="30"/>
  <c r="J69" i="30"/>
  <c r="K69" i="30"/>
  <c r="L69" i="30"/>
  <c r="M69" i="30"/>
  <c r="N69" i="30"/>
  <c r="O69" i="30"/>
  <c r="P69" i="30"/>
  <c r="Q69" i="30"/>
  <c r="R69" i="30"/>
  <c r="S69" i="30"/>
  <c r="T69" i="30"/>
  <c r="U69" i="30"/>
  <c r="H70" i="30"/>
  <c r="H73" i="30" s="1"/>
  <c r="I70" i="30"/>
  <c r="I73" i="30" s="1"/>
  <c r="J70" i="30"/>
  <c r="J73" i="30" s="1"/>
  <c r="K70" i="30"/>
  <c r="K73" i="30" s="1"/>
  <c r="L70" i="30"/>
  <c r="L73" i="30" s="1"/>
  <c r="M70" i="30"/>
  <c r="M73" i="30" s="1"/>
  <c r="N70" i="30"/>
  <c r="O70" i="30"/>
  <c r="P70" i="30"/>
  <c r="P73" i="30" s="1"/>
  <c r="Q70" i="30"/>
  <c r="Q73" i="30" s="1"/>
  <c r="R70" i="30"/>
  <c r="S70" i="30"/>
  <c r="S73" i="30" s="1"/>
  <c r="T70" i="30"/>
  <c r="T73" i="30" s="1"/>
  <c r="U70" i="30"/>
  <c r="U73" i="30" s="1"/>
  <c r="H71" i="30"/>
  <c r="I71" i="30"/>
  <c r="J71" i="30"/>
  <c r="K71" i="30"/>
  <c r="L71" i="30"/>
  <c r="M71" i="30"/>
  <c r="N71" i="30"/>
  <c r="O71" i="30"/>
  <c r="P71" i="30"/>
  <c r="Q71" i="30"/>
  <c r="R71" i="30"/>
  <c r="S71" i="30"/>
  <c r="T71" i="30"/>
  <c r="U71" i="30"/>
  <c r="H72" i="30"/>
  <c r="I72" i="30"/>
  <c r="J72" i="30"/>
  <c r="K72" i="30"/>
  <c r="L72" i="30"/>
  <c r="M72" i="30"/>
  <c r="N72" i="30"/>
  <c r="O72" i="30"/>
  <c r="P72" i="30"/>
  <c r="Q72" i="30"/>
  <c r="R72" i="30"/>
  <c r="S72" i="30"/>
  <c r="T72" i="30"/>
  <c r="U72" i="30"/>
  <c r="H76" i="30"/>
  <c r="I76" i="30"/>
  <c r="J76" i="30"/>
  <c r="K76" i="30"/>
  <c r="L76" i="30"/>
  <c r="M76" i="30"/>
  <c r="N76" i="30"/>
  <c r="O76" i="30"/>
  <c r="P76" i="30"/>
  <c r="Q76" i="30"/>
  <c r="R76" i="30"/>
  <c r="S76" i="30"/>
  <c r="T76" i="30"/>
  <c r="U76" i="30"/>
  <c r="H77" i="30"/>
  <c r="I77" i="30"/>
  <c r="J77" i="30"/>
  <c r="K77" i="30"/>
  <c r="L77" i="30"/>
  <c r="M77" i="30"/>
  <c r="N77" i="30"/>
  <c r="O77" i="30"/>
  <c r="P77" i="30"/>
  <c r="Q77" i="30"/>
  <c r="R77" i="30"/>
  <c r="S77" i="30"/>
  <c r="T77" i="30"/>
  <c r="U77" i="30"/>
  <c r="H81" i="30"/>
  <c r="I81" i="30"/>
  <c r="J81" i="30"/>
  <c r="K81" i="30"/>
  <c r="L81" i="30"/>
  <c r="M81" i="30"/>
  <c r="N81" i="30"/>
  <c r="O81" i="30"/>
  <c r="P81" i="30"/>
  <c r="Q81" i="30"/>
  <c r="R81" i="30"/>
  <c r="S81" i="30"/>
  <c r="T81" i="30"/>
  <c r="U81" i="30"/>
  <c r="H82" i="30"/>
  <c r="I82" i="30"/>
  <c r="J82" i="30"/>
  <c r="K82" i="30"/>
  <c r="L82" i="30"/>
  <c r="M82" i="30"/>
  <c r="N82" i="30"/>
  <c r="O82" i="30"/>
  <c r="P82" i="30"/>
  <c r="Q82" i="30"/>
  <c r="R82" i="30"/>
  <c r="S82" i="30"/>
  <c r="T82" i="30"/>
  <c r="U82" i="30"/>
  <c r="H83" i="30"/>
  <c r="I83" i="30"/>
  <c r="J83" i="30"/>
  <c r="K83" i="30"/>
  <c r="L83" i="30"/>
  <c r="M83" i="30"/>
  <c r="N83" i="30"/>
  <c r="O83" i="30"/>
  <c r="P83" i="30"/>
  <c r="Q83" i="30"/>
  <c r="R83" i="30"/>
  <c r="S83" i="30"/>
  <c r="T83" i="30"/>
  <c r="U83" i="30"/>
  <c r="H85" i="30"/>
  <c r="I85" i="30"/>
  <c r="J85" i="30"/>
  <c r="K85" i="30"/>
  <c r="L85" i="30"/>
  <c r="M85" i="30"/>
  <c r="N85" i="30"/>
  <c r="O85" i="30"/>
  <c r="P85" i="30"/>
  <c r="Q85" i="30"/>
  <c r="R85" i="30"/>
  <c r="S85" i="30"/>
  <c r="T85" i="30"/>
  <c r="U85" i="30"/>
  <c r="H86" i="30"/>
  <c r="I86" i="30"/>
  <c r="J86" i="30"/>
  <c r="K86" i="30"/>
  <c r="L86" i="30"/>
  <c r="M86" i="30"/>
  <c r="N86" i="30"/>
  <c r="O86" i="30"/>
  <c r="P86" i="30"/>
  <c r="Q86" i="30"/>
  <c r="R86" i="30"/>
  <c r="S86" i="30"/>
  <c r="T86" i="30"/>
  <c r="U86" i="30"/>
  <c r="H88" i="30"/>
  <c r="I88" i="30"/>
  <c r="J88" i="30"/>
  <c r="K88" i="30"/>
  <c r="L88" i="30"/>
  <c r="M88" i="30"/>
  <c r="N88" i="30"/>
  <c r="O88" i="30"/>
  <c r="P88" i="30"/>
  <c r="Q88" i="30"/>
  <c r="R88" i="30"/>
  <c r="S88" i="30"/>
  <c r="T88" i="30"/>
  <c r="U88" i="30"/>
  <c r="H89" i="30"/>
  <c r="I89" i="30"/>
  <c r="J89" i="30"/>
  <c r="K89" i="30"/>
  <c r="L89" i="30"/>
  <c r="M89" i="30"/>
  <c r="N89" i="30"/>
  <c r="O89" i="30"/>
  <c r="P89" i="30"/>
  <c r="Q89" i="30"/>
  <c r="R89" i="30"/>
  <c r="S89" i="30"/>
  <c r="T89" i="30"/>
  <c r="U89" i="30"/>
  <c r="H93" i="30"/>
  <c r="I93" i="30"/>
  <c r="J93" i="30"/>
  <c r="K93" i="30"/>
  <c r="L93" i="30"/>
  <c r="M93" i="30"/>
  <c r="N93" i="30"/>
  <c r="O93" i="30"/>
  <c r="P93" i="30"/>
  <c r="Q93" i="30"/>
  <c r="R93" i="30"/>
  <c r="S93" i="30"/>
  <c r="T93" i="30"/>
  <c r="U93" i="30"/>
  <c r="H94" i="30"/>
  <c r="H96" i="30" s="1" a="1"/>
  <c r="H96" i="30" s="1"/>
  <c r="I94" i="30"/>
  <c r="I96" i="30" s="1" a="1"/>
  <c r="I96" i="30" s="1"/>
  <c r="J94" i="30"/>
  <c r="J96" i="30" s="1" a="1"/>
  <c r="J96" i="30" s="1"/>
  <c r="K94" i="30"/>
  <c r="K96" i="30" s="1" a="1"/>
  <c r="K96" i="30" s="1"/>
  <c r="L94" i="30"/>
  <c r="M94" i="30"/>
  <c r="N94" i="30"/>
  <c r="N96" i="30" s="1" a="1"/>
  <c r="N96" i="30" s="1"/>
  <c r="O94" i="30"/>
  <c r="O96" i="30" s="1" a="1"/>
  <c r="O96" i="30" s="1"/>
  <c r="P94" i="30"/>
  <c r="P96" i="30" s="1" a="1"/>
  <c r="P96" i="30" s="1"/>
  <c r="Q94" i="30"/>
  <c r="Q96" i="30" s="1" a="1"/>
  <c r="Q96" i="30" s="1"/>
  <c r="R94" i="30"/>
  <c r="R96" i="30" s="1" a="1"/>
  <c r="R96" i="30" s="1"/>
  <c r="S94" i="30"/>
  <c r="S96" i="30" s="1" a="1"/>
  <c r="S96" i="30" s="1"/>
  <c r="T94" i="30"/>
  <c r="U94" i="30"/>
  <c r="U96" i="30" s="1" a="1"/>
  <c r="U96" i="30" s="1"/>
  <c r="H95" i="30"/>
  <c r="I95" i="30"/>
  <c r="J95" i="30"/>
  <c r="K95" i="30"/>
  <c r="L95" i="30"/>
  <c r="M95" i="30"/>
  <c r="N95" i="30"/>
  <c r="O95" i="30"/>
  <c r="P95" i="30"/>
  <c r="Q95" i="30"/>
  <c r="R95" i="30"/>
  <c r="S95" i="30"/>
  <c r="T95" i="30"/>
  <c r="U95" i="30"/>
  <c r="H97" i="30"/>
  <c r="I97" i="30"/>
  <c r="J97" i="30"/>
  <c r="K97" i="30"/>
  <c r="L97" i="30"/>
  <c r="M97" i="30"/>
  <c r="N97" i="30"/>
  <c r="O97" i="30"/>
  <c r="P97" i="30"/>
  <c r="Q97" i="30"/>
  <c r="R97" i="30"/>
  <c r="S97" i="30"/>
  <c r="T97" i="30"/>
  <c r="U97" i="30"/>
  <c r="H98" i="30"/>
  <c r="I98" i="30"/>
  <c r="J98" i="30"/>
  <c r="K98" i="30"/>
  <c r="L98" i="30"/>
  <c r="M98" i="30"/>
  <c r="N98" i="30"/>
  <c r="O98" i="30"/>
  <c r="P98" i="30"/>
  <c r="Q98" i="30"/>
  <c r="R98" i="30"/>
  <c r="S98" i="30"/>
  <c r="T98" i="30"/>
  <c r="U98" i="30"/>
  <c r="H101" i="30"/>
  <c r="I101" i="30"/>
  <c r="J101" i="30"/>
  <c r="K101" i="30"/>
  <c r="L101" i="30"/>
  <c r="M101" i="30"/>
  <c r="N101" i="30"/>
  <c r="O101" i="30"/>
  <c r="P101" i="30"/>
  <c r="Q101" i="30"/>
  <c r="R101" i="30"/>
  <c r="S101" i="30"/>
  <c r="T101" i="30"/>
  <c r="U101" i="30"/>
  <c r="H102" i="30"/>
  <c r="I102" i="30"/>
  <c r="J102" i="30"/>
  <c r="K102" i="30"/>
  <c r="L102" i="30"/>
  <c r="M102" i="30"/>
  <c r="N102" i="30"/>
  <c r="O102" i="30"/>
  <c r="P102" i="30"/>
  <c r="Q102" i="30"/>
  <c r="R102" i="30"/>
  <c r="S102" i="30"/>
  <c r="T102" i="30"/>
  <c r="U102" i="30"/>
  <c r="H120" i="30"/>
  <c r="H121" i="30" s="1"/>
  <c r="I120" i="30"/>
  <c r="I121" i="30" s="1"/>
  <c r="J120" i="30"/>
  <c r="J121" i="30" s="1"/>
  <c r="K120" i="30"/>
  <c r="L120" i="30"/>
  <c r="L121" i="30" s="1"/>
  <c r="M120" i="30"/>
  <c r="M121" i="30" s="1"/>
  <c r="N120" i="30"/>
  <c r="N121" i="30" s="1"/>
  <c r="O120" i="30"/>
  <c r="O121" i="30" s="1"/>
  <c r="P120" i="30"/>
  <c r="P121" i="30" s="1"/>
  <c r="Q120" i="30"/>
  <c r="Q121" i="30" s="1"/>
  <c r="R120" i="30"/>
  <c r="R121" i="30" s="1"/>
  <c r="S120" i="30"/>
  <c r="T120" i="30"/>
  <c r="T121" i="30" s="1"/>
  <c r="U120" i="30"/>
  <c r="U121" i="30" s="1"/>
  <c r="H122" i="30"/>
  <c r="I122" i="30"/>
  <c r="J122" i="30"/>
  <c r="K122" i="30"/>
  <c r="L122" i="30"/>
  <c r="M122" i="30"/>
  <c r="N122" i="30"/>
  <c r="O122" i="30"/>
  <c r="P122" i="30"/>
  <c r="Q122" i="30"/>
  <c r="R122" i="30"/>
  <c r="S122" i="30"/>
  <c r="T122" i="30"/>
  <c r="U122" i="30"/>
  <c r="H123" i="30"/>
  <c r="I123" i="30"/>
  <c r="J123" i="30"/>
  <c r="K123" i="30"/>
  <c r="L123" i="30"/>
  <c r="M123" i="30"/>
  <c r="N123" i="30"/>
  <c r="O123" i="30"/>
  <c r="P123" i="30"/>
  <c r="Q123" i="30"/>
  <c r="R123" i="30"/>
  <c r="S123" i="30"/>
  <c r="T123" i="30"/>
  <c r="U123" i="30"/>
  <c r="H124" i="30"/>
  <c r="I124" i="30"/>
  <c r="J124" i="30"/>
  <c r="K124" i="30"/>
  <c r="L124" i="30"/>
  <c r="M124" i="30"/>
  <c r="N124" i="30"/>
  <c r="O124" i="30"/>
  <c r="P124" i="30"/>
  <c r="Q124" i="30"/>
  <c r="R124" i="30"/>
  <c r="S124" i="30"/>
  <c r="T124" i="30"/>
  <c r="U124" i="30"/>
  <c r="H127" i="30"/>
  <c r="I127" i="30"/>
  <c r="J127" i="30"/>
  <c r="K127" i="30"/>
  <c r="L127" i="30"/>
  <c r="M127" i="30"/>
  <c r="N127" i="30"/>
  <c r="O127" i="30"/>
  <c r="P127" i="30"/>
  <c r="Q127" i="30"/>
  <c r="R127" i="30"/>
  <c r="S127" i="30"/>
  <c r="T127" i="30"/>
  <c r="U127" i="30"/>
  <c r="H128" i="30"/>
  <c r="I128" i="30"/>
  <c r="J128" i="30"/>
  <c r="K128" i="30"/>
  <c r="L128" i="30"/>
  <c r="M128" i="30"/>
  <c r="N128" i="30"/>
  <c r="O128" i="30"/>
  <c r="P128" i="30"/>
  <c r="Q128" i="30"/>
  <c r="R128" i="30"/>
  <c r="S128" i="30"/>
  <c r="T128" i="30"/>
  <c r="U128" i="30"/>
  <c r="H136" i="30"/>
  <c r="I136" i="30"/>
  <c r="J136" i="30"/>
  <c r="K136" i="30"/>
  <c r="L136" i="30"/>
  <c r="M136" i="30"/>
  <c r="N136" i="30"/>
  <c r="O136" i="30"/>
  <c r="P136" i="30"/>
  <c r="Q136" i="30"/>
  <c r="R136" i="30"/>
  <c r="S136" i="30"/>
  <c r="T136" i="30"/>
  <c r="U136" i="30"/>
  <c r="H137" i="30"/>
  <c r="H140" i="30" s="1"/>
  <c r="I137" i="30"/>
  <c r="I140" i="30" s="1"/>
  <c r="J137" i="30"/>
  <c r="J140" i="30" s="1"/>
  <c r="K137" i="30"/>
  <c r="K140" i="30" s="1"/>
  <c r="L137" i="30"/>
  <c r="L140" i="30" s="1"/>
  <c r="M137" i="30"/>
  <c r="M140" i="30" s="1"/>
  <c r="N137" i="30"/>
  <c r="N140" i="30" s="1"/>
  <c r="O137" i="30"/>
  <c r="O140" i="30" s="1"/>
  <c r="P137" i="30"/>
  <c r="P140" i="30" s="1"/>
  <c r="Q137" i="30"/>
  <c r="Q140" i="30" s="1"/>
  <c r="R137" i="30"/>
  <c r="R140" i="30" s="1"/>
  <c r="S137" i="30"/>
  <c r="S140" i="30" s="1"/>
  <c r="T137" i="30"/>
  <c r="T140" i="30" s="1"/>
  <c r="U137" i="30"/>
  <c r="U140" i="30" s="1"/>
  <c r="H138" i="30"/>
  <c r="I138" i="30"/>
  <c r="J138" i="30"/>
  <c r="K138" i="30"/>
  <c r="L138" i="30"/>
  <c r="M138" i="30"/>
  <c r="N138" i="30"/>
  <c r="O138" i="30"/>
  <c r="P138" i="30"/>
  <c r="Q138" i="30"/>
  <c r="R138" i="30"/>
  <c r="S138" i="30"/>
  <c r="T138" i="30"/>
  <c r="U138" i="30"/>
  <c r="H139" i="30"/>
  <c r="I139" i="30"/>
  <c r="J139" i="30"/>
  <c r="K139" i="30"/>
  <c r="L139" i="30"/>
  <c r="M139" i="30"/>
  <c r="N139" i="30"/>
  <c r="O139" i="30"/>
  <c r="P139" i="30"/>
  <c r="Q139" i="30"/>
  <c r="R139" i="30"/>
  <c r="S139" i="30"/>
  <c r="T139" i="30"/>
  <c r="U139" i="30"/>
  <c r="H143" i="30"/>
  <c r="I143" i="30"/>
  <c r="J143" i="30"/>
  <c r="K143" i="30"/>
  <c r="L143" i="30"/>
  <c r="M143" i="30"/>
  <c r="N143" i="30"/>
  <c r="O143" i="30"/>
  <c r="P143" i="30"/>
  <c r="Q143" i="30"/>
  <c r="R143" i="30"/>
  <c r="S143" i="30"/>
  <c r="T143" i="30"/>
  <c r="U143" i="30"/>
  <c r="H144" i="30"/>
  <c r="I144" i="30"/>
  <c r="J144" i="30"/>
  <c r="K144" i="30"/>
  <c r="L144" i="30"/>
  <c r="M144" i="30"/>
  <c r="N144" i="30"/>
  <c r="O144" i="30"/>
  <c r="P144" i="30"/>
  <c r="Q144" i="30"/>
  <c r="R144" i="30"/>
  <c r="S144" i="30"/>
  <c r="T144" i="30"/>
  <c r="U144" i="30"/>
  <c r="H148" i="30"/>
  <c r="I148" i="30"/>
  <c r="J148" i="30"/>
  <c r="K148" i="30"/>
  <c r="L148" i="30"/>
  <c r="M148" i="30"/>
  <c r="N148" i="30"/>
  <c r="O148" i="30"/>
  <c r="P148" i="30"/>
  <c r="Q148" i="30"/>
  <c r="R148" i="30"/>
  <c r="S148" i="30"/>
  <c r="T148" i="30"/>
  <c r="U148" i="30"/>
  <c r="H149" i="30"/>
  <c r="I149" i="30"/>
  <c r="J149" i="30"/>
  <c r="K149" i="30"/>
  <c r="L149" i="30"/>
  <c r="M149" i="30"/>
  <c r="N149" i="30"/>
  <c r="O149" i="30"/>
  <c r="P149" i="30"/>
  <c r="Q149" i="30"/>
  <c r="R149" i="30"/>
  <c r="S149" i="30"/>
  <c r="T149" i="30"/>
  <c r="U149" i="30"/>
  <c r="H150" i="30"/>
  <c r="I150" i="30"/>
  <c r="J150" i="30"/>
  <c r="K150" i="30"/>
  <c r="L150" i="30"/>
  <c r="M150" i="30"/>
  <c r="N150" i="30"/>
  <c r="O150" i="30"/>
  <c r="P150" i="30"/>
  <c r="Q150" i="30"/>
  <c r="R150" i="30"/>
  <c r="S150" i="30"/>
  <c r="T150" i="30"/>
  <c r="U150" i="30"/>
  <c r="H152" i="30"/>
  <c r="I152" i="30"/>
  <c r="J152" i="30"/>
  <c r="K152" i="30"/>
  <c r="L152" i="30"/>
  <c r="M152" i="30"/>
  <c r="N152" i="30"/>
  <c r="O152" i="30"/>
  <c r="P152" i="30"/>
  <c r="Q152" i="30"/>
  <c r="R152" i="30"/>
  <c r="S152" i="30"/>
  <c r="T152" i="30"/>
  <c r="U152" i="30"/>
  <c r="H153" i="30"/>
  <c r="I153" i="30"/>
  <c r="J153" i="30"/>
  <c r="K153" i="30"/>
  <c r="L153" i="30"/>
  <c r="M153" i="30"/>
  <c r="N153" i="30"/>
  <c r="O153" i="30"/>
  <c r="P153" i="30"/>
  <c r="Q153" i="30"/>
  <c r="R153" i="30"/>
  <c r="S153" i="30"/>
  <c r="T153" i="30"/>
  <c r="U153" i="30"/>
  <c r="H155" i="30"/>
  <c r="I155" i="30"/>
  <c r="J155" i="30"/>
  <c r="K155" i="30"/>
  <c r="L155" i="30"/>
  <c r="M155" i="30"/>
  <c r="N155" i="30"/>
  <c r="O155" i="30"/>
  <c r="P155" i="30"/>
  <c r="Q155" i="30"/>
  <c r="R155" i="30"/>
  <c r="S155" i="30"/>
  <c r="T155" i="30"/>
  <c r="U155" i="30"/>
  <c r="H156" i="30"/>
  <c r="I156" i="30"/>
  <c r="J156" i="30"/>
  <c r="K156" i="30"/>
  <c r="L156" i="30"/>
  <c r="M156" i="30"/>
  <c r="N156" i="30"/>
  <c r="O156" i="30"/>
  <c r="P156" i="30"/>
  <c r="Q156" i="30"/>
  <c r="R156" i="30"/>
  <c r="S156" i="30"/>
  <c r="T156" i="30"/>
  <c r="U156" i="30"/>
  <c r="H160" i="30"/>
  <c r="I160" i="30"/>
  <c r="J160" i="30"/>
  <c r="K160" i="30"/>
  <c r="L160" i="30"/>
  <c r="M160" i="30"/>
  <c r="N160" i="30"/>
  <c r="O160" i="30"/>
  <c r="P160" i="30"/>
  <c r="Q160" i="30"/>
  <c r="R160" i="30"/>
  <c r="S160" i="30"/>
  <c r="T160" i="30"/>
  <c r="U160" i="30"/>
  <c r="H161" i="30"/>
  <c r="H163" i="30" s="1" a="1"/>
  <c r="H163" i="30" s="1"/>
  <c r="I161" i="30"/>
  <c r="I163" i="30" s="1" a="1"/>
  <c r="I163" i="30" s="1"/>
  <c r="J161" i="30"/>
  <c r="J163" i="30" s="1" a="1"/>
  <c r="J163" i="30" s="1"/>
  <c r="K161" i="30"/>
  <c r="L161" i="30"/>
  <c r="L163" i="30" s="1" a="1"/>
  <c r="L163" i="30" s="1"/>
  <c r="M161" i="30"/>
  <c r="M163" i="30" s="1" a="1"/>
  <c r="M163" i="30" s="1"/>
  <c r="N161" i="30"/>
  <c r="O161" i="30"/>
  <c r="O163" i="30" s="1" a="1"/>
  <c r="O163" i="30" s="1"/>
  <c r="P161" i="30"/>
  <c r="P163" i="30" s="1" a="1"/>
  <c r="P163" i="30" s="1"/>
  <c r="Q161" i="30"/>
  <c r="Q163" i="30" s="1" a="1"/>
  <c r="Q163" i="30" s="1"/>
  <c r="R161" i="30"/>
  <c r="R163" i="30" s="1" a="1"/>
  <c r="R163" i="30" s="1"/>
  <c r="S161" i="30"/>
  <c r="S163" i="30" s="1" a="1"/>
  <c r="S163" i="30" s="1"/>
  <c r="T161" i="30"/>
  <c r="T163" i="30" s="1" a="1"/>
  <c r="T163" i="30" s="1"/>
  <c r="U161" i="30"/>
  <c r="U163" i="30" s="1" a="1"/>
  <c r="U163" i="30" s="1"/>
  <c r="H162" i="30"/>
  <c r="I162" i="30"/>
  <c r="J162" i="30"/>
  <c r="K162" i="30"/>
  <c r="L162" i="30"/>
  <c r="M162" i="30"/>
  <c r="N162" i="30"/>
  <c r="O162" i="30"/>
  <c r="P162" i="30"/>
  <c r="Q162" i="30"/>
  <c r="R162" i="30"/>
  <c r="S162" i="30"/>
  <c r="T162" i="30"/>
  <c r="U162" i="30"/>
  <c r="H164" i="30"/>
  <c r="I164" i="30"/>
  <c r="J164" i="30"/>
  <c r="K164" i="30"/>
  <c r="L164" i="30"/>
  <c r="M164" i="30"/>
  <c r="N164" i="30"/>
  <c r="O164" i="30"/>
  <c r="P164" i="30"/>
  <c r="Q164" i="30"/>
  <c r="R164" i="30"/>
  <c r="S164" i="30"/>
  <c r="T164" i="30"/>
  <c r="U164" i="30"/>
  <c r="H165" i="30"/>
  <c r="I165" i="30"/>
  <c r="J165" i="30"/>
  <c r="K165" i="30"/>
  <c r="L165" i="30"/>
  <c r="M165" i="30"/>
  <c r="N165" i="30"/>
  <c r="O165" i="30"/>
  <c r="P165" i="30"/>
  <c r="Q165" i="30"/>
  <c r="R165" i="30"/>
  <c r="S165" i="30"/>
  <c r="T165" i="30"/>
  <c r="U165" i="30"/>
  <c r="H168" i="30"/>
  <c r="I168" i="30"/>
  <c r="J168" i="30"/>
  <c r="K168" i="30"/>
  <c r="L168" i="30"/>
  <c r="M168" i="30"/>
  <c r="N168" i="30"/>
  <c r="O168" i="30"/>
  <c r="P168" i="30"/>
  <c r="Q168" i="30"/>
  <c r="R168" i="30"/>
  <c r="S168" i="30"/>
  <c r="T168" i="30"/>
  <c r="U168" i="30"/>
  <c r="H169" i="30"/>
  <c r="I169" i="30"/>
  <c r="J169" i="30"/>
  <c r="K169" i="30"/>
  <c r="L169" i="30"/>
  <c r="M169" i="30"/>
  <c r="N169" i="30"/>
  <c r="O169" i="30"/>
  <c r="P169" i="30"/>
  <c r="Q169" i="30"/>
  <c r="R169" i="30"/>
  <c r="S169" i="30"/>
  <c r="T169" i="30"/>
  <c r="U169" i="30"/>
  <c r="H187" i="30"/>
  <c r="H188" i="30" s="1"/>
  <c r="I187" i="30"/>
  <c r="I188" i="30" s="1"/>
  <c r="J187" i="30"/>
  <c r="J188" i="30" s="1"/>
  <c r="K187" i="30"/>
  <c r="K188" i="30" s="1"/>
  <c r="L187" i="30"/>
  <c r="L188" i="30" s="1"/>
  <c r="M187" i="30"/>
  <c r="M188" i="30" s="1"/>
  <c r="N187" i="30"/>
  <c r="N188" i="30" s="1"/>
  <c r="O187" i="30"/>
  <c r="O188" i="30" s="1"/>
  <c r="P187" i="30"/>
  <c r="P188" i="30" s="1"/>
  <c r="Q187" i="30"/>
  <c r="Q188" i="30" s="1"/>
  <c r="R187" i="30"/>
  <c r="R188" i="30" s="1"/>
  <c r="S187" i="30"/>
  <c r="S188" i="30" s="1"/>
  <c r="T187" i="30"/>
  <c r="T188" i="30" s="1"/>
  <c r="U187" i="30"/>
  <c r="U188" i="30" s="1"/>
  <c r="H189" i="30"/>
  <c r="I189" i="30"/>
  <c r="J189" i="30"/>
  <c r="K189" i="30"/>
  <c r="L189" i="30"/>
  <c r="M189" i="30"/>
  <c r="N189" i="30"/>
  <c r="O189" i="30"/>
  <c r="P189" i="30"/>
  <c r="Q189" i="30"/>
  <c r="R189" i="30"/>
  <c r="S189" i="30"/>
  <c r="T189" i="30"/>
  <c r="U189" i="30"/>
  <c r="H190" i="30"/>
  <c r="I190" i="30"/>
  <c r="J190" i="30"/>
  <c r="K190" i="30"/>
  <c r="L190" i="30"/>
  <c r="M190" i="30"/>
  <c r="N190" i="30"/>
  <c r="O190" i="30"/>
  <c r="P190" i="30"/>
  <c r="Q190" i="30"/>
  <c r="R190" i="30"/>
  <c r="S190" i="30"/>
  <c r="T190" i="30"/>
  <c r="U190" i="30"/>
  <c r="H191" i="30"/>
  <c r="I191" i="30"/>
  <c r="J191" i="30"/>
  <c r="K191" i="30"/>
  <c r="L191" i="30"/>
  <c r="M191" i="30"/>
  <c r="N191" i="30"/>
  <c r="O191" i="30"/>
  <c r="P191" i="30"/>
  <c r="Q191" i="30"/>
  <c r="R191" i="30"/>
  <c r="S191" i="30"/>
  <c r="T191" i="30"/>
  <c r="U191" i="30"/>
  <c r="H194" i="30"/>
  <c r="I194" i="30"/>
  <c r="J194" i="30"/>
  <c r="K194" i="30"/>
  <c r="L194" i="30"/>
  <c r="M194" i="30"/>
  <c r="N194" i="30"/>
  <c r="O194" i="30"/>
  <c r="P194" i="30"/>
  <c r="Q194" i="30"/>
  <c r="R194" i="30"/>
  <c r="S194" i="30"/>
  <c r="T194" i="30"/>
  <c r="U194" i="30"/>
  <c r="H195" i="30"/>
  <c r="I195" i="30"/>
  <c r="J195" i="30"/>
  <c r="K195" i="30"/>
  <c r="L195" i="30"/>
  <c r="M195" i="30"/>
  <c r="N195" i="30"/>
  <c r="O195" i="30"/>
  <c r="P195" i="30"/>
  <c r="Q195" i="30"/>
  <c r="R195" i="30"/>
  <c r="S195" i="30"/>
  <c r="T195" i="30"/>
  <c r="U195" i="30"/>
  <c r="G152" i="30"/>
  <c r="I21" i="6"/>
  <c r="W34" i="6" a="1"/>
  <c r="U34" i="6" a="1"/>
  <c r="L20" i="6"/>
  <c r="V34" i="6" a="1"/>
  <c r="R34" i="6" a="1"/>
  <c r="S34" i="6" a="1"/>
  <c r="N34" i="6" a="1"/>
  <c r="K20" i="6"/>
  <c r="T20" i="6"/>
  <c r="P34" i="6" a="1"/>
  <c r="O34" i="6" a="1"/>
  <c r="T34" i="6" a="1"/>
  <c r="Q20" i="6"/>
  <c r="M34" i="6" a="1"/>
  <c r="J34" i="6" a="1"/>
  <c r="M20" i="6"/>
  <c r="L34" i="6" a="1"/>
  <c r="P20" i="6"/>
  <c r="Q34" i="6" a="1"/>
  <c r="K34" i="6" a="1"/>
  <c r="G49" i="33" l="1" a="1"/>
  <c r="G49" i="33" s="1"/>
  <c r="J34" i="6"/>
  <c r="H31" i="33" s="1"/>
  <c r="R34" i="6"/>
  <c r="K34" i="6"/>
  <c r="I31" i="33" s="1"/>
  <c r="L34" i="6"/>
  <c r="N163" i="30" a="1"/>
  <c r="N163" i="30" s="1"/>
  <c r="H18" i="30" a="1"/>
  <c r="H18" i="30" s="1"/>
  <c r="V34" i="6"/>
  <c r="P34" i="6"/>
  <c r="T34" i="6"/>
  <c r="W34" i="6"/>
  <c r="N34" i="6"/>
  <c r="L31" i="33" s="1"/>
  <c r="O34" i="6"/>
  <c r="Q34" i="6"/>
  <c r="U34" i="6"/>
  <c r="M34" i="6"/>
  <c r="S34" i="6"/>
  <c r="M99" i="30" a="1"/>
  <c r="M99" i="30" s="1"/>
  <c r="T151" i="30" a="1"/>
  <c r="T151" i="30" s="1"/>
  <c r="K99" i="30" a="1"/>
  <c r="K99" i="30" s="1"/>
  <c r="I84" i="30" a="1"/>
  <c r="I84" i="30" s="1"/>
  <c r="K151" i="30" a="1"/>
  <c r="K151" i="30" s="1"/>
  <c r="M33" i="30" a="1"/>
  <c r="M33" i="30" s="1"/>
  <c r="S18" i="30" a="1"/>
  <c r="S18" i="30" s="1"/>
  <c r="U84" i="30" a="1"/>
  <c r="U84" i="30" s="1"/>
  <c r="S84" i="30" a="1"/>
  <c r="S84" i="30" s="1"/>
  <c r="K84" i="30" a="1"/>
  <c r="K84" i="30" s="1"/>
  <c r="R18" i="30" a="1"/>
  <c r="R18" i="30" s="1"/>
  <c r="K33" i="30" a="1"/>
  <c r="K33" i="30" s="1"/>
  <c r="P18" i="30" a="1"/>
  <c r="P18" i="30" s="1"/>
  <c r="R151" i="30" a="1"/>
  <c r="R151" i="30" s="1"/>
  <c r="N84" i="30" a="1"/>
  <c r="N84" i="30" s="1"/>
  <c r="M18" i="30" a="1"/>
  <c r="M18" i="30" s="1"/>
  <c r="M132" i="30"/>
  <c r="R84" i="30" a="1"/>
  <c r="R84" i="30" s="1"/>
  <c r="R67" i="30"/>
  <c r="S67" i="30"/>
  <c r="P33" i="30" a="1"/>
  <c r="P33" i="30" s="1"/>
  <c r="U199" i="30"/>
  <c r="I200" i="30"/>
  <c r="P84" i="30" a="1"/>
  <c r="P84" i="30" s="1"/>
  <c r="O200" i="30"/>
  <c r="P133" i="30"/>
  <c r="O151" i="30" a="1"/>
  <c r="O151" i="30" s="1"/>
  <c r="T200" i="30"/>
  <c r="Q99" i="30" a="1"/>
  <c r="Q99" i="30" s="1"/>
  <c r="P30" i="30" a="1"/>
  <c r="P30" i="30" s="1"/>
  <c r="S166" i="30" a="1"/>
  <c r="S166" i="30" s="1"/>
  <c r="Q151" i="30" a="1"/>
  <c r="Q151" i="30" s="1"/>
  <c r="R33" i="30" a="1"/>
  <c r="R33" i="30" s="1"/>
  <c r="T18" i="30" a="1"/>
  <c r="T18" i="30" s="1"/>
  <c r="J18" i="30" a="1"/>
  <c r="J18" i="30" s="1"/>
  <c r="L199" i="30"/>
  <c r="U200" i="30"/>
  <c r="U151" i="30" a="1"/>
  <c r="U151" i="30" s="1"/>
  <c r="I151" i="30" a="1"/>
  <c r="I151" i="30" s="1"/>
  <c r="K199" i="30"/>
  <c r="Q84" i="30" a="1"/>
  <c r="Q84" i="30" s="1"/>
  <c r="U33" i="30" a="1"/>
  <c r="U33" i="30" s="1"/>
  <c r="L99" i="30" a="1"/>
  <c r="L99" i="30" s="1"/>
  <c r="Q33" i="30" a="1"/>
  <c r="Q33" i="30" s="1"/>
  <c r="O66" i="30"/>
  <c r="Q199" i="30"/>
  <c r="S99" i="30" a="1"/>
  <c r="S99" i="30" s="1"/>
  <c r="P166" i="30" a="1"/>
  <c r="P166" i="30" s="1"/>
  <c r="T99" i="30" a="1"/>
  <c r="T99" i="30" s="1"/>
  <c r="L84" i="30" a="1"/>
  <c r="L84" i="30" s="1"/>
  <c r="L18" i="30" a="1"/>
  <c r="L18" i="30" s="1"/>
  <c r="K166" i="30" a="1"/>
  <c r="K166" i="30" s="1"/>
  <c r="M199" i="30"/>
  <c r="S132" i="30"/>
  <c r="Q133" i="30"/>
  <c r="S33" i="30" a="1"/>
  <c r="S33" i="30" s="1"/>
  <c r="U66" i="30"/>
  <c r="O166" i="30" a="1"/>
  <c r="O166" i="30" s="1"/>
  <c r="R132" i="30"/>
  <c r="T33" i="30" a="1"/>
  <c r="T33" i="30" s="1"/>
  <c r="J151" i="30" a="1"/>
  <c r="J151" i="30" s="1"/>
  <c r="S200" i="30"/>
  <c r="L200" i="30"/>
  <c r="H99" i="30" a="1"/>
  <c r="H99" i="30" s="1"/>
  <c r="J84" i="30" a="1"/>
  <c r="J84" i="30" s="1"/>
  <c r="N133" i="30"/>
  <c r="K18" i="30" a="1"/>
  <c r="K18" i="30" s="1"/>
  <c r="K121" i="30"/>
  <c r="I199" i="30"/>
  <c r="J99" i="30" a="1"/>
  <c r="J99" i="30" s="1"/>
  <c r="T166" i="30" a="1"/>
  <c r="T166" i="30" s="1"/>
  <c r="T66" i="30"/>
  <c r="Q166" i="30" a="1"/>
  <c r="Q166" i="30" s="1"/>
  <c r="N151" i="30" a="1"/>
  <c r="N151" i="30" s="1"/>
  <c r="P199" i="30"/>
  <c r="T96" i="30" a="1"/>
  <c r="T96" i="30" s="1"/>
  <c r="U132" i="30"/>
  <c r="T132" i="30"/>
  <c r="M84" i="30" a="1"/>
  <c r="M84" i="30" s="1"/>
  <c r="O84" i="30" a="1"/>
  <c r="O84" i="30" s="1"/>
  <c r="L33" i="30" a="1"/>
  <c r="L33" i="30" s="1"/>
  <c r="I33" i="30" a="1"/>
  <c r="I33" i="30" s="1"/>
  <c r="H33" i="30" a="1"/>
  <c r="H33" i="30" s="1"/>
  <c r="I132" i="30"/>
  <c r="H151" i="30" a="1"/>
  <c r="H151" i="30" s="1"/>
  <c r="J166" i="30" a="1"/>
  <c r="J166" i="30" s="1"/>
  <c r="H166" i="30" a="1"/>
  <c r="H166" i="30" s="1"/>
  <c r="I166" i="30" a="1"/>
  <c r="I166" i="30" s="1"/>
  <c r="J200" i="30"/>
  <c r="H200" i="30"/>
  <c r="S121" i="30"/>
  <c r="S133" i="30"/>
  <c r="P7" i="30"/>
  <c r="R66" i="30"/>
  <c r="R99" i="30" a="1"/>
  <c r="R99" i="30" s="1"/>
  <c r="L96" i="30" a="1"/>
  <c r="L96" i="30" s="1"/>
  <c r="T84" i="30" a="1"/>
  <c r="T84" i="30" s="1"/>
  <c r="H84" i="30" a="1"/>
  <c r="H84" i="30" s="1"/>
  <c r="O73" i="30"/>
  <c r="Q132" i="30"/>
  <c r="N132" i="30"/>
  <c r="R133" i="30"/>
  <c r="P132" i="30"/>
  <c r="M151" i="30" a="1"/>
  <c r="M151" i="30" s="1"/>
  <c r="S66" i="30"/>
  <c r="R200" i="30"/>
  <c r="T199" i="30"/>
  <c r="Q200" i="30"/>
  <c r="S199" i="30"/>
  <c r="P99" i="30" a="1"/>
  <c r="P99" i="30" s="1"/>
  <c r="P200" i="30"/>
  <c r="R199" i="30"/>
  <c r="U166" i="30" a="1"/>
  <c r="U166" i="30" s="1"/>
  <c r="N166" i="30" a="1"/>
  <c r="N166" i="30" s="1"/>
  <c r="T133" i="30"/>
  <c r="N99" i="30" a="1"/>
  <c r="N99" i="30" s="1"/>
  <c r="M96" i="30" a="1"/>
  <c r="M96" i="30" s="1"/>
  <c r="O132" i="30"/>
  <c r="O99" i="30" a="1"/>
  <c r="O99" i="30" s="1"/>
  <c r="O133" i="30"/>
  <c r="O18" i="30" a="1"/>
  <c r="O18" i="30" s="1"/>
  <c r="Q18" i="30" a="1"/>
  <c r="Q18" i="30" s="1"/>
  <c r="N18" i="30" a="1"/>
  <c r="N18" i="30" s="1"/>
  <c r="P151" i="30" a="1"/>
  <c r="P151" i="30" s="1"/>
  <c r="O33" i="30" a="1"/>
  <c r="O33" i="30" s="1"/>
  <c r="Q66" i="30"/>
  <c r="Q67" i="30"/>
  <c r="Q7" i="30"/>
  <c r="M200" i="30"/>
  <c r="O199" i="30"/>
  <c r="L166" i="30" a="1"/>
  <c r="L166" i="30" s="1"/>
  <c r="K163" i="30" a="1"/>
  <c r="K163" i="30" s="1"/>
  <c r="N33" i="30" a="1"/>
  <c r="N33" i="30" s="1"/>
  <c r="N30" i="30" a="1"/>
  <c r="N30" i="30" s="1"/>
  <c r="P66" i="30"/>
  <c r="P67" i="30"/>
  <c r="T55" i="30"/>
  <c r="T67" i="30"/>
  <c r="M166" i="30" a="1"/>
  <c r="M166" i="30" s="1"/>
  <c r="S151" i="30" a="1"/>
  <c r="S151" i="30" s="1"/>
  <c r="K200" i="30"/>
  <c r="R166" i="30" a="1"/>
  <c r="R166" i="30" s="1"/>
  <c r="L151" i="30" a="1"/>
  <c r="L151" i="30" s="1"/>
  <c r="N73" i="30"/>
  <c r="U55" i="30"/>
  <c r="U67" i="30"/>
  <c r="I55" i="30"/>
  <c r="U99" i="30" a="1"/>
  <c r="U99" i="30" s="1"/>
  <c r="I99" i="30" a="1"/>
  <c r="I99" i="30" s="1"/>
  <c r="R73" i="30"/>
  <c r="J33" i="30" a="1"/>
  <c r="J33" i="30" s="1"/>
  <c r="U18" i="30" a="1"/>
  <c r="U18" i="30" s="1"/>
  <c r="I18" i="30" a="1"/>
  <c r="I18" i="30" s="1"/>
  <c r="M133" i="30"/>
  <c r="O67" i="30"/>
  <c r="U133" i="30"/>
  <c r="I133" i="30"/>
  <c r="G4" i="30"/>
  <c r="G7" i="30" s="1"/>
  <c r="N31" i="33" l="1"/>
  <c r="O31" i="33"/>
  <c r="M31" i="33"/>
  <c r="J31" i="33"/>
  <c r="K31" i="33"/>
  <c r="H37" i="30"/>
  <c r="H63" i="30"/>
  <c r="H103" i="30"/>
  <c r="H145" i="30"/>
  <c r="H129" i="30"/>
  <c r="H12" i="30"/>
  <c r="H157" i="30"/>
  <c r="H90" i="30"/>
  <c r="H170" i="30"/>
  <c r="H24" i="30"/>
  <c r="H78" i="30"/>
  <c r="H196" i="30"/>
  <c r="J133" i="30"/>
  <c r="H26" i="30"/>
  <c r="H159" i="30"/>
  <c r="H39" i="30" a="1"/>
  <c r="H172" i="30" a="1"/>
  <c r="H39" i="30" l="1"/>
  <c r="H172" i="30"/>
  <c r="R72" i="3"/>
  <c r="J42" i="6"/>
  <c r="L42" i="6"/>
  <c r="M42" i="6"/>
  <c r="N42" i="6"/>
  <c r="O42" i="6"/>
  <c r="P42" i="6"/>
  <c r="Q42" i="6"/>
  <c r="R42" i="6"/>
  <c r="S42" i="6"/>
  <c r="S46" i="6" s="1"/>
  <c r="T42" i="6"/>
  <c r="T46" i="6" s="1"/>
  <c r="U42" i="6"/>
  <c r="U46" i="6" s="1"/>
  <c r="V42" i="6"/>
  <c r="V46" i="6" s="1"/>
  <c r="W42" i="6"/>
  <c r="W46" i="6" s="1"/>
  <c r="J48" i="6"/>
  <c r="K48" i="6"/>
  <c r="L48" i="6"/>
  <c r="L52" i="6" s="1"/>
  <c r="M48" i="6"/>
  <c r="N48" i="6"/>
  <c r="O48" i="6"/>
  <c r="O52" i="6" s="1"/>
  <c r="P48" i="6"/>
  <c r="P52" i="6" s="1"/>
  <c r="Q48" i="6"/>
  <c r="Q52" i="6" s="1"/>
  <c r="R48" i="6"/>
  <c r="R52" i="6" s="1"/>
  <c r="S48" i="6"/>
  <c r="S52" i="6" s="1"/>
  <c r="T48" i="6"/>
  <c r="T52" i="6" s="1"/>
  <c r="U48" i="6"/>
  <c r="U52" i="6" s="1"/>
  <c r="V48" i="6"/>
  <c r="V52" i="6" s="1"/>
  <c r="W48" i="6"/>
  <c r="W52" i="6" s="1"/>
  <c r="J54" i="6"/>
  <c r="J58" i="6" s="1"/>
  <c r="K54" i="6"/>
  <c r="L54" i="6"/>
  <c r="L58" i="6" s="1"/>
  <c r="M54" i="6"/>
  <c r="M58" i="6" s="1"/>
  <c r="N54" i="6"/>
  <c r="O54" i="6"/>
  <c r="O58" i="6" s="1"/>
  <c r="P54" i="6"/>
  <c r="P58" i="6" s="1"/>
  <c r="Q54" i="6"/>
  <c r="Q58" i="6" s="1"/>
  <c r="R54" i="6"/>
  <c r="R58" i="6" s="1"/>
  <c r="S54" i="6"/>
  <c r="S58" i="6" s="1"/>
  <c r="T54" i="6"/>
  <c r="T58" i="6" s="1"/>
  <c r="U54" i="6"/>
  <c r="U58" i="6" s="1"/>
  <c r="V54" i="6"/>
  <c r="V58" i="6" s="1"/>
  <c r="W54" i="6"/>
  <c r="W58" i="6" s="1"/>
  <c r="J19" i="6"/>
  <c r="H15" i="33" s="1"/>
  <c r="L19" i="6"/>
  <c r="M19" i="6"/>
  <c r="N19" i="6"/>
  <c r="O19" i="6"/>
  <c r="P19" i="6"/>
  <c r="Q19" i="6"/>
  <c r="R19" i="6"/>
  <c r="S19" i="6"/>
  <c r="S22" i="6" s="1"/>
  <c r="S23" i="6" s="1"/>
  <c r="T19" i="6"/>
  <c r="T22" i="6" s="1"/>
  <c r="T23" i="6" s="1"/>
  <c r="U19" i="6"/>
  <c r="U22" i="6" s="1"/>
  <c r="U23" i="6" s="1"/>
  <c r="V19" i="6"/>
  <c r="V22" i="6" s="1"/>
  <c r="V23" i="6" s="1"/>
  <c r="W19" i="6"/>
  <c r="W22" i="6" s="1"/>
  <c r="W23" i="6" s="1"/>
  <c r="J21" i="6"/>
  <c r="K21" i="6"/>
  <c r="L21" i="6"/>
  <c r="M21" i="6"/>
  <c r="N21" i="6"/>
  <c r="O21" i="6"/>
  <c r="P21" i="6"/>
  <c r="Q21" i="6"/>
  <c r="R21" i="6"/>
  <c r="S21" i="6"/>
  <c r="T21" i="6"/>
  <c r="U21" i="6"/>
  <c r="V21" i="6"/>
  <c r="W21" i="6"/>
  <c r="S39" i="2"/>
  <c r="J26" i="6" s="1" a="1"/>
  <c r="J26" i="6" s="1"/>
  <c r="I54" i="36" s="1"/>
  <c r="I55" i="36" s="1"/>
  <c r="U39" i="2"/>
  <c r="W39" i="2"/>
  <c r="AC39" i="2"/>
  <c r="AD39" i="2"/>
  <c r="AE39" i="2"/>
  <c r="S36" i="2"/>
  <c r="T36" i="2"/>
  <c r="U36" i="2"/>
  <c r="V36" i="2"/>
  <c r="W36" i="2"/>
  <c r="X36" i="2"/>
  <c r="Y36" i="2"/>
  <c r="Z36" i="2"/>
  <c r="AA36" i="2"/>
  <c r="AB36" i="2"/>
  <c r="AC36" i="2"/>
  <c r="AD36" i="2"/>
  <c r="AE36" i="2"/>
  <c r="AF36" i="2"/>
  <c r="S37" i="2"/>
  <c r="T37" i="2"/>
  <c r="U37" i="2"/>
  <c r="V37" i="2"/>
  <c r="W37" i="2"/>
  <c r="X37" i="2"/>
  <c r="Y37" i="2"/>
  <c r="Z37" i="2"/>
  <c r="AA37" i="2"/>
  <c r="AB37" i="2"/>
  <c r="AC37" i="2"/>
  <c r="AD37" i="2"/>
  <c r="AE37" i="2"/>
  <c r="AF37" i="2"/>
  <c r="S38" i="2"/>
  <c r="T38" i="2"/>
  <c r="U38" i="2"/>
  <c r="V38" i="2"/>
  <c r="W38" i="2"/>
  <c r="X38" i="2"/>
  <c r="Y38" i="2"/>
  <c r="Z38" i="2"/>
  <c r="AA38" i="2"/>
  <c r="AB38" i="2"/>
  <c r="AC38" i="2"/>
  <c r="AD38" i="2"/>
  <c r="AE38" i="2"/>
  <c r="AF38" i="2"/>
  <c r="V39" i="2"/>
  <c r="X39" i="2"/>
  <c r="Y39" i="2"/>
  <c r="Z39" i="2"/>
  <c r="AA39" i="2"/>
  <c r="AB39" i="2"/>
  <c r="AF39" i="2"/>
  <c r="J66" i="6"/>
  <c r="K66" i="6"/>
  <c r="L66" i="6"/>
  <c r="M66" i="6"/>
  <c r="N66" i="6"/>
  <c r="O66" i="6"/>
  <c r="P66" i="6"/>
  <c r="Q66" i="6"/>
  <c r="R66" i="6"/>
  <c r="S66" i="6"/>
  <c r="T66" i="6"/>
  <c r="U66" i="6"/>
  <c r="V66" i="6"/>
  <c r="W66" i="6"/>
  <c r="F32" i="2"/>
  <c r="R75" i="3"/>
  <c r="R76" i="3"/>
  <c r="R83" i="3"/>
  <c r="R63" i="3"/>
  <c r="R67" i="3"/>
  <c r="R71" i="3"/>
  <c r="R77" i="3"/>
  <c r="R78" i="3"/>
  <c r="R84" i="3"/>
  <c r="R64" i="3"/>
  <c r="R68" i="3"/>
  <c r="R79" i="3"/>
  <c r="R80" i="3"/>
  <c r="R85" i="3"/>
  <c r="R65" i="3"/>
  <c r="R69" i="3"/>
  <c r="R73" i="3"/>
  <c r="R81" i="3"/>
  <c r="R82" i="3"/>
  <c r="R86" i="3"/>
  <c r="R66" i="3"/>
  <c r="R70" i="3"/>
  <c r="R74" i="3"/>
  <c r="H105" i="30" a="1"/>
  <c r="H92" i="30"/>
  <c r="M37" i="6" l="1" a="1"/>
  <c r="M37" i="6" s="1"/>
  <c r="L37" i="6" a="1"/>
  <c r="L37" i="6" s="1"/>
  <c r="W37" i="6" a="1"/>
  <c r="W37" i="6" s="1"/>
  <c r="V37" i="6" a="1"/>
  <c r="V37" i="6" s="1"/>
  <c r="R37" i="6" a="1"/>
  <c r="R37" i="6" s="1"/>
  <c r="P27" i="33" s="1"/>
  <c r="Q43" i="36" s="1" a="1"/>
  <c r="Q43" i="36" s="1"/>
  <c r="P23" i="33"/>
  <c r="Q42" i="36" s="1" a="1"/>
  <c r="Q42" i="36" s="1"/>
  <c r="U37" i="6" a="1"/>
  <c r="U37" i="6" s="1"/>
  <c r="M23" i="33"/>
  <c r="N42" i="36" s="1" a="1"/>
  <c r="N42" i="36" s="1"/>
  <c r="O37" i="6" a="1"/>
  <c r="O37" i="6" s="1"/>
  <c r="S37" i="6" a="1"/>
  <c r="S37" i="6" s="1"/>
  <c r="Q37" i="6" a="1"/>
  <c r="Q37" i="6" s="1"/>
  <c r="O23" i="33"/>
  <c r="P42" i="36" s="1" a="1"/>
  <c r="P42" i="36" s="1"/>
  <c r="T37" i="6" a="1"/>
  <c r="T37" i="6" s="1"/>
  <c r="P37" i="6" a="1"/>
  <c r="P37" i="6" s="1"/>
  <c r="N23" i="33"/>
  <c r="O42" i="36" s="1" a="1"/>
  <c r="O42" i="36" s="1"/>
  <c r="N37" i="6" a="1"/>
  <c r="N37" i="6" s="1"/>
  <c r="J37" i="6" a="1"/>
  <c r="J37" i="6" s="1"/>
  <c r="M15" i="6" a="1"/>
  <c r="M15" i="6" s="1"/>
  <c r="S15" i="6" a="1"/>
  <c r="S15" i="6" s="1"/>
  <c r="P11" i="33"/>
  <c r="Q40" i="36" s="1" a="1"/>
  <c r="Q40" i="36" s="1"/>
  <c r="W15" i="6" a="1"/>
  <c r="W15" i="6" s="1"/>
  <c r="V15" i="6" a="1"/>
  <c r="V15" i="6" s="1"/>
  <c r="U15" i="6" a="1"/>
  <c r="U15" i="6" s="1"/>
  <c r="T15" i="6" a="1"/>
  <c r="T15" i="6" s="1"/>
  <c r="P22" i="6"/>
  <c r="N15" i="33"/>
  <c r="O22" i="6"/>
  <c r="M15" i="33"/>
  <c r="R46" i="6"/>
  <c r="Q46" i="6"/>
  <c r="P46" i="6"/>
  <c r="O46" i="6"/>
  <c r="R22" i="6"/>
  <c r="P15" i="33"/>
  <c r="Q22" i="6"/>
  <c r="O15" i="33"/>
  <c r="N15" i="6" a="1"/>
  <c r="N15" i="6" s="1"/>
  <c r="L15" i="6" a="1"/>
  <c r="L15" i="6" s="1"/>
  <c r="K15" i="6" a="1"/>
  <c r="K15" i="6" s="1"/>
  <c r="G31" i="33"/>
  <c r="H21" i="37" s="1"/>
  <c r="M22" i="6"/>
  <c r="K16" i="33" s="1"/>
  <c r="K15" i="33"/>
  <c r="L22" i="6"/>
  <c r="L23" i="6" s="1"/>
  <c r="J17" i="33" s="1"/>
  <c r="J15" i="33"/>
  <c r="N22" i="6"/>
  <c r="L16" i="33" s="1"/>
  <c r="L15" i="33"/>
  <c r="H105" i="30"/>
  <c r="K19" i="6"/>
  <c r="I15" i="33" s="1"/>
  <c r="J25" i="6"/>
  <c r="S11" i="6"/>
  <c r="R11" i="6"/>
  <c r="Q11" i="6"/>
  <c r="P11" i="6"/>
  <c r="T11" i="6"/>
  <c r="O11" i="6"/>
  <c r="M11" i="6"/>
  <c r="L11" i="6"/>
  <c r="N11" i="6"/>
  <c r="W11" i="6"/>
  <c r="K11" i="6"/>
  <c r="V11" i="6"/>
  <c r="U11" i="6"/>
  <c r="J24" i="6" l="1"/>
  <c r="J6" i="6"/>
  <c r="J11" i="6" s="1"/>
  <c r="M23" i="6"/>
  <c r="K17" i="33" s="1"/>
  <c r="K18" i="33" s="1"/>
  <c r="Q15" i="6" a="1"/>
  <c r="Q15" i="6" s="1"/>
  <c r="P24" i="33"/>
  <c r="O24" i="33"/>
  <c r="M24" i="33"/>
  <c r="O15" i="6" a="1"/>
  <c r="O15" i="6" s="1"/>
  <c r="N24" i="33"/>
  <c r="P15" i="6" a="1"/>
  <c r="P15" i="6" s="1"/>
  <c r="R15" i="6" a="1"/>
  <c r="R15" i="6" s="1"/>
  <c r="Q23" i="6"/>
  <c r="O17" i="33" s="1"/>
  <c r="O18" i="33" s="1"/>
  <c r="O16" i="33"/>
  <c r="O23" i="6"/>
  <c r="M17" i="33" s="1"/>
  <c r="M18" i="33" s="1"/>
  <c r="M16" i="33"/>
  <c r="R23" i="6"/>
  <c r="P17" i="33" s="1"/>
  <c r="P18" i="33" s="1"/>
  <c r="P16" i="33"/>
  <c r="P23" i="6"/>
  <c r="N17" i="33" s="1"/>
  <c r="N18" i="33" s="1"/>
  <c r="N16" i="33"/>
  <c r="J16" i="33"/>
  <c r="J18" i="33"/>
  <c r="N23" i="6"/>
  <c r="L17" i="33" s="1"/>
  <c r="L18" i="33" s="1"/>
  <c r="T17" i="6"/>
  <c r="V17" i="6"/>
  <c r="W17" i="6"/>
  <c r="U17" i="6"/>
  <c r="R17" i="6"/>
  <c r="P12" i="33" s="1"/>
  <c r="S17" i="6"/>
  <c r="I42" i="6"/>
  <c r="H52" i="36" s="1"/>
  <c r="H53" i="36" s="1"/>
  <c r="I48" i="6"/>
  <c r="I54" i="6"/>
  <c r="R36" i="2"/>
  <c r="R37" i="2"/>
  <c r="I26" i="6" s="1" a="1"/>
  <c r="I26" i="6" s="1"/>
  <c r="R38" i="2"/>
  <c r="I66" i="6"/>
  <c r="O28" i="6" a="1"/>
  <c r="P28" i="6" a="1"/>
  <c r="R28" i="6" a="1"/>
  <c r="Q28" i="6" a="1"/>
  <c r="S28" i="6" a="1"/>
  <c r="K28" i="6" a="1"/>
  <c r="M28" i="6" a="1"/>
  <c r="T28" i="6" a="1"/>
  <c r="J28" i="6" a="1"/>
  <c r="W28" i="6" a="1"/>
  <c r="L28" i="6" a="1"/>
  <c r="V28" i="6" a="1"/>
  <c r="N28" i="6" a="1"/>
  <c r="U28" i="6" a="1"/>
  <c r="I6" i="6" l="1"/>
  <c r="H55" i="36"/>
  <c r="I29" i="6"/>
  <c r="G24" i="33" s="1"/>
  <c r="I14" i="6" a="1"/>
  <c r="I14" i="6" s="1"/>
  <c r="Q28" i="6"/>
  <c r="O28" i="6"/>
  <c r="K28" i="6"/>
  <c r="I23" i="33" s="1"/>
  <c r="J42" i="36" s="1" a="1"/>
  <c r="J42" i="36" s="1"/>
  <c r="W28" i="6"/>
  <c r="U28" i="6"/>
  <c r="L28" i="6"/>
  <c r="R28" i="6"/>
  <c r="J28" i="6"/>
  <c r="S28" i="6"/>
  <c r="V28" i="6"/>
  <c r="M28" i="6"/>
  <c r="K23" i="33" s="1"/>
  <c r="L42" i="36" s="1" a="1"/>
  <c r="L42" i="36" s="1"/>
  <c r="P28" i="6"/>
  <c r="T28" i="6"/>
  <c r="N28" i="6"/>
  <c r="S80" i="2"/>
  <c r="AE80" i="2"/>
  <c r="T80" i="2"/>
  <c r="AF80" i="2"/>
  <c r="U80" i="2"/>
  <c r="R80" i="2"/>
  <c r="V80" i="2"/>
  <c r="W80" i="2"/>
  <c r="X80" i="2"/>
  <c r="Y80" i="2"/>
  <c r="Z80" i="2"/>
  <c r="AC80" i="2"/>
  <c r="AD80" i="2"/>
  <c r="AA80" i="2"/>
  <c r="AB80" i="2"/>
  <c r="H2" i="30"/>
  <c r="H1" i="30" s="1"/>
  <c r="I2" i="30"/>
  <c r="I1" i="30" s="1"/>
  <c r="J2" i="30"/>
  <c r="J1" i="30" s="1"/>
  <c r="K2" i="30"/>
  <c r="K1" i="30" s="1"/>
  <c r="L2" i="30"/>
  <c r="L1" i="30" s="1"/>
  <c r="M2" i="30"/>
  <c r="M1" i="30" s="1"/>
  <c r="N2" i="30"/>
  <c r="N1" i="30" s="1"/>
  <c r="O2" i="30"/>
  <c r="O1" i="30" s="1"/>
  <c r="P2" i="30"/>
  <c r="P1" i="30" s="1"/>
  <c r="Q2" i="30"/>
  <c r="Q1" i="30" s="1"/>
  <c r="R2" i="30"/>
  <c r="R1" i="30" s="1"/>
  <c r="S2" i="30"/>
  <c r="S1" i="30" s="1"/>
  <c r="T2" i="30"/>
  <c r="T1" i="30" s="1"/>
  <c r="U2" i="30"/>
  <c r="U1" i="30" s="1"/>
  <c r="G2" i="30"/>
  <c r="U2" i="6"/>
  <c r="V2" i="6"/>
  <c r="W2" i="6"/>
  <c r="O2" i="6"/>
  <c r="P2" i="6"/>
  <c r="Q2" i="6"/>
  <c r="R2" i="6"/>
  <c r="S2" i="6"/>
  <c r="T2" i="6"/>
  <c r="G155" i="30"/>
  <c r="G153" i="30"/>
  <c r="H23" i="33" l="1"/>
  <c r="I42" i="36" s="1" a="1"/>
  <c r="I42" i="36" s="1"/>
  <c r="J23" i="33"/>
  <c r="K42" i="36" s="1" a="1"/>
  <c r="K42" i="36" s="1"/>
  <c r="L23" i="33"/>
  <c r="M42" i="36" s="1" a="1"/>
  <c r="M42" i="36" s="1"/>
  <c r="G23" i="33"/>
  <c r="R79" i="2"/>
  <c r="AA76" i="2"/>
  <c r="Y77" i="2"/>
  <c r="W78" i="2"/>
  <c r="AB76" i="2"/>
  <c r="Z77" i="2"/>
  <c r="X78" i="2"/>
  <c r="W77" i="2"/>
  <c r="AC76" i="2"/>
  <c r="AA77" i="2"/>
  <c r="Y78" i="2"/>
  <c r="AF78" i="2"/>
  <c r="R78" i="2"/>
  <c r="AD76" i="2"/>
  <c r="AB77" i="2"/>
  <c r="Z78" i="2"/>
  <c r="Y76" i="2"/>
  <c r="S76" i="2"/>
  <c r="AE76" i="2"/>
  <c r="AC77" i="2"/>
  <c r="AA78" i="2"/>
  <c r="X76" i="2"/>
  <c r="U78" i="2"/>
  <c r="X77" i="2"/>
  <c r="T76" i="2"/>
  <c r="AF76" i="2"/>
  <c r="AD77" i="2"/>
  <c r="AB78" i="2"/>
  <c r="V77" i="2"/>
  <c r="U76" i="2"/>
  <c r="AE77" i="2"/>
  <c r="AC78" i="2"/>
  <c r="V76" i="2"/>
  <c r="T77" i="2"/>
  <c r="AF77" i="2"/>
  <c r="AD78" i="2"/>
  <c r="T78" i="2"/>
  <c r="R77" i="2"/>
  <c r="Z76" i="2"/>
  <c r="W76" i="2"/>
  <c r="U77" i="2"/>
  <c r="S78" i="2"/>
  <c r="AE78" i="2"/>
  <c r="V78" i="2"/>
  <c r="R76" i="2"/>
  <c r="S12" i="30"/>
  <c r="S103" i="30"/>
  <c r="S157" i="30"/>
  <c r="S129" i="30"/>
  <c r="S78" i="30"/>
  <c r="S63" i="30"/>
  <c r="S37" i="30"/>
  <c r="S170" i="30"/>
  <c r="S196" i="30"/>
  <c r="S90" i="30"/>
  <c r="S24" i="30"/>
  <c r="S145" i="30"/>
  <c r="T37" i="30"/>
  <c r="T12" i="30"/>
  <c r="T63" i="30"/>
  <c r="T103" i="30"/>
  <c r="T157" i="30"/>
  <c r="T196" i="30"/>
  <c r="T78" i="30"/>
  <c r="T129" i="30"/>
  <c r="T90" i="30"/>
  <c r="T24" i="30"/>
  <c r="T170" i="30"/>
  <c r="T145" i="30"/>
  <c r="U145" i="30"/>
  <c r="U37" i="30"/>
  <c r="U63" i="30"/>
  <c r="U90" i="30"/>
  <c r="U12" i="30"/>
  <c r="U129" i="30"/>
  <c r="U103" i="30"/>
  <c r="U170" i="30"/>
  <c r="U78" i="30"/>
  <c r="U196" i="30"/>
  <c r="U24" i="30"/>
  <c r="U157" i="30"/>
  <c r="O170" i="30"/>
  <c r="O145" i="30"/>
  <c r="O196" i="30"/>
  <c r="O37" i="30"/>
  <c r="O63" i="30"/>
  <c r="O90" i="30"/>
  <c r="O24" i="30"/>
  <c r="O12" i="30"/>
  <c r="O129" i="30"/>
  <c r="O157" i="30"/>
  <c r="O103" i="30"/>
  <c r="O78" i="30"/>
  <c r="N196" i="30"/>
  <c r="N37" i="30"/>
  <c r="N63" i="30"/>
  <c r="N170" i="30"/>
  <c r="N103" i="30"/>
  <c r="N78" i="30"/>
  <c r="N24" i="30"/>
  <c r="N12" i="30"/>
  <c r="N157" i="30"/>
  <c r="N90" i="30"/>
  <c r="N129" i="30"/>
  <c r="N145" i="30"/>
  <c r="M12" i="30"/>
  <c r="M103" i="30"/>
  <c r="M157" i="30"/>
  <c r="M129" i="30"/>
  <c r="M37" i="30"/>
  <c r="M170" i="30"/>
  <c r="M78" i="30"/>
  <c r="M196" i="30"/>
  <c r="M90" i="30"/>
  <c r="M63" i="30"/>
  <c r="M24" i="30"/>
  <c r="M145" i="30"/>
  <c r="P170" i="30"/>
  <c r="P145" i="30"/>
  <c r="P196" i="30"/>
  <c r="P24" i="30"/>
  <c r="P78" i="30"/>
  <c r="P90" i="30"/>
  <c r="P37" i="30"/>
  <c r="P157" i="30"/>
  <c r="P103" i="30"/>
  <c r="P12" i="30"/>
  <c r="P63" i="30"/>
  <c r="P129" i="30"/>
  <c r="Q170" i="30"/>
  <c r="Q196" i="30"/>
  <c r="Q24" i="30"/>
  <c r="Q78" i="30"/>
  <c r="Q103" i="30"/>
  <c r="Q12" i="30"/>
  <c r="Q37" i="30"/>
  <c r="Q157" i="30"/>
  <c r="Q63" i="30"/>
  <c r="Q145" i="30"/>
  <c r="Q129" i="30"/>
  <c r="Q90" i="30"/>
  <c r="R12" i="30"/>
  <c r="R103" i="30"/>
  <c r="R170" i="30"/>
  <c r="R196" i="30"/>
  <c r="R24" i="30"/>
  <c r="R78" i="30"/>
  <c r="R129" i="30"/>
  <c r="R63" i="30"/>
  <c r="R90" i="30"/>
  <c r="R37" i="30"/>
  <c r="R157" i="30"/>
  <c r="R145" i="30"/>
  <c r="G86" i="30"/>
  <c r="M39" i="30" a="1"/>
  <c r="M105" i="30" a="1"/>
  <c r="T172" i="30" a="1"/>
  <c r="S92" i="30"/>
  <c r="R92" i="30"/>
  <c r="Q92" i="30"/>
  <c r="R159" i="30"/>
  <c r="P39" i="30" a="1"/>
  <c r="N26" i="30"/>
  <c r="P26" i="30"/>
  <c r="M172" i="30" a="1"/>
  <c r="O172" i="30" a="1"/>
  <c r="S159" i="30"/>
  <c r="P105" i="30" a="1"/>
  <c r="R105" i="30" a="1"/>
  <c r="S105" i="30" a="1"/>
  <c r="R172" i="30" a="1"/>
  <c r="P92" i="30"/>
  <c r="N172" i="30" a="1"/>
  <c r="T39" i="30" a="1"/>
  <c r="Q39" i="30" a="1"/>
  <c r="M26" i="30"/>
  <c r="S39" i="30" a="1"/>
  <c r="Q105" i="30" a="1"/>
  <c r="Q26" i="30"/>
  <c r="O26" i="30"/>
  <c r="O92" i="30"/>
  <c r="P172" i="30" a="1"/>
  <c r="T159" i="30"/>
  <c r="S172" i="30" a="1"/>
  <c r="U39" i="30" a="1"/>
  <c r="N92" i="30"/>
  <c r="M159" i="30"/>
  <c r="U172" i="30" a="1"/>
  <c r="O39" i="30" a="1"/>
  <c r="Q172" i="30" a="1"/>
  <c r="U26" i="30"/>
  <c r="T92" i="30"/>
  <c r="S26" i="30"/>
  <c r="T105" i="30" a="1"/>
  <c r="P159" i="30"/>
  <c r="O105" i="30" a="1"/>
  <c r="U159" i="30"/>
  <c r="U92" i="30"/>
  <c r="O159" i="30"/>
  <c r="N159" i="30"/>
  <c r="R26" i="30"/>
  <c r="N39" i="30" a="1"/>
  <c r="R39" i="30" a="1"/>
  <c r="M92" i="30"/>
  <c r="N105" i="30" a="1"/>
  <c r="Q159" i="30"/>
  <c r="T26" i="30"/>
  <c r="U105" i="30" a="1"/>
  <c r="H42" i="36" l="1" a="1"/>
  <c r="H42" i="36" s="1"/>
  <c r="H19" i="37"/>
  <c r="H29" i="37" s="1" a="1"/>
  <c r="H29" i="37" s="1"/>
  <c r="U105" i="30"/>
  <c r="Q105" i="30"/>
  <c r="M39" i="30"/>
  <c r="N105" i="30"/>
  <c r="N172" i="30"/>
  <c r="O39" i="30"/>
  <c r="T105" i="30"/>
  <c r="P39" i="30"/>
  <c r="M172" i="30"/>
  <c r="R172" i="30"/>
  <c r="R105" i="30"/>
  <c r="M105" i="30"/>
  <c r="N39" i="30"/>
  <c r="U39" i="30"/>
  <c r="S105" i="30"/>
  <c r="Q172" i="30"/>
  <c r="P172" i="30"/>
  <c r="O172" i="30"/>
  <c r="T39" i="30"/>
  <c r="O105" i="30"/>
  <c r="T172" i="30"/>
  <c r="Q39" i="30"/>
  <c r="R39" i="30"/>
  <c r="P105" i="30"/>
  <c r="N200" i="30"/>
  <c r="S39" i="30"/>
  <c r="U172" i="30"/>
  <c r="S172" i="30"/>
  <c r="R75" i="2"/>
  <c r="AD75" i="2"/>
  <c r="AB75" i="2"/>
  <c r="AA75" i="2"/>
  <c r="Z75" i="2"/>
  <c r="U75" i="2"/>
  <c r="Y75" i="2"/>
  <c r="AC75" i="2"/>
  <c r="S75" i="2"/>
  <c r="X75" i="2"/>
  <c r="AF75" i="2"/>
  <c r="W75" i="2"/>
  <c r="T75" i="2"/>
  <c r="V75" i="2"/>
  <c r="AE75" i="2"/>
  <c r="Q203" i="30"/>
  <c r="R204" i="30"/>
  <c r="P204" i="30"/>
  <c r="Q204" i="30"/>
  <c r="R203" i="30"/>
  <c r="T203" i="30"/>
  <c r="P203" i="30"/>
  <c r="Q57" i="36" s="1"/>
  <c r="U204" i="30"/>
  <c r="O204" i="30"/>
  <c r="T204" i="30"/>
  <c r="S204" i="30"/>
  <c r="U203" i="30"/>
  <c r="O203" i="30"/>
  <c r="P57" i="36" s="1"/>
  <c r="S203" i="30"/>
  <c r="G20" i="30"/>
  <c r="M16" i="6" a="1"/>
  <c r="L16" i="6" a="1"/>
  <c r="W16" i="6" a="1"/>
  <c r="V16" i="6" a="1"/>
  <c r="Q16" i="6" a="1"/>
  <c r="U16" i="6" a="1"/>
  <c r="N16" i="6" a="1"/>
  <c r="K16" i="6" a="1"/>
  <c r="R16" i="6" a="1"/>
  <c r="O16" i="6" a="1"/>
  <c r="P16" i="6" a="1"/>
  <c r="J16" i="6" a="1"/>
  <c r="S16" i="6" a="1"/>
  <c r="T16" i="6" a="1"/>
  <c r="T57" i="36" l="1"/>
  <c r="V57" i="36"/>
  <c r="U57" i="36"/>
  <c r="S57" i="36"/>
  <c r="R57" i="36"/>
  <c r="O38" i="33"/>
  <c r="P15" i="36" s="1"/>
  <c r="P37" i="33"/>
  <c r="Q14" i="36" s="1"/>
  <c r="Q23" i="36" s="1"/>
  <c r="O37" i="33"/>
  <c r="P14" i="36" s="1"/>
  <c r="P23" i="36" s="1"/>
  <c r="P38" i="33"/>
  <c r="Q15" i="36" s="1"/>
  <c r="K16" i="6"/>
  <c r="I11" i="33" s="1"/>
  <c r="J40" i="36" s="1" a="1"/>
  <c r="J40" i="36" s="1"/>
  <c r="J16" i="6"/>
  <c r="H11" i="33" s="1"/>
  <c r="T16" i="6"/>
  <c r="W16" i="6"/>
  <c r="L16" i="6"/>
  <c r="J11" i="33" s="1"/>
  <c r="K40" i="36" s="1" a="1"/>
  <c r="K40" i="36" s="1"/>
  <c r="Q16" i="6"/>
  <c r="S16" i="6"/>
  <c r="P16" i="6"/>
  <c r="R16" i="6"/>
  <c r="U16" i="6"/>
  <c r="N16" i="6"/>
  <c r="L11" i="33" s="1"/>
  <c r="M40" i="36" s="1" a="1"/>
  <c r="M40" i="36" s="1"/>
  <c r="O16" i="6"/>
  <c r="V16" i="6"/>
  <c r="M16" i="6"/>
  <c r="K11" i="33" s="1"/>
  <c r="L40" i="36" s="1" a="1"/>
  <c r="L40" i="36" s="1"/>
  <c r="G136" i="30"/>
  <c r="G69" i="30"/>
  <c r="G3" i="30"/>
  <c r="I40" i="36" l="1" a="1"/>
  <c r="I40" i="36" s="1"/>
  <c r="O11" i="33"/>
  <c r="P40" i="36" s="1" a="1"/>
  <c r="P40" i="36" s="1"/>
  <c r="N11" i="33"/>
  <c r="O40" i="36" s="1" a="1"/>
  <c r="O40" i="36" s="1"/>
  <c r="M11" i="33"/>
  <c r="N40" i="36" s="1" a="1"/>
  <c r="N40" i="36" s="1"/>
  <c r="L12" i="30"/>
  <c r="L129" i="30"/>
  <c r="L90" i="30"/>
  <c r="L103" i="30"/>
  <c r="L170" i="30"/>
  <c r="L196" i="30"/>
  <c r="L63" i="30"/>
  <c r="L37" i="30"/>
  <c r="L78" i="30"/>
  <c r="L24" i="30"/>
  <c r="L145" i="30"/>
  <c r="L157" i="30"/>
  <c r="K196" i="30"/>
  <c r="K24" i="30"/>
  <c r="K78" i="30"/>
  <c r="K170" i="30"/>
  <c r="K129" i="30"/>
  <c r="K103" i="30"/>
  <c r="K37" i="30"/>
  <c r="K63" i="30"/>
  <c r="K12" i="30"/>
  <c r="K157" i="30"/>
  <c r="K145" i="30"/>
  <c r="K90" i="30"/>
  <c r="J12" i="30"/>
  <c r="J24" i="30"/>
  <c r="J78" i="30"/>
  <c r="J157" i="30"/>
  <c r="J145" i="30"/>
  <c r="J63" i="30"/>
  <c r="J37" i="30"/>
  <c r="J129" i="30"/>
  <c r="J90" i="30"/>
  <c r="J196" i="30"/>
  <c r="J170" i="30"/>
  <c r="J103" i="30"/>
  <c r="K26" i="30"/>
  <c r="J105" i="30" a="1"/>
  <c r="J92" i="30"/>
  <c r="K92" i="30"/>
  <c r="K105" i="30" a="1"/>
  <c r="L26" i="30"/>
  <c r="K39" i="30" a="1"/>
  <c r="J39" i="30" a="1"/>
  <c r="L39" i="30" a="1"/>
  <c r="L105" i="30" a="1"/>
  <c r="L92" i="30"/>
  <c r="J26" i="30"/>
  <c r="L159" i="30"/>
  <c r="J172" i="30" a="1"/>
  <c r="J159" i="30"/>
  <c r="K159" i="30"/>
  <c r="L172" i="30" a="1"/>
  <c r="K172" i="30" a="1"/>
  <c r="L172" i="30" l="1"/>
  <c r="J39" i="30"/>
  <c r="K172" i="30"/>
  <c r="L105" i="30"/>
  <c r="L39" i="30"/>
  <c r="K105" i="30"/>
  <c r="K39" i="30"/>
  <c r="J172" i="30"/>
  <c r="J105" i="30"/>
  <c r="G54" i="30" l="1"/>
  <c r="G120" i="30" l="1"/>
  <c r="G121" i="30" s="1"/>
  <c r="N2" i="6"/>
  <c r="M2" i="6"/>
  <c r="L2" i="6"/>
  <c r="K2" i="6"/>
  <c r="J2" i="6"/>
  <c r="I10" i="6"/>
  <c r="I145" i="30" l="1"/>
  <c r="I37" i="30"/>
  <c r="I63" i="30"/>
  <c r="I90" i="30"/>
  <c r="I12" i="30"/>
  <c r="I129" i="30"/>
  <c r="I103" i="30"/>
  <c r="I170" i="30"/>
  <c r="I78" i="30"/>
  <c r="I196" i="30"/>
  <c r="I24" i="30"/>
  <c r="I157" i="30"/>
  <c r="G55" i="30"/>
  <c r="G187" i="30"/>
  <c r="G191" i="30"/>
  <c r="G190" i="30"/>
  <c r="G189" i="30"/>
  <c r="G164" i="30"/>
  <c r="G162" i="30"/>
  <c r="G161" i="30"/>
  <c r="G160" i="30"/>
  <c r="G150" i="30"/>
  <c r="G149" i="30"/>
  <c r="G151" i="30" s="1" a="1"/>
  <c r="G151" i="30" s="1"/>
  <c r="G148" i="30"/>
  <c r="G139" i="30"/>
  <c r="G138" i="30"/>
  <c r="G137" i="30"/>
  <c r="G140" i="30" s="1"/>
  <c r="G195" i="30"/>
  <c r="G194" i="30"/>
  <c r="G169" i="30"/>
  <c r="G168" i="30"/>
  <c r="G156" i="30"/>
  <c r="G144" i="30"/>
  <c r="G143" i="30"/>
  <c r="I105" i="30" a="1"/>
  <c r="I172" i="30" a="1"/>
  <c r="I39" i="30" a="1"/>
  <c r="I159" i="30"/>
  <c r="I92" i="30"/>
  <c r="I26" i="30"/>
  <c r="I172" i="30" l="1"/>
  <c r="I105" i="30"/>
  <c r="I39" i="30"/>
  <c r="G163" i="30" a="1"/>
  <c r="G163" i="30" s="1"/>
  <c r="G166" i="30" a="1"/>
  <c r="G166" i="30" s="1"/>
  <c r="G188" i="30"/>
  <c r="G124" i="30"/>
  <c r="G123" i="30"/>
  <c r="G122" i="30"/>
  <c r="G97" i="30"/>
  <c r="G95" i="30"/>
  <c r="G94" i="30"/>
  <c r="G93" i="30"/>
  <c r="G83" i="30"/>
  <c r="G82" i="30"/>
  <c r="G81" i="30"/>
  <c r="G15" i="30"/>
  <c r="G16" i="30"/>
  <c r="G72" i="30"/>
  <c r="G71" i="30"/>
  <c r="G70" i="30"/>
  <c r="G73" i="30" s="1"/>
  <c r="G128" i="30"/>
  <c r="G127" i="30"/>
  <c r="G102" i="30"/>
  <c r="G101" i="30"/>
  <c r="G89" i="30"/>
  <c r="G88" i="30"/>
  <c r="G77" i="30"/>
  <c r="G76" i="30"/>
  <c r="G17" i="30"/>
  <c r="G19" i="30"/>
  <c r="G27" i="30"/>
  <c r="G28" i="30"/>
  <c r="G29" i="30"/>
  <c r="G32" i="30"/>
  <c r="G56" i="30"/>
  <c r="G57" i="30"/>
  <c r="G62" i="30"/>
  <c r="G61" i="30"/>
  <c r="G98" i="30"/>
  <c r="G36" i="30"/>
  <c r="G35" i="30"/>
  <c r="G23" i="30"/>
  <c r="G22" i="30"/>
  <c r="G11" i="30"/>
  <c r="G10" i="30"/>
  <c r="G26" i="30"/>
  <c r="G37" i="30" l="1"/>
  <c r="G12" i="30"/>
  <c r="G84" i="30" a="1"/>
  <c r="G84" i="30" s="1"/>
  <c r="G18" i="30" a="1"/>
  <c r="G18" i="30" s="1"/>
  <c r="G96" i="30" a="1"/>
  <c r="G96" i="30" s="1"/>
  <c r="G99" i="30" a="1"/>
  <c r="G99" i="30" s="1"/>
  <c r="G33" i="30" a="1"/>
  <c r="G33" i="30" s="1"/>
  <c r="G30" i="30" a="1"/>
  <c r="G30" i="30" s="1"/>
  <c r="G85" i="30"/>
  <c r="G6" i="30"/>
  <c r="G39" i="30" a="1"/>
  <c r="G39" i="30" l="1"/>
  <c r="G5" i="30"/>
  <c r="I58" i="6"/>
  <c r="I52" i="6"/>
  <c r="G9" i="30"/>
  <c r="G14" i="30"/>
  <c r="B3" i="11" l="1"/>
  <c r="I19" i="6"/>
  <c r="G15" i="33" s="1"/>
  <c r="P13" i="28"/>
  <c r="P12" i="28"/>
  <c r="I4" i="6"/>
  <c r="G165" i="30" l="1"/>
  <c r="G145" i="30"/>
  <c r="G157" i="30"/>
  <c r="G196" i="30"/>
  <c r="G170" i="30"/>
  <c r="G103" i="30"/>
  <c r="G129" i="30"/>
  <c r="G63" i="30"/>
  <c r="G90" i="30"/>
  <c r="G78" i="30"/>
  <c r="G24" i="30"/>
  <c r="G172" i="30" a="1"/>
  <c r="G159" i="30"/>
  <c r="G105" i="30" a="1"/>
  <c r="G92" i="30"/>
  <c r="G172" i="30" l="1"/>
  <c r="G105" i="30"/>
  <c r="I2" i="6"/>
  <c r="I3" i="6"/>
  <c r="I61" i="6" s="1" a="1"/>
  <c r="I61" i="6" s="1"/>
  <c r="N68" i="6" l="1" a="1"/>
  <c r="N68" i="6" s="1"/>
  <c r="N69" i="6" s="1"/>
  <c r="Q68" i="6" a="1"/>
  <c r="Q68" i="6" s="1"/>
  <c r="Q69" i="6" s="1"/>
  <c r="M68" i="6" a="1"/>
  <c r="M68" i="6" s="1"/>
  <c r="M69" i="6" s="1"/>
  <c r="P68" i="6" a="1"/>
  <c r="P68" i="6" s="1"/>
  <c r="P69" i="6" s="1"/>
  <c r="I68" i="6" a="1"/>
  <c r="I68" i="6" s="1"/>
  <c r="O68" i="6" a="1"/>
  <c r="O68" i="6" s="1"/>
  <c r="O69" i="6" s="1"/>
  <c r="L68" i="6" a="1"/>
  <c r="L68" i="6" s="1"/>
  <c r="L69" i="6" s="1"/>
  <c r="W68" i="6" a="1"/>
  <c r="W68" i="6" s="1"/>
  <c r="W69" i="6" s="1"/>
  <c r="S68" i="6" a="1"/>
  <c r="S68" i="6" s="1"/>
  <c r="S69" i="6" s="1"/>
  <c r="K68" i="6" a="1"/>
  <c r="K68" i="6" s="1"/>
  <c r="K69" i="6" s="1"/>
  <c r="T68" i="6" a="1"/>
  <c r="T68" i="6" s="1"/>
  <c r="T69" i="6" s="1"/>
  <c r="R68" i="6" a="1"/>
  <c r="R68" i="6" s="1"/>
  <c r="R69" i="6" s="1"/>
  <c r="V68" i="6" a="1"/>
  <c r="V68" i="6" s="1"/>
  <c r="V69" i="6" s="1"/>
  <c r="J68" i="6" a="1"/>
  <c r="J68" i="6" s="1"/>
  <c r="J69" i="6" s="1"/>
  <c r="U68" i="6" a="1"/>
  <c r="U68" i="6" s="1"/>
  <c r="U69" i="6" s="1"/>
  <c r="T56" i="6" a="1"/>
  <c r="T56" i="6" s="1"/>
  <c r="L62" i="6" a="1"/>
  <c r="L62" i="6" s="1"/>
  <c r="L63" i="6" s="1"/>
  <c r="I50" i="6" a="1"/>
  <c r="I50" i="6" s="1"/>
  <c r="K44" i="6" a="1"/>
  <c r="K44" i="6" s="1"/>
  <c r="K45" i="6" s="1"/>
  <c r="N44" i="6" a="1"/>
  <c r="N44" i="6" s="1"/>
  <c r="N45" i="6" s="1"/>
  <c r="Q44" i="6" a="1"/>
  <c r="Q44" i="6" s="1"/>
  <c r="Q45" i="6" s="1"/>
  <c r="K56" i="6" a="1"/>
  <c r="K56" i="6" s="1"/>
  <c r="K57" i="6" s="1"/>
  <c r="W50" i="6" a="1"/>
  <c r="W50" i="6" s="1"/>
  <c r="W51" i="6" s="1"/>
  <c r="S50" i="6" a="1"/>
  <c r="S50" i="6" s="1"/>
  <c r="S51" i="6" s="1"/>
  <c r="U50" i="6" a="1"/>
  <c r="U50" i="6" s="1"/>
  <c r="U51" i="6" s="1"/>
  <c r="V50" i="6" a="1"/>
  <c r="V50" i="6" s="1"/>
  <c r="V51" i="6" s="1"/>
  <c r="L44" i="6" a="1"/>
  <c r="L44" i="6" s="1"/>
  <c r="L45" i="6" s="1"/>
  <c r="M50" i="6" a="1"/>
  <c r="M50" i="6" s="1"/>
  <c r="M51" i="6" s="1"/>
  <c r="O56" i="6" a="1"/>
  <c r="O56" i="6" s="1"/>
  <c r="O57" i="6" s="1"/>
  <c r="N62" i="6" a="1"/>
  <c r="N62" i="6" s="1"/>
  <c r="N63" i="6" s="1"/>
  <c r="O44" i="6" a="1"/>
  <c r="O44" i="6" s="1"/>
  <c r="O45" i="6" s="1"/>
  <c r="T50" i="6" a="1"/>
  <c r="T50" i="6" s="1"/>
  <c r="T51" i="6" s="1"/>
  <c r="J44" i="6" a="1"/>
  <c r="J44" i="6" s="1"/>
  <c r="J45" i="6" s="1"/>
  <c r="P44" i="6" a="1"/>
  <c r="P44" i="6" s="1"/>
  <c r="P45" i="6" s="1"/>
  <c r="T62" i="6" a="1"/>
  <c r="T62" i="6" s="1"/>
  <c r="T63" i="6" s="1"/>
  <c r="P56" i="6" a="1"/>
  <c r="P56" i="6" s="1"/>
  <c r="P57" i="6" s="1"/>
  <c r="T44" i="6" a="1"/>
  <c r="T44" i="6" s="1"/>
  <c r="T45" i="6" s="1"/>
  <c r="K62" i="6" a="1"/>
  <c r="K62" i="6" s="1"/>
  <c r="K63" i="6" s="1"/>
  <c r="J62" i="6" a="1"/>
  <c r="J62" i="6" s="1"/>
  <c r="J63" i="6" s="1"/>
  <c r="P50" i="6" a="1"/>
  <c r="P50" i="6" s="1"/>
  <c r="P51" i="6" s="1"/>
  <c r="U62" i="6" a="1"/>
  <c r="U62" i="6" s="1"/>
  <c r="U63" i="6" s="1"/>
  <c r="M56" i="6" a="1"/>
  <c r="M56" i="6" s="1"/>
  <c r="M57" i="6" s="1"/>
  <c r="U44" i="6" a="1"/>
  <c r="U44" i="6" s="1"/>
  <c r="K50" i="6" a="1"/>
  <c r="K50" i="6" s="1"/>
  <c r="K51" i="6" s="1"/>
  <c r="L50" i="6" a="1"/>
  <c r="L50" i="6" s="1"/>
  <c r="L51" i="6" s="1"/>
  <c r="V62" i="6" a="1"/>
  <c r="V62" i="6" s="1"/>
  <c r="V63" i="6" s="1"/>
  <c r="V56" i="6" a="1"/>
  <c r="V56" i="6" s="1"/>
  <c r="V57" i="6" s="1"/>
  <c r="Q50" i="6" a="1"/>
  <c r="Q50" i="6" s="1"/>
  <c r="Q51" i="6" s="1"/>
  <c r="O50" i="6" a="1"/>
  <c r="O50" i="6" s="1"/>
  <c r="O51" i="6" s="1"/>
  <c r="Q62" i="6" a="1"/>
  <c r="Q62" i="6" s="1"/>
  <c r="Q63" i="6" s="1"/>
  <c r="O62" i="6" a="1"/>
  <c r="O62" i="6" s="1"/>
  <c r="O63" i="6" s="1"/>
  <c r="U56" i="6" a="1"/>
  <c r="U56" i="6" s="1"/>
  <c r="U57" i="6" s="1"/>
  <c r="W44" i="6" a="1"/>
  <c r="W44" i="6" s="1"/>
  <c r="W45" i="6" s="1"/>
  <c r="J56" i="6" a="1"/>
  <c r="J56" i="6" s="1"/>
  <c r="J57" i="6" s="1"/>
  <c r="S56" i="6" a="1"/>
  <c r="S56" i="6" s="1"/>
  <c r="S57" i="6" s="1"/>
  <c r="R62" i="6" a="1"/>
  <c r="R62" i="6" s="1"/>
  <c r="R63" i="6" s="1"/>
  <c r="J50" i="6" a="1"/>
  <c r="J50" i="6" s="1"/>
  <c r="J51" i="6" s="1"/>
  <c r="V44" i="6" a="1"/>
  <c r="V44" i="6" s="1"/>
  <c r="V45" i="6" s="1"/>
  <c r="Q56" i="6" a="1"/>
  <c r="Q56" i="6" s="1"/>
  <c r="Q57" i="6" s="1"/>
  <c r="R56" i="6" a="1"/>
  <c r="R56" i="6" s="1"/>
  <c r="R57" i="6" s="1"/>
  <c r="R50" i="6" a="1"/>
  <c r="R50" i="6" s="1"/>
  <c r="R51" i="6" s="1"/>
  <c r="M62" i="6" a="1"/>
  <c r="M62" i="6" s="1"/>
  <c r="M63" i="6" s="1"/>
  <c r="N50" i="6" a="1"/>
  <c r="N50" i="6" s="1"/>
  <c r="N51" i="6" s="1"/>
  <c r="W56" i="6" a="1"/>
  <c r="W56" i="6" s="1"/>
  <c r="W57" i="6" s="1"/>
  <c r="R44" i="6" a="1"/>
  <c r="R44" i="6" s="1"/>
  <c r="R45" i="6" s="1"/>
  <c r="W62" i="6" a="1"/>
  <c r="W62" i="6" s="1"/>
  <c r="W63" i="6" s="1"/>
  <c r="S62" i="6" a="1"/>
  <c r="S62" i="6" s="1"/>
  <c r="S63" i="6" s="1"/>
  <c r="I56" i="6" a="1"/>
  <c r="I56" i="6" s="1"/>
  <c r="N56" i="6" a="1"/>
  <c r="N56" i="6" s="1"/>
  <c r="N57" i="6" s="1"/>
  <c r="L56" i="6" a="1"/>
  <c r="L56" i="6" s="1"/>
  <c r="L57" i="6" s="1"/>
  <c r="I62" i="6" a="1"/>
  <c r="I62" i="6" s="1"/>
  <c r="M44" i="6" a="1"/>
  <c r="M44" i="6" s="1"/>
  <c r="M45" i="6" s="1"/>
  <c r="S44" i="6" a="1"/>
  <c r="S44" i="6" s="1"/>
  <c r="S45" i="6" s="1"/>
  <c r="I44" i="6" a="1"/>
  <c r="I44" i="6" s="1"/>
  <c r="P62" i="6" a="1"/>
  <c r="P62" i="6" s="1"/>
  <c r="P63" i="6" s="1"/>
  <c r="P61" i="6" a="1"/>
  <c r="P61" i="6" s="1"/>
  <c r="Q43" i="6" a="1"/>
  <c r="Q43" i="6" s="1"/>
  <c r="K49" i="6" a="1"/>
  <c r="K49" i="6" s="1"/>
  <c r="I27" i="6" a="1"/>
  <c r="I27" i="6" s="1"/>
  <c r="Q61" i="6" a="1"/>
  <c r="Q61" i="6" s="1"/>
  <c r="Q55" i="6" a="1"/>
  <c r="Q55" i="6" s="1"/>
  <c r="N49" i="6" a="1"/>
  <c r="N49" i="6" s="1"/>
  <c r="O38" i="6" a="1"/>
  <c r="O38" i="6" s="1"/>
  <c r="O55" i="6" a="1"/>
  <c r="O55" i="6" s="1"/>
  <c r="Q38" i="6" a="1"/>
  <c r="Q38" i="6" s="1"/>
  <c r="V49" i="6" a="1"/>
  <c r="V49" i="6" s="1"/>
  <c r="T67" i="6" a="1"/>
  <c r="T67" i="6" s="1"/>
  <c r="R67" i="6" a="1"/>
  <c r="R67" i="6" s="1"/>
  <c r="P43" i="6" a="1"/>
  <c r="P43" i="6" s="1"/>
  <c r="O49" i="6" a="1"/>
  <c r="O49" i="6" s="1"/>
  <c r="V67" i="6" a="1"/>
  <c r="V67" i="6" s="1"/>
  <c r="N61" i="6" a="1"/>
  <c r="N61" i="6" s="1"/>
  <c r="L67" i="6" a="1"/>
  <c r="L67" i="6" s="1"/>
  <c r="S67" i="6" a="1"/>
  <c r="S67" i="6" s="1"/>
  <c r="T55" i="6" a="1"/>
  <c r="T55" i="6" s="1"/>
  <c r="M55" i="6" a="1"/>
  <c r="M55" i="6" s="1"/>
  <c r="J38" i="6" a="1"/>
  <c r="J38" i="6" s="1"/>
  <c r="U38" i="6" a="1"/>
  <c r="U38" i="6" s="1"/>
  <c r="W61" i="6" a="1"/>
  <c r="W61" i="6" s="1"/>
  <c r="W55" i="6" a="1"/>
  <c r="W55" i="6" s="1"/>
  <c r="L38" i="6" a="1"/>
  <c r="L38" i="6" s="1"/>
  <c r="P38" i="6" a="1"/>
  <c r="P38" i="6" s="1"/>
  <c r="Q49" i="6" a="1"/>
  <c r="Q49" i="6" s="1"/>
  <c r="N67" i="6" a="1"/>
  <c r="N67" i="6" s="1"/>
  <c r="R49" i="6" a="1"/>
  <c r="R49" i="6" s="1"/>
  <c r="O67" i="6" a="1"/>
  <c r="O67" i="6" s="1"/>
  <c r="W43" i="6" a="1"/>
  <c r="W43" i="6" s="1"/>
  <c r="M43" i="6" a="1"/>
  <c r="M43" i="6" s="1"/>
  <c r="T61" i="6" a="1"/>
  <c r="T61" i="6" s="1"/>
  <c r="I67" i="6" a="1"/>
  <c r="I67" i="6" s="1"/>
  <c r="L49" i="6" a="1"/>
  <c r="L49" i="6" s="1"/>
  <c r="J43" i="6" a="1"/>
  <c r="J43" i="6" s="1"/>
  <c r="V43" i="6" a="1"/>
  <c r="V43" i="6" s="1"/>
  <c r="U67" i="6" a="1"/>
  <c r="U67" i="6" s="1"/>
  <c r="R55" i="6" a="1"/>
  <c r="R55" i="6" s="1"/>
  <c r="P49" i="6" a="1"/>
  <c r="P49" i="6" s="1"/>
  <c r="S43" i="6" a="1"/>
  <c r="S43" i="6" s="1"/>
  <c r="N43" i="6" a="1"/>
  <c r="N43" i="6" s="1"/>
  <c r="R43" i="6" a="1"/>
  <c r="R43" i="6" s="1"/>
  <c r="S61" i="6" a="1"/>
  <c r="S61" i="6" s="1"/>
  <c r="V38" i="6" a="1"/>
  <c r="V38" i="6" s="1"/>
  <c r="J55" i="6" a="1"/>
  <c r="J55" i="6" s="1"/>
  <c r="K38" i="6" a="1"/>
  <c r="K38" i="6" s="1"/>
  <c r="M49" i="6" a="1"/>
  <c r="M49" i="6" s="1"/>
  <c r="W49" i="6" a="1"/>
  <c r="W49" i="6" s="1"/>
  <c r="M38" i="6" a="1"/>
  <c r="M38" i="6" s="1"/>
  <c r="K43" i="6" a="1"/>
  <c r="K43" i="6" s="1"/>
  <c r="I49" i="6" a="1"/>
  <c r="I49" i="6" s="1"/>
  <c r="O43" i="6" a="1"/>
  <c r="O43" i="6" s="1"/>
  <c r="N55" i="6" a="1"/>
  <c r="N55" i="6" s="1"/>
  <c r="O61" i="6" a="1"/>
  <c r="O61" i="6" s="1"/>
  <c r="R38" i="6" a="1"/>
  <c r="R38" i="6" s="1"/>
  <c r="M61" i="6" a="1"/>
  <c r="M61" i="6" s="1"/>
  <c r="P55" i="6" a="1"/>
  <c r="P55" i="6" s="1"/>
  <c r="T49" i="6" a="1"/>
  <c r="T49" i="6" s="1"/>
  <c r="I33" i="6" a="1"/>
  <c r="I33" i="6" s="1"/>
  <c r="T38" i="6" a="1"/>
  <c r="T38" i="6" s="1"/>
  <c r="N38" i="6" a="1"/>
  <c r="N38" i="6" s="1"/>
  <c r="U43" i="6" a="1"/>
  <c r="U43" i="6" s="1"/>
  <c r="S38" i="6" a="1"/>
  <c r="S38" i="6" s="1"/>
  <c r="I43" i="6" a="1"/>
  <c r="I43" i="6" s="1"/>
  <c r="P67" i="6" a="1"/>
  <c r="P67" i="6" s="1"/>
  <c r="U49" i="6" a="1"/>
  <c r="U49" i="6" s="1"/>
  <c r="M67" i="6" a="1"/>
  <c r="M67" i="6" s="1"/>
  <c r="K55" i="6" a="1"/>
  <c r="K55" i="6" s="1"/>
  <c r="L43" i="6" a="1"/>
  <c r="L43" i="6" s="1"/>
  <c r="U55" i="6" a="1"/>
  <c r="U55" i="6" s="1"/>
  <c r="J49" i="6" a="1"/>
  <c r="J49" i="6" s="1"/>
  <c r="K61" i="6" a="1"/>
  <c r="K61" i="6" s="1"/>
  <c r="L61" i="6" a="1"/>
  <c r="L61" i="6" s="1"/>
  <c r="T43" i="6" a="1"/>
  <c r="T43" i="6" s="1"/>
  <c r="I15" i="6" a="1"/>
  <c r="I15" i="6" s="1"/>
  <c r="U61" i="6" a="1"/>
  <c r="U61" i="6" s="1"/>
  <c r="V61" i="6" a="1"/>
  <c r="V61" i="6" s="1"/>
  <c r="J67" i="6" a="1"/>
  <c r="J67" i="6" s="1"/>
  <c r="K67" i="6" a="1"/>
  <c r="K67" i="6" s="1"/>
  <c r="S55" i="6" a="1"/>
  <c r="S55" i="6" s="1"/>
  <c r="W38" i="6" a="1"/>
  <c r="W38" i="6" s="1"/>
  <c r="Q67" i="6" a="1"/>
  <c r="Q67" i="6" s="1"/>
  <c r="L55" i="6" a="1"/>
  <c r="L55" i="6" s="1"/>
  <c r="I38" i="6" a="1"/>
  <c r="I38" i="6" s="1"/>
  <c r="I55" i="6" a="1"/>
  <c r="I55" i="6" s="1"/>
  <c r="R61" i="6" a="1"/>
  <c r="R61" i="6" s="1"/>
  <c r="V55" i="6" a="1"/>
  <c r="V55" i="6" s="1"/>
  <c r="J61" i="6" a="1"/>
  <c r="J61" i="6" s="1"/>
  <c r="S49" i="6" a="1"/>
  <c r="S49" i="6" s="1"/>
  <c r="W67" i="6" a="1"/>
  <c r="W67" i="6" s="1"/>
  <c r="T57" i="6"/>
  <c r="U45" i="6"/>
  <c r="F24" i="2"/>
  <c r="F23" i="2"/>
  <c r="F22" i="2"/>
  <c r="F21" i="2"/>
  <c r="F20" i="2"/>
  <c r="F19" i="2"/>
  <c r="F18" i="2"/>
  <c r="F17" i="2"/>
  <c r="F16" i="2"/>
  <c r="F15" i="2"/>
  <c r="F14" i="2"/>
  <c r="F13" i="2"/>
  <c r="P21" i="28"/>
  <c r="P22" i="28" s="1"/>
  <c r="F10" i="26"/>
  <c r="P39" i="6" a="1"/>
  <c r="M39" i="6" a="1"/>
  <c r="V39" i="6" a="1"/>
  <c r="N39" i="6" a="1"/>
  <c r="I16" i="6" a="1"/>
  <c r="W39" i="6" a="1"/>
  <c r="S39" i="6" a="1"/>
  <c r="R39" i="6" a="1"/>
  <c r="I39" i="6" a="1"/>
  <c r="T39" i="6" a="1"/>
  <c r="U39" i="6" a="1"/>
  <c r="I34" i="6" a="1"/>
  <c r="O39" i="6" a="1"/>
  <c r="J39" i="6" a="1"/>
  <c r="I28" i="6" a="1"/>
  <c r="K39" i="6" a="1"/>
  <c r="Q39" i="6" a="1"/>
  <c r="L39" i="6" a="1"/>
  <c r="N19" i="33" l="1" a="1"/>
  <c r="N19" i="33" s="1"/>
  <c r="O41" i="36" s="1" a="1"/>
  <c r="O41" i="36" s="1"/>
  <c r="M19" i="33" a="1"/>
  <c r="M19" i="33" s="1"/>
  <c r="N41" i="36" s="1" a="1"/>
  <c r="N41" i="36" s="1"/>
  <c r="P19" i="33" a="1"/>
  <c r="P19" i="33" s="1"/>
  <c r="Q41" i="36" s="1" a="1"/>
  <c r="Q41" i="36" s="1"/>
  <c r="O19" i="33" a="1"/>
  <c r="O19" i="33" s="1"/>
  <c r="P41" i="36" s="1" a="1"/>
  <c r="P41" i="36" s="1"/>
  <c r="I34" i="6"/>
  <c r="I16" i="6"/>
  <c r="H19" i="33" a="1"/>
  <c r="H19" i="33" s="1"/>
  <c r="I41" i="36" s="1" a="1"/>
  <c r="I41" i="36" s="1"/>
  <c r="L19" i="33" a="1"/>
  <c r="L19" i="33" s="1"/>
  <c r="M41" i="36" s="1" a="1"/>
  <c r="M41" i="36" s="1"/>
  <c r="J19" i="33" a="1"/>
  <c r="J19" i="33" s="1"/>
  <c r="K41" i="36" s="1" a="1"/>
  <c r="K41" i="36" s="1"/>
  <c r="K19" i="33" a="1"/>
  <c r="K19" i="33" s="1"/>
  <c r="L41" i="36" s="1" a="1"/>
  <c r="L41" i="36" s="1"/>
  <c r="I19" i="33" a="1"/>
  <c r="I19" i="33" s="1"/>
  <c r="J41" i="36" s="1" a="1"/>
  <c r="J41" i="36" s="1"/>
  <c r="T39" i="6"/>
  <c r="T8" i="6" s="1"/>
  <c r="I28" i="6"/>
  <c r="L39" i="6"/>
  <c r="J27" i="33" s="1"/>
  <c r="K43" i="36" s="1" a="1"/>
  <c r="K43" i="36" s="1"/>
  <c r="I39" i="6"/>
  <c r="G27" i="33" s="1"/>
  <c r="H43" i="36" s="1" a="1"/>
  <c r="H43" i="36" s="1"/>
  <c r="M39" i="6"/>
  <c r="K27" i="33" s="1"/>
  <c r="L43" i="36" s="1" a="1"/>
  <c r="L43" i="36" s="1"/>
  <c r="V39" i="6"/>
  <c r="V8" i="6" s="1"/>
  <c r="K39" i="6"/>
  <c r="I27" i="33" s="1"/>
  <c r="J43" i="36" s="1" a="1"/>
  <c r="J43" i="36" s="1"/>
  <c r="P39" i="6"/>
  <c r="U39" i="6"/>
  <c r="U8" i="6" s="1"/>
  <c r="S39" i="6"/>
  <c r="S8" i="6" s="1"/>
  <c r="N39" i="6"/>
  <c r="L27" i="33" s="1"/>
  <c r="M43" i="36" s="1" a="1"/>
  <c r="M43" i="36" s="1"/>
  <c r="Q39" i="6"/>
  <c r="W39" i="6"/>
  <c r="W8" i="6" s="1"/>
  <c r="R39" i="6"/>
  <c r="R8" i="6" s="1"/>
  <c r="J39" i="6"/>
  <c r="H27" i="33" s="1"/>
  <c r="I43" i="36" s="1" a="1"/>
  <c r="I43" i="36" s="1"/>
  <c r="O39" i="6"/>
  <c r="Q8" i="6" l="1"/>
  <c r="O27" i="33"/>
  <c r="P43" i="36" s="1" a="1"/>
  <c r="P43" i="36" s="1"/>
  <c r="P8" i="6"/>
  <c r="N27" i="33"/>
  <c r="O43" i="36" s="1" a="1"/>
  <c r="O43" i="36" s="1"/>
  <c r="O8" i="6"/>
  <c r="M27" i="33"/>
  <c r="N43" i="36" s="1" a="1"/>
  <c r="N43" i="36" s="1"/>
  <c r="G11" i="33"/>
  <c r="H17" i="37" s="1"/>
  <c r="H27" i="37" s="1" a="1"/>
  <c r="H27" i="37" s="1"/>
  <c r="L8" i="6"/>
  <c r="J8" i="6"/>
  <c r="N8" i="6"/>
  <c r="K8" i="6"/>
  <c r="M8" i="6"/>
  <c r="O35" i="6" l="1"/>
  <c r="M32" i="33" s="1"/>
  <c r="P35" i="6"/>
  <c r="N32" i="33" s="1"/>
  <c r="Q35" i="6"/>
  <c r="O32" i="33" s="1"/>
  <c r="K22" i="6"/>
  <c r="H40" i="36" a="1"/>
  <c r="H40" i="36" s="1"/>
  <c r="J24" i="33"/>
  <c r="N58" i="6"/>
  <c r="L24" i="33"/>
  <c r="H20" i="37"/>
  <c r="I16" i="33"/>
  <c r="J22" i="6"/>
  <c r="H16" i="33" l="1"/>
  <c r="W25" i="3"/>
  <c r="W26" i="3" s="1"/>
  <c r="W27" i="3" s="1"/>
  <c r="W28" i="3" s="1"/>
  <c r="W29" i="3" s="1"/>
  <c r="W30" i="3" s="1"/>
  <c r="W31" i="3" s="1"/>
  <c r="W32" i="3" s="1"/>
  <c r="W33" i="3" s="1"/>
  <c r="W34" i="3" s="1"/>
  <c r="W35" i="3" s="1"/>
  <c r="W36" i="3" s="1"/>
  <c r="W37" i="3" s="1"/>
  <c r="W38" i="3" s="1"/>
  <c r="W39" i="3" s="1"/>
  <c r="W40" i="3" s="1"/>
  <c r="W41" i="3" s="1"/>
  <c r="W42" i="3" s="1"/>
  <c r="W43" i="3" s="1"/>
  <c r="W44" i="3" s="1"/>
  <c r="W45" i="3" s="1"/>
  <c r="W46" i="3" s="1"/>
  <c r="W47" i="3" s="1"/>
  <c r="W48" i="3" s="1"/>
  <c r="W49" i="3" s="1"/>
  <c r="W50" i="3" s="1"/>
  <c r="I57" i="6" l="1"/>
  <c r="I63" i="6"/>
  <c r="I69" i="6"/>
  <c r="I51" i="6"/>
  <c r="I45" i="6" l="1"/>
  <c r="B5" i="11" a="1"/>
  <c r="B5" i="11" s="1"/>
  <c r="B6" i="11" s="1"/>
  <c r="J29" i="6" s="1"/>
  <c r="T40" i="6" l="1"/>
  <c r="S40" i="6"/>
  <c r="U40" i="6"/>
  <c r="W40" i="6"/>
  <c r="V40" i="6"/>
  <c r="R40" i="6"/>
  <c r="P28" i="33" s="1"/>
  <c r="L40" i="6"/>
  <c r="J28" i="33" s="1"/>
  <c r="M52" i="6"/>
  <c r="P40" i="6"/>
  <c r="N28" i="33" s="1"/>
  <c r="O40" i="6"/>
  <c r="M28" i="33" s="1"/>
  <c r="J52" i="6"/>
  <c r="M40" i="6"/>
  <c r="K28" i="33" s="1"/>
  <c r="L35" i="6"/>
  <c r="J32" i="33" s="1"/>
  <c r="J40" i="6"/>
  <c r="H28" i="33" s="1"/>
  <c r="Q40" i="6"/>
  <c r="O28" i="33" s="1"/>
  <c r="N40" i="6"/>
  <c r="K40" i="6"/>
  <c r="I28" i="33" s="1"/>
  <c r="M35" i="6"/>
  <c r="K32" i="33" s="1"/>
  <c r="O17" i="6"/>
  <c r="M12" i="33" s="1"/>
  <c r="P17" i="6"/>
  <c r="N12" i="33" s="1"/>
  <c r="Q17" i="6"/>
  <c r="O12" i="33" s="1"/>
  <c r="G19" i="33" a="1"/>
  <c r="G19" i="33" s="1"/>
  <c r="H28" i="37" s="1" a="1"/>
  <c r="H28" i="37" s="1"/>
  <c r="N52" i="6"/>
  <c r="M17" i="6"/>
  <c r="K12" i="33" s="1"/>
  <c r="N35" i="6"/>
  <c r="L32" i="33" s="1"/>
  <c r="N17" i="6"/>
  <c r="L12" i="33" s="1"/>
  <c r="N46" i="6"/>
  <c r="L17" i="6"/>
  <c r="J12" i="33" s="1"/>
  <c r="K24" i="33"/>
  <c r="M46" i="6"/>
  <c r="L46" i="6"/>
  <c r="T64" i="6"/>
  <c r="W64" i="6"/>
  <c r="T70" i="6"/>
  <c r="W70" i="6"/>
  <c r="V64" i="6"/>
  <c r="R64" i="6"/>
  <c r="Q64" i="6"/>
  <c r="R70" i="6"/>
  <c r="Q70" i="6"/>
  <c r="P70" i="6"/>
  <c r="V70" i="6"/>
  <c r="U64" i="6"/>
  <c r="P64" i="6"/>
  <c r="U70" i="6"/>
  <c r="O64" i="6"/>
  <c r="S70" i="6"/>
  <c r="O70" i="6"/>
  <c r="S64" i="6"/>
  <c r="L64" i="6"/>
  <c r="J64" i="6"/>
  <c r="J70" i="6"/>
  <c r="M64" i="6"/>
  <c r="K70" i="6"/>
  <c r="L70" i="6"/>
  <c r="N70" i="6"/>
  <c r="K64" i="6"/>
  <c r="N64" i="6"/>
  <c r="M70" i="6"/>
  <c r="H24" i="33"/>
  <c r="J17" i="6"/>
  <c r="H12" i="33" s="1"/>
  <c r="I24" i="33"/>
  <c r="J46" i="6"/>
  <c r="K58" i="6"/>
  <c r="K52" i="6"/>
  <c r="J35" i="6"/>
  <c r="H32" i="33" s="1"/>
  <c r="W12" i="6"/>
  <c r="O12" i="6"/>
  <c r="M4" i="33" s="1"/>
  <c r="L12" i="6"/>
  <c r="P12" i="6"/>
  <c r="N4" i="33" s="1"/>
  <c r="V12" i="6"/>
  <c r="Q12" i="6"/>
  <c r="O4" i="33" s="1"/>
  <c r="N12" i="6"/>
  <c r="U12" i="6"/>
  <c r="R12" i="6"/>
  <c r="P4" i="33" s="1"/>
  <c r="M12" i="6"/>
  <c r="K12" i="6"/>
  <c r="J12" i="6"/>
  <c r="H4" i="33" s="1"/>
  <c r="T12" i="6"/>
  <c r="S12" i="6"/>
  <c r="K35" i="6"/>
  <c r="I32" i="33" s="1"/>
  <c r="K46" i="6"/>
  <c r="K17" i="6"/>
  <c r="I12" i="33" s="1"/>
  <c r="I8" i="6"/>
  <c r="I40" i="6" s="1"/>
  <c r="H41" i="36" l="1" a="1"/>
  <c r="H41" i="36" s="1"/>
  <c r="P20" i="33"/>
  <c r="O20" i="33"/>
  <c r="M20" i="33"/>
  <c r="N20" i="33"/>
  <c r="H18" i="37"/>
  <c r="I46" i="6"/>
  <c r="I35" i="6"/>
  <c r="G32" i="33" s="1"/>
  <c r="L4" i="33"/>
  <c r="J4" i="33"/>
  <c r="I4" i="33"/>
  <c r="K4" i="33"/>
  <c r="I64" i="6"/>
  <c r="I70" i="6"/>
  <c r="H20" i="33"/>
  <c r="J20" i="33"/>
  <c r="I20" i="33"/>
  <c r="K20" i="33"/>
  <c r="N72" i="6"/>
  <c r="N13" i="6" s="1"/>
  <c r="L28" i="33"/>
  <c r="L20" i="33"/>
  <c r="M72" i="6"/>
  <c r="U72" i="6"/>
  <c r="U41" i="6" s="1"/>
  <c r="J72" i="6"/>
  <c r="H3" i="33" s="1"/>
  <c r="V72" i="6"/>
  <c r="V41" i="6" s="1"/>
  <c r="S72" i="6"/>
  <c r="S41" i="6" s="1"/>
  <c r="Q72" i="6"/>
  <c r="O72" i="6"/>
  <c r="R72" i="6"/>
  <c r="T72" i="6"/>
  <c r="P72" i="6"/>
  <c r="K72" i="6"/>
  <c r="I3" i="33" s="1"/>
  <c r="L72" i="6"/>
  <c r="W72" i="6"/>
  <c r="W13" i="6" s="1"/>
  <c r="W76" i="6" s="1"/>
  <c r="I17" i="6"/>
  <c r="G12" i="33" s="1"/>
  <c r="G28" i="33"/>
  <c r="I22" i="6"/>
  <c r="N18" i="6" l="1"/>
  <c r="L13" i="33" s="1"/>
  <c r="N30" i="6"/>
  <c r="L25" i="33" s="1"/>
  <c r="L26" i="33" s="1"/>
  <c r="R41" i="6"/>
  <c r="P29" i="33" s="1"/>
  <c r="P30" i="33" s="1"/>
  <c r="P3" i="33"/>
  <c r="P5" i="33"/>
  <c r="N3" i="33"/>
  <c r="N5" i="33"/>
  <c r="O65" i="6"/>
  <c r="M3" i="33"/>
  <c r="M5" i="33"/>
  <c r="Q41" i="6"/>
  <c r="O29" i="33" s="1"/>
  <c r="O30" i="33" s="1"/>
  <c r="O3" i="33"/>
  <c r="O5" i="33"/>
  <c r="M30" i="6"/>
  <c r="K25" i="33" s="1"/>
  <c r="K26" i="33" s="1"/>
  <c r="K3" i="33"/>
  <c r="L5" i="33"/>
  <c r="L3" i="33"/>
  <c r="J5" i="33"/>
  <c r="J3" i="33"/>
  <c r="K5" i="33"/>
  <c r="M36" i="6"/>
  <c r="K33" i="33" s="1"/>
  <c r="K34" i="33" s="1"/>
  <c r="I5" i="33"/>
  <c r="K23" i="6"/>
  <c r="I17" i="33" s="1"/>
  <c r="I18" i="33" s="1"/>
  <c r="I23" i="6"/>
  <c r="G17" i="33" s="1"/>
  <c r="G18" i="33" s="1"/>
  <c r="G16" i="33"/>
  <c r="H5" i="33"/>
  <c r="J23" i="6"/>
  <c r="H17" i="33" s="1"/>
  <c r="H18" i="33" s="1"/>
  <c r="N53" i="6"/>
  <c r="N47" i="6"/>
  <c r="N71" i="6"/>
  <c r="N73" i="6"/>
  <c r="L6" i="33" s="1"/>
  <c r="N41" i="6"/>
  <c r="L29" i="33" s="1"/>
  <c r="L30" i="33" s="1"/>
  <c r="G20" i="33"/>
  <c r="N59" i="6"/>
  <c r="N65" i="6"/>
  <c r="N36" i="6"/>
  <c r="L33" i="33" s="1"/>
  <c r="L34" i="33" s="1"/>
  <c r="K13" i="6"/>
  <c r="J41" i="6"/>
  <c r="H29" i="33" s="1"/>
  <c r="M13" i="6"/>
  <c r="K18" i="6"/>
  <c r="I13" i="33" s="1"/>
  <c r="M73" i="6"/>
  <c r="K6" i="33" s="1"/>
  <c r="U65" i="6"/>
  <c r="M71" i="6"/>
  <c r="M18" i="6"/>
  <c r="K13" i="33" s="1"/>
  <c r="M53" i="6"/>
  <c r="M47" i="6"/>
  <c r="M41" i="6"/>
  <c r="K29" i="33" s="1"/>
  <c r="K30" i="33" s="1"/>
  <c r="U13" i="6"/>
  <c r="U76" i="6" s="1"/>
  <c r="U47" i="6"/>
  <c r="M65" i="6"/>
  <c r="M59" i="6"/>
  <c r="U30" i="6"/>
  <c r="U18" i="6"/>
  <c r="U73" i="6"/>
  <c r="U74" i="6" s="1" a="1"/>
  <c r="U74" i="6" s="1"/>
  <c r="U75" i="6" s="1"/>
  <c r="U71" i="6"/>
  <c r="U59" i="6"/>
  <c r="U36" i="6"/>
  <c r="U53" i="6"/>
  <c r="J13" i="6"/>
  <c r="J53" i="6"/>
  <c r="J47" i="6"/>
  <c r="J65" i="6"/>
  <c r="J36" i="6"/>
  <c r="H33" i="33" s="1"/>
  <c r="H34" i="33" s="1"/>
  <c r="J59" i="6"/>
  <c r="J73" i="6"/>
  <c r="H6" i="33" s="1"/>
  <c r="J18" i="6"/>
  <c r="H13" i="33" s="1"/>
  <c r="J30" i="6"/>
  <c r="H25" i="33" s="1"/>
  <c r="J71" i="6"/>
  <c r="K30" i="6"/>
  <c r="I25" i="33" s="1"/>
  <c r="I26" i="33" s="1"/>
  <c r="W71" i="6"/>
  <c r="S13" i="6"/>
  <c r="S76" i="6" s="1"/>
  <c r="Q13" i="6"/>
  <c r="K47" i="6"/>
  <c r="W41" i="6"/>
  <c r="K36" i="6"/>
  <c r="I33" i="33" s="1"/>
  <c r="I34" i="33" s="1"/>
  <c r="W65" i="6"/>
  <c r="T71" i="6"/>
  <c r="T18" i="6"/>
  <c r="T47" i="6"/>
  <c r="T73" i="6"/>
  <c r="T74" i="6" s="1" a="1"/>
  <c r="T74" i="6" s="1"/>
  <c r="T75" i="6" s="1"/>
  <c r="T36" i="6"/>
  <c r="T59" i="6"/>
  <c r="T53" i="6"/>
  <c r="T30" i="6"/>
  <c r="R13" i="6"/>
  <c r="R76" i="6" s="1"/>
  <c r="V71" i="6"/>
  <c r="Q71" i="6"/>
  <c r="Q65" i="6"/>
  <c r="T41" i="6"/>
  <c r="K73" i="6"/>
  <c r="I6" i="33" s="1"/>
  <c r="K59" i="6"/>
  <c r="K53" i="6"/>
  <c r="K41" i="6"/>
  <c r="I29" i="33" s="1"/>
  <c r="I30" i="33" s="1"/>
  <c r="Q53" i="6"/>
  <c r="Q36" i="6"/>
  <c r="O33" i="33" s="1"/>
  <c r="O34" i="33" s="1"/>
  <c r="Q30" i="6"/>
  <c r="O25" i="33" s="1"/>
  <c r="O26" i="33" s="1"/>
  <c r="Q18" i="6"/>
  <c r="O13" i="33" s="1"/>
  <c r="Q59" i="6"/>
  <c r="Q73" i="6"/>
  <c r="Q47" i="6"/>
  <c r="P47" i="6"/>
  <c r="P53" i="6"/>
  <c r="P73" i="6"/>
  <c r="P18" i="6"/>
  <c r="N13" i="33" s="1"/>
  <c r="P59" i="6"/>
  <c r="P30" i="6"/>
  <c r="N25" i="33" s="1"/>
  <c r="N26" i="33" s="1"/>
  <c r="P36" i="6"/>
  <c r="N33" i="33" s="1"/>
  <c r="N34" i="33" s="1"/>
  <c r="S65" i="6"/>
  <c r="S71" i="6"/>
  <c r="O71" i="6"/>
  <c r="S73" i="6"/>
  <c r="S74" i="6" s="1" a="1"/>
  <c r="S74" i="6" s="1"/>
  <c r="S75" i="6" s="1"/>
  <c r="S36" i="6"/>
  <c r="S30" i="6"/>
  <c r="S59" i="6"/>
  <c r="S18" i="6"/>
  <c r="S53" i="6"/>
  <c r="S47" i="6"/>
  <c r="L65" i="6"/>
  <c r="L30" i="6"/>
  <c r="J25" i="33" s="1"/>
  <c r="J26" i="33" s="1"/>
  <c r="L18" i="6"/>
  <c r="J13" i="33" s="1"/>
  <c r="L36" i="6"/>
  <c r="J33" i="33" s="1"/>
  <c r="J34" i="33" s="1"/>
  <c r="L47" i="6"/>
  <c r="L53" i="6"/>
  <c r="L73" i="6"/>
  <c r="J6" i="33" s="1"/>
  <c r="L59" i="6"/>
  <c r="P71" i="6"/>
  <c r="K65" i="6"/>
  <c r="K71" i="6"/>
  <c r="O47" i="6"/>
  <c r="O36" i="6"/>
  <c r="M33" i="33" s="1"/>
  <c r="M34" i="33" s="1"/>
  <c r="O30" i="6"/>
  <c r="M25" i="33" s="1"/>
  <c r="M26" i="33" s="1"/>
  <c r="O53" i="6"/>
  <c r="O18" i="6"/>
  <c r="M13" i="33" s="1"/>
  <c r="O59" i="6"/>
  <c r="O73" i="6"/>
  <c r="L41" i="6"/>
  <c r="J29" i="33" s="1"/>
  <c r="J30" i="33" s="1"/>
  <c r="T13" i="6"/>
  <c r="T76" i="6" s="1"/>
  <c r="P65" i="6"/>
  <c r="R71" i="6"/>
  <c r="T65" i="6"/>
  <c r="P13" i="6"/>
  <c r="R65" i="6"/>
  <c r="R47" i="6"/>
  <c r="R53" i="6"/>
  <c r="R73" i="6"/>
  <c r="R36" i="6"/>
  <c r="P33" i="33" s="1"/>
  <c r="P34" i="33" s="1"/>
  <c r="R30" i="6"/>
  <c r="P25" i="33" s="1"/>
  <c r="P26" i="33" s="1"/>
  <c r="R18" i="6"/>
  <c r="P13" i="33" s="1"/>
  <c r="R59" i="6"/>
  <c r="V65" i="6"/>
  <c r="V47" i="6"/>
  <c r="V53" i="6"/>
  <c r="V30" i="6"/>
  <c r="V59" i="6"/>
  <c r="V73" i="6"/>
  <c r="V74" i="6" s="1" a="1"/>
  <c r="V74" i="6" s="1"/>
  <c r="V75" i="6" s="1"/>
  <c r="V36" i="6"/>
  <c r="V18" i="6"/>
  <c r="W47" i="6"/>
  <c r="W59" i="6"/>
  <c r="W30" i="6"/>
  <c r="W36" i="6"/>
  <c r="W73" i="6"/>
  <c r="W74" i="6" s="1" a="1"/>
  <c r="W74" i="6" s="1"/>
  <c r="W75" i="6" s="1"/>
  <c r="W53" i="6"/>
  <c r="W18" i="6"/>
  <c r="O13" i="6"/>
  <c r="L13" i="6"/>
  <c r="P41" i="6"/>
  <c r="N29" i="33" s="1"/>
  <c r="N30" i="33" s="1"/>
  <c r="V13" i="6"/>
  <c r="V76" i="6" s="1"/>
  <c r="O41" i="6"/>
  <c r="M29" i="33" s="1"/>
  <c r="M30" i="33" s="1"/>
  <c r="L71" i="6"/>
  <c r="P76" i="6" l="1"/>
  <c r="Q76" i="6"/>
  <c r="O76" i="6"/>
  <c r="P21" i="33"/>
  <c r="P22" i="33" s="1"/>
  <c r="P14" i="33"/>
  <c r="R74" i="6" a="1"/>
  <c r="R74" i="6" s="1"/>
  <c r="P7" i="33" s="1"/>
  <c r="P6" i="33"/>
  <c r="O14" i="33"/>
  <c r="M14" i="33"/>
  <c r="N14" i="33"/>
  <c r="M21" i="33"/>
  <c r="M22" i="33" s="1"/>
  <c r="P74" i="6" a="1"/>
  <c r="P74" i="6" s="1"/>
  <c r="N7" i="33" s="1"/>
  <c r="N6" i="33"/>
  <c r="N21" i="33"/>
  <c r="N22" i="33" s="1"/>
  <c r="O21" i="33"/>
  <c r="O22" i="33" s="1"/>
  <c r="O74" i="6" a="1"/>
  <c r="O74" i="6" s="1"/>
  <c r="M7" i="33" s="1"/>
  <c r="M6" i="33"/>
  <c r="Q74" i="6" a="1"/>
  <c r="Q74" i="6" s="1"/>
  <c r="O7" i="33" s="1"/>
  <c r="O6" i="33"/>
  <c r="H8" i="37"/>
  <c r="H9" i="37"/>
  <c r="H7" i="37"/>
  <c r="N76" i="6"/>
  <c r="H26" i="33"/>
  <c r="H30" i="33"/>
  <c r="I14" i="33"/>
  <c r="J14" i="33"/>
  <c r="L14" i="33"/>
  <c r="H14" i="33"/>
  <c r="K14" i="33"/>
  <c r="M76" i="6"/>
  <c r="L76" i="6"/>
  <c r="G52" i="33"/>
  <c r="N74" i="6" a="1"/>
  <c r="N74" i="6" s="1"/>
  <c r="L7" i="33" s="1"/>
  <c r="L21" i="33"/>
  <c r="L22" i="33" s="1"/>
  <c r="K21" i="33"/>
  <c r="K22" i="33" s="1"/>
  <c r="H21" i="33"/>
  <c r="I24" i="36" s="1" a="1"/>
  <c r="I24" i="36" s="1"/>
  <c r="J21" i="33"/>
  <c r="J22" i="33" s="1"/>
  <c r="I21" i="33"/>
  <c r="J24" i="36" s="1" a="1"/>
  <c r="J24" i="36" s="1"/>
  <c r="V4" i="36" a="1"/>
  <c r="V4" i="36" s="1"/>
  <c r="V27" i="36" s="1" a="1"/>
  <c r="V27" i="36" s="1"/>
  <c r="V5" i="36" a="1"/>
  <c r="V5" i="36" s="1"/>
  <c r="U4" i="36" a="1"/>
  <c r="U4" i="36" s="1"/>
  <c r="U27" i="36" s="1" a="1"/>
  <c r="U27" i="36" s="1"/>
  <c r="U5" i="36" a="1"/>
  <c r="U5" i="36" s="1"/>
  <c r="T4" i="36" a="1"/>
  <c r="T4" i="36" s="1"/>
  <c r="T27" i="36" s="1" a="1"/>
  <c r="T27" i="36" s="1"/>
  <c r="T5" i="36" a="1"/>
  <c r="T5" i="36" s="1"/>
  <c r="R5" i="36" a="1"/>
  <c r="R5" i="36" s="1"/>
  <c r="R4" i="36" a="1"/>
  <c r="R4" i="36" s="1"/>
  <c r="R27" i="36" s="1" a="1"/>
  <c r="R27" i="36" s="1"/>
  <c r="S5" i="36" a="1"/>
  <c r="S5" i="36" s="1"/>
  <c r="S4" i="36" a="1"/>
  <c r="S4" i="36" s="1"/>
  <c r="S27" i="36" s="1" a="1"/>
  <c r="S27" i="36" s="1"/>
  <c r="J76" i="6"/>
  <c r="K74" i="6" a="1"/>
  <c r="K74" i="6" s="1"/>
  <c r="I7" i="33" s="1"/>
  <c r="J74" i="6" a="1"/>
  <c r="J74" i="6" s="1"/>
  <c r="H7" i="33" s="1"/>
  <c r="L74" i="6" a="1"/>
  <c r="L74" i="6" s="1"/>
  <c r="J7" i="33" s="1"/>
  <c r="M74" i="6" a="1"/>
  <c r="M74" i="6" s="1"/>
  <c r="K7" i="33" s="1"/>
  <c r="K76" i="6"/>
  <c r="S206" i="30"/>
  <c r="S205" i="30"/>
  <c r="G200" i="30"/>
  <c r="G80" i="30"/>
  <c r="L74" i="30"/>
  <c r="L87" i="30"/>
  <c r="S87" i="30"/>
  <c r="Q80" i="30"/>
  <c r="Q87" i="30"/>
  <c r="K154" i="30"/>
  <c r="N100" i="30" a="1"/>
  <c r="N74" i="30"/>
  <c r="U60" i="30"/>
  <c r="H74" i="30"/>
  <c r="O147" i="30"/>
  <c r="O192" i="30"/>
  <c r="O167" i="30" a="1"/>
  <c r="P65" i="30"/>
  <c r="J193" i="30"/>
  <c r="Q126" i="30"/>
  <c r="U59" i="30"/>
  <c r="Q131" i="30"/>
  <c r="R198" i="30"/>
  <c r="P80" i="30"/>
  <c r="J125" i="30"/>
  <c r="R192" i="30"/>
  <c r="K141" i="30"/>
  <c r="G59" i="30"/>
  <c r="K125" i="30"/>
  <c r="G192" i="30"/>
  <c r="N87" i="30"/>
  <c r="T14" i="30"/>
  <c r="O59" i="30"/>
  <c r="R59" i="30"/>
  <c r="M14" i="30"/>
  <c r="J154" i="30"/>
  <c r="U87" i="30"/>
  <c r="M125" i="30"/>
  <c r="S100" i="30" a="1"/>
  <c r="H141" i="30"/>
  <c r="K14" i="30"/>
  <c r="T141" i="30"/>
  <c r="Q8" i="30"/>
  <c r="N65" i="30"/>
  <c r="S167" i="30" a="1"/>
  <c r="I141" i="30"/>
  <c r="S193" i="30"/>
  <c r="I131" i="30"/>
  <c r="O8" i="30"/>
  <c r="T167" i="30" a="1"/>
  <c r="I193" i="30"/>
  <c r="K74" i="30"/>
  <c r="L193" i="30"/>
  <c r="G131" i="30"/>
  <c r="R75" i="30"/>
  <c r="N59" i="30"/>
  <c r="T21" i="30"/>
  <c r="K60" i="30"/>
  <c r="T60" i="30"/>
  <c r="P21" i="30"/>
  <c r="P147" i="30"/>
  <c r="J141" i="30"/>
  <c r="Q125" i="30"/>
  <c r="R126" i="30"/>
  <c r="K75" i="30"/>
  <c r="S74" i="30"/>
  <c r="H147" i="30"/>
  <c r="L21" i="30"/>
  <c r="L59" i="30"/>
  <c r="L147" i="30"/>
  <c r="K147" i="30"/>
  <c r="M8" i="30"/>
  <c r="O154" i="30"/>
  <c r="K198" i="30"/>
  <c r="L131" i="30"/>
  <c r="G125" i="30"/>
  <c r="H193" i="30"/>
  <c r="I167" i="30" a="1"/>
  <c r="S147" i="30"/>
  <c r="M131" i="30"/>
  <c r="H14" i="30"/>
  <c r="M141" i="30"/>
  <c r="N8" i="30"/>
  <c r="G34" i="30" a="1"/>
  <c r="R14" i="30"/>
  <c r="R65" i="30"/>
  <c r="Q154" i="30"/>
  <c r="P87" i="30"/>
  <c r="I9" i="30"/>
  <c r="O65" i="30"/>
  <c r="G198" i="30"/>
  <c r="R141" i="30"/>
  <c r="S142" i="30"/>
  <c r="N9" i="30"/>
  <c r="U74" i="30"/>
  <c r="J8" i="30"/>
  <c r="O74" i="30"/>
  <c r="U14" i="30"/>
  <c r="R154" i="30"/>
  <c r="O80" i="30"/>
  <c r="T87" i="30"/>
  <c r="J131" i="30"/>
  <c r="J192" i="30"/>
  <c r="P100" i="30" a="1"/>
  <c r="O126" i="30"/>
  <c r="N198" i="30"/>
  <c r="P34" i="30" a="1"/>
  <c r="Q65" i="30"/>
  <c r="H65" i="30"/>
  <c r="Q100" i="30" a="1"/>
  <c r="S198" i="30"/>
  <c r="K65" i="30"/>
  <c r="I87" i="30"/>
  <c r="G75" i="30"/>
  <c r="Q21" i="30"/>
  <c r="L60" i="30"/>
  <c r="K80" i="30"/>
  <c r="T192" i="30"/>
  <c r="G65" i="30"/>
  <c r="G21" i="30"/>
  <c r="L34" i="30" a="1"/>
  <c r="H8" i="30"/>
  <c r="R125" i="30"/>
  <c r="S8" i="30"/>
  <c r="N125" i="30"/>
  <c r="G74" i="30"/>
  <c r="P192" i="30"/>
  <c r="S154" i="30"/>
  <c r="J60" i="30"/>
  <c r="P126" i="30"/>
  <c r="G141" i="30"/>
  <c r="S141" i="30"/>
  <c r="I80" i="30"/>
  <c r="Q198" i="30"/>
  <c r="R9" i="30"/>
  <c r="J198" i="30"/>
  <c r="L125" i="30"/>
  <c r="H126" i="30"/>
  <c r="P60" i="30"/>
  <c r="L167" i="30" a="1"/>
  <c r="P141" i="30"/>
  <c r="O193" i="30"/>
  <c r="N192" i="30"/>
  <c r="K87" i="30"/>
  <c r="U126" i="30"/>
  <c r="O9" i="30"/>
  <c r="N167" i="30" a="1"/>
  <c r="T59" i="30"/>
  <c r="H167" i="30" a="1"/>
  <c r="T80" i="30"/>
  <c r="T65" i="30"/>
  <c r="O142" i="30"/>
  <c r="J100" i="30" a="1"/>
  <c r="T100" i="30" a="1"/>
  <c r="K131" i="30"/>
  <c r="O60" i="30"/>
  <c r="N126" i="30"/>
  <c r="N193" i="30"/>
  <c r="T9" i="30"/>
  <c r="I8" i="30"/>
  <c r="J21" i="30"/>
  <c r="H9" i="30"/>
  <c r="H198" i="30"/>
  <c r="H87" i="30"/>
  <c r="T193" i="30"/>
  <c r="S34" i="30" a="1"/>
  <c r="K59" i="30"/>
  <c r="T74" i="30"/>
  <c r="J167" i="30" a="1"/>
  <c r="H21" i="30"/>
  <c r="T125" i="30"/>
  <c r="J14" i="30"/>
  <c r="M142" i="30"/>
  <c r="L100" i="30" a="1"/>
  <c r="U125" i="30"/>
  <c r="L8" i="30"/>
  <c r="I75" i="30"/>
  <c r="R131" i="30"/>
  <c r="I198" i="30"/>
  <c r="S60" i="30"/>
  <c r="T126" i="30"/>
  <c r="I65" i="30"/>
  <c r="Q147" i="30"/>
  <c r="H154" i="30"/>
  <c r="P74" i="30"/>
  <c r="U9" i="30"/>
  <c r="I125" i="30"/>
  <c r="M87" i="30"/>
  <c r="N21" i="30"/>
  <c r="R34" i="30" a="1"/>
  <c r="U21" i="30"/>
  <c r="Q14" i="30"/>
  <c r="U141" i="30"/>
  <c r="M59" i="30"/>
  <c r="N154" i="30"/>
  <c r="M74" i="30"/>
  <c r="K9" i="30"/>
  <c r="M60" i="30"/>
  <c r="H34" i="30" a="1"/>
  <c r="K193" i="30"/>
  <c r="U142" i="30"/>
  <c r="M198" i="30"/>
  <c r="N142" i="30"/>
  <c r="P9" i="30"/>
  <c r="N75" i="30"/>
  <c r="L142" i="30"/>
  <c r="P167" i="30" a="1"/>
  <c r="I100" i="30" a="1"/>
  <c r="S131" i="30"/>
  <c r="T8" i="30"/>
  <c r="M9" i="30"/>
  <c r="G147" i="30"/>
  <c r="R147" i="30"/>
  <c r="P59" i="30"/>
  <c r="I21" i="30"/>
  <c r="R167" i="30" a="1"/>
  <c r="L80" i="30"/>
  <c r="O125" i="30"/>
  <c r="L9" i="30"/>
  <c r="Q59" i="30"/>
  <c r="J147" i="30"/>
  <c r="L14" i="30"/>
  <c r="S65" i="30"/>
  <c r="M192" i="30"/>
  <c r="P198" i="30"/>
  <c r="Q167" i="30" a="1"/>
  <c r="R100" i="30" a="1"/>
  <c r="L192" i="30"/>
  <c r="M34" i="30" a="1"/>
  <c r="U75" i="30"/>
  <c r="H192" i="30"/>
  <c r="R87" i="30"/>
  <c r="O87" i="30"/>
  <c r="M75" i="30"/>
  <c r="S9" i="30"/>
  <c r="O34" i="30" a="1"/>
  <c r="H100" i="30" a="1"/>
  <c r="P193" i="30"/>
  <c r="P154" i="30"/>
  <c r="N5" i="36" l="1" a="1"/>
  <c r="N5" i="36" s="1"/>
  <c r="N4" i="36" a="1"/>
  <c r="N4" i="36" s="1"/>
  <c r="Q4" i="36" a="1"/>
  <c r="Q4" i="36" s="1"/>
  <c r="K133" i="30"/>
  <c r="P4" i="36" a="1"/>
  <c r="P4" i="36" s="1"/>
  <c r="P5" i="36" a="1"/>
  <c r="P5" i="36" s="1"/>
  <c r="Q5" i="36" a="1"/>
  <c r="Q5" i="36" s="1"/>
  <c r="Q24" i="36" a="1"/>
  <c r="Q24" i="36" s="1"/>
  <c r="R75" i="6"/>
  <c r="P8" i="33" s="1"/>
  <c r="O4" i="36" a="1"/>
  <c r="O4" i="36" s="1"/>
  <c r="O75" i="6"/>
  <c r="M8" i="33" s="1"/>
  <c r="P75" i="6"/>
  <c r="N8" i="33" s="1"/>
  <c r="O24" i="36" a="1"/>
  <c r="O24" i="36" s="1"/>
  <c r="O5" i="36" a="1"/>
  <c r="O5" i="36" s="1"/>
  <c r="N24" i="36" a="1"/>
  <c r="N24" i="36" s="1"/>
  <c r="Q75" i="6"/>
  <c r="O8" i="33" s="1"/>
  <c r="P24" i="36" a="1"/>
  <c r="P24" i="36" s="1"/>
  <c r="H16" i="37" a="1"/>
  <c r="H16" i="37" s="1"/>
  <c r="T6" i="36" a="1"/>
  <c r="T6" i="36" s="1"/>
  <c r="S6" i="36" a="1"/>
  <c r="S6" i="36" s="1"/>
  <c r="U6" i="36" a="1"/>
  <c r="U6" i="36" s="1"/>
  <c r="R6" i="36" a="1"/>
  <c r="R6" i="36" s="1"/>
  <c r="V6" i="36" a="1"/>
  <c r="V6" i="36" s="1"/>
  <c r="L24" i="36" a="1"/>
  <c r="L24" i="36" s="1"/>
  <c r="M24" i="36" a="1"/>
  <c r="M24" i="36" s="1"/>
  <c r="K24" i="36" a="1"/>
  <c r="K24" i="36" s="1"/>
  <c r="I22" i="33"/>
  <c r="N67" i="30"/>
  <c r="N204" i="30" s="1"/>
  <c r="M67" i="30"/>
  <c r="M204" i="30" s="1"/>
  <c r="L133" i="30"/>
  <c r="L67" i="30"/>
  <c r="H22" i="33"/>
  <c r="L11" i="36"/>
  <c r="L20" i="36" s="1"/>
  <c r="K11" i="36"/>
  <c r="K20" i="36" s="1"/>
  <c r="I11" i="36"/>
  <c r="I20" i="36" s="1"/>
  <c r="M11" i="36"/>
  <c r="M20" i="36" s="1"/>
  <c r="K67" i="30"/>
  <c r="K204" i="30" s="1"/>
  <c r="K38" i="33" s="1"/>
  <c r="J67" i="30"/>
  <c r="J204" i="30" s="1"/>
  <c r="J38" i="33" s="1"/>
  <c r="H133" i="30"/>
  <c r="H67" i="30"/>
  <c r="I67" i="30"/>
  <c r="I204" i="30" s="1"/>
  <c r="I206" i="30" s="1"/>
  <c r="N75" i="6"/>
  <c r="L8" i="33" s="1"/>
  <c r="M37" i="36" s="1"/>
  <c r="L4" i="36" a="1"/>
  <c r="L4" i="36" s="1"/>
  <c r="L5" i="36" a="1"/>
  <c r="L5" i="36" s="1"/>
  <c r="M4" i="36" a="1"/>
  <c r="M4" i="36" s="1"/>
  <c r="M5" i="36" a="1"/>
  <c r="M5" i="36" s="1"/>
  <c r="K4" i="36" a="1"/>
  <c r="K4" i="36" s="1"/>
  <c r="K5" i="36" a="1"/>
  <c r="K5" i="36" s="1"/>
  <c r="K75" i="6"/>
  <c r="I8" i="33" s="1"/>
  <c r="J37" i="36" s="1"/>
  <c r="M75" i="6"/>
  <c r="K8" i="33" s="1"/>
  <c r="L37" i="36" s="1"/>
  <c r="L75" i="6"/>
  <c r="J8" i="33" s="1"/>
  <c r="K37" i="36" s="1"/>
  <c r="J75" i="6"/>
  <c r="H8" i="33" s="1"/>
  <c r="I37" i="36" s="1"/>
  <c r="T130" i="30"/>
  <c r="P64" i="30"/>
  <c r="U91" i="30"/>
  <c r="K64" i="30"/>
  <c r="T100" i="30"/>
  <c r="T104" i="30" s="1"/>
  <c r="H100" i="30"/>
  <c r="H104" i="30" s="1"/>
  <c r="R34" i="30"/>
  <c r="R38" i="30" s="1"/>
  <c r="H13" i="30"/>
  <c r="O130" i="30"/>
  <c r="N197" i="30"/>
  <c r="L91" i="30"/>
  <c r="O158" i="30"/>
  <c r="P25" i="30"/>
  <c r="Q167" i="30"/>
  <c r="Q171" i="30" s="1"/>
  <c r="O91" i="30"/>
  <c r="M34" i="30"/>
  <c r="M38" i="30" s="1"/>
  <c r="M66" i="30" s="1"/>
  <c r="M203" i="30" s="1"/>
  <c r="J25" i="30"/>
  <c r="T167" i="30"/>
  <c r="T171" i="30" s="1"/>
  <c r="U130" i="30"/>
  <c r="L25" i="30"/>
  <c r="R130" i="30"/>
  <c r="L197" i="30"/>
  <c r="O167" i="30"/>
  <c r="O171" i="30" s="1"/>
  <c r="P167" i="30"/>
  <c r="P171" i="30" s="1"/>
  <c r="I13" i="30"/>
  <c r="J100" i="30"/>
  <c r="J104" i="30" s="1"/>
  <c r="P34" i="30"/>
  <c r="P38" i="30" s="1"/>
  <c r="N91" i="30"/>
  <c r="K91" i="30"/>
  <c r="I100" i="30"/>
  <c r="I104" i="30" s="1"/>
  <c r="O64" i="30"/>
  <c r="H197" i="30"/>
  <c r="T197" i="30"/>
  <c r="Q100" i="30"/>
  <c r="Q104" i="30" s="1"/>
  <c r="N130" i="30"/>
  <c r="T13" i="30"/>
  <c r="L64" i="30"/>
  <c r="J197" i="30"/>
  <c r="O197" i="30"/>
  <c r="L34" i="30"/>
  <c r="L38" i="30" s="1"/>
  <c r="R158" i="30"/>
  <c r="M64" i="30"/>
  <c r="S34" i="30"/>
  <c r="S38" i="30" s="1"/>
  <c r="Q130" i="30"/>
  <c r="S167" i="30"/>
  <c r="S171" i="30" s="1"/>
  <c r="O34" i="30"/>
  <c r="O38" i="30" s="1"/>
  <c r="R91" i="30"/>
  <c r="I91" i="30"/>
  <c r="P197" i="30"/>
  <c r="N100" i="30"/>
  <c r="N104" i="30" s="1"/>
  <c r="S91" i="30"/>
  <c r="K158" i="30"/>
  <c r="M146" i="30"/>
  <c r="H91" i="30"/>
  <c r="N13" i="30"/>
  <c r="O13" i="30"/>
  <c r="N167" i="30"/>
  <c r="N171" i="30" s="1"/>
  <c r="S158" i="30"/>
  <c r="H25" i="30"/>
  <c r="I25" i="30"/>
  <c r="T25" i="30"/>
  <c r="I167" i="30"/>
  <c r="I171" i="30" s="1"/>
  <c r="U64" i="30"/>
  <c r="J167" i="30"/>
  <c r="J171" i="30" s="1"/>
  <c r="P91" i="30"/>
  <c r="Q91" i="30"/>
  <c r="P158" i="30"/>
  <c r="M13" i="30"/>
  <c r="S13" i="30"/>
  <c r="U25" i="30"/>
  <c r="S146" i="30"/>
  <c r="H167" i="30"/>
  <c r="H171" i="30" s="1"/>
  <c r="L100" i="30"/>
  <c r="L104" i="30" s="1"/>
  <c r="L132" i="30" s="1"/>
  <c r="H34" i="30"/>
  <c r="H38" i="30" s="1"/>
  <c r="P100" i="30"/>
  <c r="P104" i="30" s="1"/>
  <c r="T91" i="30"/>
  <c r="H158" i="30"/>
  <c r="H199" i="30" s="1"/>
  <c r="U79" i="30"/>
  <c r="L13" i="30"/>
  <c r="R100" i="30"/>
  <c r="R104" i="30" s="1"/>
  <c r="N25" i="30"/>
  <c r="K79" i="30"/>
  <c r="N158" i="30"/>
  <c r="N199" i="30" s="1"/>
  <c r="Q25" i="30"/>
  <c r="L167" i="30"/>
  <c r="L171" i="30" s="1"/>
  <c r="J158" i="30"/>
  <c r="J199" i="30" s="1"/>
  <c r="M79" i="30"/>
  <c r="Q158" i="30"/>
  <c r="U146" i="30"/>
  <c r="T64" i="30"/>
  <c r="M91" i="30"/>
  <c r="R167" i="30"/>
  <c r="R171" i="30" s="1"/>
  <c r="S100" i="30"/>
  <c r="S104" i="30" s="1"/>
  <c r="N79" i="30"/>
  <c r="Q206" i="30"/>
  <c r="Q205" i="30"/>
  <c r="U206" i="30"/>
  <c r="U205" i="30"/>
  <c r="T205" i="30"/>
  <c r="T206" i="30"/>
  <c r="R206" i="30"/>
  <c r="R205" i="30"/>
  <c r="G67" i="30"/>
  <c r="G133" i="30"/>
  <c r="G79" i="30"/>
  <c r="G34" i="30"/>
  <c r="G25" i="30"/>
  <c r="I11" i="6"/>
  <c r="I12" i="6" s="1"/>
  <c r="G4" i="33" s="1"/>
  <c r="H80" i="30"/>
  <c r="M100" i="30" a="1"/>
  <c r="K100" i="30" a="1"/>
  <c r="I60" i="30"/>
  <c r="G126" i="30"/>
  <c r="N60" i="30"/>
  <c r="G60" i="30"/>
  <c r="O14" i="30"/>
  <c r="H60" i="30"/>
  <c r="P125" i="30"/>
  <c r="G154" i="30"/>
  <c r="U167" i="30" a="1"/>
  <c r="U8" i="30"/>
  <c r="G8" i="30"/>
  <c r="S14" i="30"/>
  <c r="N34" i="30" a="1"/>
  <c r="J74" i="30"/>
  <c r="H59" i="30"/>
  <c r="O198" i="30"/>
  <c r="G193" i="30"/>
  <c r="M126" i="30"/>
  <c r="O100" i="30" a="1"/>
  <c r="Q9" i="30"/>
  <c r="T198" i="30"/>
  <c r="M154" i="30"/>
  <c r="I59" i="30"/>
  <c r="Q192" i="30"/>
  <c r="T75" i="30"/>
  <c r="Q60" i="30"/>
  <c r="M21" i="30"/>
  <c r="Q193" i="30"/>
  <c r="U65" i="30"/>
  <c r="P142" i="30"/>
  <c r="R60" i="30"/>
  <c r="L75" i="30"/>
  <c r="M167" i="30" a="1"/>
  <c r="J87" i="30"/>
  <c r="K142" i="30"/>
  <c r="U154" i="30"/>
  <c r="R74" i="30"/>
  <c r="S75" i="30"/>
  <c r="U80" i="30"/>
  <c r="M193" i="30"/>
  <c r="J75" i="30"/>
  <c r="G13" i="30" l="1"/>
  <c r="G197" i="30"/>
  <c r="G199" i="30" s="1"/>
  <c r="M197" i="30"/>
  <c r="M25" i="30"/>
  <c r="S79" i="30"/>
  <c r="J91" i="30"/>
  <c r="J132" i="30" s="1"/>
  <c r="G130" i="30"/>
  <c r="G132" i="30" s="1"/>
  <c r="U13" i="30"/>
  <c r="M100" i="30"/>
  <c r="M104" i="30" s="1"/>
  <c r="K100" i="30"/>
  <c r="K104" i="30" s="1"/>
  <c r="L79" i="30"/>
  <c r="N34" i="30"/>
  <c r="N38" i="30" s="1"/>
  <c r="G64" i="30"/>
  <c r="I64" i="30"/>
  <c r="M130" i="30"/>
  <c r="Q13" i="30"/>
  <c r="R64" i="30"/>
  <c r="N64" i="30"/>
  <c r="Q64" i="30"/>
  <c r="U167" i="30"/>
  <c r="U171" i="30" s="1"/>
  <c r="J79" i="30"/>
  <c r="K146" i="30"/>
  <c r="M167" i="30"/>
  <c r="M171" i="30" s="1"/>
  <c r="M158" i="30"/>
  <c r="P146" i="30"/>
  <c r="T79" i="30"/>
  <c r="I42" i="33"/>
  <c r="L66" i="30"/>
  <c r="L203" i="30" s="1"/>
  <c r="P130" i="30"/>
  <c r="U158" i="30"/>
  <c r="Q197" i="30"/>
  <c r="G158" i="30"/>
  <c r="H64" i="30"/>
  <c r="O100" i="30"/>
  <c r="O104" i="30" s="1"/>
  <c r="R79" i="30"/>
  <c r="N11" i="36"/>
  <c r="N20" i="36" s="1"/>
  <c r="O11" i="36"/>
  <c r="O20" i="36" s="1"/>
  <c r="I66" i="30"/>
  <c r="I203" i="30" s="1"/>
  <c r="N6" i="36" a="1"/>
  <c r="N6" i="36" s="1"/>
  <c r="O6" i="36" a="1"/>
  <c r="O6" i="36" s="1"/>
  <c r="P6" i="36" a="1"/>
  <c r="P6" i="36" s="1"/>
  <c r="Q6" i="36" a="1"/>
  <c r="Q6" i="36" s="1"/>
  <c r="Q11" i="36"/>
  <c r="Q37" i="36"/>
  <c r="Q12" i="36"/>
  <c r="Q25" i="36" s="1" a="1"/>
  <c r="Q25" i="36" s="1"/>
  <c r="P11" i="36"/>
  <c r="P37" i="36"/>
  <c r="P12" i="36"/>
  <c r="P25" i="36" s="1" a="1"/>
  <c r="P25" i="36" s="1"/>
  <c r="M37" i="33"/>
  <c r="N14" i="36" s="1"/>
  <c r="N23" i="36" s="1"/>
  <c r="O37" i="36"/>
  <c r="O12" i="36"/>
  <c r="O25" i="36" s="1" a="1"/>
  <c r="O25" i="36" s="1"/>
  <c r="M38" i="33"/>
  <c r="N15" i="36" s="1"/>
  <c r="N38" i="33"/>
  <c r="O15" i="36" s="1"/>
  <c r="N37" i="36"/>
  <c r="N12" i="36"/>
  <c r="N25" i="36" s="1" a="1"/>
  <c r="N25" i="36" s="1"/>
  <c r="M6" i="36" a="1"/>
  <c r="M6" i="36" s="1"/>
  <c r="K6" i="36" a="1"/>
  <c r="K6" i="36" s="1"/>
  <c r="L6" i="36" a="1"/>
  <c r="L6" i="36" s="1"/>
  <c r="N66" i="30"/>
  <c r="N203" i="30" s="1"/>
  <c r="L204" i="30"/>
  <c r="M206" i="30"/>
  <c r="M40" i="33" s="1"/>
  <c r="M43" i="33" s="1"/>
  <c r="M205" i="30"/>
  <c r="M39" i="33" s="1"/>
  <c r="M12" i="36"/>
  <c r="M25" i="36" s="1" a="1"/>
  <c r="M25" i="36" s="1"/>
  <c r="K15" i="36"/>
  <c r="K12" i="36"/>
  <c r="K25" i="36" s="1" a="1"/>
  <c r="K25" i="36" s="1"/>
  <c r="L15" i="36"/>
  <c r="I12" i="36"/>
  <c r="I25" i="36" s="1" a="1"/>
  <c r="I25" i="36" s="1"/>
  <c r="L12" i="36"/>
  <c r="L25" i="36" s="1" a="1"/>
  <c r="L25" i="36" s="1"/>
  <c r="J12" i="36"/>
  <c r="J25" i="36" s="1" a="1"/>
  <c r="J25" i="36" s="1"/>
  <c r="J11" i="36"/>
  <c r="J20" i="36" s="1"/>
  <c r="H204" i="30"/>
  <c r="H132" i="30"/>
  <c r="H66" i="30"/>
  <c r="I38" i="33"/>
  <c r="I72" i="6"/>
  <c r="G204" i="30"/>
  <c r="G38" i="33" s="1"/>
  <c r="N206" i="30"/>
  <c r="N40" i="33" s="1"/>
  <c r="N43" i="33" s="1"/>
  <c r="O205" i="30"/>
  <c r="O39" i="33" s="1"/>
  <c r="O206" i="30"/>
  <c r="O40" i="33" s="1"/>
  <c r="O43" i="33" s="1"/>
  <c r="P205" i="30"/>
  <c r="P39" i="33" s="1"/>
  <c r="P206" i="30"/>
  <c r="P40" i="33" s="1"/>
  <c r="P43" i="33" s="1"/>
  <c r="G38" i="30"/>
  <c r="M65" i="30"/>
  <c r="O75" i="30"/>
  <c r="R21" i="30"/>
  <c r="R80" i="30"/>
  <c r="L141" i="30"/>
  <c r="J80" i="30"/>
  <c r="Q74" i="30"/>
  <c r="P14" i="30"/>
  <c r="O21" i="30"/>
  <c r="P75" i="30"/>
  <c r="R8" i="30"/>
  <c r="G167" i="30" a="1"/>
  <c r="U100" i="30" a="1"/>
  <c r="S59" i="30"/>
  <c r="K192" i="30"/>
  <c r="T154" i="30"/>
  <c r="K8" i="30"/>
  <c r="S126" i="30"/>
  <c r="O131" i="30"/>
  <c r="I154" i="30"/>
  <c r="J142" i="30"/>
  <c r="K126" i="30"/>
  <c r="N131" i="30"/>
  <c r="U193" i="30"/>
  <c r="P8" i="30"/>
  <c r="U198" i="30"/>
  <c r="G87" i="30"/>
  <c r="N147" i="30"/>
  <c r="U34" i="30" a="1"/>
  <c r="J9" i="30"/>
  <c r="Q75" i="30"/>
  <c r="G100" i="30" a="1"/>
  <c r="S21" i="30"/>
  <c r="N14" i="30"/>
  <c r="I142" i="30"/>
  <c r="I126" i="30"/>
  <c r="K167" i="30" a="1"/>
  <c r="T142" i="30"/>
  <c r="N141" i="30"/>
  <c r="S125" i="30"/>
  <c r="J65" i="30"/>
  <c r="I192" i="30"/>
  <c r="Q34" i="30" a="1"/>
  <c r="M80" i="30"/>
  <c r="N80" i="30"/>
  <c r="L65" i="30"/>
  <c r="G142" i="30"/>
  <c r="O141" i="30"/>
  <c r="L198" i="30"/>
  <c r="S80" i="30"/>
  <c r="K34" i="30" a="1"/>
  <c r="Q141" i="30"/>
  <c r="J59" i="30"/>
  <c r="I147" i="30"/>
  <c r="J34" i="30" a="1"/>
  <c r="U192" i="30"/>
  <c r="T147" i="30"/>
  <c r="I14" i="30"/>
  <c r="L126" i="30"/>
  <c r="H75" i="30"/>
  <c r="H125" i="30"/>
  <c r="U147" i="30"/>
  <c r="L154" i="30"/>
  <c r="R142" i="30"/>
  <c r="I34" i="30" a="1"/>
  <c r="T131" i="30"/>
  <c r="I74" i="30"/>
  <c r="H142" i="30"/>
  <c r="T34" i="30" a="1"/>
  <c r="Q142" i="30"/>
  <c r="J126" i="30"/>
  <c r="H131" i="30"/>
  <c r="M147" i="30"/>
  <c r="K21" i="30"/>
  <c r="R193" i="30"/>
  <c r="U131" i="30"/>
  <c r="S192" i="30"/>
  <c r="P131" i="30"/>
  <c r="Q31" i="36" l="1" a="1"/>
  <c r="Q31" i="36" s="1"/>
  <c r="Q32" i="36" a="1"/>
  <c r="Q32" i="36" s="1"/>
  <c r="P31" i="36" a="1"/>
  <c r="P31" i="36" s="1"/>
  <c r="P32" i="36" a="1"/>
  <c r="P32" i="36" s="1"/>
  <c r="N31" i="36" a="1"/>
  <c r="N31" i="36" s="1"/>
  <c r="N32" i="36" a="1"/>
  <c r="N32" i="36" s="1"/>
  <c r="Q3" i="36" a="1"/>
  <c r="Q3" i="36" s="1"/>
  <c r="P3" i="36" a="1"/>
  <c r="P3" i="36" s="1"/>
  <c r="N3" i="36" a="1"/>
  <c r="N3" i="36" s="1"/>
  <c r="L37" i="33"/>
  <c r="M14" i="36" s="1"/>
  <c r="M23" i="36" s="1"/>
  <c r="G66" i="30"/>
  <c r="G203" i="30" s="1"/>
  <c r="T158" i="30"/>
  <c r="N146" i="30"/>
  <c r="O146" i="30"/>
  <c r="H146" i="30"/>
  <c r="H130" i="30"/>
  <c r="T34" i="30"/>
  <c r="T38" i="30" s="1"/>
  <c r="O79" i="30"/>
  <c r="T146" i="30"/>
  <c r="K130" i="30"/>
  <c r="K132" i="30" s="1"/>
  <c r="I158" i="30"/>
  <c r="I34" i="30"/>
  <c r="I38" i="30" s="1"/>
  <c r="P79" i="30"/>
  <c r="I130" i="30"/>
  <c r="G91" i="30"/>
  <c r="S25" i="30"/>
  <c r="K34" i="30"/>
  <c r="K38" i="30" s="1"/>
  <c r="J64" i="30"/>
  <c r="G146" i="30"/>
  <c r="L158" i="30"/>
  <c r="L130" i="30"/>
  <c r="Q34" i="30"/>
  <c r="Q38" i="30" s="1"/>
  <c r="U197" i="30"/>
  <c r="L146" i="30"/>
  <c r="J34" i="30"/>
  <c r="J38" i="30" s="1"/>
  <c r="S64" i="30"/>
  <c r="O25" i="30"/>
  <c r="U34" i="30"/>
  <c r="U38" i="30" s="1"/>
  <c r="K167" i="30"/>
  <c r="K171" i="30" s="1"/>
  <c r="I146" i="30"/>
  <c r="R25" i="30"/>
  <c r="Q79" i="30"/>
  <c r="P13" i="30"/>
  <c r="S130" i="30"/>
  <c r="Q35" i="36" a="1"/>
  <c r="Q35" i="36" s="1"/>
  <c r="Q46" i="36" s="1"/>
  <c r="Q29" i="36" a="1"/>
  <c r="Q29" i="36" s="1"/>
  <c r="Q28" i="36" a="1"/>
  <c r="Q28" i="36" s="1"/>
  <c r="P35" i="36" a="1"/>
  <c r="P35" i="36" s="1"/>
  <c r="P46" i="36" s="1"/>
  <c r="P29" i="36" a="1"/>
  <c r="P29" i="36" s="1"/>
  <c r="P28" i="36" a="1"/>
  <c r="P28" i="36" s="1"/>
  <c r="N29" i="36" a="1"/>
  <c r="N29" i="36" s="1"/>
  <c r="N28" i="36" a="1"/>
  <c r="N28" i="36" s="1"/>
  <c r="J47" i="36" a="1"/>
  <c r="J47" i="36" s="1"/>
  <c r="N47" i="36" a="1"/>
  <c r="N47" i="36" s="1"/>
  <c r="L47" i="36" a="1"/>
  <c r="L47" i="36" s="1"/>
  <c r="M47" i="36" a="1"/>
  <c r="M47" i="36" s="1"/>
  <c r="O47" i="36" a="1"/>
  <c r="O47" i="36" s="1"/>
  <c r="K47" i="36" a="1"/>
  <c r="K47" i="36" s="1"/>
  <c r="I47" i="36" a="1"/>
  <c r="I47" i="36" s="1"/>
  <c r="J36" i="36"/>
  <c r="G167" i="30"/>
  <c r="G171" i="30" s="1"/>
  <c r="R146" i="30"/>
  <c r="U100" i="30"/>
  <c r="U104" i="30" s="1"/>
  <c r="G100" i="30"/>
  <c r="G104" i="30" s="1"/>
  <c r="J130" i="30"/>
  <c r="R13" i="30"/>
  <c r="I79" i="30"/>
  <c r="K197" i="30"/>
  <c r="K25" i="30"/>
  <c r="I197" i="30"/>
  <c r="H79" i="30"/>
  <c r="J13" i="30"/>
  <c r="J66" i="30" s="1"/>
  <c r="J203" i="30" s="1"/>
  <c r="J146" i="30"/>
  <c r="Q146" i="30"/>
  <c r="R197" i="30"/>
  <c r="K13" i="30"/>
  <c r="S197" i="30"/>
  <c r="G3" i="33"/>
  <c r="H6" i="37" s="1"/>
  <c r="I13" i="6"/>
  <c r="N35" i="36" a="1"/>
  <c r="N35" i="36" s="1"/>
  <c r="N46" i="36" s="1"/>
  <c r="O13" i="36"/>
  <c r="Q9" i="36" a="1"/>
  <c r="Q9" i="36" s="1"/>
  <c r="Q17" i="36"/>
  <c r="Q36" i="36"/>
  <c r="Q7" i="36" a="1"/>
  <c r="Q7" i="36" s="1"/>
  <c r="Q8" i="36" a="1"/>
  <c r="Q8" i="36" s="1"/>
  <c r="Q16" i="36"/>
  <c r="Q22" i="36" s="1"/>
  <c r="P17" i="36"/>
  <c r="P36" i="36"/>
  <c r="P9" i="36" a="1"/>
  <c r="P9" i="36" s="1"/>
  <c r="P8" i="36" a="1"/>
  <c r="P8" i="36" s="1"/>
  <c r="P16" i="36"/>
  <c r="P22" i="36" s="1"/>
  <c r="P7" i="36" a="1"/>
  <c r="P7" i="36" s="1"/>
  <c r="Q30" i="36" a="1"/>
  <c r="Q30" i="36" s="1"/>
  <c r="Q26" i="36" a="1"/>
  <c r="Q26" i="36" s="1"/>
  <c r="Q21" i="36"/>
  <c r="Q27" i="36" a="1"/>
  <c r="Q27" i="36" s="1"/>
  <c r="Q20" i="36"/>
  <c r="Q47" i="36" s="1" a="1"/>
  <c r="Q47" i="36" s="1"/>
  <c r="Q13" i="36"/>
  <c r="O27" i="36" a="1"/>
  <c r="O27" i="36" s="1"/>
  <c r="N30" i="36" a="1"/>
  <c r="N30" i="36" s="1"/>
  <c r="N26" i="36" a="1"/>
  <c r="N26" i="36" s="1"/>
  <c r="N21" i="36"/>
  <c r="N27" i="36" a="1"/>
  <c r="N27" i="36" s="1"/>
  <c r="O30" i="36" a="1"/>
  <c r="O30" i="36" s="1"/>
  <c r="O26" i="36" a="1"/>
  <c r="O26" i="36" s="1"/>
  <c r="O21" i="36"/>
  <c r="N13" i="36"/>
  <c r="P30" i="36" a="1"/>
  <c r="P30" i="36" s="1"/>
  <c r="P21" i="36"/>
  <c r="P26" i="36" a="1"/>
  <c r="P26" i="36" s="1"/>
  <c r="P27" i="36" a="1"/>
  <c r="P27" i="36" s="1"/>
  <c r="N37" i="33"/>
  <c r="O14" i="36" s="1"/>
  <c r="O23" i="36" s="1"/>
  <c r="P20" i="36"/>
  <c r="P47" i="36" s="1" a="1"/>
  <c r="P47" i="36" s="1"/>
  <c r="P13" i="36"/>
  <c r="O36" i="36"/>
  <c r="O9" i="36" a="1"/>
  <c r="O9" i="36" s="1"/>
  <c r="O17" i="36"/>
  <c r="N36" i="36"/>
  <c r="N9" i="36" a="1"/>
  <c r="N9" i="36" s="1"/>
  <c r="N17" i="36"/>
  <c r="I21" i="36"/>
  <c r="I30" i="36" a="1"/>
  <c r="I30" i="36" s="1"/>
  <c r="M21" i="36"/>
  <c r="M30" i="36" a="1"/>
  <c r="M30" i="36" s="1"/>
  <c r="K21" i="36"/>
  <c r="K30" i="36" a="1"/>
  <c r="K30" i="36" s="1"/>
  <c r="J21" i="36"/>
  <c r="J30" i="36" a="1"/>
  <c r="J30" i="36" s="1"/>
  <c r="L21" i="36"/>
  <c r="L30" i="36" a="1"/>
  <c r="L30" i="36" s="1"/>
  <c r="G5" i="33"/>
  <c r="N8" i="36" a="1"/>
  <c r="N8" i="36" s="1"/>
  <c r="N7" i="36" a="1"/>
  <c r="N7" i="36" s="1"/>
  <c r="N16" i="36"/>
  <c r="N22" i="36" s="1"/>
  <c r="L27" i="36" a="1"/>
  <c r="L27" i="36" s="1"/>
  <c r="K27" i="36" a="1"/>
  <c r="K27" i="36" s="1"/>
  <c r="M27" i="36" a="1"/>
  <c r="M27" i="36" s="1"/>
  <c r="J9" i="36" a="1"/>
  <c r="J9" i="36" s="1"/>
  <c r="J26" i="36" a="1"/>
  <c r="J26" i="36" s="1"/>
  <c r="K26" i="36" a="1"/>
  <c r="K26" i="36" s="1"/>
  <c r="M26" i="36" a="1"/>
  <c r="M26" i="36" s="1"/>
  <c r="L26" i="36" a="1"/>
  <c r="L26" i="36" s="1"/>
  <c r="I26" i="36" a="1"/>
  <c r="I26" i="36" s="1"/>
  <c r="M13" i="36"/>
  <c r="L13" i="36"/>
  <c r="K13" i="36"/>
  <c r="I13" i="36"/>
  <c r="N205" i="30"/>
  <c r="N39" i="33" s="1"/>
  <c r="L38" i="33"/>
  <c r="H15" i="36"/>
  <c r="J13" i="36"/>
  <c r="J15" i="36"/>
  <c r="J17" i="36"/>
  <c r="H38" i="33"/>
  <c r="I37" i="33"/>
  <c r="I205" i="30"/>
  <c r="I39" i="33" s="1"/>
  <c r="I59" i="6"/>
  <c r="N10" i="36" l="1" a="1"/>
  <c r="N10" i="36" s="1"/>
  <c r="P10" i="36" a="1"/>
  <c r="P10" i="36" s="1"/>
  <c r="J31" i="36" a="1"/>
  <c r="J31" i="36" s="1"/>
  <c r="J32" i="36" a="1"/>
  <c r="J32" i="36" s="1"/>
  <c r="O31" i="36" a="1"/>
  <c r="O31" i="36" s="1"/>
  <c r="O32" i="36" a="1"/>
  <c r="O32" i="36" s="1"/>
  <c r="J3" i="36" a="1"/>
  <c r="J3" i="36" s="1"/>
  <c r="O3" i="36" a="1"/>
  <c r="O3" i="36" s="1"/>
  <c r="Q10" i="36" a="1"/>
  <c r="Q10" i="36" s="1"/>
  <c r="G37" i="33"/>
  <c r="H14" i="36" s="1"/>
  <c r="H23" i="36" s="1"/>
  <c r="H57" i="36"/>
  <c r="O29" i="36" a="1"/>
  <c r="O29" i="36" s="1"/>
  <c r="O28" i="36" a="1"/>
  <c r="O28" i="36" s="1"/>
  <c r="J29" i="36" a="1"/>
  <c r="J29" i="36" s="1"/>
  <c r="J28" i="36" a="1"/>
  <c r="J28" i="36" s="1"/>
  <c r="I41" i="33"/>
  <c r="H11" i="37"/>
  <c r="H10" i="37"/>
  <c r="H34" i="37" s="1" a="1"/>
  <c r="H34" i="37" s="1"/>
  <c r="H13" i="37"/>
  <c r="H36" i="37" s="1" a="1"/>
  <c r="H36" i="37" s="1"/>
  <c r="H12" i="37"/>
  <c r="H35" i="37" s="1" a="1"/>
  <c r="H35" i="37" s="1"/>
  <c r="H15" i="37"/>
  <c r="H31" i="37" s="1" a="1"/>
  <c r="H31" i="37" s="1"/>
  <c r="H38" i="37" s="1" a="1"/>
  <c r="H38" i="37" s="1"/>
  <c r="H14" i="37"/>
  <c r="K66" i="30"/>
  <c r="K203" i="30" s="1"/>
  <c r="H25" i="37"/>
  <c r="J37" i="33"/>
  <c r="K14" i="36" s="1"/>
  <c r="H24" i="37"/>
  <c r="H22" i="37"/>
  <c r="H23" i="37"/>
  <c r="O35" i="36" a="1"/>
  <c r="O35" i="36" s="1"/>
  <c r="O46" i="36" s="1"/>
  <c r="M15" i="36"/>
  <c r="J35" i="36" a="1"/>
  <c r="J35" i="36" s="1"/>
  <c r="O8" i="36" a="1"/>
  <c r="O8" i="36" s="1"/>
  <c r="O7" i="36" a="1"/>
  <c r="O7" i="36" s="1"/>
  <c r="O16" i="36"/>
  <c r="O22" i="36" s="1"/>
  <c r="J14" i="36"/>
  <c r="I15" i="36"/>
  <c r="H203" i="30"/>
  <c r="O10" i="36" l="1" a="1"/>
  <c r="O10" i="36" s="1"/>
  <c r="K23" i="36"/>
  <c r="J23" i="36"/>
  <c r="J46" i="36"/>
  <c r="H30" i="37" a="1"/>
  <c r="H30" i="37" s="1"/>
  <c r="H37" i="37" s="1" a="1"/>
  <c r="H37" i="37" s="1"/>
  <c r="K37" i="33"/>
  <c r="L14" i="36" s="1"/>
  <c r="H37" i="33"/>
  <c r="I14" i="36" s="1"/>
  <c r="J16" i="36"/>
  <c r="J22" i="36" s="1"/>
  <c r="J8" i="36" a="1"/>
  <c r="J8" i="36" s="1"/>
  <c r="J7" i="36" a="1"/>
  <c r="J7" i="36" s="1"/>
  <c r="J4" i="36" a="1"/>
  <c r="J4" i="36" s="1"/>
  <c r="J27" i="36" s="1" a="1"/>
  <c r="J27" i="36" s="1"/>
  <c r="J5" i="36" a="1"/>
  <c r="J5" i="36" s="1"/>
  <c r="I18" i="6"/>
  <c r="G13" i="33" s="1"/>
  <c r="I30" i="6"/>
  <c r="G25" i="33" s="1"/>
  <c r="I71" i="6"/>
  <c r="I65" i="6"/>
  <c r="I36" i="6"/>
  <c r="G33" i="33" s="1"/>
  <c r="G34" i="33" s="1"/>
  <c r="I41" i="6"/>
  <c r="G29" i="33" s="1"/>
  <c r="I47" i="6"/>
  <c r="I73" i="6"/>
  <c r="G6" i="33" s="1"/>
  <c r="I53" i="6"/>
  <c r="J10" i="36" l="1" a="1"/>
  <c r="J10" i="36" s="1"/>
  <c r="L23" i="36"/>
  <c r="I23" i="36"/>
  <c r="H32" i="37" a="1"/>
  <c r="H32" i="37" s="1"/>
  <c r="H39" i="37" s="1" a="1"/>
  <c r="H39" i="37" s="1"/>
  <c r="J6" i="36" a="1"/>
  <c r="J6" i="36" s="1"/>
  <c r="G30" i="33"/>
  <c r="G26" i="33"/>
  <c r="G14" i="33"/>
  <c r="G56" i="33"/>
  <c r="G21" i="33"/>
  <c r="H24" i="36" s="1" a="1"/>
  <c r="H24" i="36" s="1"/>
  <c r="I4" i="36" a="1"/>
  <c r="I4" i="36" s="1"/>
  <c r="I27" i="36" s="1" a="1"/>
  <c r="I27" i="36" s="1"/>
  <c r="I5" i="36" a="1"/>
  <c r="I5" i="36" s="1"/>
  <c r="L206" i="30"/>
  <c r="L40" i="33" s="1"/>
  <c r="L43" i="33" s="1"/>
  <c r="L205" i="30"/>
  <c r="J205" i="30"/>
  <c r="J206" i="30"/>
  <c r="J40" i="33" s="1"/>
  <c r="J43" i="33" s="1"/>
  <c r="K205" i="30"/>
  <c r="K206" i="30"/>
  <c r="K40" i="33" s="1"/>
  <c r="K43" i="33" s="1"/>
  <c r="I76" i="6"/>
  <c r="I74" i="6" a="1"/>
  <c r="I74" i="6" s="1"/>
  <c r="G7" i="33" s="1"/>
  <c r="J42" i="33" l="1"/>
  <c r="K42" i="33"/>
  <c r="L39" i="33"/>
  <c r="J39" i="33"/>
  <c r="K39" i="33"/>
  <c r="I6" i="36" a="1"/>
  <c r="I6" i="36" s="1"/>
  <c r="G55" i="33"/>
  <c r="G61" i="33" s="1"/>
  <c r="G54" i="33"/>
  <c r="G60" i="33" s="1"/>
  <c r="G22" i="33"/>
  <c r="G51" i="33"/>
  <c r="G62" i="33"/>
  <c r="G58" i="33"/>
  <c r="M36" i="36"/>
  <c r="H5" i="36" a="1"/>
  <c r="H5" i="36" s="1"/>
  <c r="H4" i="36" a="1"/>
  <c r="H4" i="36" s="1"/>
  <c r="H206" i="30"/>
  <c r="H40" i="33" s="1"/>
  <c r="H43" i="33" s="1"/>
  <c r="H205" i="30"/>
  <c r="H39" i="33" s="1"/>
  <c r="I75" i="6"/>
  <c r="I31" i="36" l="1" a="1"/>
  <c r="I31" i="36" s="1"/>
  <c r="I32" i="36" a="1"/>
  <c r="I32" i="36" s="1"/>
  <c r="L31" i="36" a="1"/>
  <c r="L31" i="36" s="1"/>
  <c r="L32" i="36" a="1"/>
  <c r="L32" i="36" s="1"/>
  <c r="K31" i="36" a="1"/>
  <c r="K31" i="36" s="1"/>
  <c r="K32" i="36" a="1"/>
  <c r="K32" i="36" s="1"/>
  <c r="M31" i="36" a="1"/>
  <c r="M31" i="36" s="1"/>
  <c r="M32" i="36" a="1"/>
  <c r="M32" i="36" s="1"/>
  <c r="L3" i="36" a="1"/>
  <c r="L3" i="36" s="1"/>
  <c r="K3" i="36" a="1"/>
  <c r="K3" i="36" s="1"/>
  <c r="M3" i="36" a="1"/>
  <c r="M3" i="36" s="1"/>
  <c r="I3" i="36" a="1"/>
  <c r="I3" i="36" s="1"/>
  <c r="M29" i="36" a="1"/>
  <c r="M29" i="36" s="1"/>
  <c r="M28" i="36" a="1"/>
  <c r="M28" i="36" s="1"/>
  <c r="L29" i="36" a="1"/>
  <c r="L29" i="36" s="1"/>
  <c r="L28" i="36" a="1"/>
  <c r="L28" i="36" s="1"/>
  <c r="K28" i="36" a="1"/>
  <c r="K28" i="36" s="1"/>
  <c r="K29" i="36" a="1"/>
  <c r="K29" i="36" s="1"/>
  <c r="I29" i="36" a="1"/>
  <c r="I29" i="36" s="1"/>
  <c r="I28" i="36" a="1"/>
  <c r="I28" i="36" s="1"/>
  <c r="K41" i="33"/>
  <c r="J41" i="33"/>
  <c r="H41" i="33"/>
  <c r="H11" i="36"/>
  <c r="H20" i="36" s="1"/>
  <c r="H42" i="33"/>
  <c r="L35" i="36" a="1"/>
  <c r="L35" i="36" s="1"/>
  <c r="K35" i="36" a="1"/>
  <c r="K35" i="36" s="1"/>
  <c r="I35" i="36" a="1"/>
  <c r="I35" i="36" s="1"/>
  <c r="M35" i="36" a="1"/>
  <c r="M35" i="36" s="1"/>
  <c r="M46" i="36" s="1"/>
  <c r="K36" i="36"/>
  <c r="L36" i="36"/>
  <c r="I36" i="36"/>
  <c r="M9" i="36" a="1"/>
  <c r="M9" i="36" s="1"/>
  <c r="L9" i="36" a="1"/>
  <c r="L9" i="36" s="1"/>
  <c r="K9" i="36" a="1"/>
  <c r="K9" i="36" s="1"/>
  <c r="G53" i="33"/>
  <c r="G59" i="33" s="1"/>
  <c r="L17" i="36"/>
  <c r="L16" i="36"/>
  <c r="L22" i="36" s="1"/>
  <c r="M17" i="36"/>
  <c r="M16" i="36"/>
  <c r="M22" i="36" s="1"/>
  <c r="K17" i="36"/>
  <c r="K16" i="36"/>
  <c r="K22" i="36" s="1"/>
  <c r="L8" i="36" a="1"/>
  <c r="L8" i="36" s="1"/>
  <c r="K8" i="36" a="1"/>
  <c r="K8" i="36" s="1"/>
  <c r="K7" i="36" a="1"/>
  <c r="K7" i="36" s="1"/>
  <c r="M8" i="36" a="1"/>
  <c r="M8" i="36" s="1"/>
  <c r="M7" i="36" a="1"/>
  <c r="M7" i="36" s="1"/>
  <c r="L7" i="36" a="1"/>
  <c r="L7" i="36" s="1"/>
  <c r="G8" i="33"/>
  <c r="H37" i="36" s="1"/>
  <c r="G57" i="33"/>
  <c r="K10" i="36" l="1" a="1"/>
  <c r="K10" i="36" s="1"/>
  <c r="L10" i="36" a="1"/>
  <c r="L10" i="36" s="1"/>
  <c r="M10" i="36" a="1"/>
  <c r="M10" i="36" s="1"/>
  <c r="L46" i="36"/>
  <c r="K46" i="36"/>
  <c r="I46" i="36"/>
  <c r="G87" i="33"/>
  <c r="G88" i="33"/>
  <c r="G85" i="33"/>
  <c r="G86" i="33"/>
  <c r="G83" i="33"/>
  <c r="G84" i="33"/>
  <c r="H6" i="36" a="1"/>
  <c r="H6" i="36" s="1"/>
  <c r="I9" i="36" a="1"/>
  <c r="I9" i="36" s="1"/>
  <c r="H12" i="36"/>
  <c r="H25" i="36" s="1" a="1"/>
  <c r="H25" i="36" s="1"/>
  <c r="I17" i="36"/>
  <c r="I16" i="36"/>
  <c r="I7" i="36" a="1"/>
  <c r="I7" i="36" s="1"/>
  <c r="I8" i="36" a="1"/>
  <c r="I8" i="36" s="1"/>
  <c r="G206" i="30"/>
  <c r="G40" i="33" s="1"/>
  <c r="G205" i="30"/>
  <c r="G39" i="33" s="1"/>
  <c r="G71" i="33" l="1"/>
  <c r="G43" i="33"/>
  <c r="H3" i="36" a="1"/>
  <c r="H3" i="36" s="1"/>
  <c r="H32" i="36" a="1"/>
  <c r="H32" i="36" s="1"/>
  <c r="H31" i="36" a="1"/>
  <c r="H31" i="36" s="1"/>
  <c r="I10" i="36" a="1"/>
  <c r="I10" i="36" s="1"/>
  <c r="G42" i="33"/>
  <c r="H65" i="33"/>
  <c r="H73" i="33" s="1"/>
  <c r="H68" i="33"/>
  <c r="H66" i="33"/>
  <c r="H74" i="33" s="1"/>
  <c r="H70" i="33"/>
  <c r="H69" i="33"/>
  <c r="H77" i="33" s="1"/>
  <c r="H67" i="33"/>
  <c r="H75" i="33" s="1"/>
  <c r="G41" i="33"/>
  <c r="H29" i="36" a="1"/>
  <c r="H29" i="36" s="1"/>
  <c r="H28" i="36" a="1"/>
  <c r="H28" i="36" s="1"/>
  <c r="H35" i="36" a="1"/>
  <c r="H35" i="36" s="1"/>
  <c r="H46" i="36" s="1"/>
  <c r="G68" i="33"/>
  <c r="H47" i="36" a="1"/>
  <c r="H47" i="36" s="1"/>
  <c r="I22" i="36"/>
  <c r="H26" i="37" a="1"/>
  <c r="H26" i="37" s="1"/>
  <c r="H33" i="37" s="1" a="1"/>
  <c r="H33" i="37" s="1"/>
  <c r="H21" i="36"/>
  <c r="H30" i="36" a="1"/>
  <c r="H30" i="36" s="1"/>
  <c r="H27" i="36" a="1"/>
  <c r="H27" i="36" s="1"/>
  <c r="H26" i="36" a="1"/>
  <c r="H26" i="36" s="1"/>
  <c r="H13" i="36"/>
  <c r="H36" i="36"/>
  <c r="G81" i="33" l="1"/>
  <c r="H81" i="33"/>
  <c r="H43" i="37" s="1"/>
  <c r="G70" i="33"/>
  <c r="G78" i="33" s="1"/>
  <c r="H9" i="36" a="1"/>
  <c r="H9" i="36" s="1"/>
  <c r="G76" i="33"/>
  <c r="G66" i="33"/>
  <c r="G74" i="33" s="1"/>
  <c r="G65" i="33"/>
  <c r="G73" i="33" s="1"/>
  <c r="G72" i="33"/>
  <c r="G67" i="33"/>
  <c r="G75" i="33" s="1"/>
  <c r="G69" i="33"/>
  <c r="G77" i="33" s="1"/>
  <c r="H16" i="36"/>
  <c r="H22" i="36" s="1"/>
  <c r="H17" i="36"/>
  <c r="H7" i="36" a="1"/>
  <c r="H7" i="36" s="1"/>
  <c r="H8" i="36" a="1"/>
  <c r="H8" i="36" s="1"/>
  <c r="H10" i="36" l="1" a="1"/>
  <c r="H10" i="36" s="1"/>
  <c r="H45" i="37" a="1"/>
  <c r="H45" i="37" s="1"/>
  <c r="H2" i="37"/>
  <c r="H44" i="37"/>
  <c r="H46" i="37"/>
  <c r="H4" i="37"/>
  <c r="H5" i="37" s="1" a="1"/>
  <c r="H5" i="37" s="1"/>
  <c r="G79" i="33"/>
  <c r="H76" i="33"/>
  <c r="G80" i="33"/>
  <c r="H78" i="33"/>
  <c r="H3" i="37" a="1"/>
  <c r="H3" i="3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<sst xmlns="http://schemas.openxmlformats.org/spreadsheetml/2006/main" count="14542" uniqueCount="8032">
  <si>
    <t>Bezeichnung</t>
  </si>
  <si>
    <t>Parameter</t>
  </si>
  <si>
    <t>Einheit</t>
  </si>
  <si>
    <t>Beschreibung</t>
  </si>
  <si>
    <t xml:space="preserve">Kommentar </t>
  </si>
  <si>
    <t>lambda_ins_thick</t>
  </si>
  <si>
    <t>U_inwall</t>
  </si>
  <si>
    <t>T_air_norm</t>
  </si>
  <si>
    <t>T_air_norm_bath</t>
  </si>
  <si>
    <t>ang_roof_slop</t>
  </si>
  <si>
    <t>ang_roof_steep</t>
  </si>
  <si>
    <t>ang_roof_steepr</t>
  </si>
  <si>
    <t>U_opaque_lim</t>
  </si>
  <si>
    <t>U_win_lim</t>
  </si>
  <si>
    <t>r_worst_lim</t>
  </si>
  <si>
    <t>NO_round_Qdot</t>
  </si>
  <si>
    <t>NO_round_Qdot_spez</t>
  </si>
  <si>
    <t>NO_round_rcover</t>
  </si>
  <si>
    <t>f_A_wall_wid</t>
  </si>
  <si>
    <t>f_A_wall_hei</t>
  </si>
  <si>
    <t>f_A_roof_wid</t>
  </si>
  <si>
    <t>f_A_roof_hei</t>
  </si>
  <si>
    <t>f_Vroom_roof</t>
  </si>
  <si>
    <t>f_Awall_roof</t>
  </si>
  <si>
    <t>W/(mK)</t>
  </si>
  <si>
    <t xml:space="preserve">Annahme für lambda Wert der nachträglich aufgebrachten Dämmebene </t>
  </si>
  <si>
    <t>°C</t>
  </si>
  <si>
    <t>Norm-Raumtemperatur Standardraum</t>
  </si>
  <si>
    <t>W/(m²K)</t>
  </si>
  <si>
    <t>°</t>
  </si>
  <si>
    <t>%</t>
  </si>
  <si>
    <t>W</t>
  </si>
  <si>
    <r>
      <t>W/m</t>
    </r>
    <r>
      <rPr>
        <b/>
        <sz val="11"/>
        <color theme="1"/>
        <rFont val="Calibri"/>
        <family val="2"/>
      </rPr>
      <t>²</t>
    </r>
  </si>
  <si>
    <t>m</t>
  </si>
  <si>
    <t>Norm-Raumtemperatur Badezimmer</t>
  </si>
  <si>
    <t>Pauschaler U-Wert Innenwand</t>
  </si>
  <si>
    <t>Dachneigung geneigt</t>
  </si>
  <si>
    <t>Dachneigung steil</t>
  </si>
  <si>
    <t>Dachneigung sehr steil</t>
  </si>
  <si>
    <t>Grenzwert U-Wert für Austauschpotenzial opaker Bauteile</t>
  </si>
  <si>
    <t>Grenzwert U-Wert für Austauschpotenzial Fenster</t>
  </si>
  <si>
    <t>Mindestanteil eines Bauteils an der Raumheizlast, für Austauschpotenzial</t>
  </si>
  <si>
    <t>Genauigkeit Ausgabe Wärmeleistung</t>
  </si>
  <si>
    <t>Genaugikeit ausgabe spez. Wärmeleistung</t>
  </si>
  <si>
    <t xml:space="preserve">Genauigkeit Ausgabe Heizkörper-Deckungsgrad </t>
  </si>
  <si>
    <t>Zuschlag Wandlänge zur Berücksichtigung Außenmaße vs. erfasste Innenmaße</t>
  </si>
  <si>
    <t>Zuschlag Wandhöhe zur Berücksichtigung Außenmaße vs. erfasste Innenmaße</t>
  </si>
  <si>
    <t>Zuschlag Dachbreite zur Berücksichtigung Außenmaße vs. erfasste Innenmaße</t>
  </si>
  <si>
    <t>Zuschlag Dachhöhe zur Berücksichtigung Außenmaße vs. erfasste Innenmaße</t>
  </si>
  <si>
    <t xml:space="preserve">Abschlag Raumvolumen bei Dachräumen </t>
  </si>
  <si>
    <t>Pauschaler Vergrößerungsfaktor der Wandflächen in Dachräumen zur Berücksichtigung der Außenfläche (ggü. erfasster Innenfläche)</t>
  </si>
  <si>
    <r>
      <rPr>
        <b/>
        <sz val="11"/>
        <color theme="1"/>
        <rFont val="Calibri"/>
        <family val="2"/>
      </rPr>
      <t>Syntax Variablen:</t>
    </r>
    <r>
      <rPr>
        <sz val="11"/>
        <color theme="1"/>
        <rFont val="Calibri"/>
        <family val="2"/>
      </rPr>
      <t xml:space="preserve"> Größe</t>
    </r>
    <r>
      <rPr>
        <sz val="11"/>
        <color theme="1"/>
        <rFont val="Calibri"/>
        <family val="2"/>
      </rPr>
      <t xml:space="preserve"> | </t>
    </r>
    <r>
      <rPr>
        <i/>
        <sz val="11"/>
        <color theme="1"/>
        <rFont val="Calibri"/>
        <family val="2"/>
      </rPr>
      <t xml:space="preserve">Medium </t>
    </r>
    <r>
      <rPr>
        <sz val="11"/>
        <color theme="1"/>
        <rFont val="Calibri"/>
        <family val="2"/>
      </rPr>
      <t xml:space="preserve">| System | </t>
    </r>
    <r>
      <rPr>
        <i/>
        <sz val="11"/>
        <color theme="1"/>
        <rFont val="Calibri"/>
        <family val="2"/>
      </rPr>
      <t>Subsystem | Spezifikation | Spezifikation 2</t>
    </r>
  </si>
  <si>
    <t xml:space="preserve">Kursive Kategorien sind optional </t>
  </si>
  <si>
    <t xml:space="preserve">Variable </t>
  </si>
  <si>
    <t xml:space="preserve">Einheit </t>
  </si>
  <si>
    <t xml:space="preserve">(phys.) Größe </t>
  </si>
  <si>
    <t>A</t>
  </si>
  <si>
    <t>Fläche</t>
  </si>
  <si>
    <t>m²</t>
  </si>
  <si>
    <t>B</t>
  </si>
  <si>
    <t xml:space="preserve">Zustandsgröße </t>
  </si>
  <si>
    <t>EXIST</t>
  </si>
  <si>
    <t>Merkmal vorhanden</t>
  </si>
  <si>
    <t>freq</t>
  </si>
  <si>
    <t>Frequenz</t>
  </si>
  <si>
    <t>1/h</t>
  </si>
  <si>
    <t>ID</t>
  </si>
  <si>
    <t>Identifikationsnummer</t>
  </si>
  <si>
    <t>lambda</t>
  </si>
  <si>
    <t>Wärmeleitfähigkeit</t>
  </si>
  <si>
    <t>L</t>
  </si>
  <si>
    <t>Distanz</t>
  </si>
  <si>
    <t>n</t>
  </si>
  <si>
    <t>Anzahl / Heizkörperexponent</t>
  </si>
  <si>
    <t>NO</t>
  </si>
  <si>
    <t>Nummer</t>
  </si>
  <si>
    <t>Q</t>
  </si>
  <si>
    <t>Wärmemenge</t>
  </si>
  <si>
    <t>Wh</t>
  </si>
  <si>
    <t>q</t>
  </si>
  <si>
    <t>spez. Wärmemenge</t>
  </si>
  <si>
    <t>Qdot</t>
  </si>
  <si>
    <t>Wärmestrom</t>
  </si>
  <si>
    <t>qdot</t>
  </si>
  <si>
    <t>spez. Wärmeleistung</t>
  </si>
  <si>
    <t>R</t>
  </si>
  <si>
    <t>Wärmedurchgangswiderstand</t>
  </si>
  <si>
    <t>m²K/W</t>
  </si>
  <si>
    <t>r</t>
  </si>
  <si>
    <t>Anteil</t>
  </si>
  <si>
    <t>S</t>
  </si>
  <si>
    <t>Status</t>
  </si>
  <si>
    <t>T</t>
  </si>
  <si>
    <t>Temperatur</t>
  </si>
  <si>
    <t>Tdif</t>
  </si>
  <si>
    <t xml:space="preserve">Temperaturdifferenz </t>
  </si>
  <si>
    <t xml:space="preserve">K </t>
  </si>
  <si>
    <t>TXT</t>
  </si>
  <si>
    <t>Text</t>
  </si>
  <si>
    <t>TYP</t>
  </si>
  <si>
    <t>Art</t>
  </si>
  <si>
    <t>STYP</t>
  </si>
  <si>
    <t>Unterart</t>
  </si>
  <si>
    <t>U</t>
  </si>
  <si>
    <t>Wärmedurchgangskoeffizient</t>
  </si>
  <si>
    <t>V</t>
  </si>
  <si>
    <t xml:space="preserve">Volumen </t>
  </si>
  <si>
    <t>m³</t>
  </si>
  <si>
    <t>Vdot</t>
  </si>
  <si>
    <t>Volumenstrom</t>
  </si>
  <si>
    <t>m³/h</t>
  </si>
  <si>
    <t>YEAR</t>
  </si>
  <si>
    <t>Jahr</t>
  </si>
  <si>
    <t>-</t>
  </si>
  <si>
    <t>System/Subsystem</t>
  </si>
  <si>
    <t>build</t>
  </si>
  <si>
    <t>Gebäude</t>
  </si>
  <si>
    <t>room</t>
  </si>
  <si>
    <t xml:space="preserve">Raum </t>
  </si>
  <si>
    <t>wall</t>
  </si>
  <si>
    <t>Außenwand</t>
  </si>
  <si>
    <t>heater</t>
  </si>
  <si>
    <t>Heizkörper</t>
  </si>
  <si>
    <t>inwall</t>
  </si>
  <si>
    <t>Innenwand</t>
  </si>
  <si>
    <t>heatp</t>
  </si>
  <si>
    <t>Wärmepumpe</t>
  </si>
  <si>
    <t>rad</t>
  </si>
  <si>
    <t xml:space="preserve">Radiator </t>
  </si>
  <si>
    <t>win</t>
  </si>
  <si>
    <t xml:space="preserve">Fenster </t>
  </si>
  <si>
    <t>roof</t>
  </si>
  <si>
    <t xml:space="preserve">Dach </t>
  </si>
  <si>
    <t>topceil</t>
  </si>
  <si>
    <t xml:space="preserve">Decke </t>
  </si>
  <si>
    <t>botceil</t>
  </si>
  <si>
    <t xml:space="preserve">Boden </t>
  </si>
  <si>
    <t>ins</t>
  </si>
  <si>
    <t xml:space="preserve">Dämmung </t>
  </si>
  <si>
    <t>conn</t>
  </si>
  <si>
    <t>Bauteilanschluss</t>
  </si>
  <si>
    <t>slop</t>
  </si>
  <si>
    <t>Schräge</t>
  </si>
  <si>
    <t>Spezifikation</t>
  </si>
  <si>
    <t>trans</t>
  </si>
  <si>
    <t>Transmission</t>
  </si>
  <si>
    <t>vent</t>
  </si>
  <si>
    <t xml:space="preserve">Ventilation </t>
  </si>
  <si>
    <t>flat</t>
  </si>
  <si>
    <t>Flach</t>
  </si>
  <si>
    <t>col</t>
  </si>
  <si>
    <t>Gliederheizkörper (column radiator)</t>
  </si>
  <si>
    <t>conv</t>
  </si>
  <si>
    <t>Konvektor</t>
  </si>
  <si>
    <t>tube</t>
  </si>
  <si>
    <t xml:space="preserve">Rohrradiator </t>
  </si>
  <si>
    <t>tubular</t>
  </si>
  <si>
    <t>Rohrheizkörper</t>
  </si>
  <si>
    <t>heated</t>
  </si>
  <si>
    <t xml:space="preserve">beheizt </t>
  </si>
  <si>
    <t>unheated</t>
  </si>
  <si>
    <t>unbeheizt/Erdreich</t>
  </si>
  <si>
    <t>amb</t>
  </si>
  <si>
    <t xml:space="preserve">Außenluft/Umgebung </t>
  </si>
  <si>
    <t>VL</t>
  </si>
  <si>
    <t>Vorlauf</t>
  </si>
  <si>
    <t>RL</t>
  </si>
  <si>
    <t>Rücklauf</t>
  </si>
  <si>
    <t>In</t>
  </si>
  <si>
    <t>Eintritt</t>
  </si>
  <si>
    <t>Out</t>
  </si>
  <si>
    <t>Austritt</t>
  </si>
  <si>
    <t>len</t>
  </si>
  <si>
    <t>Länge</t>
  </si>
  <si>
    <t>wid</t>
  </si>
  <si>
    <t>Breite</t>
  </si>
  <si>
    <t>hei</t>
  </si>
  <si>
    <t xml:space="preserve">Höhe </t>
  </si>
  <si>
    <t>thick</t>
  </si>
  <si>
    <t>Dicke</t>
  </si>
  <si>
    <t>set</t>
  </si>
  <si>
    <t>sollwert</t>
  </si>
  <si>
    <t>act</t>
  </si>
  <si>
    <t>Istwert</t>
  </si>
  <si>
    <t>bj</t>
  </si>
  <si>
    <t>Baujahr</t>
  </si>
  <si>
    <t>above</t>
  </si>
  <si>
    <t>oberhalb</t>
  </si>
  <si>
    <t>below</t>
  </si>
  <si>
    <t>unterhalb</t>
  </si>
  <si>
    <t>denkmal</t>
  </si>
  <si>
    <t>denkmalschutz</t>
  </si>
  <si>
    <t>distr</t>
  </si>
  <si>
    <t xml:space="preserve">Verteilung </t>
  </si>
  <si>
    <t>meas</t>
  </si>
  <si>
    <t>gemessen</t>
  </si>
  <si>
    <t>calc</t>
  </si>
  <si>
    <t>berechnet</t>
  </si>
  <si>
    <t>nom</t>
  </si>
  <si>
    <t>nominal / Auslegungspunkt</t>
  </si>
  <si>
    <t>san</t>
  </si>
  <si>
    <t>modernisierung</t>
  </si>
  <si>
    <t>nt</t>
  </si>
  <si>
    <t>Niedertemperatur</t>
  </si>
  <si>
    <t>const</t>
  </si>
  <si>
    <t>Konstante</t>
  </si>
  <si>
    <t>norm</t>
  </si>
  <si>
    <t>normativ</t>
  </si>
  <si>
    <t>warn</t>
  </si>
  <si>
    <t>Warnhinweis</t>
  </si>
  <si>
    <t xml:space="preserve">Gruppe </t>
  </si>
  <si>
    <t>Subgruppe</t>
  </si>
  <si>
    <t>Variable</t>
  </si>
  <si>
    <t xml:space="preserve">Fragentext </t>
  </si>
  <si>
    <t>Hilfstext</t>
  </si>
  <si>
    <t>Antworttyp</t>
  </si>
  <si>
    <t xml:space="preserve">Filter </t>
  </si>
  <si>
    <t>Datentyp</t>
  </si>
  <si>
    <t xml:space="preserve">Pflichtfeld </t>
  </si>
  <si>
    <t>Nachkommastellen</t>
  </si>
  <si>
    <t>min Wert</t>
  </si>
  <si>
    <t>max Wert</t>
  </si>
  <si>
    <t>Wert intern</t>
  </si>
  <si>
    <t>Wert</t>
  </si>
  <si>
    <t>YEAR_eff</t>
  </si>
  <si>
    <t>L_ins_eff [cm]</t>
  </si>
  <si>
    <t>L_ins [cm]</t>
  </si>
  <si>
    <t>Standort</t>
  </si>
  <si>
    <t>NO_build_plz</t>
  </si>
  <si>
    <t>Standort des Gebäudes (PLZ)</t>
  </si>
  <si>
    <t>Freifeld</t>
  </si>
  <si>
    <t>Integer</t>
  </si>
  <si>
    <t>Gebäudetyp</t>
  </si>
  <si>
    <t>TYP_build</t>
  </si>
  <si>
    <t>Das Gebäude ist ein…</t>
  </si>
  <si>
    <t>PopUp: Der Gebäudetyp hilft dabei, die Bauteile und ihren Wärmedurchlass besser einzuschätzen.</t>
  </si>
  <si>
    <t>Radio Button + Grafik</t>
  </si>
  <si>
    <t>String</t>
  </si>
  <si>
    <t>TYP_roof</t>
  </si>
  <si>
    <t xml:space="preserve">Dachform </t>
  </si>
  <si>
    <t xml:space="preserve">PopUp: 
Haben Sie ein sehr flach geneigtes Dach, z.B. ein Pultdach, wählen Sie "Flachdach" statt "geneigt" aus. </t>
  </si>
  <si>
    <t>YEAR_build_bj</t>
  </si>
  <si>
    <t>Dropdown</t>
  </si>
  <si>
    <t>Wurde eines der folgenden Bauteile nachträglich gedämmt / ausgetauscht? ... und ist das Modernisierungsjahr ... Dämmstärke (Freifeld Integer, cm)</t>
  </si>
  <si>
    <t>_build_wall_san</t>
  </si>
  <si>
    <t>siehe Mockups</t>
  </si>
  <si>
    <t>Nein</t>
  </si>
  <si>
    <t>_build_win_san</t>
  </si>
  <si>
    <t>Fenster</t>
  </si>
  <si>
    <t>_build_roof_san</t>
  </si>
  <si>
    <t>Dach</t>
  </si>
  <si>
    <t>_build_botceil_san</t>
  </si>
  <si>
    <t>Fußboden</t>
  </si>
  <si>
    <t>_build_topceil_san</t>
  </si>
  <si>
    <t>Decke</t>
  </si>
  <si>
    <t>Im Haus am höchsten gelegene Decke eines beheizten Raumes.</t>
  </si>
  <si>
    <t>EXIST_build_eff</t>
  </si>
  <si>
    <t xml:space="preserve">Ist Ihnen die Effizienzklasse bekannt? </t>
  </si>
  <si>
    <t xml:space="preserve">PopUp: 
Die Energieeffizienzklasse des Gebäudes können Sie dem Energieausweis entnehmen.  
Haben Sie diesen nicht zur Hand, kennen aber den Endenergiebedarf/-verbrauch ihres Gebäudes? In diesem Fall können Sie die Klasse anhand folgender Werte selbst zuordnen: </t>
  </si>
  <si>
    <t>Nicht bekannt</t>
  </si>
  <si>
    <t>Denkmalschutz</t>
  </si>
  <si>
    <t>EXIST_build_denkmal</t>
  </si>
  <si>
    <t>Das Gebäude steht unter Denkmalschutz</t>
  </si>
  <si>
    <t>toggle switch</t>
  </si>
  <si>
    <t>Wärmeübergabe</t>
  </si>
  <si>
    <t>TYP_build_rad</t>
  </si>
  <si>
    <t>Wie werden die Räume erwärmt?</t>
  </si>
  <si>
    <t>PopUp: Zusatzheizungen wie Kaminöfen, Infrarotheizungen, Elektroheizungen oder Klimaanlagen werden bei der Bewertung der Räume nicht mit einbezogen. Vorhandene Zusatzheizungen tragen aber zur Beheizung einzelner Räume bei und helfen so, die Vorlauftemperatur des zentralen Heizsystems abzusenken. Das kann beispielsweise im Badezimmer sinnvoll sein. Direktelektrische Heizungen sollten wegen ihrer begrenzten Effizienz jedoch nur gezielt und auf kleiner Fläche eingesetzt werden.</t>
  </si>
  <si>
    <t>TYP_distr</t>
  </si>
  <si>
    <t>Wie wird die Wärme verteilt?</t>
  </si>
  <si>
    <t>PopUp: 
Eine Zweirohrheizung führt das warme Wasser über zwei getrennte Leitungen – den Vorlauf zum Heizkörper und den Rücklauf zurück zur Heizungsanlage. Bei einem Einrohrsystem dagegen durchläuft das Wasser alle Heizkörper nacheinander in einer einzigen Leitung, sodass auch geschlossene Thermostatventile den Durchfluss nicht vollständig stoppen. Erkennen lässt sich ein Einrohrsystem daran, dass das Wasser trotz geschlossener Thermostatventile weiter zum nächsten Heizkörper strömt.</t>
  </si>
  <si>
    <t>Radio Button</t>
  </si>
  <si>
    <t>not ODER(P14 = "Nachtspeicherheizung (Stromdirektheizung)"; P14 =  "Andere")</t>
  </si>
  <si>
    <t>EXIST_T_VL_set</t>
  </si>
  <si>
    <t>Ich weiß auf welche Vorlauftemperatur die Heizung am Auslegungspunkt eingestellt ist.</t>
  </si>
  <si>
    <t>Untertext:
Ist Ihnen die für den kältesten Wintertag eingestellte Heizwassertemperatur bekannt? Ansonsten wählen Sie "Nein".
PopUp: 
Die Vorlauftemperatur ist die Temperatur des Heizwassers, das von der Zentralheizung (Wärmepumpe, Gas- oder Pelletheizung, usw.) zu den einzelnen Heizkörpern oder zur Fußbodenheizung fließt. Ist Ihnen diese Temperatur nicht bekannt, wählen Sie "Nein".
Je kälter die Außentemperatur, desto wärmer muss das Heizwasser sein. Dieser Zusammenhang wird der Heizung durch die Heizkurve vorgegeben. Daraus ergibt sich die Heizwassertemperatur, die am kältesten Wintertag (Normaußentemperatur), der am Gebäudestandort zu erwarten ist, benötigt wird (Auslegungspunkt). 
In vielen Häusern ist die Vorlauftemperatur höher eingestellt, als eigentlich nötig. Das heißt: Auch wenn Ihre Heizung derzeit mit hohen Temperaturen läuft, kann Ihr Gebäude trotzdem für eine Wärmepumpe geeignet sein.</t>
  </si>
  <si>
    <t>not EXIST_T_VL_meas OR not TYP_build == "Mehrfamilienhaus"</t>
  </si>
  <si>
    <t>Boolean</t>
  </si>
  <si>
    <t xml:space="preserve">T_VL_nom_set </t>
  </si>
  <si>
    <t>Vorlauftemperatur am Auslegungspunkt</t>
  </si>
  <si>
    <t>EXIST_T_VL_meas</t>
  </si>
  <si>
    <t>Ich kann im Heizungsraum die Vorlauftemperatur ablesen und die Außentemperatur messen</t>
  </si>
  <si>
    <t>Untertext: 
Lesen Sie die Vorlauftemperatur Ihrer Heizung bei kaltem Wetter ab (über mindestens zwei Tage hinweg unter 5°C) und notieren Sie dazu auch die Außentemperatur am Standort Ihres Gebäudes.
PopUp: 
Anhand der beiden Temperaturwerte kann die Vorlauftemperatur am Auslegungspunkt abgeschätzt werden. Dies ist jedoch nur bei ausreichend kalten Außentemperaturen möglich.
Sie können die Außentemperatur falls möglich an Ihrer Heizung ablesen. Sollte Ihnen keine vor Ort gemessene Außentemperatur vorliegen, nutzen Sie die Temperaturmessungen der nächstgelegenen Wetterstation zum gleichen Zeitpunkt.
In vielen Häusern ist die Vorlauftemperatur höher eingestellt, als eigentlich nötig. Das heißt: Auch wenn Ihre Heizung derzeit mit hohen Temperaturen läuft, kann Ihr Gebäude trotzdem für eine Wärmepumpe geeignet sein.</t>
  </si>
  <si>
    <t>not EXIST_T_VL_set OR not TYP_build == "Mehrfamilienhaus"</t>
  </si>
  <si>
    <t xml:space="preserve">T_VL_meas </t>
  </si>
  <si>
    <t>Vorlauftemperatur</t>
  </si>
  <si>
    <t xml:space="preserve">T_amb_meas </t>
  </si>
  <si>
    <t>bei einer Außentemperatur von:</t>
  </si>
  <si>
    <t>INTERN_T_VL_nom_calc</t>
  </si>
  <si>
    <t>INTERN_EXIST_T_VL_nt</t>
  </si>
  <si>
    <t>Bauteil</t>
  </si>
  <si>
    <t>Frage (ifeu intern)</t>
  </si>
  <si>
    <t>Wert Räume --&gt;</t>
  </si>
  <si>
    <t>ID_R#</t>
  </si>
  <si>
    <t>Intern</t>
  </si>
  <si>
    <t>TXT_room_name</t>
  </si>
  <si>
    <t>Name des Raumes</t>
  </si>
  <si>
    <t>Ausgabe</t>
  </si>
  <si>
    <t>A_floor</t>
  </si>
  <si>
    <t>Grundfläche des Raumes</t>
  </si>
  <si>
    <t>PopUp: Gemeint ist die Grundfläche des Fußbodens, nicht die Wohnfläche. Diese berücksichtigt Flächen unter Dachschrägen nicht vollständig.</t>
  </si>
  <si>
    <t>Freitext</t>
  </si>
  <si>
    <t>Real</t>
  </si>
  <si>
    <t>L_hei</t>
  </si>
  <si>
    <t>Raumhöhe</t>
  </si>
  <si>
    <t xml:space="preserve">Freitext </t>
  </si>
  <si>
    <t>T_air_set</t>
  </si>
  <si>
    <t>gewünsche Raumtemperatur</t>
  </si>
  <si>
    <t>Es werden typischerweise 20°C in Wohnräumen und 24°C in Bädern angesetzt. Ihre eigenen Komforttemperaturen können davon abweichen. 
Es handelt sich um ein Badezimmer? Überprüfen Sie den Raum im Nachgang noch einmal bei 20 °C Raumtemperatur. Sollte die Heizfläche dann ausreichen, genügt es zumeist, dass an sehr kalten Tagen ein Infrarotstrahler oder ein Elektroheizkörper zusätzliche Wärme spendet.</t>
  </si>
  <si>
    <t>TYP_V_above</t>
  </si>
  <si>
    <t>Decke grenzt an</t>
  </si>
  <si>
    <t>Hiermit ist die horizontale Decke des Raumes gemeint. Befindet sich über dieser Decke ein kalter Dachraum, wählen Sie "unbeheizt".</t>
  </si>
  <si>
    <t>TYP_roof =! "Flach bzw. Flachdach"</t>
  </si>
  <si>
    <t>unbeheizt</t>
  </si>
  <si>
    <t>TYP_V_below</t>
  </si>
  <si>
    <t>Fußboden grenzt an</t>
  </si>
  <si>
    <t>L_wall_tot</t>
  </si>
  <si>
    <t>Gesamtlänge der Außenwände</t>
  </si>
  <si>
    <t>Berücksichtigen Sie nur Wände, die direkten Kontakt zur Außenluft haben oder ans Erdreich grenzen. 
Kniestöcke oder Drempelwände werden bei den Dachflächen erfasst.</t>
  </si>
  <si>
    <t>UI_YEAR_wall_ins</t>
  </si>
  <si>
    <t xml:space="preserve">Abweichendes Modernisierungsjahr </t>
  </si>
  <si>
    <t>UI_L_wall_ins</t>
  </si>
  <si>
    <t xml:space="preserve">Abweichende Dämmstärke? </t>
  </si>
  <si>
    <t>PopUp: Falls nur ein Teil der Außenwand gedämmt wurde (bspw. nur Nordseite), können Sie für ein genaueres Ergebnis die mittlere Dämmstärke angeben.</t>
  </si>
  <si>
    <t>EXIST_build_wall_san</t>
  </si>
  <si>
    <t>cm</t>
  </si>
  <si>
    <t>Außenwand Art</t>
  </si>
  <si>
    <t>intern</t>
  </si>
  <si>
    <t>INTERN_TYP_wall_grenztan_intern</t>
  </si>
  <si>
    <t>Außenluft</t>
  </si>
  <si>
    <t>Fenstertyp 1</t>
  </si>
  <si>
    <t>win1</t>
  </si>
  <si>
    <t>Geben Sie die Abmaße des Fenstertyps an, Breite</t>
  </si>
  <si>
    <t xml:space="preserve">Untertext: Geben Sie die Abmaße des ersten Fenstertyps an. Außentüren bitte ebenfalls hier erfassen. </t>
  </si>
  <si>
    <t>Anzahl</t>
  </si>
  <si>
    <t>Anzahl identischer Fenster</t>
  </si>
  <si>
    <t>Fenstertyp 2</t>
  </si>
  <si>
    <t>win2</t>
  </si>
  <si>
    <t>Fenstertyp 3</t>
  </si>
  <si>
    <t>win3</t>
  </si>
  <si>
    <t>Geben Sie die Abmaße des dritten Fenstertyps an, Breite</t>
  </si>
  <si>
    <t>innerwall</t>
  </si>
  <si>
    <t>EXIST_innerwall</t>
  </si>
  <si>
    <t>Innenwände zu unbeheiztem Raum vorhanden?</t>
  </si>
  <si>
    <t>z. B. angrenzend an Garage, Kellerraum oder Treppenhaus</t>
  </si>
  <si>
    <t xml:space="preserve">toggle switch </t>
  </si>
  <si>
    <t>L_innerwall_tot</t>
  </si>
  <si>
    <t>Gesamtlänge der Innenwände gegen unbeheizte Räume</t>
  </si>
  <si>
    <t>L_innerwall_ins</t>
  </si>
  <si>
    <t>Dämmung vorhanden?</t>
  </si>
  <si>
    <t>Dachfläche</t>
  </si>
  <si>
    <t>EXIST_roof</t>
  </si>
  <si>
    <t>Vorhandene Dachflächen?</t>
  </si>
  <si>
    <t xml:space="preserve">PopUp: Haben Sie mehr als zwei oder nicht identische Dachflächen im Raum, wählen Sie bitte "komplexe Dachfläche". Gauben werden separat erfasst. </t>
  </si>
  <si>
    <t xml:space="preserve">Radio Button </t>
  </si>
  <si>
    <t xml:space="preserve"> TYP_roof =/ "Flach bzw. Flachdach"</t>
  </si>
  <si>
    <t>Keine</t>
  </si>
  <si>
    <t>L_roof_wid</t>
  </si>
  <si>
    <t>(EXIST_roof == "Eine" OR EXIST_roof == "Zwei (symmetrisch)") AND TYP_roof =/ "Flach bzw. Flachdach"</t>
  </si>
  <si>
    <t xml:space="preserve"> </t>
  </si>
  <si>
    <t>L_roof_hei</t>
  </si>
  <si>
    <t>Ist eine horizontale Decke vorhanden? Geben Sie bitte die Breite an</t>
  </si>
  <si>
    <t>Lassen Sie das Feld leer, wenn keine horizontale Decke vorhanden ist.</t>
  </si>
  <si>
    <t>n_wall_Giebel</t>
  </si>
  <si>
    <t xml:space="preserve">Geben Sie die Anzahl der Giebelwände an. </t>
  </si>
  <si>
    <t xml:space="preserve">Ist keine gegen Außenluft grenzende Giebelwand vorhanden, bitte 0 eingeben. </t>
  </si>
  <si>
    <t>(EXIST_roof =/ "Keine" OR EXIST_roof =/ "Flachdach") AND TYP_roof =/ "Flach bzw. Flachdach"</t>
  </si>
  <si>
    <t>L_roof_jamb_hei</t>
  </si>
  <si>
    <t>Falls eine Drempelwand bzw. Kniestock vorhanden ist, geben Sie die Höhe an</t>
  </si>
  <si>
    <t>PopUp: Ein Drempel ist eine senkrechte, leichte Trennwand zwischen Dachschräge und Fußboden, die nicht Teil der Außenwand ist - dahinter befidet sich meist ein Hohlraum.
Ein Kniestock beschreibt eine senkrechte Wand zwischen Dachschräge und Fußboden und gehört zur Außenwand des Hauses.</t>
  </si>
  <si>
    <t>TYP_jamb_hei</t>
  </si>
  <si>
    <t>Klopfen Sie gegen die senkrechte Wand unter der Dachschräge. Klingt es hohl?</t>
  </si>
  <si>
    <t>PopUp: Klingt es hohl, haben Sie wahrscheinlich eine Drempelwand. Diese hat andere Auswirkungen auf die Wärmeverluste als ein Kniestock.</t>
  </si>
  <si>
    <t>(EXIST_roof =/ "Keine" OR EXIST_roof =/ "Flachdach") AND TYP_roof =/ "Flach bzw. Flachdach" AND L_roof_jamb_hei &gt; 0</t>
  </si>
  <si>
    <t>Ja</t>
  </si>
  <si>
    <t>EXIST_roof_knee_eff</t>
  </si>
  <si>
    <t>INTERN - Haben sie einen Kniestock unter der Dachschräge?</t>
  </si>
  <si>
    <t>L_roof_knee_hei_eff</t>
  </si>
  <si>
    <t>INTERN - Falls ein Kniestock vorhanden ist, geben Sie dessen Höhe an</t>
  </si>
  <si>
    <t>EXIST_roof_jamb_eff</t>
  </si>
  <si>
    <t>INTERN - Haben sie einen Drempel unter der Dachschräge?</t>
  </si>
  <si>
    <t>Klopfen Sie gegen die senkrechte Wand unter der Dachschräge. Klingt es hohl, haben Sie vermutlich einen Drempel.</t>
  </si>
  <si>
    <t>L_roof_jamb_hei_eff</t>
  </si>
  <si>
    <t>INTERN - Falls ein Drempel vorhanden ist, geben Sie dessen Höhe an</t>
  </si>
  <si>
    <t xml:space="preserve">Der Drempel beschreibt im Dachbereich die Höhe der leichten Trennwand zwischen Fußboden und Beginn des Dachs. </t>
  </si>
  <si>
    <t>Gaube</t>
  </si>
  <si>
    <t>dormer</t>
  </si>
  <si>
    <t>EXIST_dormer</t>
  </si>
  <si>
    <t>Ist eine Gaube in der Dachschräge vorhanden?</t>
  </si>
  <si>
    <t>Fenster 1 in Dachfläche 1</t>
  </si>
  <si>
    <t>L_roof_win1_wid</t>
  </si>
  <si>
    <t>Geben Sie die Abmaße des Dachfenstertyps an, Breite</t>
  </si>
  <si>
    <t xml:space="preserve">Dachfenster: Falls vorhanden geben Sie in den Dachflächen enthaltene Fenster ein. Die Fensterfläche wird in der Berechnung von der Dachfläche abgezogen. Fenster in Gauben müssen nicht erfasst werden. Lassen Sie die Feld leer oder wählen Sie 0, wenn kein Fenster vorhanden ist. </t>
  </si>
  <si>
    <t>L_roof_win1_hei</t>
  </si>
  <si>
    <t>YEAR_roof_win1</t>
  </si>
  <si>
    <t>NO_roof_win1</t>
  </si>
  <si>
    <t>Anzahl identischer Dachfenster</t>
  </si>
  <si>
    <t>Fenster 2 in Dachfläche 1</t>
  </si>
  <si>
    <t>L_roof_win2_wid</t>
  </si>
  <si>
    <t>L_roof_win2_hei</t>
  </si>
  <si>
    <t>YEAR_roof_win2</t>
  </si>
  <si>
    <t>NO_roof_win2</t>
  </si>
  <si>
    <t>Heizkörper 1 im Raum 1</t>
  </si>
  <si>
    <t>rad1</t>
  </si>
  <si>
    <t>TYP_1_rad1</t>
  </si>
  <si>
    <t>Typ</t>
  </si>
  <si>
    <t>TYP_2_rad1</t>
  </si>
  <si>
    <t>Subtyp</t>
  </si>
  <si>
    <t>L_rad1_hei</t>
  </si>
  <si>
    <t>mm</t>
  </si>
  <si>
    <t>L_rad1_wid</t>
  </si>
  <si>
    <t>L_rad1_thick</t>
  </si>
  <si>
    <t>Tiefe</t>
  </si>
  <si>
    <t>n_rad1_col</t>
  </si>
  <si>
    <t>Glieder</t>
  </si>
  <si>
    <t>TYP_1_rad1="Gliederheizkörper"</t>
  </si>
  <si>
    <t>n_rad1</t>
  </si>
  <si>
    <t>Anzahl identischer Heizkörper im Raum</t>
  </si>
  <si>
    <t>Heizkörper 2 im Raum 1</t>
  </si>
  <si>
    <t>rad2</t>
  </si>
  <si>
    <t>TYP_1_rad2</t>
  </si>
  <si>
    <t>TYP_2_rad2</t>
  </si>
  <si>
    <t>L_rad2_hei</t>
  </si>
  <si>
    <t>L_rad2_wid</t>
  </si>
  <si>
    <t>L_rad2_thick</t>
  </si>
  <si>
    <t>n_rad2_col</t>
  </si>
  <si>
    <t>TYP_1_rad2="Gliederheizkörper"</t>
  </si>
  <si>
    <t>n_rad2</t>
  </si>
  <si>
    <t>Heizkörper 3 im Raum 1</t>
  </si>
  <si>
    <t>rad3</t>
  </si>
  <si>
    <t>TYP_1_rad3</t>
  </si>
  <si>
    <t>TYP_2_rad3</t>
  </si>
  <si>
    <t>L_rad3_hei</t>
  </si>
  <si>
    <t>L_rad3_wid</t>
  </si>
  <si>
    <t>L_rad3_thick</t>
  </si>
  <si>
    <t>n_rad3_col</t>
  </si>
  <si>
    <t>TYP_1_rad3="Gliederheizkörper"</t>
  </si>
  <si>
    <t>n_rad3</t>
  </si>
  <si>
    <t>Effektive Werte</t>
  </si>
  <si>
    <t xml:space="preserve">Interne Variablen </t>
  </si>
  <si>
    <t>YEAR_wall_ins_eff</t>
  </si>
  <si>
    <t>L_wall_ins_intern</t>
  </si>
  <si>
    <t>Abweichende Dämmstärke? &gt;&gt; default Wert</t>
  </si>
  <si>
    <t>L_wall_ins_eff</t>
  </si>
  <si>
    <t>Abweichende Dämmstärke?  &gt;&gt; effektiver Wert</t>
  </si>
  <si>
    <t xml:space="preserve">Abweichendes Einbaujahr </t>
  </si>
  <si>
    <t>YEAR_roof_win1_eff</t>
  </si>
  <si>
    <t>Zusätzliche Erhebung Dachflächen</t>
  </si>
  <si>
    <t>A_roof_total</t>
  </si>
  <si>
    <t>Gesamte Dachfläche</t>
  </si>
  <si>
    <t>Bitte alle Dachflächen im Raum summieren.</t>
  </si>
  <si>
    <t>EXIST_roof == "Komplex" AND TYP_roof =/ "Flach bzw. Flachdach"</t>
  </si>
  <si>
    <t>A_ceil_total</t>
  </si>
  <si>
    <t>Gesamte Deckenfläche</t>
  </si>
  <si>
    <t>Bitte bei mehreren Deckenflächen aufsummieren.</t>
  </si>
  <si>
    <t>Bauteil IWU</t>
  </si>
  <si>
    <t>Erläuterung</t>
  </si>
  <si>
    <t>Kommentar</t>
  </si>
  <si>
    <t>Raumindex</t>
  </si>
  <si>
    <t>Raumbezeichnung</t>
  </si>
  <si>
    <t>Luftwechsel</t>
  </si>
  <si>
    <t>Volumen</t>
  </si>
  <si>
    <t>V_room</t>
  </si>
  <si>
    <t>Luftwechselrate ni</t>
  </si>
  <si>
    <t>freq_room_vent</t>
  </si>
  <si>
    <t>Wärmebrückenkoeffizient ∆U,TB</t>
  </si>
  <si>
    <t>qdot_build_conn_trans</t>
  </si>
  <si>
    <t>ρ*cp pauschal nach 12831</t>
  </si>
  <si>
    <t>Q_build_vent_const</t>
  </si>
  <si>
    <t>Wh/(m³K)</t>
  </si>
  <si>
    <t>Berechnungs-Raumtemperatur</t>
  </si>
  <si>
    <t>T_room_heated</t>
  </si>
  <si>
    <t>Mindes-Luftvolumenstrom qv,min</t>
  </si>
  <si>
    <t>Vdot_room</t>
  </si>
  <si>
    <t>Heizlast Ventilation [W]</t>
  </si>
  <si>
    <t>Qdot_room_vent</t>
  </si>
  <si>
    <t>Anteil an Raumheizlast</t>
  </si>
  <si>
    <t>r_Qdot_room_vent</t>
  </si>
  <si>
    <t>Fläche [m²]</t>
  </si>
  <si>
    <t>A_wall</t>
  </si>
  <si>
    <t xml:space="preserve">U-Wert_IWU </t>
  </si>
  <si>
    <t>U_wall_bj</t>
  </si>
  <si>
    <t>W/m²K</t>
  </si>
  <si>
    <t xml:space="preserve">U-Wert_Berechnung </t>
  </si>
  <si>
    <t>U_wall_calc</t>
  </si>
  <si>
    <t xml:space="preserve">Heizlast Transmission </t>
  </si>
  <si>
    <t>Qdot_wall_trans</t>
  </si>
  <si>
    <t>r_Qdot_wall_trans</t>
  </si>
  <si>
    <t>A_inwall</t>
  </si>
  <si>
    <t>U_inwall_bj</t>
  </si>
  <si>
    <t>U_inwall_calc</t>
  </si>
  <si>
    <t>Qdot_inwall_trans</t>
  </si>
  <si>
    <t>r_Qdot_inwall_trans</t>
  </si>
  <si>
    <t>Gaube (Seitenwände pauschal)</t>
  </si>
  <si>
    <t>ZWISCHENERGEBNIS Heizlast Transmission</t>
  </si>
  <si>
    <t xml:space="preserve">Gaube (Vergrößerung Volumen) </t>
  </si>
  <si>
    <t>Volumen Gaube</t>
  </si>
  <si>
    <t>A_roof</t>
  </si>
  <si>
    <t>U_roof_bj</t>
  </si>
  <si>
    <t>U_roof_calc</t>
  </si>
  <si>
    <t>Qdot_roof_trans</t>
  </si>
  <si>
    <t>r_Qdot_roof_trans</t>
  </si>
  <si>
    <t>Abzgl. Dachschräge vorhandene Deckenfläche</t>
  </si>
  <si>
    <t>A_roof_topceil</t>
  </si>
  <si>
    <t>A_topceil</t>
  </si>
  <si>
    <t>U_topceil_bj</t>
  </si>
  <si>
    <t>U_topceil_calc</t>
  </si>
  <si>
    <t>Qdot_topceil_trans</t>
  </si>
  <si>
    <t>r_Qdot_topceil_trans</t>
  </si>
  <si>
    <t>A_botceil</t>
  </si>
  <si>
    <t>Immer über Grundfläche. Aber wenn Drempel, dann Fläche entsprechend Nebenrechnung vergrößern</t>
  </si>
  <si>
    <t>U_botceil_bj</t>
  </si>
  <si>
    <t>U-Wert Berechnung</t>
  </si>
  <si>
    <t>U_botceil_calc</t>
  </si>
  <si>
    <t>Qdot_botceil_trans</t>
  </si>
  <si>
    <t>r_Qdot_botceil_trans</t>
  </si>
  <si>
    <t xml:space="preserve">Fläche </t>
  </si>
  <si>
    <t>A_wall_win1</t>
  </si>
  <si>
    <t>U_wall_win1_bj</t>
  </si>
  <si>
    <t>U-Wert ausgetauschte Fenster</t>
  </si>
  <si>
    <t>R_wall_win1_calc</t>
  </si>
  <si>
    <t>U_wall_win1_calc</t>
  </si>
  <si>
    <t>Qdot_wall_win1_trans</t>
  </si>
  <si>
    <t>r_Qdot_wall_win1_trans</t>
  </si>
  <si>
    <t>A_wall_win2</t>
  </si>
  <si>
    <t>U_wall_win2_bj</t>
  </si>
  <si>
    <t>R_wall_win2_calc</t>
  </si>
  <si>
    <t>U_wall_win2_calc</t>
  </si>
  <si>
    <t>Qdot_wall_win2_trans</t>
  </si>
  <si>
    <t>r_Qdot_wall_win2_trans</t>
  </si>
  <si>
    <t>A_wall_win3</t>
  </si>
  <si>
    <t>U_wall_win3_bj</t>
  </si>
  <si>
    <t>R_wall_win3_calc</t>
  </si>
  <si>
    <t>U_wall_win3_calc</t>
  </si>
  <si>
    <t>Qdot_wall_win3_trans</t>
  </si>
  <si>
    <t>r_Qdot_wall_win3_trans</t>
  </si>
  <si>
    <t>A_roof_win1</t>
  </si>
  <si>
    <t>U_roof_win1_bj</t>
  </si>
  <si>
    <t>R_roof_win1_calc</t>
  </si>
  <si>
    <t>U_roof_win1_calc</t>
  </si>
  <si>
    <t>Qdot_roof_win1_trans</t>
  </si>
  <si>
    <t>r_Qdot_roof_win1_trans</t>
  </si>
  <si>
    <t>A_roof_win2</t>
  </si>
  <si>
    <t>U_roof_win2_bj</t>
  </si>
  <si>
    <t>R_roof_win2_calc</t>
  </si>
  <si>
    <t>U_roof_win2_calc</t>
  </si>
  <si>
    <t>Qdot_roof_win2_trans</t>
  </si>
  <si>
    <t>r_Qdot_roof_win2_trans</t>
  </si>
  <si>
    <t>Heizlast_total</t>
  </si>
  <si>
    <t>Qdot_room</t>
  </si>
  <si>
    <t xml:space="preserve">Heizlast_spezifisch </t>
  </si>
  <si>
    <t>qdot_room</t>
  </si>
  <si>
    <t>Heizlast mit Abschlag</t>
  </si>
  <si>
    <t>Qdot_room_cor</t>
  </si>
  <si>
    <t>Heizlast_spez mit Abschlag</t>
  </si>
  <si>
    <t>qdot_room_cor</t>
  </si>
  <si>
    <t>Kontrolle</t>
  </si>
  <si>
    <t>r_Qdot_room</t>
  </si>
  <si>
    <t>TYP_rad1_flat</t>
  </si>
  <si>
    <t>Subtyp_2</t>
  </si>
  <si>
    <t>STYP_rad1_flat</t>
  </si>
  <si>
    <t>Höhe</t>
  </si>
  <si>
    <t>L_rad1_flat_hei</t>
  </si>
  <si>
    <t>L_rad1_flat_wid</t>
  </si>
  <si>
    <t>L_rad1_flat_thick</t>
  </si>
  <si>
    <t>Heizkörperexponent</t>
  </si>
  <si>
    <t>f_rad1_flat</t>
  </si>
  <si>
    <t>Norm-Heizleistung 75/65/20</t>
  </si>
  <si>
    <t>Qdot_rad1_flat_norm</t>
  </si>
  <si>
    <t>T,VL des gewünschten Systems</t>
  </si>
  <si>
    <t>T_rad1_flat_VL_nom</t>
  </si>
  <si>
    <t>T,RL des gewünschten Systems</t>
  </si>
  <si>
    <t>T_rad1_flat_RL_nom</t>
  </si>
  <si>
    <t>Log. Übertemperatur unter Auslegungsbedingungen</t>
  </si>
  <si>
    <t>Tdif_rad1_flat</t>
  </si>
  <si>
    <t>K</t>
  </si>
  <si>
    <t>Leistungsabgabe des Heizkörpers unter den Auslegungsbedingungen</t>
  </si>
  <si>
    <t>Qdot_rad1_flat_nom</t>
  </si>
  <si>
    <t>Leistungsabgabe eines Typ 33 unter den Auslegungsbedingungen</t>
  </si>
  <si>
    <t>flat33</t>
  </si>
  <si>
    <t>Qdot_rad1__flat_flat33_nom</t>
  </si>
  <si>
    <t>TYP_rad1_col</t>
  </si>
  <si>
    <t>STYP_rad1_col</t>
  </si>
  <si>
    <t>L_rad1_col_hei</t>
  </si>
  <si>
    <t>L_rad1_col_wid</t>
  </si>
  <si>
    <t>Anzahl Glieder</t>
  </si>
  <si>
    <t>n_rad1_col_col</t>
  </si>
  <si>
    <t>Stk</t>
  </si>
  <si>
    <t>Qdot_rad1_col_norm</t>
  </si>
  <si>
    <t>T_rad1_col_VL_nom</t>
  </si>
  <si>
    <t>T_rad1_col_RL_nom</t>
  </si>
  <si>
    <t>Tdif_rad1_col</t>
  </si>
  <si>
    <t>Qdot_rad1_col_nom</t>
  </si>
  <si>
    <t>Qdot_rad1_col_flat33_nom</t>
  </si>
  <si>
    <t>TYP_rad1_tube</t>
  </si>
  <si>
    <t>STYP_rad1_tube</t>
  </si>
  <si>
    <t>L_rad1_tube_hei</t>
  </si>
  <si>
    <t>L_rad1_tube_wid</t>
  </si>
  <si>
    <t>L_rad1_tube_thick</t>
  </si>
  <si>
    <t>n_rad1_tube_col</t>
  </si>
  <si>
    <t>n_rad1_tube</t>
  </si>
  <si>
    <t>Qdot_rad1_tube_norm</t>
  </si>
  <si>
    <t>T_rad1_tube_VL_nom</t>
  </si>
  <si>
    <t>T_rad1_tube_RL_nom</t>
  </si>
  <si>
    <t>Tdif_rad1_tube</t>
  </si>
  <si>
    <t>Qdot_rad1_tube_nom</t>
  </si>
  <si>
    <t>Qdot_rad1_tube_flat33_nom</t>
  </si>
  <si>
    <t>Außendurchmesser Rohr</t>
  </si>
  <si>
    <t>Gesamtlänge Rohr</t>
  </si>
  <si>
    <t>Rippenhöhe</t>
  </si>
  <si>
    <t>Rippenabstand</t>
  </si>
  <si>
    <t>Rohrübertemperatur</t>
  </si>
  <si>
    <t>TYP_rad1_conv</t>
  </si>
  <si>
    <t>STYP_rad1_conv</t>
  </si>
  <si>
    <t>L_rad1_conv_hei</t>
  </si>
  <si>
    <t>L_rad1_conv_wid</t>
  </si>
  <si>
    <t>L_rad1_conv_thick</t>
  </si>
  <si>
    <t>n_rad1_conv</t>
  </si>
  <si>
    <t>Qdot_rad1_conv_norm</t>
  </si>
  <si>
    <t>T_rad_conv_VL_nom</t>
  </si>
  <si>
    <t>T_rad_conv_RL_nom</t>
  </si>
  <si>
    <t>Tdif_rad1_conv</t>
  </si>
  <si>
    <t>Qdot_rad1_conv_nom</t>
  </si>
  <si>
    <t>Qdot_rad1_conv_flat33_nom</t>
  </si>
  <si>
    <t>OUTPUT: Leistungsabgabe vorliegender Heizkörper</t>
  </si>
  <si>
    <t>Qdot_rad1</t>
  </si>
  <si>
    <t>OUTPUT: Leistungsabgabe Austausch-Heizkörper Typ33</t>
  </si>
  <si>
    <t>flatt33</t>
  </si>
  <si>
    <t>Qdot_rad_flatt33</t>
  </si>
  <si>
    <t>TYP_rad2_flat</t>
  </si>
  <si>
    <t>STYP_rad2_flat</t>
  </si>
  <si>
    <t>L_rad2_flat_hei</t>
  </si>
  <si>
    <t>L_rad2_flat_wid</t>
  </si>
  <si>
    <t>L_rad2_flat_thick</t>
  </si>
  <si>
    <t>f_rad2_flat</t>
  </si>
  <si>
    <t>Qdot_rad2_flat_norm</t>
  </si>
  <si>
    <t>T_rad2_flat_VL_nom</t>
  </si>
  <si>
    <t>T_rad2_flat_RL_nom</t>
  </si>
  <si>
    <t>Tdif_rad2_flat</t>
  </si>
  <si>
    <t>Qdot_rad2_flat_nom</t>
  </si>
  <si>
    <t>Qdot_rad2__flat_flat33_nom</t>
  </si>
  <si>
    <t>TYP_rad2_col</t>
  </si>
  <si>
    <t>STYP_rad2_col</t>
  </si>
  <si>
    <t>L_rad2_col_hei</t>
  </si>
  <si>
    <t>L_rad2_col_wid</t>
  </si>
  <si>
    <t>n_rad2_col_col</t>
  </si>
  <si>
    <t>Qdot_rad2_col_norm</t>
  </si>
  <si>
    <t>T_rad2_col_VL_nom</t>
  </si>
  <si>
    <t>T_rad2_col_RL_nom</t>
  </si>
  <si>
    <t>Tdif_rad2_col</t>
  </si>
  <si>
    <t>Qdot_rad2_col_nom</t>
  </si>
  <si>
    <t>Qdot_rad2_col_flat33_nom</t>
  </si>
  <si>
    <t>TYP_rad2_tube</t>
  </si>
  <si>
    <t>STYP_rad2_tube</t>
  </si>
  <si>
    <t>L_rad2_tube_hei</t>
  </si>
  <si>
    <t>L_rad2_tube_wid</t>
  </si>
  <si>
    <t>L_rad2_tube_thick</t>
  </si>
  <si>
    <t>n_rad2_tube_col</t>
  </si>
  <si>
    <t>n_rad2_tube</t>
  </si>
  <si>
    <t>Qdot_rad2_tube_norm</t>
  </si>
  <si>
    <t>T_rad2_tube_VL_nom</t>
  </si>
  <si>
    <t>T_rad2_tube_RL_nom</t>
  </si>
  <si>
    <t>Tdif_rad2_tube</t>
  </si>
  <si>
    <t>Qdot_rad2_tube_nom</t>
  </si>
  <si>
    <t>Qdot_rad2_tube_flat33_nom</t>
  </si>
  <si>
    <t>TYP_rad2_conv</t>
  </si>
  <si>
    <t>STYP_rad2_conv</t>
  </si>
  <si>
    <t>L_rad2_conv_hei</t>
  </si>
  <si>
    <t>L_rad2_conv_wid</t>
  </si>
  <si>
    <t>L_rad2_conv_thick</t>
  </si>
  <si>
    <t>n_rad2_conv</t>
  </si>
  <si>
    <t>Qdot_rad2_conv_norm</t>
  </si>
  <si>
    <t>Tdif_rad2_conv</t>
  </si>
  <si>
    <t>Qdot_rad2_conv_nom</t>
  </si>
  <si>
    <t>Qdot_rad2_conv_flat33_nom</t>
  </si>
  <si>
    <t>TYP_rad3_flat</t>
  </si>
  <si>
    <t>STYP_rad3_flat</t>
  </si>
  <si>
    <t>L_rad3_flat_hei</t>
  </si>
  <si>
    <t>L_rad3_flat_wid</t>
  </si>
  <si>
    <t>L_rad3_flat_thick</t>
  </si>
  <si>
    <t>f_rad3_flat</t>
  </si>
  <si>
    <t>Qdot_rad3_flat_norm</t>
  </si>
  <si>
    <t>T_rad3_flat_VL_nom</t>
  </si>
  <si>
    <t>T_rad3_flat_RL_nom</t>
  </si>
  <si>
    <t>Tdif_rad3_flat</t>
  </si>
  <si>
    <t>Qdot_rad3_flat_nom</t>
  </si>
  <si>
    <t>Qdot_rad3__flat_flat33_nom</t>
  </si>
  <si>
    <t>TYP_rad3_col</t>
  </si>
  <si>
    <t>STYP_rad3_col</t>
  </si>
  <si>
    <t>L_rad3_col_hei</t>
  </si>
  <si>
    <t>L_rad3_col_wid</t>
  </si>
  <si>
    <t>n_rad3_col_col</t>
  </si>
  <si>
    <t>Qdot_rad3_col_norm</t>
  </si>
  <si>
    <t>T_rad3_col_VL_nom</t>
  </si>
  <si>
    <t>T_rad3_col_RL_nom</t>
  </si>
  <si>
    <t>Tdif_rad3_col</t>
  </si>
  <si>
    <t>Qdot_rad3_col_nom</t>
  </si>
  <si>
    <t>Qdot_rad3_col_flat33_nom</t>
  </si>
  <si>
    <t>TYP_rad3_tube</t>
  </si>
  <si>
    <t>STYP_rad3_tube</t>
  </si>
  <si>
    <t>L_rad3_tube_hei</t>
  </si>
  <si>
    <t>L_rad3_tube_wid</t>
  </si>
  <si>
    <t>L_rad3_tube_thick</t>
  </si>
  <si>
    <t>n_rad3_tube_col</t>
  </si>
  <si>
    <t>n_rad3_tube</t>
  </si>
  <si>
    <t>Qdot_rad3_tube_norm</t>
  </si>
  <si>
    <t>T_rad3_tube_VL_nom</t>
  </si>
  <si>
    <t>T_rad3_tube_RL_nom</t>
  </si>
  <si>
    <t>Tdif_rad3_tube</t>
  </si>
  <si>
    <t>Qdot_rad3_tube_nom</t>
  </si>
  <si>
    <t>Qdot_rad3_tube_flat33_nom</t>
  </si>
  <si>
    <t>TYP_rad3_conv</t>
  </si>
  <si>
    <t>STYP_rad3_conv</t>
  </si>
  <si>
    <t>L_rad3_conv_hei</t>
  </si>
  <si>
    <t>L_rad3_conv_wid</t>
  </si>
  <si>
    <t>L_rad3_conv_thick</t>
  </si>
  <si>
    <t>n_rad3_conv</t>
  </si>
  <si>
    <t>Qdot_rad3_conv_norm</t>
  </si>
  <si>
    <t>Tdif_rad3_conv</t>
  </si>
  <si>
    <t>Qdot_rad3_conv_nom</t>
  </si>
  <si>
    <t>Qdot_rad3_conv_flat33_nom</t>
  </si>
  <si>
    <t>OUTPUT</t>
  </si>
  <si>
    <t>Summe Leistungsabgabe Ist-Heizkörper</t>
  </si>
  <si>
    <t>Summe Leistungsabgabe Austausch-Heizkörper Typ33</t>
  </si>
  <si>
    <t>Deckungsgrad Raumheizlast mit aktuellen Heizkörpern</t>
  </si>
  <si>
    <t>Deckungsgrad Raumheizlast mit Typ33</t>
  </si>
  <si>
    <t>Gruppe</t>
  </si>
  <si>
    <t>Zellenbezug Gebäude</t>
  </si>
  <si>
    <t>Werte Räume --&gt;</t>
  </si>
  <si>
    <t>Qdot_trans</t>
  </si>
  <si>
    <t xml:space="preserve">Heizlast Lüftung </t>
  </si>
  <si>
    <t>Qdot_vent</t>
  </si>
  <si>
    <t>W/m²</t>
  </si>
  <si>
    <t>Name des Raums</t>
  </si>
  <si>
    <t>Bauteilbewertung</t>
  </si>
  <si>
    <t xml:space="preserve">U-Wert </t>
  </si>
  <si>
    <t>Heizlast Transmission</t>
  </si>
  <si>
    <t>Anteil Raumheizlast</t>
  </si>
  <si>
    <t>Potenzial Austausch</t>
  </si>
  <si>
    <t>Heizkörper / NT-ready</t>
  </si>
  <si>
    <t>Leistung Heizkörper IST 55°C</t>
  </si>
  <si>
    <t>Typ 33 max. Leistung Austausch-Heizkörper</t>
  </si>
  <si>
    <t>Deckungsgrad IST 55°C</t>
  </si>
  <si>
    <t>Typ 33 Deckungsgrad</t>
  </si>
  <si>
    <t>IST 55°C - Fehlende Deckung</t>
  </si>
  <si>
    <t>Typ 33 55°C - Fehlende Deckung</t>
  </si>
  <si>
    <t>Typ 33 80 % NT-ready</t>
  </si>
  <si>
    <t>Raum vorhanden</t>
  </si>
  <si>
    <t xml:space="preserve">Aggregation Gebäudeebene </t>
  </si>
  <si>
    <t>Ist-Heizkörper</t>
  </si>
  <si>
    <t>Typ33-Heizkörper</t>
  </si>
  <si>
    <t xml:space="preserve">Azahl Räume </t>
  </si>
  <si>
    <t xml:space="preserve">Bauteilbewertung </t>
  </si>
  <si>
    <t>Anzahl Potenzial</t>
  </si>
  <si>
    <t xml:space="preserve">Anteil Potenzial </t>
  </si>
  <si>
    <t>NT-readiness Gesamtgebäude</t>
  </si>
  <si>
    <t>von</t>
  </si>
  <si>
    <t xml:space="preserve">bis </t>
  </si>
  <si>
    <t>Anzahl Räume Deckungsgrad &lt; 0,6</t>
  </si>
  <si>
    <t>Anzahl Räume Deckungsgrad &lt; 0,8</t>
  </si>
  <si>
    <t>Anzahl Räume 0,6&lt;Deckungsgrad&lt;0,8</t>
  </si>
  <si>
    <t>Anzahl Räume Deckungsgrad &lt; 1</t>
  </si>
  <si>
    <t>Anzahl Räume 0,8&lt;Deckungsgrad&lt;1,0</t>
  </si>
  <si>
    <t>Anzahl Räume Deckungsgrad &gt; 1</t>
  </si>
  <si>
    <t xml:space="preserve">Anzahl Räume Deckungsgrad Typ 33 &lt; 1 </t>
  </si>
  <si>
    <t>Anzahl Räume Deckungsgrad Typ 33 &gt; 1</t>
  </si>
  <si>
    <t>Anteil Räume Deckungsgrad &lt; 0,6</t>
  </si>
  <si>
    <t>Anteil Räume Deckungsgrad &lt; 0,8</t>
  </si>
  <si>
    <t>Anteil Räume 0,6&lt;Deckungsgrad&lt;0,8</t>
  </si>
  <si>
    <t>Anteil Räume Deckungsgrad &lt; 1</t>
  </si>
  <si>
    <t>Anteil Räume 0,8&lt;Deckungsgrad&lt;1</t>
  </si>
  <si>
    <t>Anteil Räume Deckungsgrad&gt;1</t>
  </si>
  <si>
    <t xml:space="preserve">Anteil Räume Deckungsgrad Typ 33 &lt; 1 </t>
  </si>
  <si>
    <t>Anteil Räume Deckungsgrad Typ 33 &gt; 1</t>
  </si>
  <si>
    <t>Fehlende Deckung bei 55°C</t>
  </si>
  <si>
    <t xml:space="preserve">Bewertung spez. Heizlast </t>
  </si>
  <si>
    <t>Anteil Räume &lt; 50 W/m²</t>
  </si>
  <si>
    <t>Anteil Räume &lt; 70 W/m²</t>
  </si>
  <si>
    <t>Anteil Räume 50-70 W/m²</t>
  </si>
  <si>
    <t>Anteil Räume &lt; 90 W/m²</t>
  </si>
  <si>
    <t>Anteil Räume 70-90 W/m²</t>
  </si>
  <si>
    <t>Anteil Räume &gt; 90 W/m²</t>
  </si>
  <si>
    <t>INPUT_TXT_rooms</t>
  </si>
  <si>
    <t>R1</t>
  </si>
  <si>
    <t>TXT_room_R1_not</t>
  </si>
  <si>
    <t xml:space="preserve">## &lt;i class="bi bi-circle-fill rating-red"&gt;&lt;/i&gt;Aktuell nicht niedertemperaturfähig:
### Viel höhere Vorlauftemperatur als 55 °C führt zu geringer Effizienz.
In diesem Zustand kann der Raum nur sehr ineffizient mit einer Wärmepumpe beheizt werden – der Stromverbrauch wäre sehr hoch, dies bedeutet hohe Stromkosten für Sie. Mit einer niedrigen Vorlauftemperatur können Sie Strom und Stromkosten sparen.
Denn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t>
  </si>
  <si>
    <t>TXT_room_R1_notyet</t>
  </si>
  <si>
    <t>## &lt;i class="bi bi-circle-fill rating-orange"&gt;&lt;/i&gt; Noch nicht niedertemperaturfähig:
### Es fehlt noch ein Stück, die Vorlauftemperatur ist höher als 55 °C.
Die Wärmepumpe müsste das Heizungswasser stark erwärmen – dadurch würden Sie viel Strom verbrauchen und Ihre Stromkosten wären erhöht. Sie können Strom sparen, indem Sie die Vorlauftemperatur senken. 
Denn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t>
  </si>
  <si>
    <t>TXT_room_R1_almost</t>
  </si>
  <si>
    <t xml:space="preserve">## &lt;i class="bi bi-circle-fill rating-yellow"&gt;&lt;/i&gt; Fast niedertemperaturfähig:
### Etwas höhere Vorlauftemperatur als 55 °C, fast geschafft!
Dieser Raum ist beinahe bereit für den effizienten Betrieb mit einer Wärmepumpe – die Vorlauftemperatur ist nur leicht erhöht. Je nachdem, wie warm Sie es haben möchten oder den Raum nutzen, können Sie diesen Raum möglicherweise schon jetzt effizient mit einer Wärmepumpe beheizen. Eine leicht reduzierte Raumtemperatur - schon ein Grad weniger - kann den Unterschied machen. Nach dem ersten Winter wissen Sie, ob der vorhandene Heizkörper Ihren Bedürfnissen genügt. Entscheiden Sie danach über den empfohlenen Heizkörpertausch.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t>
  </si>
  <si>
    <t>TXT_room_R1_NTr</t>
  </si>
  <si>
    <t xml:space="preserve">## &lt;i class="bi bi-circle-fill rating-green"&gt;&lt;/i&gt; Niedertemperaturfähig:
### Gute Voraussetzungen, eine Wärmepumpe ist möglich!
Diesen Raum können Sie effizient mit einer Wärmepumpe beheizen – die gewünschte Raumtemperatur wird bereits mit ausreichend geringer Vorlauftemperatur erreicht.
Je niedriger die benötigte Vorlauftemperatur, desto effizienter arbeitet die Wärmepumpe. Dafür ist die Leistungsfähigkeit der Heizkörper &lt;i class="bi bi-1-circle-fill bs-primary"&gt;&lt;/i&gt; und der Wärmeschutz &lt;i class="bi bi-2-circle-fill bs-primary"&gt;&lt;/i&gt; entscheidend. </t>
  </si>
  <si>
    <t>R2</t>
  </si>
  <si>
    <t>TXT_room_R2_verysuit</t>
  </si>
  <si>
    <t>## &lt;i class="bi bi-circle-fill rating-green"&gt;&lt;/i&gt; Alles im grünen Bereich.
### Stark gemacht!
Die &lt;abbr title="Die Summe der Wärmeverluste eines Raumes über alle Bauteile bei angenommener Raum- und Außentemperatur."&gt;Heizlast&lt;/abbr&gt; in diesem Raum ist bereits sehr niedrig – eine Wärmepumpe kann den Raum effizient beheizen und der Energieverbrauch ist gering. Zusätzliche Maßnahmen wie Dämmung oder neue Fenster bringen nur noch geringe Verbesserungen.</t>
  </si>
  <si>
    <t>TXT_room_R2_suit_1</t>
  </si>
  <si>
    <t>## &lt;i class="bi bi-circle-fill rating-yellow"&gt;&lt;/i&gt; Moderate Wärmeverluste
### Gute Basis – noch optimierbar.
Die &lt;abbr title="Die Summe der Wärmeverluste eines Raumes über alle Bauteile bei angenommener Raum- und Außentemperatur."&gt;Heizlast&lt;/abbr&gt; liegt im Mittelfeld. Eine Dämmung der</t>
  </si>
  <si>
    <t>TXT_room_R2_suit_2</t>
  </si>
  <si>
    <t>bietet hier das größte Potenzial, um den Energie zu sparen und den Wärmepumpenbetrieb noch effizienter zu gestalten.</t>
  </si>
  <si>
    <t>TXT_room_R2_almostsuit_1</t>
  </si>
  <si>
    <t>## &lt;i class="bi bi-circle-fill rating-orange"&gt;&lt;/i&gt; Verbesserungsbedarf
### Da geht noch was.
Die &lt;abbr title="Die Summe der Wärmeverluste eines Raumes über alle Bauteile bei angenommener Raum- und Außentemperatur."&gt;Heizlast&lt;/abbr&gt; ist überdurchschnittlich.  
Vor allem über die</t>
  </si>
  <si>
    <t>TXT_room_R2_almostsuit_2</t>
  </si>
  <si>
    <t>geht viel Wärme verloren – eine Verbesserung des Wärmeschutzes senkt den Energieverbrauch Ihrer Heizung und steigert die Effizienz einer Wärmepumpe. Dadurch reduzieren Sie die Stromkosten für die Wärmepumpe.</t>
  </si>
  <si>
    <t>TXT_room_R2_notsuit_1</t>
  </si>
  <si>
    <t>## &lt;i class="bi bi-circle-fill rating-red"&gt;&lt;/i&gt; Sehr hohe Wärmeverluste
### Jetzt ist Optimierung gefragt.
Die Heizlast ist sehr hoch. Wenn die Heizflächen groß genug sind, können Sie den Raum trotzdem effizient mit einer Wärmepumpe beheizen. 
Darüber hinaus empfiehlt sich eine energetische Verbesserung der Gebäudehülle – insbesondere durch Dämmung der Außenwand und</t>
  </si>
  <si>
    <t>TXT_room_R2_notsuit_2</t>
  </si>
  <si>
    <t>, dies reduziert den Strombedarf und senkt die sonst höheren Stromkosten. Zusätzlich verbessert es die allgemeine Effizienz und senkt den Energieverbrauch Ihrer Heizung.</t>
  </si>
  <si>
    <t>R3</t>
  </si>
  <si>
    <t>TXT_room_R3_notsuff_1</t>
  </si>
  <si>
    <t>## &lt;i class="bi bi-circle-fill rating-red"&gt;&lt;/i&gt; Sehr niedrige Heizkörperleistung  
### Hier reicht der Heizkörper nicht aus.    
Damit eine Wärmepumpe den Raum effizient beheizen kann, wäre ein</t>
  </si>
  <si>
    <t>TXT_room_R3_notsuff_2</t>
  </si>
  <si>
    <t xml:space="preserve">Heizkörper oder ein zusätzlicher Heizkörper notwendig. Heizkörper der effektivsten Bauart (Typ 33) oder ein zusätzlicher Heizkörper notwendig.
Eine bessere Dämmung der Bauteile kann helfen, den Wärmebedarf zu senken. Dann muss die Heizkörperfläche nicht so viel größer werden.  
&lt;i class="bi bi-lightbulb-fill"&gt;&lt;/i&gt; Hinweis: Ein &lt;abbr title="Die durch die Gebläse verstärkte Luftbewegung erhöht die Leistung des Heizkörpers, siehe Wärmepumpen-Heizkörper"&gt; Heizkörper mit integriertem Gebläse &lt;/abbr&gt; könnte dabei helfen, dass der neue Heizkörper nicht so groß werden muss.  
Diese Heizkörper-Modelle brauchen einen zusätzlichen Stromanschluss für die Gebläse. </t>
  </si>
  <si>
    <t>TXT_room_R3_suffchangeobl_1</t>
  </si>
  <si>
    <t>## &lt;i class="bi bi-circle-fill rating-orange"&gt;&lt;/i&gt; Deutlich zu geringe Leistung
### Ein Tausch bringt viel.
Ein neuer Heizkörper mit</t>
  </si>
  <si>
    <t>TXT_room_R3_suffchangeobl_2</t>
  </si>
  <si>
    <t>Leistung kann die Wärmepumpe in diesem Raum deutlich effizienter machen. Dafür müsste der Heizkörper größer sein, um genug Wärme in den Raum zu bringen. 
&lt;i class="bi bi-lightbulb-fill"&gt;&lt;/i&gt; Hinweis: Ein gleich großer gleicher &lt;abbr title="Die durch die Gebläse verstärkte Luftbewegung erhöht die Leistung des Heizkörpers, siehe Wärmepumpen-Heizkörper"&gt; Heizkörper mit integriertem Gebläse &lt;/abbr&gt; der leistungsstärksten Ausführung (Typ 33) kann vermutlich ausreichen, um die Heizlast zu decken. Für diese Heizkörper-Modelle ist ein zusätzlicher Stromanschluss für die Gebläse erforderlich.</t>
  </si>
  <si>
    <t>TXT_room_R3_suffchange_1</t>
  </si>
  <si>
    <t>## &lt;i class="bi bi-circle-fill rating-yellow"&gt;&lt;/i&gt; Etwas zu geringe Leistung
### Mit dem richtigen Typ klappt’s.
Ein Heizkörpertausch kann hier viel bewirken – ein Modell mit</t>
  </si>
  <si>
    <t>TXT_room_R3_suffchange_2</t>
  </si>
  <si>
    <t>mehr Leistung reicht aus.  
Voraussichtlich genügt es, bei gleicher Größe auf einen leistungsstärkeren Typ umzusteigen.</t>
  </si>
  <si>
    <t>TXT_room_R3_suff</t>
  </si>
  <si>
    <t>## &lt;i class="bi bi-circle-fill rating-green"&gt;&lt;/i&gt; Ausreichende Heizkörperleistung
### Gut ausgestattet!
Der Heizkörper hat genügend Fläche. Die Wärmepumpe kann den Raum mit geringer Vorlauftemperatur angenehm und effizient beheizen.</t>
  </si>
  <si>
    <t>TXT_room_RW</t>
  </si>
  <si>
    <t>## &lt;i class="bi bi-exclamation-triangle-fill-yellow"&gt;&lt;/i&gt; Achtung! Hohe Raumtemperatur gewählt
### Die angegebene Raumtemperatur ist vergleichsweise hoch.
Typischerweise rechnen wir mit 20 °C in Wohnräumen und 24 °C in Bädern.
Handelt es sich um ein Badezimmer? Überprüfen Sie den Raum noch einmal bei einer Raumtemperatur von 20 °C. Sollte die Heizfläche dann ausreichen, genügt es zumeist, dass an sehr kalten Tagen ein Infrarotstrahler oder ein Elektroheizkörper zusätzliche Wärme spendet.</t>
  </si>
  <si>
    <t>TXT_room_intro</t>
  </si>
  <si>
    <t>##Geschätzte/ermittelte Raumheizlast##
Die Skala zeigt den Wärmebedarf Ihres Raums. Hohe Werte bedeuten, dass der Wärmeschutz veraltet ist und deswegen Ihre Heizung mehr Energie verbraucht. 
Eine Wärmepumpe kann auch bei hoher Heizlast effizient arbeiten, wenn die Heizkörper genug Wärme abgeben können (siehe oben). Eine bessere Dämmung macht es möglich, mit kleineren Heizkörpern oder niedrigerer Vorlauftemperatur auszukommen. 
Die Effizienz steigt und der Energieverbrauch sinkt. Und eine kleinere, günstigere Wärmepumpe reicht aus. So sparen Sie bei den Stromkosten und der Wärmepumpe.</t>
  </si>
  <si>
    <t>G1 NT-ready</t>
  </si>
  <si>
    <t>TXT_build_G1_not</t>
  </si>
  <si>
    <t xml:space="preserve">## &lt;i class="bi bi-circle-fill rating-red"&gt;&lt;/i&gt; Derzeit noch nicht niedertemperaturfähig – Maßnahmen erforderlich  
Noch nicht bereit zum effizienten und günstigen Heizen mit einer Wärmepumpe.
In einem gut auf eine Wärmepumpe vorbereiten Haus sollte eine &lt;abbr title="Temperatur des Wassers in den Heizungsrohren, bevor das Wasser die Heizkörper erstmals durchströmt."&gt;Vorlauftemperatur&lt;/abbr&gt; von 55 °C ausreichen, damit Sie sich auch an kalten Wintertagen wohlfühlen.  Ihr Haus braucht aktuell jedoch deutlich höhere Temperaturen, um warm zu bleiben.
In den meisten überprüften Räumen sind entweder die Heizkörper oder die Gebäudehülle noch nicht gut geeignet. Ohne Verbesserungen würde eine Wärmepumpe nicht effizient und wirtschaftlich laufen. Schon der Tausch eines Heizkörpers kann oft ausreichen, um die Vorlauftemperatur deutlich zu senken. Ein Blick in die Grafik zeigt, ob das bei Ihrem Gebäude ausreicht, um effizient mit einer Wärmepumpe zu heizen.
Am Markt sind immer mehr Wärmepumpen verfügbar, die höhere Temperaturen als 55 °C bereitstellen können. Solche Geräte können auch eine Lösung darstellen, wenn es nicht gelingt, die Heizlast zu senken. Höhere Heizkreistemperaturen führen jedoch aufgrund der geringeren Effizienz zu höheren Stromkosten. Wenn Sie in Zukunft größere Modernisierungen der Gebäudehülle planen, kann in der Zwischenzeit auch eine Hybrid-Wärmepumpe eine passende Lösung für Sie sein.
</t>
  </si>
  <si>
    <t>TXT_build_G1_notyet</t>
  </si>
  <si>
    <t xml:space="preserve">## &lt;i class="bi bi-circle-fill rating-orange"&gt;&lt;/i&gt; Teilweise niedertemperaturfähig – Maßnahmen erforderlich  
### Gute Basis – mit Potenzial 
In einem gut auf eine Wärmepumpe vorbereiten Haus sollte eine &lt;abbr title="Temperatur des Wassers in den Heizungsrohren, bevor das Wasser die Heizkörper erstmals durchströmt."&gt;Vorlauftemperatur&lt;/abbr&gt; von 55 °C ausreichen, damit Sie sich auch an kalten Wintertagen wohlfühlen.
Manche der erfassten Räume lassen sich bereits mit niedrigen Vorlauftemperaturen erwärmen. Einige Räume brauchen jedoch eine höhere Vorlauftemperatur. Mit einfachen, gezielten Maßnahmen kann die Vorlauftemperatur ausreichend reduziert und das Gebäude effizient und wirtschaftlich mit einer Wärmepumpe beheizt werden. Schon der Tausch eines Heizkörpers kann oft ausreichen, um die Vorlauftemperatur deutlich zu senken. Ein Blick in die Grafik zeigt, ob das bei Ihrem Gebäude klappt.
Am Markt sind immer mehr Wärmepumpen verfügbar, die höhere Temperaturen als 55 °C bereitstellen können. Solche Geräte können auch eine Lösung darstellen, wenn es nicht gelingt, die Heizlast zu senken. Höhere Heizkreistemperaturen führen jedoch aufgrund der geringeren Effizienz zu höheren Stromkosten. </t>
  </si>
  <si>
    <t>TXT_build_G1_almost</t>
  </si>
  <si>
    <t>## &lt;i class="bi bi-circle-fill rating-yellow"&gt;&lt;/i&gt; Fast niedertemperaturfähig – Maßnahmen empfehlenswert  
### Gute Basis – mit Potenzial  
In einem gut auf eine Wärmepumpe vorbereiten Haus sollte eine &lt;abbr title="Temperatur des Wassers in den Heizungsrohren, bevor das Wasser die Heizkörper erstmals durchströmt."&gt;Vorlauftemperatur&lt;/abbr&gt; von 55 °C ausreichen, damit Sie sich auch an kalten Wintertagen wohlfühlen. Ihr Haus braucht aktuell jedoch deutlich höhere Temperaturen, um warm zu bleiben. 
Viele der erfassten Räume lassen sich bereits mit niedrigen Vorlauftemperaturen effizient erwärmen. Ein Praxischeck im ersten Winter kann Klarheit bringen, ob in den anderen Räumen kleine gezielte Maßnahmen sinnvoll sind, damit sich das gesamte Gebäude noch effizienter und wirtschaftlicher mit einer Wärmepumpe beheizen lässt.</t>
  </si>
  <si>
    <t>TXT_build_G1_NTr</t>
  </si>
  <si>
    <t>## &lt;i class="bi bi-circle-fill rating-green"&gt;&lt;/i&gt; Niedertemperaturfähig – gute Voraussetzungen  
### Bereit für die Wärmepumpe!  
Alle erfassten Räume werden auch an kalten Wintertagen bei maximal 55°C &lt;abbr title="Temperatur des Wassers in den Heizungsrohren, bevor das Wasser die Heizkörper erstmals durchströmt."&gt;Vorlauftemperatur&lt;/abbr&gt; angenehm warm. Ihr Haus ist damit gut vorbereitet für effizientes und wirtschaftliches Heizen mit einer Wärmepumpe – ohne zusätzliche Maßnahmen.</t>
  </si>
  <si>
    <t>G2 Dashboard</t>
  </si>
  <si>
    <t>TXT_build_G2_load_verysuit</t>
  </si>
  <si>
    <t xml:space="preserve">### Die Heizlast ist bereits sehr niedrig  
Ein besserer Wärmeschutz bringt in diesem Raum nur noch geringe Verbesserung.
</t>
  </si>
  <si>
    <t>TXT_build_G2_load_1_suit</t>
  </si>
  <si>
    <t xml:space="preserve">### Gut geeignet, mit Potenzial  
Die Heizlast ist durchschnittlich. Über die </t>
  </si>
  <si>
    <t>TXT_build_G2_load_1_almostsuit</t>
  </si>
  <si>
    <t xml:space="preserve">### Verbesserungsbedarf, da geht noch was 
Die Heizlast ist überdurchschnittlich hoch. Über die </t>
  </si>
  <si>
    <t>TXT_build_G2_load_1_notsuit</t>
  </si>
  <si>
    <t>### Sehr hohe Wärmeverluste – hoher Energieverbrauch
Die Heizlast ist sehr hoch. Über die</t>
  </si>
  <si>
    <t>TXT_build_G2_load_2</t>
  </si>
  <si>
    <t xml:space="preserve">geht in diesem Raum die meiste Wärme verloren.
</t>
  </si>
  <si>
    <t>TXT_build_G2_rad_notsuff</t>
  </si>
  <si>
    <t xml:space="preserve">### Der aktuelle Heizkörper ist zu klein 
Selbst ein besseres Modell (&lt;abbr title="Ein Flachheizkörper modernder Bauart in der leistungsstärksten Grundkonfiguration. Mit Typ33-Heizkörpern ist bei gleichen Abmaßen die größtmögliche Heizleistung im Vergleich zu anderen Heizkörpern zu erwarten."&gt;Typ 33&lt;/abbr&gt;) müsste mindestens doppelt so groß sein. Alternativ kann ein zusätzlicher Heizköper oder ein &lt;abbr title="Die durch die Gebläse verstärkte Luftbewegung erhöht die Leistung des Heizkörpers, siehe Wärmepumpen-Heizkörper"&gt; Heizkörper mit integriertem Gebläse &lt;/abbr&gt; installiert werden.
</t>
  </si>
  <si>
    <t>TXT_build_G2_rad_suffchangeobl</t>
  </si>
  <si>
    <t xml:space="preserve">### Zu geringe Leistung.  
Auch ein besserer Heizkörper (&lt;abbr title="Ein Flachheizkörper modernder Bauart in der leistungsstärksten Grundkonfiguration. Mit Typ33-Heizkörpern ist bei gleichen Abmaßen die größtmögliche Heizleistung im Vergleich zu anderen Heizkörpern zu erwarten."&gt;Typ 33&lt;/abbr&gt;) müsste etwas größer dimensioniert werden. Alternativ könnte es mit einem &lt;abbr title="Die durch die Gebläse verstärkte Luftbewegung erhöht die Leistung des Heizkörpers, siehe Wärmepumpen-Heizkörper"&gt; Gebläseheizkörper &lt;/abbr&gt; gleicher Größe klappen.
</t>
  </si>
  <si>
    <t>TXT_build_G2_rad_suffchange</t>
  </si>
  <si>
    <t xml:space="preserve">### Etwas zu geringe Leistung
Nach Austausch mit einem leistungsstärkeren Modell gleicher Größe sollte die Leistung ausreichen. 
</t>
  </si>
  <si>
    <t>TXT_build_G2_rad_suff</t>
  </si>
  <si>
    <t xml:space="preserve">### Gut ausgestattet!  
Ausreichende Heizkörperleistung, ein Tausch ist nicht notwendig. 
</t>
  </si>
  <si>
    <t>G3 Heizkörpertausch</t>
  </si>
  <si>
    <t>TXT_build_G3_notsuff_1</t>
  </si>
  <si>
    <t xml:space="preserve">### &lt;i class="bi bi-circle-fill rating-red"&gt;&lt;/i&gt; Viele Heizkörper sind nicht geeignet – Maßnahmen erforderlich  
Hier ist ein Heizkörpertausch notwendig.   
</t>
  </si>
  <si>
    <t>TXT_build_G3_notsuff_2</t>
  </si>
  <si>
    <t xml:space="preserve">der in Ihrem Gebäude erfassten Räume benötigen aktuell eine sehr hohe  &lt;abbr title="Temperatur des Wassers in den Heizungsrohren, bevor das Wasser die Heizkörper erstmals durchströmt."&gt;Vorlauftemperatur&lt;/abbr&gt;  von deutlich mehr als 55 °C. Sind keine Dämmmaßnahmen geplant, sollten Sie diese Heizkörper durch größere oder leistungsstärkere Modelle ersetzen, damit eine Wärmepumpe effizient und wirtschaftlich arbeitet.
&lt;i class="bi bi-lightbulb-fill"&gt;&lt;/i&gt; Hinweis: Sie können weitere Räume eingeben, um ein genaueres Bild zu erhalten. Spätestens im Rahmen der konkreten Planung sollten alle Heizkörper und Räume im Detail bewertet werden.  
</t>
  </si>
  <si>
    <t>TXT_build_G3_suffchangeobl</t>
  </si>
  <si>
    <t>## &lt;i class="bi bi-circle-fill rating-orange"&gt;&lt;/i&gt; Einzelne Heizkörper sind nicht geeignet – Maßnahmen sinnvoll  
### Ein Tausch verbessert die Effizienz.  
Ein Teil der Heizkörper benötigt relativ hohe &lt;abbr title="Temperatur des Wassers in den Heizungsrohren, bevor das Wasser die Heizkörper erstmals durchströmt."&gt;Vorlauftemperaturen&lt;/abbr&gt;. Sind keine Dämmmaßnahmen geplant, können Sie durch einen Austausch gegen leistungsstärkere Modelle die Voraussetzungen für eine Wärmepumpe verbessern und den Stromverbrauch senken.
&lt;i class="bi bi-lightbulb-fill"&gt;&lt;/i&gt; Hinweis: Prüfen Sie zusätzliche Räume oder klären Sie Details in der weiteren Planung.</t>
  </si>
  <si>
    <t>TXT_build_G3_suffchange</t>
  </si>
  <si>
    <t>## &lt;i class="bi bi-circle-fill rating-yellow"&gt;&lt;/i&gt; Die meisten Heizkörper passen  
### Ein Wärmepumpen-Praxischeck kann zeigen, ob die Heizkörperflächen in den kritischen Räumen ausreichen.   
Einzelne Heizkörper in den erfassten Räumen benötigen eine etwas zu hohe &lt;abbr title="Temperatur des Wassers in den Heizungsrohren, bevor das Wasser die Heizkörper erstmals durchströmt."&gt;Vorlauftemperatur&lt;/abbr&gt;. Ob das in der Praxis ein Problem darstellt, hängt davon ab, wie warm Sie es in diesen Räumen haben möchten und wie intensiv sie genutzt werden. Nach der ersten Heizperiode mit Wärmepumpe haben Sie Klarheit und können über einen Austausch entscheiden.
&lt;i class="bi bi-lightbulb-fill"&gt;&lt;/i&gt; Hinweis: Wenn Sie weitere Räume hinzufügen, kann die Einschätzung noch präziser werden.</t>
  </si>
  <si>
    <t>TXT_build_G3_suff</t>
  </si>
  <si>
    <t>## &lt;i class="bi bi-circle-fill rating-green"&gt;&lt;/i&gt; Heizkörper sind gut geeignet – keine Maßnahmen erforderlich  
### Gute Voraussetzungen!  
Die vorhandenen Heizkörper halten die erfassten Räume bei maximal 55°C &lt;abbr title="Temperatur des Wassers in den Heizungsrohren, bevor das Wasser die Heizkörper erstmals durchströmt."&gt;Vorlauftemperatur&lt;/abbr&gt; zuverlässig warm. So läuft eine Wärmepumpe effizient – ein Austausch ist nicht erforderlich.
&lt;i class="bi bi-lightbulb-fill"&gt;&lt;/i&gt; Hinweis: Wenn Sie weitere Räume hinzufügen, kann die Einschätzung noch präziser werden.</t>
  </si>
  <si>
    <t xml:space="preserve">G4 Gebäudehülle </t>
  </si>
  <si>
    <t>TXT_build_G4_intro_notsuit</t>
  </si>
  <si>
    <t>## &lt;i class="bi bi-house-fill rating-red"&gt;&lt;/i&gt; Wärmeschutzniveau gering – Maßnahmen sehr sinnvoll 
Das Gebäude verliert viel Wärme über die Hülle. Wenn die Heizkörper groß genug für die einzelnen Räume sind, kann eine Wärmepumpe trotzdem effizient heizen. Wenn das nicht reicht, empfiehlt sich eine energetische Verbesserung der Gebäudehülle, um den Stromverbrauch zu senken.
Mehrere Bauteile weisen einen sehr hohen Wärmedurchgang (genannt: U-Wert) auf. Eine (zusätzliche) Dämmung senkt den Energieverbrauch und die Heizlast deutlich und schafft die nötigen Voraussetzungen für den effizienten und wirtschaftlichen Wärmepumpenbetrieb. Dann genügt außerdem eine kleinere, günstigere Wärmepumpe.
Das größte Verbesserungspotenzial</t>
  </si>
  <si>
    <t>TXT_build_G4_intro_notsuit_plus</t>
  </si>
  <si>
    <t>&lt;i class="bi bi-lightbulb-fill"&gt;&lt;/i&gt; Hinweis: Ergänzen Sie weitere Räume, um ein vollständigeres Bild der Hüllenqualität zu erhalten – oder klären Sie die erforderliche Ertüchtigung der Bauteile in der Planungsphase.</t>
  </si>
  <si>
    <t>TXT_build_G4_intro_almostsuit</t>
  </si>
  <si>
    <t>## &lt;i class="bi bi-house-fill rating-orange"&gt;&lt;/i&gt; Wärmeschutz ausbaufähig – Maßnahmen empfehlenswert  
Einige Bauteile bieten Verbesserungspotenzial. Wenn die Heizflächen groß genug für die einzelnen Räume sind, kann eine Wärmepumpe trotzdem effizient heizen.
Das Wärmeschutzniveau ist teilweise gut, aber die Wärmeverluste sind noch ziemlich hoch.
Gezielte Dämmmaßnahmen senken den Energieverbrauch und verbessern die Effizienz einer Wärmepumpe .
Das größte Verbesserungspotenzial</t>
  </si>
  <si>
    <t>TXT_build_G4_intro_almostsuit_plus</t>
  </si>
  <si>
    <t>&lt;i class="bi bi-lightbulb-fill"&gt;&lt;/i&gt; Hinweis: Für eine genauere Bewertung können weitere Räume ergänzt oder im Planungsprozess detailliert betrachtet werden.</t>
  </si>
  <si>
    <t>TXT_build_G4_intro_suit</t>
  </si>
  <si>
    <t xml:space="preserve">## &lt;i class="bi bi-hpuse-fill rating-yellow"&gt;&lt;/i&gt; Wärmeschutz ausbaufähig – Maßnahmen vorteilhaft  
Einzelne Bauteile bieten noch Potenzial.
Das Wärmeschutzniveau ist insgesamt gut, aber zum Teil sind die Wärmeverluste hoch. 
Gezielte Verbesserungen können die Effizienz einer Wärmepumpe weiter steigern und langfristig den Energieverbrauch und die Kosten senken.
Das größte Verbesserungspotenzial </t>
  </si>
  <si>
    <t>TXT_build_G4_intro_suit_plus</t>
  </si>
  <si>
    <t>TXT_build_G4_intro_verysuit</t>
  </si>
  <si>
    <t>## &lt;i class="bi bi-house-fill rating-green"&gt;&lt;/i&gt; Gut gedämmte Gebäudehülle – keine Maßnahmen erforderlich  
### Sehr gute Voraussetzungen!  
Die eingegebenen Räume zeigen gut gedämmte Außenbauteile – die Wärmeverluste sind gering. Einer effizienten Beheizung mit einer Wärmepumpe steht nichts im Weg.</t>
  </si>
  <si>
    <t>TXT_build_G4_intro_verysuit_plus</t>
  </si>
  <si>
    <t>&lt;i class="bi bi-lightbulb-fill"&gt;&lt;/i&gt; Hinweis: Zusätzliche Räume können helfen, das Bild weiter zu schärfen.</t>
  </si>
  <si>
    <t>TXT_buid_G4_wall_notsuit_1</t>
  </si>
  <si>
    <t xml:space="preserve">## Hohe Wärmeverluste über die Außenwand – Dämmung erforderlich   
Die Dämmung der Außenwand ist unzureichend. Sie ist für </t>
  </si>
  <si>
    <t>TXT_buid_G4_wall_notsuit_2</t>
  </si>
  <si>
    <t xml:space="preserve"> der Wärmeverluste verantwortlich. Der hohe Wärmeverlust verschlechtert die Effizienz einer Wärmepumpe und erhöht deren Stromverbrauch. Eine zusätzliche Dämmung ist empfehlenswert und verbessert die Wärmepumpen-Eignung des gesamten Gebäudes.</t>
  </si>
  <si>
    <t>TXT_buid_G4_wall_almostsuit_1</t>
  </si>
  <si>
    <t xml:space="preserve">## Außenwand mit hohem Energieverlust – Verbesserung empfohlen  
Die Dämmung der Außenwand ist unzureichend. Sie ist für </t>
  </si>
  <si>
    <t>TXT_buid_G4_wall_almostsuit_2</t>
  </si>
  <si>
    <t>TXT_buid_G4_wall_suit</t>
  </si>
  <si>
    <t xml:space="preserve">## Ausbaufähiger Wärmeschutz Außenwand – Maßnahmen vorteilhaft  
Die Außenwand zeigt bereits einen moderaten Wärmeschutz. Circa </t>
  </si>
  <si>
    <t xml:space="preserve"> der Wärme gehen über die Außenwand verloren. Eine zusätzliche Dämmung kann die Heizlast weiter reduzieren und damit die Wärmepumpen-Eignung verbessern.</t>
  </si>
  <si>
    <t>TXT_buid_G4_wall_verysuit</t>
  </si>
  <si>
    <t xml:space="preserve">## Außenwand gut gedämmt – geringe Wärmeverluste  
Die Außenwand hat einen guten energetischen Standard und sorgt für geringe Wärmeverluste. Damit bietet sie gute Voraussetzungen für den effizienten Betrieb einer Wärmepumpe. </t>
  </si>
  <si>
    <t>TXT_buid_G4_win_notsuit_1</t>
  </si>
  <si>
    <t xml:space="preserve">## &lt;i class="bi bi-circle-fill rating-red"&gt;&lt;/i&gt; Veraltete Fenster – Maßnahmen erforderlich  
### Die Fenster verlieren sehr viel Wärme (circa </t>
  </si>
  <si>
    <t>TXT_buid_G4_win_notsuit_2</t>
  </si>
  <si>
    <t xml:space="preserve"> der Wärmeverluste).  
In vielen Räumen sind die Fenster energetisch veraltet. Der hohe Wärmeverlust verschlechtert die Effizienz einer Wärmepumpe. Ein Austausch ist empfehlenswert – am besten im Zuge einer möglichen Fassadensanierung, um Kosten zu sparen und die Fenster in die Dämmebene zu versetzen.</t>
  </si>
  <si>
    <t>TXT_buid_G4_win_almostsuit_1</t>
  </si>
  <si>
    <t xml:space="preserve">## Einige Fenster veraltet – Maßnahmen sinnvoll  
### Die Fenster verlieren viel Wärme (circa </t>
  </si>
  <si>
    <t>TXT_buid_G4_win_almostsuit_2</t>
  </si>
  <si>
    <t xml:space="preserve"> der Wärmeverluste).  
Einige Fenster sind energetisch ungünstig veraltet. Der Austausch – am besten im Zuge einer möglichen Fassadensanierung – verbessert die Wärmepumpen-Eignung und spart Energie.</t>
  </si>
  <si>
    <t>TXT_buid_G4_win_suit</t>
  </si>
  <si>
    <t>## Einzelne Fenster als Schwachstelle – Maßnahmen vorteilhaft  
### Fenster verbessern – für mehr Effizienz.  
Einige Fenster sind energetisch ungünstig. Der Austausch verbessert die Wärmepumpen-Eignung und spart Energie.</t>
  </si>
  <si>
    <t>TXT_buid_G4_win_verysuit</t>
  </si>
  <si>
    <t>## Fenster in gutem Zustand – kein Austausch nötig  
### Alles im grünen Bereich.  
Die Fenster sind ausreichend wärmedämmend – für die Nutzung einer Wärmepumpe bestehen keine Einschränkungen.</t>
  </si>
  <si>
    <t>TXT_buid_G4_roof_notsuit_1</t>
  </si>
  <si>
    <t xml:space="preserve">## Dach mit sehr hohen Wärmeverlusten – Dämmung erforderlich  
Das Dach besitzt aktuell wenig Wärmeschutz und ist deshalb für circa </t>
  </si>
  <si>
    <t>TXT_buid_G4_roof_notsuit_2</t>
  </si>
  <si>
    <t xml:space="preserve"> der Wärmeverluste verantwortlich, was die &lt;abbr title="Die Summe der Wärmeverluste eines Raumes über alle Bauteile bei angenommener Raum- und Außentemperatur."&gt;Heizlast&lt;/abbr&gt; deutlich erhöht.  
Eine Dämmung kann hier wirksam Abhilfe schaffen – sie verbessert den Wohnkomfort und trägt zur Reduktion der Vorlauftemperatur bei.</t>
  </si>
  <si>
    <t>TXT_buid_G4_roof_almostsuit_1</t>
  </si>
  <si>
    <t xml:space="preserve">## Höhere Energieverluste Dachflächen – Verbesserung empfohlen  
Der vorhandene Wärmeschutz des Dachs ist ausbaufähig (circa </t>
  </si>
  <si>
    <t>TXT_buid_G4_roof_almostsuit_2</t>
  </si>
  <si>
    <t xml:space="preserve"> der Wärmeverluste). Eine nachträgliche oder dickere Dämmung reduziert nicht nur die Heizkosten, sondern erleichtert auch den effizienten Betrieb einer Wärmepumpe.</t>
  </si>
  <si>
    <t>TXT_buid_G4_roof_suit</t>
  </si>
  <si>
    <t>## Dach mit moderatem Wärmeschutz – Optimierungspotenzial  
Das Dach bietet bereits einen soliden Wärmeschutz, der jedoch weiter verbessert werden kann. Eine zusätzliche Dämmung hilft, die &lt;abbr title="Die Summe der Wärmeverluste eines Raumes über alle Bauteile bei angenommener Raum- und Außentemperatur."&gt;Heizlast&lt;/abbr&gt; weiter zu senken und ermöglicht niedrigere &lt;abbr title="Temperatur des Wassers in den Heizungsrohren, bevor das Wasser die Heizkörper erstmals durchströmt."&gt;Vorlauftemperaturen&lt;/abbr&gt;en – ein Pluspunkt für den Wärmepumpenbetrieb.</t>
  </si>
  <si>
    <t>TXT_buid_G4_roof_verysuit</t>
  </si>
  <si>
    <t>## Dach gut isoliert – sehr gute Voraussetzung  
Das Dach hat einen niedrigen &lt;abbr title="Ein bauphysikalischer Kennwert. Er gibt an, wie viel Wärme durch einen Quadratmeter eines Bauteils bei einer Temperaturdifferenz von einem Kelvin strömt."&gt;U-Wert&lt;/abbr&gt;.  
Damit verliert es wenig Wärme und leistet bereits einen wichtigen Beitrag zum Wärmeschutz des Gebäudes. Das ist ideal für den wirtschaftlichen und effizienten Betrieb einer Wärmepumpe.</t>
  </si>
  <si>
    <t>TXT_build_G4_ceil_notsuit</t>
  </si>
  <si>
    <t xml:space="preserve">## Oberste Geschossdecke und Fußboden mit hohen Wärmeverlusten
</t>
  </si>
  <si>
    <t>TXT_build_G4_ceil_almostsuit</t>
  </si>
  <si>
    <t xml:space="preserve">## Oberste Geschossdecke und Fußboden: Wärmeschutz ausbaufähig
</t>
  </si>
  <si>
    <t>TXT_build_G4_ceil_suit</t>
  </si>
  <si>
    <t xml:space="preserve">## Oberste Geschossdecke und Fußboden mit moderatem Wärmeschutz 
</t>
  </si>
  <si>
    <t>TXT_build_G4_ceil_verysuit</t>
  </si>
  <si>
    <t xml:space="preserve">## Geringe Wärmeverluste über oberste Geschossdecke und Fußboden
</t>
  </si>
  <si>
    <t>TXT_buid_G4_botceil_notsuit_1</t>
  </si>
  <si>
    <t xml:space="preserve">### Ungedämmter Fußboden verursacht hohe Wärmeverluste (Anteil circa </t>
  </si>
  <si>
    <t>TXT_buid_G4_botceil_notsuit_2</t>
  </si>
  <si>
    <t xml:space="preserve"> ).    
Eine ungedämmte Kellerdecke zum nicht beheizten Keller verursacht erhebliche Verluste. Eine Dämmung von unten ist eine einfache und wirkungsvolle Maßnahme.  
Ist kein Keller vorhanden, wäre die Dämmung der Bodenplatte mit dem Neuaufbau des Fußbodens verbunden und andere Wärmeschutzmaßnahmen sind vorzuziehen. </t>
  </si>
  <si>
    <t>TXT_buid_G4_botceil_almostsuit_1</t>
  </si>
  <si>
    <t xml:space="preserve">### Ungedämmter Fußboden verursacht spürbare Wärmeverluste (Anteil circa </t>
  </si>
  <si>
    <t>TXT_buid_G4_botceil_almostsuit_2</t>
  </si>
  <si>
    <t xml:space="preserve"> ).  
Einige Räume haben einen höheren Wärmeverlust durch den Fußboden.   
Eine nachträgliche Dämmung der Kellerdecke von unten ist meist einfach umsetzbar und kann die Effizienz deutlich verbessern.  
Wenn kein Keller vorhanden ist, kann eine Dämmung sehr aufwändig sein – andere Maßnahmen haben dann Vorrang.</t>
  </si>
  <si>
    <t>TXT_buid_G4_botceil_suit</t>
  </si>
  <si>
    <t xml:space="preserve">### Fußboden mit passablem Wärmeschutz - Optimierung möglich.  
Grenzt der Fußboden gegen einen unbeheizten Keller, kann die Kellerdecke einfach nachträglich gedämmt werden. </t>
  </si>
  <si>
    <t>TXT_buid_G4_botceil_verysuit</t>
  </si>
  <si>
    <t xml:space="preserve">### Fußboden gut gedämmt – kaum Wärmeverluste nach unten.  
Sehr gut: In Richtung unbeheizter Keller oder Erdreich geht nur wenig Wärme verloren. </t>
  </si>
  <si>
    <t>TXT_buid_G4_topceil_notsuit_1</t>
  </si>
  <si>
    <t xml:space="preserve">### Ungedämmte Decke zum Dachboden verursacht hohe Wärmeverluste (Anteil circa </t>
  </si>
  <si>
    <t>TXT_buid_G4_topceil_notsuit_2</t>
  </si>
  <si>
    <t xml:space="preserve"> ).  
Ohne Dämmung entweicht viel Wärme über die oberste Geschossdecke in den unbeheizten Dachraum.  
Eine nachträgliche Dämmung auf der Decke ist meist einfach und günstig umsetzbar und besonders effektiv.
</t>
  </si>
  <si>
    <t>TXT_buid_G4_topceil_almostsuit_1</t>
  </si>
  <si>
    <t xml:space="preserve">### Ungedämmte Decke zum Dachraum bringt spürbare Wärmeverluste (Anteil circa </t>
  </si>
  <si>
    <t>TXT_buid_G4_topceil_almostsuit_2</t>
  </si>
  <si>
    <t xml:space="preserve"> ).  
Die Dachräume haben einen höheren Wärmeverlust an den unbeheizten Dachraum.   
Eine nachträgliche Dämmung auf der Decke ist meist einfach und günstig umsetzbar und besonders effektiv.
</t>
  </si>
  <si>
    <t>TXT_buid_G4_topceil_suit</t>
  </si>
  <si>
    <t xml:space="preserve">### Moderate Wärmeverluste zum unbeheizten Dachraum - Optimierung möglich.  
Sollte sich die Gelegenheit ergeben, kann etwas mehr Dämmung nachträglich kostengünstig auf der Decke aufgebracht werden. 
</t>
  </si>
  <si>
    <t>TXT_buid_G4_topceil_verysuit</t>
  </si>
  <si>
    <t xml:space="preserve">### Oberste Geschossdecke gut gedämmt – kaum Wärmeverluste nach oben.  
Sehr gut: Es entweicht kaum Wärme in den unbeheizten Dachraum – keine Maßnahme erforderlich.
</t>
  </si>
  <si>
    <t>TXT_build_G4_wall</t>
  </si>
  <si>
    <t xml:space="preserve">### Der Anteil der Außenwände an der Heizlast der erfassten Räume ist relativ gering, die Sanierung anderer Bauteile geht vor.
</t>
  </si>
  <si>
    <t>TXT_build_G4_win</t>
  </si>
  <si>
    <t xml:space="preserve">### Der Anteil der Fenster an der Heizlast der erfassten Räume ist relativ gering, die Sanierung anderer Bauteile geht vor.
</t>
  </si>
  <si>
    <t>TXT_build_G4_roof</t>
  </si>
  <si>
    <t xml:space="preserve">### Der Anteil der Dachfläche an der Heizlast der erfassten Räume ist relativ gering, die Sanierung anderer Bauteile geht vor.
</t>
  </si>
  <si>
    <t>TXT_build_G4_topceil</t>
  </si>
  <si>
    <t xml:space="preserve">### Der Anteil der obersten Geschossdecke an der Heizlast der erfassten Räume ist relativ gering, die Sanierung anderer Bauteile geht vor.
</t>
  </si>
  <si>
    <t>TXT_build_G4_botceil</t>
  </si>
  <si>
    <t xml:space="preserve">### Der Anteil der des Fußbodens an der Heizlast der erfassten Räume ist relativ gering, die Sanierung anderer Bauteile geht vor.
</t>
  </si>
  <si>
    <t>TXT_build_G4_ceil</t>
  </si>
  <si>
    <t xml:space="preserve">### Oberste Geschossdecke und Fußboden: geringer Anteil an den Wärmeverlusten
Über die obere Geschossdecke und den Fußboden geht in den erfassten Räumen wenig Wärme verloren. Hier geht die Sanierung anderer Bauteile vor. </t>
  </si>
  <si>
    <t>Position Mockup</t>
  </si>
  <si>
    <t>Werte Raum</t>
  </si>
  <si>
    <t>Ausgabe zur Wärmepumpeneignung</t>
  </si>
  <si>
    <t>TXT_room_R1</t>
  </si>
  <si>
    <t>Lückentext Bauteilbewertung Raumebene 1</t>
  </si>
  <si>
    <t>TXT_room_R2_fill_1</t>
  </si>
  <si>
    <t>Lückentext Bauteilbewertung Raumebene 2</t>
  </si>
  <si>
    <t>TXT_room_R2_fill_2</t>
  </si>
  <si>
    <t>Ausgabe Bauteilbewertung Raumebene</t>
  </si>
  <si>
    <t>TXT_room_R2_Qdot</t>
  </si>
  <si>
    <t>Lückentext Bewertung Heizkörpertausch Raumebene 1</t>
  </si>
  <si>
    <t>TXT_room_R3_fill_1</t>
  </si>
  <si>
    <t>Lückentext Bewertung Heizkörpertausch Raumebene 2</t>
  </si>
  <si>
    <t>TXT_room_R3_fill_2</t>
  </si>
  <si>
    <t>Lückentext Bewertung Heizkörpertausch Raumebene 3</t>
  </si>
  <si>
    <t>TXT_room_R3_fill_3</t>
  </si>
  <si>
    <t>Ausgabe Heizkörpertausch Raumebene</t>
  </si>
  <si>
    <t>TXT_room__R3_Qdot</t>
  </si>
  <si>
    <t>"Kalkulierte Raumheizlast" - Wert 1</t>
  </si>
  <si>
    <t>"Kalkulierte Raumheizlast" - Wert 2</t>
  </si>
  <si>
    <t>Ausgabewert "Kalkulierte Raumheizlast" als String</t>
  </si>
  <si>
    <t>TXT_qdot_room</t>
  </si>
  <si>
    <t>"Wie gut sind die Heizkörper geeignet?" - Leistung Aktueller Heizkörper</t>
  </si>
  <si>
    <t>TXT_Qdot_rad_act</t>
  </si>
  <si>
    <t>"Wie gut sind die Heizkörper geeignet?" - Leistung Besserer heizkörper (Typ 33)</t>
  </si>
  <si>
    <t>TXT_Qdot_rad_typ33</t>
  </si>
  <si>
    <t>"Wie gut sind die Heizkörper geeignet?" - Deckung Aktueller Heizkörper</t>
  </si>
  <si>
    <t>TXT_r_rad_act</t>
  </si>
  <si>
    <t>"Wie gut sind die Heizkörper geeignet?" - Deckung Besserer heizkörper (Typ 33)</t>
  </si>
  <si>
    <t>TXT_r_rad_typ33</t>
  </si>
  <si>
    <t>Output Dashboard</t>
  </si>
  <si>
    <t xml:space="preserve">kalkulierte Raumheizlast </t>
  </si>
  <si>
    <t>TXT_build_G2_load_spez</t>
  </si>
  <si>
    <t>Titel Raum mit spezifischer Heizlast</t>
  </si>
  <si>
    <t>TXT_build_G2_load_abs</t>
  </si>
  <si>
    <t>Deckungsgrad</t>
  </si>
  <si>
    <t>TXT_build_G2_Deckung</t>
  </si>
  <si>
    <t>Heizkörperleistung</t>
  </si>
  <si>
    <t>TXT_build_G2_Qdot_act</t>
  </si>
  <si>
    <t>U-Wert Bauteil mit höchsten Verlusten</t>
  </si>
  <si>
    <t>U_build_G2_worst</t>
  </si>
  <si>
    <t>G2</t>
  </si>
  <si>
    <t xml:space="preserve">Bauteiltausch Empfehlung icon </t>
  </si>
  <si>
    <t>pic_build_G2_load</t>
  </si>
  <si>
    <t>Kategorie Bauteiltausch Empfehlung icon</t>
  </si>
  <si>
    <t>color_pic_build_G2_load</t>
  </si>
  <si>
    <t xml:space="preserve">Ausgabe schlechtestes Bauteil Raum </t>
  </si>
  <si>
    <t>TXT_build_G2_load</t>
  </si>
  <si>
    <t>Heizkörpertausch Empfehlung icon</t>
  </si>
  <si>
    <t>pic_build_G2_rad</t>
  </si>
  <si>
    <t>Ausgabe Heizkörpertausch Raum</t>
  </si>
  <si>
    <t>TXT_build_G2_rad</t>
  </si>
  <si>
    <t xml:space="preserve">color Ausgabe Zeile 20 "Erforderliche Heizleistung" </t>
  </si>
  <si>
    <t xml:space="preserve">color Ausgabe Zeile 23 "Leistung der Heizkörper" </t>
  </si>
  <si>
    <t>Ausgabetext Maßnahme Heizkörper (unter Heizkörpersymbol)</t>
  </si>
  <si>
    <t xml:space="preserve">Position Marker Skalen </t>
  </si>
  <si>
    <t>Aktueller Heizkörper</t>
  </si>
  <si>
    <t>pos_room_mark_isTYP</t>
  </si>
  <si>
    <t>R1/2</t>
  </si>
  <si>
    <t>Besserer Heizkörper</t>
  </si>
  <si>
    <t>pos_room_mark_TYP33</t>
  </si>
  <si>
    <t>Kakulierte Raumheizlast</t>
  </si>
  <si>
    <t>pos_room_mark_load</t>
  </si>
  <si>
    <t>Bewertung Bauteile - Farbe</t>
  </si>
  <si>
    <t>Bewertung Außenwand</t>
  </si>
  <si>
    <t>color_pic_G4_wall</t>
  </si>
  <si>
    <t>Bewertung Fenster</t>
  </si>
  <si>
    <t>color_pic_G4_win</t>
  </si>
  <si>
    <t>Bewertung Dach</t>
  </si>
  <si>
    <t>color_pic_G4_roof</t>
  </si>
  <si>
    <t>Bewertung obere Geschossdecke und Fußboden</t>
  </si>
  <si>
    <t>ceil</t>
  </si>
  <si>
    <t>color_pic_G4_ceil</t>
  </si>
  <si>
    <t xml:space="preserve">Barrierefreier Alternativtext </t>
  </si>
  <si>
    <t>Skala NT-ready</t>
  </si>
  <si>
    <t>Skala kalkulierte Raumheizlast</t>
  </si>
  <si>
    <t>Warnhinweis Eingabe Raumebene</t>
  </si>
  <si>
    <t>RW</t>
  </si>
  <si>
    <t xml:space="preserve">Berechnung Außenwandlänge </t>
  </si>
  <si>
    <t>max. Verhältnis L:B ist 1:4 und 3/4 AW</t>
  </si>
  <si>
    <t>Ausgabe Außenwandlänge</t>
  </si>
  <si>
    <t>Berechnung Fensterfläche</t>
  </si>
  <si>
    <t>Ausgabe Fensterfläche</t>
  </si>
  <si>
    <t>Berechnung Dachfensterfläche</t>
  </si>
  <si>
    <t>Ausgabe Dachfensterfläche</t>
  </si>
  <si>
    <t xml:space="preserve">Berechnung Heizkörper fehlt </t>
  </si>
  <si>
    <t xml:space="preserve">Ausgabe Heizkörper fehlt </t>
  </si>
  <si>
    <t xml:space="preserve">Berechnung Kniestock / Drempelwand </t>
  </si>
  <si>
    <t xml:space="preserve">Ausgabe Kniestock / Drempelwand </t>
  </si>
  <si>
    <t>Berechnung Dachfläche Hypotenuse &lt; Ankatete</t>
  </si>
  <si>
    <t>Ausgabe Dachfläche Hypotenuse &lt; Ankatete</t>
  </si>
  <si>
    <t xml:space="preserve">Berechnung unplausible Dachflächenhöhe </t>
  </si>
  <si>
    <t>Ausgabe unplausible Dachlfächenhöhe</t>
  </si>
  <si>
    <t>Berechnung Raumtemperatur</t>
  </si>
  <si>
    <t>Ausgabe Raumtemperatur</t>
  </si>
  <si>
    <t>Real Wert Position NT-readiness Skala</t>
  </si>
  <si>
    <t>G1</t>
  </si>
  <si>
    <t xml:space="preserve">NT-Readiness Gesamtgebäude </t>
  </si>
  <si>
    <t xml:space="preserve">G1 </t>
  </si>
  <si>
    <t>TXT_build_G1</t>
  </si>
  <si>
    <t>Anzahl betroffene Räume HK-Tausch</t>
  </si>
  <si>
    <t>G3</t>
  </si>
  <si>
    <t>TXT_NO_build_G3_change</t>
  </si>
  <si>
    <t>Heizkörpertausch</t>
  </si>
  <si>
    <t>TXT_build_G3</t>
  </si>
  <si>
    <t>summiert Transmissionswärmeverluste</t>
  </si>
  <si>
    <t>G4</t>
  </si>
  <si>
    <t>Bauteil max. Heizlast</t>
  </si>
  <si>
    <t>Bauteil 2. größte Heizlast</t>
  </si>
  <si>
    <t>Bauteil 3. größte Heizlast</t>
  </si>
  <si>
    <t>Außenwand Anteil Heizlast</t>
  </si>
  <si>
    <t>TXT_build_G4_wall_fill</t>
  </si>
  <si>
    <t>Innenwand Anteil Heizlast</t>
  </si>
  <si>
    <t>TXT_build_G4_innerwall_fill</t>
  </si>
  <si>
    <t>Fenster Anteil Heizlast</t>
  </si>
  <si>
    <t>TXT_build_G4_win_fill</t>
  </si>
  <si>
    <t>Dach Anteil Heizlast</t>
  </si>
  <si>
    <t>TXT_build_G4_roof_fill</t>
  </si>
  <si>
    <t>Fußboden Anteil Heizlast</t>
  </si>
  <si>
    <t>TXT_build_G4_botceil_fill</t>
  </si>
  <si>
    <t>Decke Anteil Heizlast</t>
  </si>
  <si>
    <t>TXT_build_G4_topceil_fill</t>
  </si>
  <si>
    <t>Wärmeschutz intro</t>
  </si>
  <si>
    <t>TXT_build_G4_intro_fill</t>
  </si>
  <si>
    <t>Mittlerer U-Wert Außenwand</t>
  </si>
  <si>
    <t>Mittlerer U-Wert Fenster</t>
  </si>
  <si>
    <t>Mittelwert U-Wert Dach</t>
  </si>
  <si>
    <t>Mittelwert U-Wert Fußboden</t>
  </si>
  <si>
    <t>Mittelwert U-Wert Decke</t>
  </si>
  <si>
    <t>Bildunterschrift - Außenwand Anteil Heizlast</t>
  </si>
  <si>
    <t>TXT_pic_build_G4_wall</t>
  </si>
  <si>
    <t>Bildunterschrift - Fenster Anteil Heizlast</t>
  </si>
  <si>
    <t>TXT_pic_build_G4_win</t>
  </si>
  <si>
    <t>Bildunterschrift - Dach Anteil Heizlast</t>
  </si>
  <si>
    <t>TXT_pic_build_G4_roof</t>
  </si>
  <si>
    <t>Bildunterschrift - Fußboden / Decke Anteil Heizlast</t>
  </si>
  <si>
    <t>TXT_pic_build_G4_ceil</t>
  </si>
  <si>
    <t>Bewertung Hülle gesamt</t>
  </si>
  <si>
    <t>color_G4_intro</t>
  </si>
  <si>
    <t xml:space="preserve">Bewertung Fußboden </t>
  </si>
  <si>
    <t>color_pic_G4_botceil</t>
  </si>
  <si>
    <t>Bewertung Decke</t>
  </si>
  <si>
    <t>color_pic_G4_topceil</t>
  </si>
  <si>
    <t>TXT_build_G4_intro</t>
  </si>
  <si>
    <t>Wärmeschutz Außenwand</t>
  </si>
  <si>
    <t>Wärmeschutz Fenster</t>
  </si>
  <si>
    <t>Wärmeschutz Dach</t>
  </si>
  <si>
    <t xml:space="preserve">Wärmeschutz Fußboden </t>
  </si>
  <si>
    <t>Wärmeschutz obere Geschossdecke</t>
  </si>
  <si>
    <t>Wärmeschutz horizontaler Gebäudeabschluss</t>
  </si>
  <si>
    <t xml:space="preserve">Hinweis ergänzung weitere Räume </t>
  </si>
  <si>
    <t>TXT_build_G4_notation</t>
  </si>
  <si>
    <t>💡 Hinweis: Für eine genauere Bewertung können weitere Räume ergänzt oder im Planungsprozess detailliert betrachtet werden.</t>
  </si>
  <si>
    <t>Real Wert Position NT-readiness Skala bei Typ 33</t>
  </si>
  <si>
    <t xml:space="preserve">Grafik Heizkörpertausch </t>
  </si>
  <si>
    <t>Alternativtext Skala NT-ready Gebäudebewertung</t>
  </si>
  <si>
    <t xml:space="preserve">color Grafik Heizkörpertausch </t>
  </si>
  <si>
    <t/>
  </si>
  <si>
    <t>WG &amp; NWG &gt;19°C</t>
  </si>
  <si>
    <t>NWG</t>
  </si>
  <si>
    <t>Umax [W/(m²K)]</t>
  </si>
  <si>
    <t>Außenwände</t>
  </si>
  <si>
    <t>AW</t>
  </si>
  <si>
    <t>Gegen Außenluft abgrenzende Fenster und Fenstertüren</t>
  </si>
  <si>
    <t>FE</t>
  </si>
  <si>
    <t>Gegen Außenluft abgrenzende Dachflächenfenster</t>
  </si>
  <si>
    <t>DFF</t>
  </si>
  <si>
    <t>Gegen Außenluft abgrenzende Fenster, Fenstertüren und Dachflächenfenster bei Ersatz der Verglasung oder des Rahmens</t>
  </si>
  <si>
    <t>FEDFF_tausch</t>
  </si>
  <si>
    <t>Keine Anforderung</t>
  </si>
  <si>
    <t>Vorhangfassaden in Pfosten-Riegel-Konstruktion, deren Bauart DIN EN ISO 12631: 2018-01 entspricht</t>
  </si>
  <si>
    <t>PRK</t>
  </si>
  <si>
    <t>Gegen Außenluft abgrenzende Glasdächer</t>
  </si>
  <si>
    <t>GD</t>
  </si>
  <si>
    <t>Gegen Außenluft abgrenzende Fenstertüren mit Klapp-, Falt-, Schiebe- oder Hebemechanismus</t>
  </si>
  <si>
    <t>FT</t>
  </si>
  <si>
    <t>Gegen Außenluft abgrenzende Fenster, Fenstertüren und Dachflächenfenster mit Sonderverglasung</t>
  </si>
  <si>
    <t>FE_sonder</t>
  </si>
  <si>
    <t>Gegen Außenluft abgrenzende Fenster, Fenstertüren und Dachflächenfenster mit Sonderverglasung bei Ersatz der Verglasung oder des Rahmens</t>
  </si>
  <si>
    <t>FEDFF_sondertausch</t>
  </si>
  <si>
    <t>Vorhangfassaden in Pfosten-Riegel-Konstruktion, deren Bauart DIN EN ISO 12631: 2018-01 entspricht, mit Sonderverglasung</t>
  </si>
  <si>
    <t>PRK_sonder</t>
  </si>
  <si>
    <t>Einbau neuer Außentüren (ohne rahmenlose Türanlagen aus Glas, Karusselltüren und kraftbetätigte Türen)</t>
  </si>
  <si>
    <t>AT</t>
  </si>
  <si>
    <t>Gegen Außenluft abgrenzende Dachflächen einschließlich Dachgauben sowie gegen unbeheizte Dachräume abgrenzende Decken (oberste Geschossdecken) und Wände (einschließlich Abseitenwände)</t>
  </si>
  <si>
    <t>DA</t>
  </si>
  <si>
    <t>Gegen Außenluft abgrenzende Dachflächen mit Abdichtung</t>
  </si>
  <si>
    <t>DA_dicht</t>
  </si>
  <si>
    <t>Wände, die an Erdreich oder an unbeheizte Räume (mit Ausnahme von Dachräumen) grenzen, und Decken, die beheizte Räume nach unten zum Erdreich oder zu unbeheizten Räumen abgrenzen</t>
  </si>
  <si>
    <t>AWDE_kalt</t>
  </si>
  <si>
    <t>Decken, die beheizte Räume nach unten zum Erdreich, zur Außenluft oder zu unbeheizten Räumen abgrenzen</t>
  </si>
  <si>
    <t>DE_kalt</t>
  </si>
  <si>
    <t>Decken, die beheizte Räume nach unten zur Außenluft abgrenzen</t>
  </si>
  <si>
    <t>DE_unten</t>
  </si>
  <si>
    <t>Subtypen</t>
  </si>
  <si>
    <t>Frontend_allg</t>
  </si>
  <si>
    <t>Heizkörpertypen</t>
  </si>
  <si>
    <t>Flachheizkoerper_senkrecht_profiliert</t>
  </si>
  <si>
    <t>Flachheizkoerper_glatt</t>
  </si>
  <si>
    <t>Gliederheizkörper</t>
  </si>
  <si>
    <t>Rohrradiator</t>
  </si>
  <si>
    <t>Hauseigentümer*in</t>
  </si>
  <si>
    <t>Typ_10</t>
  </si>
  <si>
    <t>Gussradiator</t>
  </si>
  <si>
    <t>Stahlrohrradiator</t>
  </si>
  <si>
    <t>Gewinderohr</t>
  </si>
  <si>
    <t>Standardkonvektor</t>
  </si>
  <si>
    <t>Wohnungseigentümer*in</t>
  </si>
  <si>
    <t>Typ_11</t>
  </si>
  <si>
    <t>Stahlradiator</t>
  </si>
  <si>
    <t>Fensterbankradiator</t>
  </si>
  <si>
    <t>Stahlrohr</t>
  </si>
  <si>
    <t>Hausverwalter*in</t>
  </si>
  <si>
    <t>Typ_21</t>
  </si>
  <si>
    <t>Handtuchradiator</t>
  </si>
  <si>
    <t>Stahlrippenrohr</t>
  </si>
  <si>
    <t>Mieter*in</t>
  </si>
  <si>
    <t>Typ_22</t>
  </si>
  <si>
    <t>Typ_33</t>
  </si>
  <si>
    <t>Dachtyp</t>
  </si>
  <si>
    <t>Dachneigung (°)</t>
  </si>
  <si>
    <t>Gebäudetypen</t>
  </si>
  <si>
    <t>Flach bzw. Flachdach</t>
  </si>
  <si>
    <t>Ein- oder Zweifamilienhaus</t>
  </si>
  <si>
    <t>geneigt</t>
  </si>
  <si>
    <t>Reihenhaus</t>
  </si>
  <si>
    <t>Gussradiator_hb</t>
  </si>
  <si>
    <t>Stahlradiator_hb</t>
  </si>
  <si>
    <t>steil</t>
  </si>
  <si>
    <t>Mehrfamilienhaus</t>
  </si>
  <si>
    <t>h</t>
  </si>
  <si>
    <t>b</t>
  </si>
  <si>
    <t>sehr steil</t>
  </si>
  <si>
    <t>Typ_10_Tiefe</t>
  </si>
  <si>
    <t>Typ_11_Tiefe</t>
  </si>
  <si>
    <t>Typ_20_Tiefe</t>
  </si>
  <si>
    <t>Typ_21_Tiefe</t>
  </si>
  <si>
    <t>Typ_22_Tiefe</t>
  </si>
  <si>
    <t>Typ_30_Tiefe</t>
  </si>
  <si>
    <t>Typ_33_Tiefe</t>
  </si>
  <si>
    <t>Glattwandig_Tiefe</t>
  </si>
  <si>
    <t>Gussradiator_Tiefe</t>
  </si>
  <si>
    <t>Stahlradiator_Tiefe</t>
  </si>
  <si>
    <t>Stahlrohrradiator_Tiefe</t>
  </si>
  <si>
    <t>Fensterbankradiator_Tiefe</t>
  </si>
  <si>
    <t>Handtuchradiator_Hoehe_Tiefe</t>
  </si>
  <si>
    <t>Gewinderohr_Hoehe_Tiefe</t>
  </si>
  <si>
    <t>Stahlrohr_Hoehe_Tiefe</t>
  </si>
  <si>
    <t>Stahlrippenrohr_Hoehe_Tiefe</t>
  </si>
  <si>
    <t>Standardkonvektor_Tiefe</t>
  </si>
  <si>
    <t>Baualtersklassen</t>
  </si>
  <si>
    <t>Modernisierungsjahr</t>
  </si>
  <si>
    <t>1859 und älter</t>
  </si>
  <si>
    <t>1860 - 1918</t>
  </si>
  <si>
    <t>1860-1918</t>
  </si>
  <si>
    <t>1982 und älter</t>
  </si>
  <si>
    <t>1919 - 1948</t>
  </si>
  <si>
    <t>1983 - 1994</t>
  </si>
  <si>
    <t>1949 - 1957</t>
  </si>
  <si>
    <t>1995 - 2002</t>
  </si>
  <si>
    <t>1958 - 1968</t>
  </si>
  <si>
    <t>2003 - 2008</t>
  </si>
  <si>
    <t>1969 - 1978</t>
  </si>
  <si>
    <t>Typ_10_Hoehe</t>
  </si>
  <si>
    <t>Typ_11_Hoehe</t>
  </si>
  <si>
    <t>Typ_20_Hoehe</t>
  </si>
  <si>
    <t>Typ_21_Hoehe</t>
  </si>
  <si>
    <t>Typ_22_Hoehe</t>
  </si>
  <si>
    <t>Typ_30_Hoehe</t>
  </si>
  <si>
    <t>Typ_33_Hoehe</t>
  </si>
  <si>
    <t>Glattwandig_Hoehe</t>
  </si>
  <si>
    <t>Gussradiator_Hoehe</t>
  </si>
  <si>
    <t>Stahlradiator_Hoehe</t>
  </si>
  <si>
    <t>Stahlrohrradiator_Hoehe</t>
  </si>
  <si>
    <t>Fensterbankradiator_Hoehe</t>
  </si>
  <si>
    <t>Handtuchradiator_Hoehe</t>
  </si>
  <si>
    <t>Gewinderohr_Hoehe</t>
  </si>
  <si>
    <t>Stahlrohr_Hoehe</t>
  </si>
  <si>
    <t>Stahlrippenrohr_Hoehe</t>
  </si>
  <si>
    <t>Standardkonvektor_Hoehe</t>
  </si>
  <si>
    <t>Deckenstrahlplatten_Wärmedämmung</t>
  </si>
  <si>
    <t>2009 - 2022</t>
  </si>
  <si>
    <t>1979 - 1983</t>
  </si>
  <si>
    <t>2023 und neuer</t>
  </si>
  <si>
    <t>1984 - 1994</t>
  </si>
  <si>
    <t>Vorhandene Dachfläche (Raum)</t>
  </si>
  <si>
    <t>Eine</t>
  </si>
  <si>
    <t>Energieeffizienzklassen</t>
  </si>
  <si>
    <t>Zwei (symmetrisch)</t>
  </si>
  <si>
    <t>A+</t>
  </si>
  <si>
    <t>Komplex</t>
  </si>
  <si>
    <t>Flachdach</t>
  </si>
  <si>
    <t>C</t>
  </si>
  <si>
    <t>D</t>
  </si>
  <si>
    <t>E</t>
  </si>
  <si>
    <t>F</t>
  </si>
  <si>
    <t>G</t>
  </si>
  <si>
    <t>H</t>
  </si>
  <si>
    <t>Breite L</t>
  </si>
  <si>
    <t>Senkrecht_profiliert</t>
  </si>
  <si>
    <t>Glattwandig</t>
  </si>
  <si>
    <t>Fensterbankradiator_Breite</t>
  </si>
  <si>
    <t>Nachträglich gedämmte Bauteile</t>
  </si>
  <si>
    <t>Außenwand / Fassade von außen</t>
  </si>
  <si>
    <t>Außenwand von innen</t>
  </si>
  <si>
    <t>Außenwand mit Kerndämmung</t>
  </si>
  <si>
    <t>Dachdämmung</t>
  </si>
  <si>
    <t>Dämmung der obersten Geschossdecke</t>
  </si>
  <si>
    <t>Breite B</t>
  </si>
  <si>
    <t>Dämmung der Kellerdecke / des Erdgeschossfußbodens</t>
  </si>
  <si>
    <t>Dämmung der Kellerwände</t>
  </si>
  <si>
    <t>Dämmung des Kellerfußbodens</t>
  </si>
  <si>
    <t>weiß nicht</t>
  </si>
  <si>
    <t>das Gebäude steht nicht unter Denkmalschutz</t>
  </si>
  <si>
    <t>das Gebäude steht unter Denkmalschutz</t>
  </si>
  <si>
    <t>Nabenabstand N</t>
  </si>
  <si>
    <t>Art der Wärmeübergabe</t>
  </si>
  <si>
    <t>Fußbodenheizung (Flächenheizung)</t>
  </si>
  <si>
    <t>Heizkörper und Flächenheizung</t>
  </si>
  <si>
    <t>Nachtspeicherheizung (Stromdirektheizung)</t>
  </si>
  <si>
    <t>Andere</t>
  </si>
  <si>
    <t xml:space="preserve">nicht genutzt </t>
  </si>
  <si>
    <t>U-Wert</t>
  </si>
  <si>
    <t>U_no_ins</t>
  </si>
  <si>
    <t>d_ins</t>
  </si>
  <si>
    <t>Quelle</t>
  </si>
  <si>
    <t>plausi_fm</t>
  </si>
  <si>
    <t>Anhang 3 EnEV 2002</t>
  </si>
  <si>
    <t>Anhang 3 EnEV 2007</t>
  </si>
  <si>
    <t>Heizkreislauf</t>
  </si>
  <si>
    <t>Spalte1</t>
  </si>
  <si>
    <t>Zweirohrheizung</t>
  </si>
  <si>
    <t>Einrohrheizung</t>
  </si>
  <si>
    <t>Anhang 3 EnEV 2009</t>
  </si>
  <si>
    <t>Raumauswahl</t>
  </si>
  <si>
    <t>Wohnzimmer</t>
  </si>
  <si>
    <t>Schlafzimmer</t>
  </si>
  <si>
    <t>Anhang 1 Tabelle 3 WSVO 82</t>
  </si>
  <si>
    <t>Kind 1</t>
  </si>
  <si>
    <t>Kind 2</t>
  </si>
  <si>
    <t>Kind 3</t>
  </si>
  <si>
    <t>Flur</t>
  </si>
  <si>
    <t>Bad</t>
  </si>
  <si>
    <t>Küche</t>
  </si>
  <si>
    <t>Sonstige</t>
  </si>
  <si>
    <t>Anlage 3 WSVO 94</t>
  </si>
  <si>
    <t>Lüftung</t>
  </si>
  <si>
    <t>1; geändert von 0,5-&gt;0,4</t>
  </si>
  <si>
    <t>Ventilatorgestützte Lüftung</t>
  </si>
  <si>
    <t>Freie Lüftung</t>
  </si>
  <si>
    <t>1</t>
  </si>
  <si>
    <t>Tiefe Stahlrohrradiatoren</t>
  </si>
  <si>
    <t xml:space="preserve">Grenze Bauteil gegen </t>
  </si>
  <si>
    <t>Temperaturkorrekturfaktor</t>
  </si>
  <si>
    <t>Erdreich</t>
  </si>
  <si>
    <t>Phi,Raum</t>
  </si>
  <si>
    <t>Abschlag Heizlast</t>
  </si>
  <si>
    <t>Lfd. Nr.</t>
  </si>
  <si>
    <t>Heizkörper Subtyp</t>
  </si>
  <si>
    <t>Heizkörper_Typ</t>
  </si>
  <si>
    <t>Heizkörper_Subtyp</t>
  </si>
  <si>
    <t>Höhe H in mm</t>
  </si>
  <si>
    <t>Breite B in mm</t>
  </si>
  <si>
    <t>HK Fläche in m²</t>
  </si>
  <si>
    <t>HK Volumen in m³</t>
  </si>
  <si>
    <t>Nabenabstand N in mm</t>
  </si>
  <si>
    <t>Bautiefe T in mm</t>
  </si>
  <si>
    <t>Anzahl Rohre</t>
  </si>
  <si>
    <t>Anzahl Rohreinheiten</t>
  </si>
  <si>
    <t>Nennweite DN</t>
  </si>
  <si>
    <t>Außendurchmesser d in mm</t>
  </si>
  <si>
    <t>Rippenhöhe in mm</t>
  </si>
  <si>
    <t>Mittlere Rohrübertemperatur in K</t>
  </si>
  <si>
    <t>Übertemperatur in K</t>
  </si>
  <si>
    <t>Mittlere Wassertemperatur in °C</t>
  </si>
  <si>
    <t>Rippenhöhe h in mm</t>
  </si>
  <si>
    <t>Rippenabstand a in mm</t>
  </si>
  <si>
    <t>Rohrreihen</t>
  </si>
  <si>
    <t xml:space="preserve">Heizkörperexponent n </t>
  </si>
  <si>
    <t>Wärmeleistung (75/65/20)  in W</t>
  </si>
  <si>
    <t>Wärmeleistung (75/65/20)  in W/m</t>
  </si>
  <si>
    <t>Wärmeleistung (75/65/20)  in W/Glied</t>
  </si>
  <si>
    <t>Wärmeleistung in W/m²</t>
  </si>
  <si>
    <t>Flachheizkoerper</t>
  </si>
  <si>
    <t>Typ_20</t>
  </si>
  <si>
    <t>Typ_30</t>
  </si>
  <si>
    <t>Rohrheizköprer</t>
  </si>
  <si>
    <t>Sockelheizkörper</t>
  </si>
  <si>
    <t>Deckenheizung</t>
  </si>
  <si>
    <t>Fußbodenheizung</t>
  </si>
  <si>
    <t>Aufenthaltsbereich</t>
  </si>
  <si>
    <t>Randzone</t>
  </si>
  <si>
    <t>Wandheizung</t>
  </si>
  <si>
    <t>Kürzel für die Datenbank</t>
  </si>
  <si>
    <t>EFH_A</t>
  </si>
  <si>
    <t>EFH_B</t>
  </si>
  <si>
    <t>EFH_C</t>
  </si>
  <si>
    <t>EFH_D</t>
  </si>
  <si>
    <t>EFH_E</t>
  </si>
  <si>
    <t>EFH_F</t>
  </si>
  <si>
    <t>EFH_G</t>
  </si>
  <si>
    <t>EFH_H</t>
  </si>
  <si>
    <t>RH_B</t>
  </si>
  <si>
    <t>RH_C</t>
  </si>
  <si>
    <t>RH_D</t>
  </si>
  <si>
    <t>RH_E</t>
  </si>
  <si>
    <t>RH_F</t>
  </si>
  <si>
    <t>RH_G</t>
  </si>
  <si>
    <t>RH_H</t>
  </si>
  <si>
    <t>MFH_A</t>
  </si>
  <si>
    <t>MFH_B</t>
  </si>
  <si>
    <t>MFH_C</t>
  </si>
  <si>
    <t>MFH_D</t>
  </si>
  <si>
    <t>MFH_E</t>
  </si>
  <si>
    <t>MFH_F</t>
  </si>
  <si>
    <t>MFH_G</t>
  </si>
  <si>
    <t>MFH_H</t>
  </si>
  <si>
    <t>GMH_B</t>
  </si>
  <si>
    <t>GMH_C</t>
  </si>
  <si>
    <t>GMH_D</t>
  </si>
  <si>
    <t>GMH_E</t>
  </si>
  <si>
    <t>GMH_F</t>
  </si>
  <si>
    <t>HH_E</t>
  </si>
  <si>
    <t>HH_F</t>
  </si>
  <si>
    <t>EFH_F/F</t>
  </si>
  <si>
    <t>NBL_MFH_D</t>
  </si>
  <si>
    <t>NBL_MFH_E</t>
  </si>
  <si>
    <t>NBL_GMH_F</t>
  </si>
  <si>
    <t>NBL_GMH_G</t>
  </si>
  <si>
    <t>NBL_GMH_H</t>
  </si>
  <si>
    <t>NBL_HH_F</t>
  </si>
  <si>
    <t>NBL_HH_G</t>
  </si>
  <si>
    <t>Erweiterung um Gebäude ab 1995</t>
  </si>
  <si>
    <t>EFH_I</t>
  </si>
  <si>
    <t>EFH_J</t>
  </si>
  <si>
    <t>RH_I</t>
  </si>
  <si>
    <t>RH_J</t>
  </si>
  <si>
    <t>MFH_I</t>
  </si>
  <si>
    <t>MFH_J</t>
  </si>
  <si>
    <t>EFH_K</t>
  </si>
  <si>
    <t>EFH_L</t>
  </si>
  <si>
    <t>EFH_M</t>
  </si>
  <si>
    <t>RH_K</t>
  </si>
  <si>
    <t>RH_L</t>
  </si>
  <si>
    <t>RH_M</t>
  </si>
  <si>
    <t>MFH_K</t>
  </si>
  <si>
    <t>MFH_L</t>
  </si>
  <si>
    <t>MFH_M</t>
  </si>
  <si>
    <t>Kürzel_ifeu</t>
  </si>
  <si>
    <t>EFHvor 1859</t>
  </si>
  <si>
    <t>EFH1860-1918</t>
  </si>
  <si>
    <t>EFH1919-1948</t>
  </si>
  <si>
    <t>EFH1949-1957</t>
  </si>
  <si>
    <t>EFH1958-1968</t>
  </si>
  <si>
    <t>EFH1969-1978</t>
  </si>
  <si>
    <t>EFH1979-1983</t>
  </si>
  <si>
    <t>EFH1984-1994</t>
  </si>
  <si>
    <t>RHvor 1918</t>
  </si>
  <si>
    <t>RH1919-1948</t>
  </si>
  <si>
    <t>RH1949-1957</t>
  </si>
  <si>
    <t>RH1958-1968</t>
  </si>
  <si>
    <t>RH1969-1978</t>
  </si>
  <si>
    <t>RH1979-1983</t>
  </si>
  <si>
    <t>RH1984-1994</t>
  </si>
  <si>
    <t>MFHvor 1918</t>
  </si>
  <si>
    <t>MFH1919-1948</t>
  </si>
  <si>
    <t>MFH1949-1957</t>
  </si>
  <si>
    <t>MFH1958-1968</t>
  </si>
  <si>
    <t>MFH1969-1978</t>
  </si>
  <si>
    <t>MFH1979-1983</t>
  </si>
  <si>
    <t>MFH1984-1994</t>
  </si>
  <si>
    <t>MFH1946-1960</t>
  </si>
  <si>
    <t>MFH1961-1969</t>
  </si>
  <si>
    <t>MFH1970-1980</t>
  </si>
  <si>
    <t>MFH1981-1985</t>
  </si>
  <si>
    <t>MFH1986-1990</t>
  </si>
  <si>
    <t>HH1970-1980</t>
  </si>
  <si>
    <t>HH1981-1985</t>
  </si>
  <si>
    <t>EFH1995 - 2001</t>
  </si>
  <si>
    <t>EFH2002 - heute</t>
  </si>
  <si>
    <t>RH1995 - 2001</t>
  </si>
  <si>
    <t>RH2002 - heute</t>
  </si>
  <si>
    <t>MFH1995 - 2001</t>
  </si>
  <si>
    <t>MFH2002 - 2008</t>
  </si>
  <si>
    <t>EFH2009 - 2022</t>
  </si>
  <si>
    <t>EFH2023 - 2026</t>
  </si>
  <si>
    <t>EFH2027-2045</t>
  </si>
  <si>
    <t>RH2009 - 2022</t>
  </si>
  <si>
    <t>RH2023 - 2026</t>
  </si>
  <si>
    <t>RH2027-2045</t>
  </si>
  <si>
    <t>MFH2009 - 2022</t>
  </si>
  <si>
    <t>MFH2023 - 2026</t>
  </si>
  <si>
    <t>MFH2027-2045</t>
  </si>
  <si>
    <t>EFH</t>
  </si>
  <si>
    <t>RH</t>
  </si>
  <si>
    <t>MFH</t>
  </si>
  <si>
    <t>HH</t>
  </si>
  <si>
    <t>vor 1859</t>
  </si>
  <si>
    <t>1919-1948</t>
  </si>
  <si>
    <t>1949-1957</t>
  </si>
  <si>
    <t>1958-1968</t>
  </si>
  <si>
    <t>1969-1978</t>
  </si>
  <si>
    <t>1979-1983</t>
  </si>
  <si>
    <t>1984-1994</t>
  </si>
  <si>
    <t>vor 1918</t>
  </si>
  <si>
    <t>1946-1960</t>
  </si>
  <si>
    <t>1961-1969</t>
  </si>
  <si>
    <t>1970-1980</t>
  </si>
  <si>
    <t>1981-1985</t>
  </si>
  <si>
    <t>1986-1990</t>
  </si>
  <si>
    <t>1995 - 2001</t>
  </si>
  <si>
    <t>2002 - heute</t>
  </si>
  <si>
    <t>2002 - 2008</t>
  </si>
  <si>
    <t>2023 - 2026</t>
  </si>
  <si>
    <t>2027-2045</t>
  </si>
  <si>
    <t>U-Wert im Istzustand</t>
  </si>
  <si>
    <t>Kellerdecken</t>
  </si>
  <si>
    <t>Kellerdecke</t>
  </si>
  <si>
    <t>Kellerboden</t>
  </si>
  <si>
    <t>Bezeichnung (Text)</t>
  </si>
  <si>
    <t>Decke Anbau</t>
  </si>
  <si>
    <t>Rolladenkästen</t>
  </si>
  <si>
    <t>Außenwand_b</t>
  </si>
  <si>
    <t>Fenstersturz</t>
  </si>
  <si>
    <t>Verschindelte Westwand</t>
  </si>
  <si>
    <t>Brüstung/L</t>
  </si>
  <si>
    <t>AW-Vorhangf.</t>
  </si>
  <si>
    <t>Eingangstür</t>
  </si>
  <si>
    <t>Wand geg. Erdreich</t>
  </si>
  <si>
    <t>Bauteil 6 (zusätzliche Fußböden)</t>
  </si>
  <si>
    <t>Fußboden_b</t>
  </si>
  <si>
    <t>Boden geg. Erdreich</t>
  </si>
  <si>
    <t>Bodenplatte</t>
  </si>
  <si>
    <t>Fußboden geg Erdreich</t>
  </si>
  <si>
    <t>Fußboden Anbau</t>
  </si>
  <si>
    <t>Sonstige_a</t>
  </si>
  <si>
    <t>Sonstige_b</t>
  </si>
  <si>
    <t>Südfensterflächen</t>
  </si>
  <si>
    <t>Südfenster</t>
  </si>
  <si>
    <t>U-Wert (Gesamt-Fenster)</t>
  </si>
  <si>
    <t>West/Ost-Fenster</t>
  </si>
  <si>
    <t>Ost/West-Fenster</t>
  </si>
  <si>
    <t>Nordfensterflächen</t>
  </si>
  <si>
    <t>Nordfenster</t>
  </si>
  <si>
    <t>Korrigierte Tabelle entsprechend U-Wert Analyse Abschlussbericht</t>
  </si>
  <si>
    <t>Index</t>
  </si>
  <si>
    <t>Baualtersklasse</t>
  </si>
  <si>
    <t>Ein- oder Zweifamilienhaus_1859 und älter</t>
  </si>
  <si>
    <t>IWU</t>
  </si>
  <si>
    <t>Ein- oder Zweifamilienhaus_vor 1859</t>
  </si>
  <si>
    <t>Ein- oder Zweifamilienhaus_1860 - 1918</t>
  </si>
  <si>
    <t>Ein- oder Zweifamilienhaus_1919 - 1948</t>
  </si>
  <si>
    <t>Ein- oder Zweifamilienhaus_1949 - 1957</t>
  </si>
  <si>
    <t>Ein- oder Zweifamilienhaus_1958 - 1968</t>
  </si>
  <si>
    <t>Ein- oder Zweifamilienhaus_1969 - 1978</t>
  </si>
  <si>
    <t>Ein- oder Zweifamilienhaus_1979 - 1983</t>
  </si>
  <si>
    <t>Ein- oder Zweifamilienhaus_1984 - 1994</t>
  </si>
  <si>
    <t xml:space="preserve">angepasst, nicht IWU </t>
  </si>
  <si>
    <t>Ein- oder Zweifamilienhaus_1995 - 2002</t>
  </si>
  <si>
    <t>I</t>
  </si>
  <si>
    <t>Ein- oder Zweifamilienhaus_2003 - 2008</t>
  </si>
  <si>
    <t>J</t>
  </si>
  <si>
    <t>Ein- oder Zweifamilienhaus_2009 - 2022</t>
  </si>
  <si>
    <t>EnEV 2009 Anlage 3, Tabelle 1</t>
  </si>
  <si>
    <t>Ein- oder Zweifamilienhaus_2023 und neuer</t>
  </si>
  <si>
    <t>GEG 2023 Anlage 7</t>
  </si>
  <si>
    <t>Ein- oder Zweifamilienhaus_2023 - 2026</t>
  </si>
  <si>
    <t>Ein- oder Zweifamilienhaus_2027 - 2045</t>
  </si>
  <si>
    <t>2027 - 2045</t>
  </si>
  <si>
    <t>M</t>
  </si>
  <si>
    <t>Reihenhaus_1860 - 1918</t>
  </si>
  <si>
    <t>Reihenhaus_1919 - 1948</t>
  </si>
  <si>
    <t>Reihenhaus_1949 - 1957</t>
  </si>
  <si>
    <t>Reihenhaus_1958 - 1968</t>
  </si>
  <si>
    <t>Reihenhaus_1969 - 1978</t>
  </si>
  <si>
    <t>Reihenhaus_1979 - 1983</t>
  </si>
  <si>
    <t>Reihenhaus_1984 - 1994</t>
  </si>
  <si>
    <t>Reihenhaus_1995 - 2002</t>
  </si>
  <si>
    <t>Reihenhaus_2003 - 2008</t>
  </si>
  <si>
    <t>Reihenhaus_2009 - 2022</t>
  </si>
  <si>
    <t>Reihenhaus_2023 - 2026</t>
  </si>
  <si>
    <t>Reihenhaus_2027 - 2045</t>
  </si>
  <si>
    <t>Mehrfamilienhaus_vor 1859</t>
  </si>
  <si>
    <t>Mehrfamilienhaus_1860 - 1918</t>
  </si>
  <si>
    <t>Mehrfamilienhaus_1919 - 1948</t>
  </si>
  <si>
    <t>Mehrfamilienhaus_1949 - 1957</t>
  </si>
  <si>
    <t>Mehrfamilienhaus_1958 - 1968</t>
  </si>
  <si>
    <t>Mehrfamilienhaus_1969 - 1978</t>
  </si>
  <si>
    <t>Mehrfamilienhaus_1979 - 1983</t>
  </si>
  <si>
    <t>Mehrfamilienhaus_1984 - 1994</t>
  </si>
  <si>
    <t>Mehrfamilienhaus_1995 - 2002</t>
  </si>
  <si>
    <t>Mehrfamilienhaus_2003 - 2008</t>
  </si>
  <si>
    <t>Mehrfamilienhaus_2009 - 2022</t>
  </si>
  <si>
    <t>Mehrfamilienhaus_2023 - 2026</t>
  </si>
  <si>
    <t>Mehrfamilienhaus_2027 - 2045</t>
  </si>
  <si>
    <t>Großes Mehrfamileinhaus_1860 - 1918</t>
  </si>
  <si>
    <t>Großes Mehrfamileinhaus_1919 - 1948</t>
  </si>
  <si>
    <t>Großes Mehrfamileinhaus_1949 - 1957</t>
  </si>
  <si>
    <t>Großes Mehrfamileinhaus_1958 - 1968</t>
  </si>
  <si>
    <t>Großes Mehrfamileinhaus_1969 - 1978</t>
  </si>
  <si>
    <t>Großes Mehrfamileinhaus_1979 - 1983</t>
  </si>
  <si>
    <t>Großes Mehrfamileinhaus_1984 - 1994</t>
  </si>
  <si>
    <t>Großes Mehrfamileinhaus_1995 - 2002</t>
  </si>
  <si>
    <t>Großes Mehrfamileinhaus_2003 - 2008</t>
  </si>
  <si>
    <t>Großes Mehrfamileinhaus_2009 - 2022</t>
  </si>
  <si>
    <t>Großes Mehrfamileinhaus_2023 - 2026</t>
  </si>
  <si>
    <t>Großes Mehrfamileinhaus_2027 - 2045</t>
  </si>
  <si>
    <t>Überschrieben mit Annahme: 1,1
vorher: GEG 2023 Anlage 7: =MEDIAN(1,3;1,4;1,5;2;1,6;2;2,3;1,8)</t>
  </si>
  <si>
    <t>Neue Bundesländer Mehrfamilienhaus_1949 - 1957</t>
  </si>
  <si>
    <t>Neue Bundesländer Mehrfamilienhaus_1958 - 1968</t>
  </si>
  <si>
    <t>Neue Bundesländer großes Mehrfamilienhaus_1969 - 1978</t>
  </si>
  <si>
    <t>Neue Bundesländer großes Mehrfamilienhaus_1979 - 1983</t>
  </si>
  <si>
    <t>Neue Bundesländer großes Mehrfamilienhaus_1984 - 1994</t>
  </si>
  <si>
    <t>Reihenhaus_2023 und neuer</t>
  </si>
  <si>
    <t>Mehrfamilienhaus_1859 und älter</t>
  </si>
  <si>
    <t>Mehrfamilienhaus_2023 und neuer</t>
  </si>
  <si>
    <t>GEG 2023, Anlage 1</t>
  </si>
  <si>
    <t>Großes Mehrfamileinhaus</t>
  </si>
  <si>
    <t>Großes Mehrfamileinhaus_2023 und neuer</t>
  </si>
  <si>
    <t>Neue Bundesländer Mehrfamilienhaus</t>
  </si>
  <si>
    <t>Neue Bundesländer großes Mehrfamilienhaus</t>
  </si>
  <si>
    <t>Ort</t>
  </si>
  <si>
    <t>Plz</t>
  </si>
  <si>
    <t>Außentemperatur °C</t>
  </si>
  <si>
    <t>T_Mittel</t>
  </si>
  <si>
    <t>Plz Nutzer*in</t>
  </si>
  <si>
    <t>Borkum</t>
  </si>
  <si>
    <t>Helgoland</t>
  </si>
  <si>
    <t>Nächstgelegene Plz</t>
  </si>
  <si>
    <t>Hallig Hooge</t>
  </si>
  <si>
    <t>Normaußentemperatur [°C]</t>
  </si>
  <si>
    <t>Amrum</t>
  </si>
  <si>
    <t>Maasholm, Schleimünde</t>
  </si>
  <si>
    <t>List</t>
  </si>
  <si>
    <t>Kampen (Sylt)</t>
  </si>
  <si>
    <t>Düsseldorf</t>
  </si>
  <si>
    <t>Sylt</t>
  </si>
  <si>
    <t>Langeoog</t>
  </si>
  <si>
    <t>Spiekeroog</t>
  </si>
  <si>
    <t>Fehmarn</t>
  </si>
  <si>
    <t>Süderoog, Pellworm</t>
  </si>
  <si>
    <t>Wenningstedt-Braderup (Sylt)</t>
  </si>
  <si>
    <t>Mönchengladbach</t>
  </si>
  <si>
    <t>Krefeld</t>
  </si>
  <si>
    <t>Köln</t>
  </si>
  <si>
    <t>Kappeln</t>
  </si>
  <si>
    <t>Gelting</t>
  </si>
  <si>
    <t>Hörnum (Sylt)</t>
  </si>
  <si>
    <t>Norderney</t>
  </si>
  <si>
    <t>Essen</t>
  </si>
  <si>
    <t>Duisburg</t>
  </si>
  <si>
    <t>Aachen</t>
  </si>
  <si>
    <t>Heiligenhafen</t>
  </si>
  <si>
    <t>Großenbrode</t>
  </si>
  <si>
    <t>Dörphof</t>
  </si>
  <si>
    <t>Langeneß</t>
  </si>
  <si>
    <t>Oland</t>
  </si>
  <si>
    <t>Juist, Memmert</t>
  </si>
  <si>
    <t>Baltrum</t>
  </si>
  <si>
    <t>Bochum</t>
  </si>
  <si>
    <t>Gelsenkirchen</t>
  </si>
  <si>
    <t>Oberhausen</t>
  </si>
  <si>
    <t>Bonn</t>
  </si>
  <si>
    <t>Arnis, Marienhof</t>
  </si>
  <si>
    <t>Flensburg</t>
  </si>
  <si>
    <t>Norden</t>
  </si>
  <si>
    <t>Hage, Halbemond u.a.</t>
  </si>
  <si>
    <t>Dornum</t>
  </si>
  <si>
    <t>Dortmund</t>
  </si>
  <si>
    <t>Herne</t>
  </si>
  <si>
    <t>Mülheim an der Ruhr</t>
  </si>
  <si>
    <t>Stoltebüll</t>
  </si>
  <si>
    <t>Steinberg, Steinbergkirche</t>
  </si>
  <si>
    <t>Rodenäs</t>
  </si>
  <si>
    <t>Föhr</t>
  </si>
  <si>
    <t>Kiel</t>
  </si>
  <si>
    <t>Cuxhaven</t>
  </si>
  <si>
    <t>Hilden, Düsseldorf</t>
  </si>
  <si>
    <t>Hilden</t>
  </si>
  <si>
    <t>Viersen</t>
  </si>
  <si>
    <t>Gelsenkirchen Rotthausen</t>
  </si>
  <si>
    <t>Bottrop</t>
  </si>
  <si>
    <t>Oldenburg in Holstein</t>
  </si>
  <si>
    <t>Neukirchen</t>
  </si>
  <si>
    <t>Damp</t>
  </si>
  <si>
    <t>Esgrus, Schrepperie</t>
  </si>
  <si>
    <t>Wilhelmshaven</t>
  </si>
  <si>
    <t>Bremerhaven</t>
  </si>
  <si>
    <t>Neuss</t>
  </si>
  <si>
    <t>Wuppertal</t>
  </si>
  <si>
    <t>Gladbeck</t>
  </si>
  <si>
    <t>Dinslaken</t>
  </si>
  <si>
    <t>Leverkusen</t>
  </si>
  <si>
    <t>Dranske</t>
  </si>
  <si>
    <t>Holzdorf</t>
  </si>
  <si>
    <t>Waabs</t>
  </si>
  <si>
    <t>Flensburg, Tastrup</t>
  </si>
  <si>
    <t>Dollerup</t>
  </si>
  <si>
    <t>Habel, Gröde</t>
  </si>
  <si>
    <t>Wangerooge</t>
  </si>
  <si>
    <t>Ratingen</t>
  </si>
  <si>
    <t>Recklinghausen</t>
  </si>
  <si>
    <t>Moers</t>
  </si>
  <si>
    <t>Münster</t>
  </si>
  <si>
    <t>Osdorf</t>
  </si>
  <si>
    <t>Husby</t>
  </si>
  <si>
    <t>Sterup</t>
  </si>
  <si>
    <t>Sankt Peter-Ording</t>
  </si>
  <si>
    <t>Langenfeld</t>
  </si>
  <si>
    <t>Solingen</t>
  </si>
  <si>
    <t>Herten</t>
  </si>
  <si>
    <t>Wesel</t>
  </si>
  <si>
    <t>Wesseling</t>
  </si>
  <si>
    <t>Düren</t>
  </si>
  <si>
    <t>Heringsdorf</t>
  </si>
  <si>
    <t>Kronshagen</t>
  </si>
  <si>
    <t>Gettorf u.a.</t>
  </si>
  <si>
    <t>Eckernförde</t>
  </si>
  <si>
    <t>Barkelsby</t>
  </si>
  <si>
    <t>Loose</t>
  </si>
  <si>
    <t>Harrislee</t>
  </si>
  <si>
    <t>Glücksburg, Munkbrarup</t>
  </si>
  <si>
    <t>Sörup</t>
  </si>
  <si>
    <t>Handewitt</t>
  </si>
  <si>
    <t>Langballig</t>
  </si>
  <si>
    <t>Wees</t>
  </si>
  <si>
    <t>Wangerland</t>
  </si>
  <si>
    <t>Monheim am Rhein</t>
  </si>
  <si>
    <t>Nettetal</t>
  </si>
  <si>
    <t>Korschenbroich</t>
  </si>
  <si>
    <t>Grevenbroich</t>
  </si>
  <si>
    <t>Dormagen</t>
  </si>
  <si>
    <t>Hattingen</t>
  </si>
  <si>
    <t>Emmerich am Rhein</t>
  </si>
  <si>
    <t>Kleve</t>
  </si>
  <si>
    <t>Kalkar</t>
  </si>
  <si>
    <t>Bedburg-Hau</t>
  </si>
  <si>
    <t>Goch</t>
  </si>
  <si>
    <t>Kerken</t>
  </si>
  <si>
    <t>Kempen</t>
  </si>
  <si>
    <t>Tönisvorst</t>
  </si>
  <si>
    <t>Grefrath</t>
  </si>
  <si>
    <t>Jülich</t>
  </si>
  <si>
    <t>Sankt Augustin</t>
  </si>
  <si>
    <t>Koblenz</t>
  </si>
  <si>
    <t>Neuwied</t>
  </si>
  <si>
    <t>Hamburg</t>
  </si>
  <si>
    <t>Scharbeutz</t>
  </si>
  <si>
    <t>Schönberg (Holstein)</t>
  </si>
  <si>
    <t>Felm</t>
  </si>
  <si>
    <t>Hohenfelde</t>
  </si>
  <si>
    <t>Neufeld, Schmedeswurth</t>
  </si>
  <si>
    <t>Garding, Osterhever, Poppenbüll u.a.</t>
  </si>
  <si>
    <t>Nordstrand, Elisabeth-Sophien-Koog, Südfall</t>
  </si>
  <si>
    <t>Tating, Westerhever, Tümlauer Koog</t>
  </si>
  <si>
    <t>Esens, Neuharlingersiel u.a.</t>
  </si>
  <si>
    <t>Kaarst</t>
  </si>
  <si>
    <t>Marl</t>
  </si>
  <si>
    <t>Dorsten</t>
  </si>
  <si>
    <t>Rees</t>
  </si>
  <si>
    <t>Xanten</t>
  </si>
  <si>
    <t>Voerde (Niederrhein)</t>
  </si>
  <si>
    <t>Kamp-Lintfort</t>
  </si>
  <si>
    <t>Rheinberg</t>
  </si>
  <si>
    <t>Neukirchen-Vluyn</t>
  </si>
  <si>
    <t>Kranenburg</t>
  </si>
  <si>
    <t>Uedem</t>
  </si>
  <si>
    <t>Kevelaer</t>
  </si>
  <si>
    <t>Straelen</t>
  </si>
  <si>
    <t>Wachtendonk</t>
  </si>
  <si>
    <t>Willich</t>
  </si>
  <si>
    <t>Rheine</t>
  </si>
  <si>
    <t>Bergisch Gladbach</t>
  </si>
  <si>
    <t>Troisdorf</t>
  </si>
  <si>
    <t>Hagen</t>
  </si>
  <si>
    <t>Frankfurt am Main, Opernturm</t>
  </si>
  <si>
    <t>Neustadt</t>
  </si>
  <si>
    <t>Altenholz</t>
  </si>
  <si>
    <t>Heikendorf</t>
  </si>
  <si>
    <t>Dänischenhagen</t>
  </si>
  <si>
    <t>Laboe</t>
  </si>
  <si>
    <t>Mönkeberg</t>
  </si>
  <si>
    <t>Brunsbüttel</t>
  </si>
  <si>
    <t>Westerholt, Schweindorf u.a.</t>
  </si>
  <si>
    <t>Neuwerk</t>
  </si>
  <si>
    <t>Meerbusch</t>
  </si>
  <si>
    <t>Erkrath</t>
  </si>
  <si>
    <t>Jüchen</t>
  </si>
  <si>
    <t>Velbert</t>
  </si>
  <si>
    <t>Heiligenhaus</t>
  </si>
  <si>
    <t>Castrop-Rauxel</t>
  </si>
  <si>
    <t>Bocholt</t>
  </si>
  <si>
    <t>Rhede</t>
  </si>
  <si>
    <t>Isselburg</t>
  </si>
  <si>
    <t>Hamminkeln</t>
  </si>
  <si>
    <t>Schermbeck</t>
  </si>
  <si>
    <t>Alpen</t>
  </si>
  <si>
    <t>Hünxe</t>
  </si>
  <si>
    <t>Rheurdt</t>
  </si>
  <si>
    <t>Geldern</t>
  </si>
  <si>
    <t>Kevelaer-Wetten</t>
  </si>
  <si>
    <t>Kevelaer-Winnekendonk</t>
  </si>
  <si>
    <t>Kevelaer-Kervenheim</t>
  </si>
  <si>
    <t>Weeze</t>
  </si>
  <si>
    <t>Issum</t>
  </si>
  <si>
    <t>Sonsbeck</t>
  </si>
  <si>
    <t>Herzogenrath</t>
  </si>
  <si>
    <t>Übach-Palenberg</t>
  </si>
  <si>
    <t>Euskirchen</t>
  </si>
  <si>
    <t>Witten</t>
  </si>
  <si>
    <t>Frankfurt am Main</t>
  </si>
  <si>
    <t>Grömitz</t>
  </si>
  <si>
    <t>Grube</t>
  </si>
  <si>
    <t>Schwentinental</t>
  </si>
  <si>
    <t>Lunden</t>
  </si>
  <si>
    <t>Tönning</t>
  </si>
  <si>
    <t>Ochtersum</t>
  </si>
  <si>
    <t>Großheide</t>
  </si>
  <si>
    <t>Aurich</t>
  </si>
  <si>
    <t>Mettmann</t>
  </si>
  <si>
    <t>Rommerskirchen</t>
  </si>
  <si>
    <t>Bergheim</t>
  </si>
  <si>
    <t>Brühl</t>
  </si>
  <si>
    <t>Weißenthurm</t>
  </si>
  <si>
    <t>Frankfurt am Main (Taunusturm)</t>
  </si>
  <si>
    <t>Wiesbaden</t>
  </si>
  <si>
    <t>Otterndorf</t>
  </si>
  <si>
    <t>Kellenhusen</t>
  </si>
  <si>
    <t>Dahme</t>
  </si>
  <si>
    <t>Melsdorf</t>
  </si>
  <si>
    <t>Schönkirchen</t>
  </si>
  <si>
    <t>Probsteierhagen</t>
  </si>
  <si>
    <t>Lütjenburg</t>
  </si>
  <si>
    <t>Holtsee</t>
  </si>
  <si>
    <t>Rabenkirchen-Faulück</t>
  </si>
  <si>
    <t>Neuenkirchen</t>
  </si>
  <si>
    <t>Oldenswort</t>
  </si>
  <si>
    <t>Tetenbüll</t>
  </si>
  <si>
    <t>Neukirchen, Aventoft</t>
  </si>
  <si>
    <t>Jever</t>
  </si>
  <si>
    <t>Sande</t>
  </si>
  <si>
    <t>Blomberg, Neuschoo</t>
  </si>
  <si>
    <t>Schwalmtal</t>
  </si>
  <si>
    <t>Haltern am See</t>
  </si>
  <si>
    <t>Borken</t>
  </si>
  <si>
    <t>Osnabrück</t>
  </si>
  <si>
    <t>Kerpen</t>
  </si>
  <si>
    <t>Elsdorf</t>
  </si>
  <si>
    <t>Pulheim</t>
  </si>
  <si>
    <t>Hürth</t>
  </si>
  <si>
    <t>Kreuzau</t>
  </si>
  <si>
    <t>Inden</t>
  </si>
  <si>
    <t>Alsdorf</t>
  </si>
  <si>
    <t>Saarbrücken</t>
  </si>
  <si>
    <t>Sagard</t>
  </si>
  <si>
    <t>Lensahn</t>
  </si>
  <si>
    <t>Kiel Russee</t>
  </si>
  <si>
    <t>Fargau-Pratjau</t>
  </si>
  <si>
    <t>Blekendorf</t>
  </si>
  <si>
    <t>Kosel, Rieseby u.a.</t>
  </si>
  <si>
    <t>Süderbrarup</t>
  </si>
  <si>
    <t>Böel</t>
  </si>
  <si>
    <t>Mohrkirch, Rügge</t>
  </si>
  <si>
    <t>Rendsburg</t>
  </si>
  <si>
    <t>Bredenbek</t>
  </si>
  <si>
    <t>Havetoft</t>
  </si>
  <si>
    <t>Oeversee</t>
  </si>
  <si>
    <t>Großsolt</t>
  </si>
  <si>
    <t>Büsum</t>
  </si>
  <si>
    <t>Hennstedt</t>
  </si>
  <si>
    <t>Uelvesbüll, Witzwort</t>
  </si>
  <si>
    <t>Niebüll</t>
  </si>
  <si>
    <t>Wittmund</t>
  </si>
  <si>
    <t>Schortens</t>
  </si>
  <si>
    <t>Upgant-Schott, Osteel u.a.</t>
  </si>
  <si>
    <t>Stadland</t>
  </si>
  <si>
    <t>Bremen</t>
  </si>
  <si>
    <t>Brüggen</t>
  </si>
  <si>
    <t>Erkelenz</t>
  </si>
  <si>
    <t>Hückelhoven</t>
  </si>
  <si>
    <t>Haan</t>
  </si>
  <si>
    <t>Waltrop</t>
  </si>
  <si>
    <t>Raesfeld</t>
  </si>
  <si>
    <t>Heiden</t>
  </si>
  <si>
    <t>Bedburg</t>
  </si>
  <si>
    <t>Erftstadt</t>
  </si>
  <si>
    <t>Linnich</t>
  </si>
  <si>
    <t>Titz</t>
  </si>
  <si>
    <t>Waldfeucht, Heinsberg</t>
  </si>
  <si>
    <t>Weilerswist</t>
  </si>
  <si>
    <t>Mainz</t>
  </si>
  <si>
    <t>Timmendorfer Strand</t>
  </si>
  <si>
    <t>Sehestedt</t>
  </si>
  <si>
    <t>Schleswig</t>
  </si>
  <si>
    <t>Böklund u.a.</t>
  </si>
  <si>
    <t>Idstedt</t>
  </si>
  <si>
    <t>Sieverstedt</t>
  </si>
  <si>
    <t>Steinfeld</t>
  </si>
  <si>
    <t>Struxdorf, Schnarup-Thumby</t>
  </si>
  <si>
    <t>Tarp</t>
  </si>
  <si>
    <t>Mittelangeln</t>
  </si>
  <si>
    <t>Linden, Barkenholm</t>
  </si>
  <si>
    <t>Zetel</t>
  </si>
  <si>
    <t>Friedeburg</t>
  </si>
  <si>
    <t>Leer</t>
  </si>
  <si>
    <t>Niederkrüchten</t>
  </si>
  <si>
    <t>Wegberg</t>
  </si>
  <si>
    <t>Wassenberg</t>
  </si>
  <si>
    <t>Wülfrath</t>
  </si>
  <si>
    <t>Oer-Erkenschwick</t>
  </si>
  <si>
    <t>Südlohn</t>
  </si>
  <si>
    <t>Reken</t>
  </si>
  <si>
    <t>Lingen</t>
  </si>
  <si>
    <t>Frechen</t>
  </si>
  <si>
    <t>Stolberg (Rhld.)</t>
  </si>
  <si>
    <t>Eschweiler</t>
  </si>
  <si>
    <t>Nörvenich</t>
  </si>
  <si>
    <t>Merzenich</t>
  </si>
  <si>
    <t>Aldenhoven</t>
  </si>
  <si>
    <t>Baesweiler</t>
  </si>
  <si>
    <t>Zülpich</t>
  </si>
  <si>
    <t>Wetter (Ruhr)</t>
  </si>
  <si>
    <t>Balje</t>
  </si>
  <si>
    <t>Neuhaus (Oste)</t>
  </si>
  <si>
    <t>Schwentinetal</t>
  </si>
  <si>
    <t>Achterwehr</t>
  </si>
  <si>
    <t>Felde</t>
  </si>
  <si>
    <t>Mielkendorf</t>
  </si>
  <si>
    <t>Ascheffel</t>
  </si>
  <si>
    <t>Groß Wittensee</t>
  </si>
  <si>
    <t>Neumünster</t>
  </si>
  <si>
    <t>Hamdorf</t>
  </si>
  <si>
    <t>Jevenstedt</t>
  </si>
  <si>
    <t>Schülp bei Rendsburg</t>
  </si>
  <si>
    <t>Schuby</t>
  </si>
  <si>
    <t>Fahrdorf</t>
  </si>
  <si>
    <t>Brodersby, Goltoft</t>
  </si>
  <si>
    <t>Nübel</t>
  </si>
  <si>
    <t>Stolk</t>
  </si>
  <si>
    <t>Taarstedt</t>
  </si>
  <si>
    <t>Tolk, Twedt</t>
  </si>
  <si>
    <t>Ulsnis</t>
  </si>
  <si>
    <t>Wanderup</t>
  </si>
  <si>
    <t>Eddelak, Averlak, Dingen, Ramhusen</t>
  </si>
  <si>
    <t>Heide u.a.</t>
  </si>
  <si>
    <t>Wesselburen</t>
  </si>
  <si>
    <t>Sankt Annen, Rehm-Flehde-Bargen</t>
  </si>
  <si>
    <t>Tellingstedt</t>
  </si>
  <si>
    <t>Dellstedt</t>
  </si>
  <si>
    <t>Delve</t>
  </si>
  <si>
    <t>Pahlen</t>
  </si>
  <si>
    <t>Weddingstedt</t>
  </si>
  <si>
    <t>Wrohm</t>
  </si>
  <si>
    <t>Husum, Schwesing u.a.</t>
  </si>
  <si>
    <t>Friedrichstadt, Koldenbüttel u.a.</t>
  </si>
  <si>
    <t>Bordelum</t>
  </si>
  <si>
    <t>Hattstedt u.a.</t>
  </si>
  <si>
    <t>Norderstapel</t>
  </si>
  <si>
    <t>Ostenfeld</t>
  </si>
  <si>
    <t>Drage, Seeth</t>
  </si>
  <si>
    <t>Oldenburg (Oldenburg)</t>
  </si>
  <si>
    <t>Oldenburg</t>
  </si>
  <si>
    <t>Krummhörn</t>
  </si>
  <si>
    <t>Nordenham</t>
  </si>
  <si>
    <t>Butjadingen</t>
  </si>
  <si>
    <t>Bielefeld</t>
  </si>
  <si>
    <t>Leichlingen</t>
  </si>
  <si>
    <t>Remscheid</t>
  </si>
  <si>
    <t>Sprockhövel</t>
  </si>
  <si>
    <t>Datteln</t>
  </si>
  <si>
    <t>Velen</t>
  </si>
  <si>
    <t>Emsdetten</t>
  </si>
  <si>
    <t>Gronau</t>
  </si>
  <si>
    <t>Vreden</t>
  </si>
  <si>
    <t>Stadtlohn</t>
  </si>
  <si>
    <t>Gescher</t>
  </si>
  <si>
    <t>Meppen</t>
  </si>
  <si>
    <t>Haren</t>
  </si>
  <si>
    <t>Ringe, Laar, Emlichheim</t>
  </si>
  <si>
    <t>Burscheid</t>
  </si>
  <si>
    <t>Rösrath</t>
  </si>
  <si>
    <t>Würselen</t>
  </si>
  <si>
    <t>Stolberg</t>
  </si>
  <si>
    <t>Langerwehe</t>
  </si>
  <si>
    <t>Niederzier</t>
  </si>
  <si>
    <t>Vettweiß</t>
  </si>
  <si>
    <t>Geilenkirchen</t>
  </si>
  <si>
    <t>Gangelt, Selfkant</t>
  </si>
  <si>
    <t>Bornheim</t>
  </si>
  <si>
    <t>Rheinbach</t>
  </si>
  <si>
    <t>Swisttal</t>
  </si>
  <si>
    <t>Trier</t>
  </si>
  <si>
    <t>Urbar (bei Koblenz)</t>
  </si>
  <si>
    <t>Schwelm</t>
  </si>
  <si>
    <t>Saarlouis</t>
  </si>
  <si>
    <t>Kaiserslautern</t>
  </si>
  <si>
    <t>Offenburg</t>
  </si>
  <si>
    <t>Hiddensee</t>
  </si>
  <si>
    <t>Flintbek</t>
  </si>
  <si>
    <t>Fleckeby u.a.</t>
  </si>
  <si>
    <t>Osterby</t>
  </si>
  <si>
    <t>Osterrönfeld</t>
  </si>
  <si>
    <t>Westerrönfeld</t>
  </si>
  <si>
    <t>Fockbek</t>
  </si>
  <si>
    <t>Breiholz, Tackesdorf</t>
  </si>
  <si>
    <t>Erfde</t>
  </si>
  <si>
    <t>Nübbel</t>
  </si>
  <si>
    <t>Hamweddel</t>
  </si>
  <si>
    <t>Bollingstedt, Jübek</t>
  </si>
  <si>
    <t>Bergenhusen</t>
  </si>
  <si>
    <t>Wohlde</t>
  </si>
  <si>
    <t>Schafflund, Meyn u.a</t>
  </si>
  <si>
    <t>Jörl</t>
  </si>
  <si>
    <t>Medelby</t>
  </si>
  <si>
    <t>Nordhastedt</t>
  </si>
  <si>
    <t>Behrendorf, Bondelum</t>
  </si>
  <si>
    <t>Horstedt</t>
  </si>
  <si>
    <t>Schwabstedt</t>
  </si>
  <si>
    <t>Süderstapel</t>
  </si>
  <si>
    <t>Wester-Ohrstedt</t>
  </si>
  <si>
    <t>Varel</t>
  </si>
  <si>
    <t>Großefehn</t>
  </si>
  <si>
    <t>Wiesmoor</t>
  </si>
  <si>
    <t>Emden</t>
  </si>
  <si>
    <t>Delmenhorst</t>
  </si>
  <si>
    <t>Dülmen</t>
  </si>
  <si>
    <t>Bad Bentheim</t>
  </si>
  <si>
    <t>Coesfeld</t>
  </si>
  <si>
    <t>Esche, Georgsdorf, Lage, Neuenhaus, Osterwald</t>
  </si>
  <si>
    <t>Heimbach</t>
  </si>
  <si>
    <t>Alfter</t>
  </si>
  <si>
    <t>Linz am Rhein, Ockenfels</t>
  </si>
  <si>
    <t>Niederkassel</t>
  </si>
  <si>
    <t>Darmstadt</t>
  </si>
  <si>
    <t>Nordleda</t>
  </si>
  <si>
    <t>Rumohr</t>
  </si>
  <si>
    <t>Westensee</t>
  </si>
  <si>
    <t>Bordesholm</t>
  </si>
  <si>
    <t>Gnutz</t>
  </si>
  <si>
    <t>Timmaspe</t>
  </si>
  <si>
    <t>Büdelsdorf, Rickert</t>
  </si>
  <si>
    <t>Schacht-Audorf</t>
  </si>
  <si>
    <t>Alt Duvenstedt</t>
  </si>
  <si>
    <t>Borgstedt</t>
  </si>
  <si>
    <t>Meggerdorf, Friedrichsholm, Friedrichsgraben u.a.</t>
  </si>
  <si>
    <t>Elsdorf-Westermühlen</t>
  </si>
  <si>
    <t>Hohn</t>
  </si>
  <si>
    <t>Owschlag u.a.</t>
  </si>
  <si>
    <t>Tetenhusen</t>
  </si>
  <si>
    <t>Eggebek, Langstedt, Sollerup, Süderhackstedt</t>
  </si>
  <si>
    <t>Busdorf</t>
  </si>
  <si>
    <t>Dörpstedt</t>
  </si>
  <si>
    <t>Schaalby, Geelbek</t>
  </si>
  <si>
    <t>Silberstedt, Schwittschau</t>
  </si>
  <si>
    <t>Treia, Ahrenviölfeld</t>
  </si>
  <si>
    <t>Kronprinzenkoog, Marne u.a.</t>
  </si>
  <si>
    <t>Friedrichskoog</t>
  </si>
  <si>
    <t>Albersdorf</t>
  </si>
  <si>
    <t>Bredstedt, Breklum u.a.</t>
  </si>
  <si>
    <t>Langenhorn, Ockholm u.a.</t>
  </si>
  <si>
    <t>Haselund</t>
  </si>
  <si>
    <t>Joldelund</t>
  </si>
  <si>
    <t>Mildstedt</t>
  </si>
  <si>
    <t>Rantrum</t>
  </si>
  <si>
    <t>Viöl</t>
  </si>
  <si>
    <t>Winnert</t>
  </si>
  <si>
    <t>Ladelund</t>
  </si>
  <si>
    <t>Bockhorn</t>
  </si>
  <si>
    <t>Jade</t>
  </si>
  <si>
    <t>Südbrookmerland</t>
  </si>
  <si>
    <t>Lünen</t>
  </si>
  <si>
    <t>Salzbergen</t>
  </si>
  <si>
    <t>Nordhorn</t>
  </si>
  <si>
    <t>Ahaus</t>
  </si>
  <si>
    <t>Legden</t>
  </si>
  <si>
    <t>Geeste</t>
  </si>
  <si>
    <t>Oberlangen, Niederlangen</t>
  </si>
  <si>
    <t>Wietmarschen</t>
  </si>
  <si>
    <t>Uelsen, Halle, Gölenkamp, Getelo</t>
  </si>
  <si>
    <t>Hoogstede</t>
  </si>
  <si>
    <t>Wilsum</t>
  </si>
  <si>
    <t>Meckenheim</t>
  </si>
  <si>
    <t>Remagen</t>
  </si>
  <si>
    <t>Rheinbreitbach</t>
  </si>
  <si>
    <t>Siegburg</t>
  </si>
  <si>
    <t>Eitorf</t>
  </si>
  <si>
    <t>Lohmar</t>
  </si>
  <si>
    <t>Serrig</t>
  </si>
  <si>
    <t>Bad Ems</t>
  </si>
  <si>
    <t>Weitersburg</t>
  </si>
  <si>
    <t>Mülheim-Kärlich</t>
  </si>
  <si>
    <t>Urmitz</t>
  </si>
  <si>
    <t>Gevelsberg</t>
  </si>
  <si>
    <t>Hamm</t>
  </si>
  <si>
    <t>Lüdinghausen</t>
  </si>
  <si>
    <t>Olfen</t>
  </si>
  <si>
    <t>Frankfurt</t>
  </si>
  <si>
    <t>Merzig</t>
  </si>
  <si>
    <t>Freiburg (Elbe)</t>
  </si>
  <si>
    <t>Krummendeich</t>
  </si>
  <si>
    <t>Bülkau</t>
  </si>
  <si>
    <t>Lübeck</t>
  </si>
  <si>
    <t>Preetz</t>
  </si>
  <si>
    <t>Selent</t>
  </si>
  <si>
    <t>Blumenthal</t>
  </si>
  <si>
    <t>Kirchbarkau</t>
  </si>
  <si>
    <t>Großharrie</t>
  </si>
  <si>
    <t>Langwedel</t>
  </si>
  <si>
    <t>Schillsdorf</t>
  </si>
  <si>
    <t>Emkendorf</t>
  </si>
  <si>
    <t>Todenbüttel</t>
  </si>
  <si>
    <t>Kropp u.a.</t>
  </si>
  <si>
    <t>Börm</t>
  </si>
  <si>
    <t>Ellingstedt</t>
  </si>
  <si>
    <t>Hollingstedt</t>
  </si>
  <si>
    <t>Selk, Geltdorf, Hahnekrug</t>
  </si>
  <si>
    <t>Großenwiehe, Lindewitt</t>
  </si>
  <si>
    <t>Glückstadt</t>
  </si>
  <si>
    <t>Hanerau-Hademarschen, Seefeld u.a.</t>
  </si>
  <si>
    <t>Sankt Margarethen</t>
  </si>
  <si>
    <t>Brokdorf</t>
  </si>
  <si>
    <t>Lütjenwestedt, Tackesdorf</t>
  </si>
  <si>
    <t>Wewelsfleth</t>
  </si>
  <si>
    <t>Sankt Michaelisdonn,Gudendorf,Volsemenhusen,Trennewurth</t>
  </si>
  <si>
    <t>Meldorf</t>
  </si>
  <si>
    <t>Barlt, Busenwurth</t>
  </si>
  <si>
    <t>Süderhastedt</t>
  </si>
  <si>
    <t>Wöhrden</t>
  </si>
  <si>
    <t>Ahrenshöft</t>
  </si>
  <si>
    <t>Högel</t>
  </si>
  <si>
    <t>Löwenstedt</t>
  </si>
  <si>
    <t>Risum-Lindholm, Stedesand</t>
  </si>
  <si>
    <t>Süderlügum, Braderup u.a.</t>
  </si>
  <si>
    <t>Ihlow</t>
  </si>
  <si>
    <t>Moormerland</t>
  </si>
  <si>
    <t>Weener</t>
  </si>
  <si>
    <t>Brake</t>
  </si>
  <si>
    <t>Wurster Nordseeküste</t>
  </si>
  <si>
    <t>Wermelskirchen</t>
  </si>
  <si>
    <t>Greven</t>
  </si>
  <si>
    <t>Telgte</t>
  </si>
  <si>
    <t>Nordwalde</t>
  </si>
  <si>
    <t>Laer</t>
  </si>
  <si>
    <t>Engden, Isterberg, Schüttorf u.a.</t>
  </si>
  <si>
    <t>Hörstel</t>
  </si>
  <si>
    <t>Lünne, Schapen, Spelle</t>
  </si>
  <si>
    <t>Wettringen</t>
  </si>
  <si>
    <t>Steinfurt</t>
  </si>
  <si>
    <t>Ochtrup</t>
  </si>
  <si>
    <t>Heek</t>
  </si>
  <si>
    <t>Schöppingen</t>
  </si>
  <si>
    <t>Metelen</t>
  </si>
  <si>
    <t>Rosendahl</t>
  </si>
  <si>
    <t>Ibbenbüren</t>
  </si>
  <si>
    <t>Löningen</t>
  </si>
  <si>
    <t>Cloppenburg</t>
  </si>
  <si>
    <t>Haselünne</t>
  </si>
  <si>
    <t>Sustrum, Lathen u.a.</t>
  </si>
  <si>
    <t>Twist</t>
  </si>
  <si>
    <t>Lengerich u.a.</t>
  </si>
  <si>
    <t>Bawinkel</t>
  </si>
  <si>
    <t>Itterbeck/Wielen</t>
  </si>
  <si>
    <t>Odenthal</t>
  </si>
  <si>
    <t>Windeck</t>
  </si>
  <si>
    <t>Nideggen</t>
  </si>
  <si>
    <t>Sinzig</t>
  </si>
  <si>
    <t>Bad Hönningen</t>
  </si>
  <si>
    <t>Bruchhausen, Unkel</t>
  </si>
  <si>
    <t>Königswinter</t>
  </si>
  <si>
    <t>Kenn</t>
  </si>
  <si>
    <t>Ayl, Trassem u.a.</t>
  </si>
  <si>
    <t>Bollendorf</t>
  </si>
  <si>
    <t>Lahnstein (ohne Exklave)</t>
  </si>
  <si>
    <t>Dausenau, Nievern</t>
  </si>
  <si>
    <t>Niederbreitbach</t>
  </si>
  <si>
    <t>Plaidt</t>
  </si>
  <si>
    <t>Saffig</t>
  </si>
  <si>
    <t>Herdecke</t>
  </si>
  <si>
    <t>Iserlohn</t>
  </si>
  <si>
    <t>Kamen</t>
  </si>
  <si>
    <t>Werne</t>
  </si>
  <si>
    <t>Selm</t>
  </si>
  <si>
    <t>Unna</t>
  </si>
  <si>
    <t>Völklingen</t>
  </si>
  <si>
    <t>Dillingen/Saar</t>
  </si>
  <si>
    <t>Ensdorf</t>
  </si>
  <si>
    <t>Konstanz</t>
  </si>
  <si>
    <t>Wischhafen</t>
  </si>
  <si>
    <t>Cadenberge</t>
  </si>
  <si>
    <t>Geversdorf</t>
  </si>
  <si>
    <t>Nettelsee</t>
  </si>
  <si>
    <t>Nortorf</t>
  </si>
  <si>
    <t>Wankendorf</t>
  </si>
  <si>
    <t>Warder</t>
  </si>
  <si>
    <t>Bargstedt, Brammer, Oldenbüttel</t>
  </si>
  <si>
    <t>Dannewerk</t>
  </si>
  <si>
    <t>Groß Rheide</t>
  </si>
  <si>
    <t>Jagel, Lottorf</t>
  </si>
  <si>
    <t>Borsfleth</t>
  </si>
  <si>
    <t>Beidenfleth, Klein Kampen</t>
  </si>
  <si>
    <t>Burg (Dithmarschen)</t>
  </si>
  <si>
    <t>Hemmingstedt</t>
  </si>
  <si>
    <t>Leck</t>
  </si>
  <si>
    <t>Loxstedt</t>
  </si>
  <si>
    <t>Weyhe</t>
  </si>
  <si>
    <t>Nottuln</t>
  </si>
  <si>
    <t>Havixbeck</t>
  </si>
  <si>
    <t>Altenberge</t>
  </si>
  <si>
    <t>Emsbüren</t>
  </si>
  <si>
    <t>Hopsten</t>
  </si>
  <si>
    <t>Recke</t>
  </si>
  <si>
    <t>Fürstenau</t>
  </si>
  <si>
    <t>Voltlage</t>
  </si>
  <si>
    <t>Herzlake, Dohren</t>
  </si>
  <si>
    <t>Lähden</t>
  </si>
  <si>
    <t>Stavern</t>
  </si>
  <si>
    <t>Wachtberg</t>
  </si>
  <si>
    <t>Grafschaft</t>
  </si>
  <si>
    <t>Dernau</t>
  </si>
  <si>
    <t>Mayschoß</t>
  </si>
  <si>
    <t>Hennef (Sieg)</t>
  </si>
  <si>
    <t>Neunkirchen-Seelscheid</t>
  </si>
  <si>
    <t>Schweich</t>
  </si>
  <si>
    <t>Wincheringen</t>
  </si>
  <si>
    <t>Bernkastel-Kues u.a.</t>
  </si>
  <si>
    <t>Piesport</t>
  </si>
  <si>
    <t>Irrel</t>
  </si>
  <si>
    <t>Ferschweiler</t>
  </si>
  <si>
    <t>Vallendar</t>
  </si>
  <si>
    <t>Spay</t>
  </si>
  <si>
    <t>Kobern-Gondorf</t>
  </si>
  <si>
    <t>Winningen</t>
  </si>
  <si>
    <t>Waldbreitbach, Hasuen</t>
  </si>
  <si>
    <t>Kretz</t>
  </si>
  <si>
    <t>Traben-Trarbach</t>
  </si>
  <si>
    <t>Hamm (Sieg)</t>
  </si>
  <si>
    <t>Oberlahr</t>
  </si>
  <si>
    <t>Schwerte</t>
  </si>
  <si>
    <t>Zweibrücken</t>
  </si>
  <si>
    <t>Binz</t>
  </si>
  <si>
    <t>Oederquart</t>
  </si>
  <si>
    <t>Ihlienworth</t>
  </si>
  <si>
    <t>Wanna</t>
  </si>
  <si>
    <t>Ratekau</t>
  </si>
  <si>
    <t>Plön</t>
  </si>
  <si>
    <t>Grebin</t>
  </si>
  <si>
    <t>Hohenwestedt</t>
  </si>
  <si>
    <t>Aukrug, Wiedenborstel</t>
  </si>
  <si>
    <t>Bönebüttel</t>
  </si>
  <si>
    <t>Wasbek</t>
  </si>
  <si>
    <t>Kollmar, Pagensand</t>
  </si>
  <si>
    <t>Uetersen</t>
  </si>
  <si>
    <t>Wilster</t>
  </si>
  <si>
    <t>Kremperheide</t>
  </si>
  <si>
    <t>Beringstedt</t>
  </si>
  <si>
    <t>Wacken</t>
  </si>
  <si>
    <t>Eggstedt</t>
  </si>
  <si>
    <t>Schafstedt, Weidenhof, Bornholt</t>
  </si>
  <si>
    <t>Windbergen</t>
  </si>
  <si>
    <t>Uplengen</t>
  </si>
  <si>
    <t>Apen</t>
  </si>
  <si>
    <t>Hinte</t>
  </si>
  <si>
    <t>Westoverledingen</t>
  </si>
  <si>
    <t>Rhauderfehn</t>
  </si>
  <si>
    <t>Bunde</t>
  </si>
  <si>
    <t>Hesel, Neukamperfehn u.a.</t>
  </si>
  <si>
    <t>Jemgum</t>
  </si>
  <si>
    <t>Nortmoor</t>
  </si>
  <si>
    <t>Detern</t>
  </si>
  <si>
    <t>Filsum</t>
  </si>
  <si>
    <t>Papenburg</t>
  </si>
  <si>
    <t>Dörpen, Lehe, u.a.</t>
  </si>
  <si>
    <t>Rhede (Ems)</t>
  </si>
  <si>
    <t>Dersum</t>
  </si>
  <si>
    <t>Walchum</t>
  </si>
  <si>
    <t>Ovelgönne</t>
  </si>
  <si>
    <t>Geestland</t>
  </si>
  <si>
    <t>Schiffdorf</t>
  </si>
  <si>
    <t>Stuhr</t>
  </si>
  <si>
    <t>Senden</t>
  </si>
  <si>
    <t>Ostbevern</t>
  </si>
  <si>
    <t>Saerbeck</t>
  </si>
  <si>
    <t>Horstmar</t>
  </si>
  <si>
    <t>Billerbeck</t>
  </si>
  <si>
    <t>Mettingen</t>
  </si>
  <si>
    <t>Lengerich</t>
  </si>
  <si>
    <t>Ladbergen</t>
  </si>
  <si>
    <t>Merzen, Neuenkirchen</t>
  </si>
  <si>
    <t>Berge, Bippen</t>
  </si>
  <si>
    <t>Menslage</t>
  </si>
  <si>
    <t>Nortrup</t>
  </si>
  <si>
    <t>Lindern (Oldenburg)</t>
  </si>
  <si>
    <t>Sögel u.a.</t>
  </si>
  <si>
    <t>Werlte, Vrees, Lahn</t>
  </si>
  <si>
    <t>Andervenne, Beesten, Freren, Messingen, Thuine</t>
  </si>
  <si>
    <t>Overath</t>
  </si>
  <si>
    <t>Kürten</t>
  </si>
  <si>
    <t>Engelskirchen</t>
  </si>
  <si>
    <t>Lindlar</t>
  </si>
  <si>
    <t>Bad Breisig, Waldorf, Gönnersdorf</t>
  </si>
  <si>
    <t>Asbach, Buchholz</t>
  </si>
  <si>
    <t>Neustadt (Wied)</t>
  </si>
  <si>
    <t>Erpel</t>
  </si>
  <si>
    <t>Ruppichteroth</t>
  </si>
  <si>
    <t>Mechernich</t>
  </si>
  <si>
    <t>Pluwig</t>
  </si>
  <si>
    <t>Mertesdorf</t>
  </si>
  <si>
    <t>Konz</t>
  </si>
  <si>
    <t>Pellingen</t>
  </si>
  <si>
    <t>Fell</t>
  </si>
  <si>
    <t>Mehring</t>
  </si>
  <si>
    <t>Tawern</t>
  </si>
  <si>
    <t>Maring-Noviand</t>
  </si>
  <si>
    <t>Mülheim (Mosel)</t>
  </si>
  <si>
    <t>Zeltingen-Rachtig, Erden, Lösnich u.a.</t>
  </si>
  <si>
    <t>Wittlich</t>
  </si>
  <si>
    <t>Hetzerath, Dierscheid, Heckenmünster</t>
  </si>
  <si>
    <t>Salmtal</t>
  </si>
  <si>
    <t>Ürzig</t>
  </si>
  <si>
    <t>Bad Kreuznach</t>
  </si>
  <si>
    <t>Bendorf</t>
  </si>
  <si>
    <t>Dierdorf</t>
  </si>
  <si>
    <t>Rhens</t>
  </si>
  <si>
    <t>Nassau</t>
  </si>
  <si>
    <t>Singhofen</t>
  </si>
  <si>
    <t>Andernach</t>
  </si>
  <si>
    <t>Brohl-Lützing</t>
  </si>
  <si>
    <t>Burgbrohl</t>
  </si>
  <si>
    <t>Cochem</t>
  </si>
  <si>
    <t>Ediger-Eller</t>
  </si>
  <si>
    <t>Senheim</t>
  </si>
  <si>
    <t>Ellenz-Poltersdorf</t>
  </si>
  <si>
    <t>Siegen</t>
  </si>
  <si>
    <t>Wissen, Hövels u.a.</t>
  </si>
  <si>
    <t>Fürthen</t>
  </si>
  <si>
    <t>Scheuerfeld</t>
  </si>
  <si>
    <t>Pracht</t>
  </si>
  <si>
    <t>Neitersen</t>
  </si>
  <si>
    <t>Menden</t>
  </si>
  <si>
    <t>Altena</t>
  </si>
  <si>
    <t>Bergkamen</t>
  </si>
  <si>
    <t>Holzwickede</t>
  </si>
  <si>
    <t>Lippstadt</t>
  </si>
  <si>
    <t>Rüsselsheim</t>
  </si>
  <si>
    <t>Limburg</t>
  </si>
  <si>
    <t>Homburg</t>
  </si>
  <si>
    <t>Stuttgart</t>
  </si>
  <si>
    <t>Karlsruhe</t>
  </si>
  <si>
    <t>Achern</t>
  </si>
  <si>
    <t>Bodman-Ludwigshafen</t>
  </si>
  <si>
    <t>Sipplingen</t>
  </si>
  <si>
    <t>Reichenau</t>
  </si>
  <si>
    <t>Friedrichshafen</t>
  </si>
  <si>
    <t>Sellin</t>
  </si>
  <si>
    <t>Norderstedt</t>
  </si>
  <si>
    <t>Dassow</t>
  </si>
  <si>
    <t>Holstenniendorf</t>
  </si>
  <si>
    <t>Münsterdorf</t>
  </si>
  <si>
    <t>Oldendorf</t>
  </si>
  <si>
    <t>Osterstedt</t>
  </si>
  <si>
    <t>Vaale</t>
  </si>
  <si>
    <t>Westermoor</t>
  </si>
  <si>
    <t>Rastede</t>
  </si>
  <si>
    <t>Barßel</t>
  </si>
  <si>
    <t>Ostrhauderfehn</t>
  </si>
  <si>
    <t>Lorup, Rastdorf</t>
  </si>
  <si>
    <t>Neubörger, Neulehe</t>
  </si>
  <si>
    <t>Elsfleth</t>
  </si>
  <si>
    <t>Beverstedt</t>
  </si>
  <si>
    <t>Ritterhude</t>
  </si>
  <si>
    <t>Ganderkesee</t>
  </si>
  <si>
    <t>Berne</t>
  </si>
  <si>
    <t>Schwanewede</t>
  </si>
  <si>
    <t>Bersenbrück</t>
  </si>
  <si>
    <t>Quakenbrück</t>
  </si>
  <si>
    <t>Essen (Oldenburg)</t>
  </si>
  <si>
    <t>Breitscheid, Dattenberg, Hausen, Hümmerich, Kasbach-Ohlenberg, Roßbach u</t>
  </si>
  <si>
    <t>Windhagen</t>
  </si>
  <si>
    <t>Much</t>
  </si>
  <si>
    <t>Langsur</t>
  </si>
  <si>
    <t>Ralingen</t>
  </si>
  <si>
    <t>Trierweiler</t>
  </si>
  <si>
    <t>Waldrach</t>
  </si>
  <si>
    <t>Klausen</t>
  </si>
  <si>
    <t>Puderbach</t>
  </si>
  <si>
    <t>Raubach</t>
  </si>
  <si>
    <t>Lehmen, Niederfell, Oberfell, Wolken u.a.</t>
  </si>
  <si>
    <t>Kruft</t>
  </si>
  <si>
    <t>Pünderich</t>
  </si>
  <si>
    <t>Mudersbach</t>
  </si>
  <si>
    <t>Weyerbusch</t>
  </si>
  <si>
    <t>Nordkirchen</t>
  </si>
  <si>
    <t>Soest</t>
  </si>
  <si>
    <t>Hanau</t>
  </si>
  <si>
    <t>Püttlingen</t>
  </si>
  <si>
    <t>Schwalbach</t>
  </si>
  <si>
    <t>Nalbach</t>
  </si>
  <si>
    <t>Kehl</t>
  </si>
  <si>
    <t>Willstätt</t>
  </si>
  <si>
    <t>Renchen</t>
  </si>
  <si>
    <t>Markdorf</t>
  </si>
  <si>
    <t>Salem</t>
  </si>
  <si>
    <t>Kühlungsborn</t>
  </si>
  <si>
    <t>Sassnitz</t>
  </si>
  <si>
    <t>Gingst</t>
  </si>
  <si>
    <t>Buxtehude</t>
  </si>
  <si>
    <t>Stinstedt</t>
  </si>
  <si>
    <t>Oberndorf</t>
  </si>
  <si>
    <t>Kasseedorf</t>
  </si>
  <si>
    <t>Ascheberg</t>
  </si>
  <si>
    <t>Seestermühe</t>
  </si>
  <si>
    <t>Pinneberg</t>
  </si>
  <si>
    <t>Dägeling, Neuenbrook</t>
  </si>
  <si>
    <t>Ottenbüttel</t>
  </si>
  <si>
    <t>Bad Zwischenahn</t>
  </si>
  <si>
    <t>Friesoythe</t>
  </si>
  <si>
    <t>Edewecht</t>
  </si>
  <si>
    <t>Westerstede</t>
  </si>
  <si>
    <t>Saterland</t>
  </si>
  <si>
    <t>Surwold</t>
  </si>
  <si>
    <t>Riede</t>
  </si>
  <si>
    <t>Hude (Oldenburg)</t>
  </si>
  <si>
    <t>Lemwerder</t>
  </si>
  <si>
    <t>Lilienthal</t>
  </si>
  <si>
    <t>Gütersloh</t>
  </si>
  <si>
    <t>Drensteinfurt</t>
  </si>
  <si>
    <t>Everswinkel</t>
  </si>
  <si>
    <t>Glandorf</t>
  </si>
  <si>
    <t>Dinklage</t>
  </si>
  <si>
    <t>Lienen</t>
  </si>
  <si>
    <t>Alfhausen</t>
  </si>
  <si>
    <t>Gehrde</t>
  </si>
  <si>
    <t>Rieste</t>
  </si>
  <si>
    <t>Badbergen</t>
  </si>
  <si>
    <t>Garrel</t>
  </si>
  <si>
    <t>Lastrup</t>
  </si>
  <si>
    <t>Wiehl</t>
  </si>
  <si>
    <t>Hürtgenwald</t>
  </si>
  <si>
    <t>Bad Honnef</t>
  </si>
  <si>
    <t>Kordel</t>
  </si>
  <si>
    <t>Leiwen u.a.</t>
  </si>
  <si>
    <t>Föhren</t>
  </si>
  <si>
    <t>Neumagen-Dhron</t>
  </si>
  <si>
    <t>Nittel</t>
  </si>
  <si>
    <t>Wiltingen</t>
  </si>
  <si>
    <t>Ingelheim am Rhein</t>
  </si>
  <si>
    <t>Münster-Sarmsheim</t>
  </si>
  <si>
    <t>Höhr-Grenzhausen</t>
  </si>
  <si>
    <t>Selters (Westerwald)</t>
  </si>
  <si>
    <t>Müden</t>
  </si>
  <si>
    <t>Kleinmaischeid</t>
  </si>
  <si>
    <t>Horhausen (Westerwald)</t>
  </si>
  <si>
    <t>Leutesdorf</t>
  </si>
  <si>
    <t>Nickenich</t>
  </si>
  <si>
    <t>Mendig</t>
  </si>
  <si>
    <t>Polch</t>
  </si>
  <si>
    <t>Mertloch, Welling u.a.</t>
  </si>
  <si>
    <t>Birnbach</t>
  </si>
  <si>
    <t>Werl</t>
  </si>
  <si>
    <t>Offenbach am Main</t>
  </si>
  <si>
    <t>Kelsterbach</t>
  </si>
  <si>
    <t>Schwalbach am Taunus</t>
  </si>
  <si>
    <t>Kriftel</t>
  </si>
  <si>
    <t>Sulzbach/Saar</t>
  </si>
  <si>
    <t>Riegelsberg</t>
  </si>
  <si>
    <t>Großrosseln</t>
  </si>
  <si>
    <t>Bous</t>
  </si>
  <si>
    <t>Blieskastel</t>
  </si>
  <si>
    <t>Mettlach</t>
  </si>
  <si>
    <t>Saarwellingen</t>
  </si>
  <si>
    <t>Lebach</t>
  </si>
  <si>
    <t>Bruchmühlbach-Miesau</t>
  </si>
  <si>
    <t>Neuried</t>
  </si>
  <si>
    <t>Schutterwald</t>
  </si>
  <si>
    <t>Appenweier</t>
  </si>
  <si>
    <t>Lahr/Schwarzwald</t>
  </si>
  <si>
    <t>Meißenheim</t>
  </si>
  <si>
    <t>Rielasingen-Worblingen</t>
  </si>
  <si>
    <t>Freiburg im Breisgau</t>
  </si>
  <si>
    <t>Uhldingen-Mühlhofen</t>
  </si>
  <si>
    <t>Bermatingen</t>
  </si>
  <si>
    <t>Stetten</t>
  </si>
  <si>
    <t>Bergen/ Rügen</t>
  </si>
  <si>
    <t>Großenwörden</t>
  </si>
  <si>
    <t>Hemmoor</t>
  </si>
  <si>
    <t>Osten</t>
  </si>
  <si>
    <t>Hamburg, Oststeinbek</t>
  </si>
  <si>
    <t>Malente, Kirchnüchel</t>
  </si>
  <si>
    <t>Klütz</t>
  </si>
  <si>
    <t>Insel Poel</t>
  </si>
  <si>
    <t>Bad Bramstedt</t>
  </si>
  <si>
    <t>Brokstedt</t>
  </si>
  <si>
    <t>Börnhöved</t>
  </si>
  <si>
    <t>Padenstedt</t>
  </si>
  <si>
    <t>Wiemersdorf</t>
  </si>
  <si>
    <t>Kellinghusen</t>
  </si>
  <si>
    <t>Hohenlockstedt</t>
  </si>
  <si>
    <t>Schenefeld</t>
  </si>
  <si>
    <t>Lägerdorf</t>
  </si>
  <si>
    <t>Hohenaspe</t>
  </si>
  <si>
    <t>Reher</t>
  </si>
  <si>
    <t>Großenkneten</t>
  </si>
  <si>
    <t>Wardenburg</t>
  </si>
  <si>
    <t>Hatten</t>
  </si>
  <si>
    <t>Wiefelstede</t>
  </si>
  <si>
    <t>Bösel</t>
  </si>
  <si>
    <t>Esterwegen u.a.</t>
  </si>
  <si>
    <t>Börger</t>
  </si>
  <si>
    <t>Harpstedt, Groß Ippener, Colnrade u.a.</t>
  </si>
  <si>
    <t>Thedinghausen, Emtinghausen</t>
  </si>
  <si>
    <t>Martfeld, Schwarme</t>
  </si>
  <si>
    <t>Worpswede</t>
  </si>
  <si>
    <t>Wildeshausen</t>
  </si>
  <si>
    <t>Dötlingen</t>
  </si>
  <si>
    <t>Oyten</t>
  </si>
  <si>
    <t>Grasberg</t>
  </si>
  <si>
    <t>Paderborn</t>
  </si>
  <si>
    <t>Rheda-Wiedenbrück</t>
  </si>
  <si>
    <t>Wallenhorst</t>
  </si>
  <si>
    <t>Bohmte</t>
  </si>
  <si>
    <t>Ostercappeln</t>
  </si>
  <si>
    <t>Lohne</t>
  </si>
  <si>
    <t>Visbek</t>
  </si>
  <si>
    <t>Holdorf</t>
  </si>
  <si>
    <t>Bakum</t>
  </si>
  <si>
    <t>Westerkappeln</t>
  </si>
  <si>
    <t>Lotte</t>
  </si>
  <si>
    <t>Bramsche</t>
  </si>
  <si>
    <t>Kettenkamp, Eggermühlen, Ankum</t>
  </si>
  <si>
    <t>Cappeln (Oldenburg)</t>
  </si>
  <si>
    <t>Molbergen</t>
  </si>
  <si>
    <t>Nümbrecht</t>
  </si>
  <si>
    <t>Gummersbach</t>
  </si>
  <si>
    <t>Bad Neuenahr-Ahrweiler</t>
  </si>
  <si>
    <t>Wasserliesch</t>
  </si>
  <si>
    <t>Trittenheim</t>
  </si>
  <si>
    <t>Binsfeld, Heckenmünster</t>
  </si>
  <si>
    <t>Bettingen</t>
  </si>
  <si>
    <t>Preist</t>
  </si>
  <si>
    <t>Körperich u.a.</t>
  </si>
  <si>
    <t>Mainz-Kastel</t>
  </si>
  <si>
    <t>Fachbach, Exklave Lahnstein</t>
  </si>
  <si>
    <t>Großmaischeid</t>
  </si>
  <si>
    <t>Lonnig</t>
  </si>
  <si>
    <t>Ochtendung</t>
  </si>
  <si>
    <t>Kottenheim</t>
  </si>
  <si>
    <t>Binningen</t>
  </si>
  <si>
    <t>Bullay, Alf, Zell</t>
  </si>
  <si>
    <t>Altenkirchen (Westerwald)</t>
  </si>
  <si>
    <t>Flammersfeld</t>
  </si>
  <si>
    <t>Mammelzen</t>
  </si>
  <si>
    <t>Wickede (Ruhr)</t>
  </si>
  <si>
    <t>Werdohl</t>
  </si>
  <si>
    <t>Bönen</t>
  </si>
  <si>
    <t>Arnsberg</t>
  </si>
  <si>
    <t>Diez, Hambach, Aull</t>
  </si>
  <si>
    <t>Birlenbach</t>
  </si>
  <si>
    <t>Sulzbach (Taunus)</t>
  </si>
  <si>
    <t>Sankt Ingbert</t>
  </si>
  <si>
    <t>Neunkirchen</t>
  </si>
  <si>
    <t>Sankt Wendel</t>
  </si>
  <si>
    <t>Losheim</t>
  </si>
  <si>
    <t>Wadgassen</t>
  </si>
  <si>
    <t>Schmelz</t>
  </si>
  <si>
    <t>Kreimbach-Kaulbach</t>
  </si>
  <si>
    <t>Hohberg</t>
  </si>
  <si>
    <t>Ortenberg</t>
  </si>
  <si>
    <t>Bühl</t>
  </si>
  <si>
    <t>Rheinau</t>
  </si>
  <si>
    <t>Kappel-Grafenhausen</t>
  </si>
  <si>
    <t>Mahlberg</t>
  </si>
  <si>
    <t>Ringsheim</t>
  </si>
  <si>
    <t>Rust</t>
  </si>
  <si>
    <t>Gottmadingen</t>
  </si>
  <si>
    <t>Radolfzell am Bodensee</t>
  </si>
  <si>
    <t>Moos</t>
  </si>
  <si>
    <t>Rheinhausen</t>
  </si>
  <si>
    <t>Weisweil</t>
  </si>
  <si>
    <t>Lauchringen</t>
  </si>
  <si>
    <t>Meckenbeuren</t>
  </si>
  <si>
    <t>Immenstaad am Bodensee</t>
  </si>
  <si>
    <t>Oberteuringen</t>
  </si>
  <si>
    <t>Stade</t>
  </si>
  <si>
    <t>Engelschoff</t>
  </si>
  <si>
    <t>Dollern</t>
  </si>
  <si>
    <t>Hechthausen</t>
  </si>
  <si>
    <t>Lamstedt</t>
  </si>
  <si>
    <t>Mittelstenahe</t>
  </si>
  <si>
    <t>Wedel</t>
  </si>
  <si>
    <t>Scharbeutz, Süsel</t>
  </si>
  <si>
    <t>Pansdorf</t>
  </si>
  <si>
    <t>Schönwalde am Bungsberg</t>
  </si>
  <si>
    <t>Boltenhagen</t>
  </si>
  <si>
    <t>Großenaspe</t>
  </si>
  <si>
    <t>Groß Kummerfeld</t>
  </si>
  <si>
    <t>Krempe, Grevenkop, Süderau, Muchelndorf</t>
  </si>
  <si>
    <t>Herzhorn, Kamerlanderdeich</t>
  </si>
  <si>
    <t>Itzehoe</t>
  </si>
  <si>
    <t>Fitzbek</t>
  </si>
  <si>
    <t>Bassum</t>
  </si>
  <si>
    <t>Twistringen</t>
  </si>
  <si>
    <t>Bremervörde</t>
  </si>
  <si>
    <t>Osterholz-Scharmbeck</t>
  </si>
  <si>
    <t>Hambergen, Holste u.a.</t>
  </si>
  <si>
    <t>Achim</t>
  </si>
  <si>
    <t>Syke</t>
  </si>
  <si>
    <t>Ottersberg</t>
  </si>
  <si>
    <t>Detmold</t>
  </si>
  <si>
    <t>Hückeswagen</t>
  </si>
  <si>
    <t>Warendorf</t>
  </si>
  <si>
    <t>Sendenhorst</t>
  </si>
  <si>
    <t>Hagen am Teutoburger Wald</t>
  </si>
  <si>
    <t>Diepholz</t>
  </si>
  <si>
    <t>Vechta</t>
  </si>
  <si>
    <t>Damme</t>
  </si>
  <si>
    <t>Goldenstedt</t>
  </si>
  <si>
    <t>Neuenkirchen-Vörden</t>
  </si>
  <si>
    <t>Lemförde u.a.</t>
  </si>
  <si>
    <t>Lembruch</t>
  </si>
  <si>
    <t>Tecklenburg</t>
  </si>
  <si>
    <t>Emstek</t>
  </si>
  <si>
    <t>Morsbach</t>
  </si>
  <si>
    <t>Zemmer</t>
  </si>
  <si>
    <t>Bitburg</t>
  </si>
  <si>
    <t>Rittersdorf u.a.</t>
  </si>
  <si>
    <t>Bingen am Rhein</t>
  </si>
  <si>
    <t>Meisenheim</t>
  </si>
  <si>
    <t>Ransbach-Baumbach</t>
  </si>
  <si>
    <t>Treis-Karden</t>
  </si>
  <si>
    <t>Münstermaifeld</t>
  </si>
  <si>
    <t>Neuhäusel</t>
  </si>
  <si>
    <t>Eitelborn</t>
  </si>
  <si>
    <t>Rengsdorf</t>
  </si>
  <si>
    <t>Rheinbrohl</t>
  </si>
  <si>
    <t>Zell (Mosel)</t>
  </si>
  <si>
    <t>Herdorf</t>
  </si>
  <si>
    <t>Katzwinkel (Sieg)</t>
  </si>
  <si>
    <t>Lüdenscheid</t>
  </si>
  <si>
    <t>Balve</t>
  </si>
  <si>
    <t>Ahlen</t>
  </si>
  <si>
    <t>Ense</t>
  </si>
  <si>
    <t>Welver</t>
  </si>
  <si>
    <t>Groß-Gerau</t>
  </si>
  <si>
    <t>Mörfelden-Walldorf</t>
  </si>
  <si>
    <t>Nauheim</t>
  </si>
  <si>
    <t>Büttelborn</t>
  </si>
  <si>
    <t>Ginsheim-Gustavsburg</t>
  </si>
  <si>
    <t>Bischofsheim</t>
  </si>
  <si>
    <t>Heusweiler</t>
  </si>
  <si>
    <t>Hornbach</t>
  </si>
  <si>
    <t>Wadern</t>
  </si>
  <si>
    <t>Beckingen</t>
  </si>
  <si>
    <t>Perl</t>
  </si>
  <si>
    <t>Überherrn</t>
  </si>
  <si>
    <t>Hütschenhausen</t>
  </si>
  <si>
    <t>Altenglan</t>
  </si>
  <si>
    <t>Waldmohr</t>
  </si>
  <si>
    <t>Lingenfeld</t>
  </si>
  <si>
    <t>Neustadt an der Weinstraße</t>
  </si>
  <si>
    <t>Olsbrücken</t>
  </si>
  <si>
    <t>Rastatt</t>
  </si>
  <si>
    <t>Oberkirch</t>
  </si>
  <si>
    <t>Berghaupten</t>
  </si>
  <si>
    <t>Ottersweier</t>
  </si>
  <si>
    <t>Friesenheim</t>
  </si>
  <si>
    <t>Schwanau</t>
  </si>
  <si>
    <t>Büsingen am Hochrhein</t>
  </si>
  <si>
    <t>Volkertshausen</t>
  </si>
  <si>
    <t>Allensbach</t>
  </si>
  <si>
    <t>Forchheim</t>
  </si>
  <si>
    <t>Wyhl</t>
  </si>
  <si>
    <t>Küssaberg</t>
  </si>
  <si>
    <t>Dogern</t>
  </si>
  <si>
    <t>Kressbronn am Bodensee</t>
  </si>
  <si>
    <t>Langenargen</t>
  </si>
  <si>
    <t>Eriskirch</t>
  </si>
  <si>
    <t>Weingarten</t>
  </si>
  <si>
    <t>Jork</t>
  </si>
  <si>
    <t>Horneburg</t>
  </si>
  <si>
    <t>Moisburg</t>
  </si>
  <si>
    <t>Harsefeld</t>
  </si>
  <si>
    <t>Drochtersen</t>
  </si>
  <si>
    <t>Himmelpforten</t>
  </si>
  <si>
    <t>Hammah</t>
  </si>
  <si>
    <t>Fredenbeck</t>
  </si>
  <si>
    <t>Hollern-Twielenfleth</t>
  </si>
  <si>
    <t>Estorf</t>
  </si>
  <si>
    <t>Lübeck St. Lorenz Nord</t>
  </si>
  <si>
    <t>Seedorf</t>
  </si>
  <si>
    <t>Barnekow, Gägelow u.a.</t>
  </si>
  <si>
    <t>Boostedt</t>
  </si>
  <si>
    <t>Trappenkamp</t>
  </si>
  <si>
    <t>Schmalensee</t>
  </si>
  <si>
    <t>Klein Offenseth-Sparrieshoop</t>
  </si>
  <si>
    <t>Appen</t>
  </si>
  <si>
    <t>Holm</t>
  </si>
  <si>
    <t>Haseldorf</t>
  </si>
  <si>
    <t>Heist</t>
  </si>
  <si>
    <t>Prisdorf</t>
  </si>
  <si>
    <t>Wrist</t>
  </si>
  <si>
    <t>Ehrenburg</t>
  </si>
  <si>
    <t>Affinghausen und Sudwalde</t>
  </si>
  <si>
    <t>Freistatt, Varrel, Wehrbleck</t>
  </si>
  <si>
    <t>Blender</t>
  </si>
  <si>
    <t>Gnarrenburg</t>
  </si>
  <si>
    <t>Stemwede</t>
  </si>
  <si>
    <t>Löhne</t>
  </si>
  <si>
    <t>Radevormwald</t>
  </si>
  <si>
    <t>Georgsmarienhütte</t>
  </si>
  <si>
    <t>Bissendorf</t>
  </si>
  <si>
    <t>Hilter</t>
  </si>
  <si>
    <t>Bad Iburg</t>
  </si>
  <si>
    <t>Belm</t>
  </si>
  <si>
    <t>Bad Laer</t>
  </si>
  <si>
    <t>Hasbergen</t>
  </si>
  <si>
    <t>Melle</t>
  </si>
  <si>
    <t>Barnstorf, Eydelstedt, Drentwede</t>
  </si>
  <si>
    <t>Wagenfeld</t>
  </si>
  <si>
    <t>Barver, Dickel, Hemsloh, Rehden, Wetschen, Wehrblecker Heide</t>
  </si>
  <si>
    <t>Drebber</t>
  </si>
  <si>
    <t>Waldbröl</t>
  </si>
  <si>
    <t>Friesenhagen</t>
  </si>
  <si>
    <t>Ahrbrück, Heckenbach, Hönningen, Kesseling, Rech</t>
  </si>
  <si>
    <t>Vettelschloß, Kretzhaus (Linz am Rhein)</t>
  </si>
  <si>
    <t>Sankt Katharinen (Landkreis Neuwied)</t>
  </si>
  <si>
    <t>Welschbillig, Igel, Aach</t>
  </si>
  <si>
    <t>Newel</t>
  </si>
  <si>
    <t>Zerf</t>
  </si>
  <si>
    <t>Saarburg</t>
  </si>
  <si>
    <t>Freudenburg</t>
  </si>
  <si>
    <t>Dudeldorf</t>
  </si>
  <si>
    <t>Badem, Gindorf, Neidenbach</t>
  </si>
  <si>
    <t>Speicher</t>
  </si>
  <si>
    <t>Budenheim</t>
  </si>
  <si>
    <t>Heidesheim am Rhein</t>
  </si>
  <si>
    <t>Nieder-Olm</t>
  </si>
  <si>
    <t>Bodenheim</t>
  </si>
  <si>
    <t>Odernheim am Glan</t>
  </si>
  <si>
    <t>Waldböckelheim</t>
  </si>
  <si>
    <t>Hilgert</t>
  </si>
  <si>
    <t>Kamp-Bornhofen-Filsen</t>
  </si>
  <si>
    <t>Nastätten u.a.</t>
  </si>
  <si>
    <t>Montabaur</t>
  </si>
  <si>
    <t>Nentershausen, Hübingen, Niederelbert u.a.</t>
  </si>
  <si>
    <t>Wirges, Stadt</t>
  </si>
  <si>
    <t>Mogendorf, Ebernhahn, Staudt u.a.</t>
  </si>
  <si>
    <t>Siershahn</t>
  </si>
  <si>
    <t>Wehr</t>
  </si>
  <si>
    <t>Pommern</t>
  </si>
  <si>
    <t>Attendorn</t>
  </si>
  <si>
    <t>Kirchen (Sieg)</t>
  </si>
  <si>
    <t>Birken-Honigsessen</t>
  </si>
  <si>
    <t>Fröndenberg/Ruhr</t>
  </si>
  <si>
    <t>Beckum</t>
  </si>
  <si>
    <t>Bad Homburg v.d. Höhe</t>
  </si>
  <si>
    <t>Langen</t>
  </si>
  <si>
    <t>Neu-Isenburg</t>
  </si>
  <si>
    <t>Egelsbach</t>
  </si>
  <si>
    <t>Aschaffenburg</t>
  </si>
  <si>
    <t>Weiterstadt</t>
  </si>
  <si>
    <t>Erzhausen</t>
  </si>
  <si>
    <t>Hochheim am Main</t>
  </si>
  <si>
    <t>Walluf</t>
  </si>
  <si>
    <t>Flörsheim am Main</t>
  </si>
  <si>
    <t>Raunheim</t>
  </si>
  <si>
    <t>Hahnstätten u.a.</t>
  </si>
  <si>
    <t>Altendiez</t>
  </si>
  <si>
    <t>Niederneisen</t>
  </si>
  <si>
    <t>Hattersheim</t>
  </si>
  <si>
    <t>Liederbach am Taunus</t>
  </si>
  <si>
    <t>Kirkel</t>
  </si>
  <si>
    <t>Dellfeld</t>
  </si>
  <si>
    <t>Illingen</t>
  </si>
  <si>
    <t>Eppelborn</t>
  </si>
  <si>
    <t>Schiffweiler</t>
  </si>
  <si>
    <t>Tholey</t>
  </si>
  <si>
    <t>Weiskirchen</t>
  </si>
  <si>
    <t>Kindsbach</t>
  </si>
  <si>
    <t>Ramstein-Miesenbach</t>
  </si>
  <si>
    <t>Schönenberg-Kübelberg</t>
  </si>
  <si>
    <t>Glan-Münchweiler</t>
  </si>
  <si>
    <t>Thaleischweiler-Fröschen</t>
  </si>
  <si>
    <t>Dahn</t>
  </si>
  <si>
    <t>Deidesheim</t>
  </si>
  <si>
    <t>Ruppertsberg</t>
  </si>
  <si>
    <t>Kirchheim an der Weinstraße</t>
  </si>
  <si>
    <t>Freisbach</t>
  </si>
  <si>
    <t>Lustadt</t>
  </si>
  <si>
    <t>Weingarten (Pfalz)</t>
  </si>
  <si>
    <t>Zeiskam</t>
  </si>
  <si>
    <t>Venningen</t>
  </si>
  <si>
    <t>Edesheim</t>
  </si>
  <si>
    <t>Otterbach, Otterberg</t>
  </si>
  <si>
    <t>Katzweiler</t>
  </si>
  <si>
    <t>Odenbach</t>
  </si>
  <si>
    <t>Offenbach-Hundheim</t>
  </si>
  <si>
    <t>Rockenhausen, Bisterschied u.a.</t>
  </si>
  <si>
    <t>Obermoschel, Schiersfeld</t>
  </si>
  <si>
    <t>Fischerbach, Haslach, Hofstetten</t>
  </si>
  <si>
    <t>Gengenbach</t>
  </si>
  <si>
    <t>Ohlsbach</t>
  </si>
  <si>
    <t>Lichtenau</t>
  </si>
  <si>
    <t>Seelbach</t>
  </si>
  <si>
    <t>Singen (Hohentwiel)</t>
  </si>
  <si>
    <t>Steißlingen</t>
  </si>
  <si>
    <t>Gaienhofen</t>
  </si>
  <si>
    <t>Orsingen-Nenzingen</t>
  </si>
  <si>
    <t>Herbolzheim</t>
  </si>
  <si>
    <t>Riegel</t>
  </si>
  <si>
    <t>Müllheim</t>
  </si>
  <si>
    <t>Klettgau</t>
  </si>
  <si>
    <t>Jestetten</t>
  </si>
  <si>
    <t>Lottstetten</t>
  </si>
  <si>
    <t>Lindau (Bodensee)</t>
  </si>
  <si>
    <t>Wasserburg (Bodensee)</t>
  </si>
  <si>
    <t>Nonnenhorn</t>
  </si>
  <si>
    <t>Ravensburg</t>
  </si>
  <si>
    <t>Frickingen</t>
  </si>
  <si>
    <t>Meersburg</t>
  </si>
  <si>
    <t>Dierhagen</t>
  </si>
  <si>
    <t>Hollenstedt, Drestedt u.a.</t>
  </si>
  <si>
    <t>Neu Wulmstorf</t>
  </si>
  <si>
    <t>Gründeich</t>
  </si>
  <si>
    <t>Wingst</t>
  </si>
  <si>
    <t>Tensfeld</t>
  </si>
  <si>
    <t>Lentföhrden</t>
  </si>
  <si>
    <t>Schmalfeld</t>
  </si>
  <si>
    <t>Elmshorn</t>
  </si>
  <si>
    <t>Barmstedt</t>
  </si>
  <si>
    <t>Horst</t>
  </si>
  <si>
    <t>Kiebitzreihe</t>
  </si>
  <si>
    <t>Seester</t>
  </si>
  <si>
    <t>Ellerhoop</t>
  </si>
  <si>
    <t>Halstenbek</t>
  </si>
  <si>
    <t>Hetlingen</t>
  </si>
  <si>
    <t>Kummerfeld</t>
  </si>
  <si>
    <t>Sulingen</t>
  </si>
  <si>
    <t>Sottrum, Reeßum, Bötersen u.a.</t>
  </si>
  <si>
    <t>Enger</t>
  </si>
  <si>
    <t>Spenge</t>
  </si>
  <si>
    <t>Bertelsmann</t>
  </si>
  <si>
    <t>Sassenberg</t>
  </si>
  <si>
    <t>Dissen</t>
  </si>
  <si>
    <t>Wipperfürth</t>
  </si>
  <si>
    <t>Roetgen</t>
  </si>
  <si>
    <t>Schalkenbach, Königsfeld, Dedenbach</t>
  </si>
  <si>
    <t>Großlittgen</t>
  </si>
  <si>
    <t>Gau-Algesheim</t>
  </si>
  <si>
    <t>Langenlonsheim</t>
  </si>
  <si>
    <t>Bretzenheim</t>
  </si>
  <si>
    <t>Norheim u.a.</t>
  </si>
  <si>
    <t>Nauort</t>
  </si>
  <si>
    <t>Niederzissen</t>
  </si>
  <si>
    <t>Betzdorf</t>
  </si>
  <si>
    <t>Steimel</t>
  </si>
  <si>
    <t>Oberdreis</t>
  </si>
  <si>
    <t>Hattert</t>
  </si>
  <si>
    <t>Bad Sassendorf</t>
  </si>
  <si>
    <t>Lippetal</t>
  </si>
  <si>
    <t>Erwitte</t>
  </si>
  <si>
    <t>Großkrotzenburg</t>
  </si>
  <si>
    <t>Griesheim</t>
  </si>
  <si>
    <t>Trebur</t>
  </si>
  <si>
    <t>Elz</t>
  </si>
  <si>
    <t>Rieschweiler-Mühlbach</t>
  </si>
  <si>
    <t>Rehlingen-Siersburg</t>
  </si>
  <si>
    <t>Fischbach, Erfweiler u.a.</t>
  </si>
  <si>
    <t>Forst an der Weinstraße</t>
  </si>
  <si>
    <t>Kallstadt</t>
  </si>
  <si>
    <t>Freinsheim</t>
  </si>
  <si>
    <t>Weisenheim am Sand</t>
  </si>
  <si>
    <t>Obrigheim (Pfalz)</t>
  </si>
  <si>
    <t>Westheim (Pfalz)</t>
  </si>
  <si>
    <t>Gommersheim</t>
  </si>
  <si>
    <t>Haßloch</t>
  </si>
  <si>
    <t>Waldfischbach-Burgalben</t>
  </si>
  <si>
    <t>Lauterecken u.a.</t>
  </si>
  <si>
    <t>Winterborn, Waldgrehweiler, Niedermoschel, u.a.</t>
  </si>
  <si>
    <t>Graben-Neudorf</t>
  </si>
  <si>
    <t>Dettenheim</t>
  </si>
  <si>
    <t>Germersheim</t>
  </si>
  <si>
    <t>Jockgrim</t>
  </si>
  <si>
    <t>Bellheim</t>
  </si>
  <si>
    <t>Hördt</t>
  </si>
  <si>
    <t>Leimersheim</t>
  </si>
  <si>
    <t>Neupotz</t>
  </si>
  <si>
    <t>Offenbach an der Queich</t>
  </si>
  <si>
    <t>Hochstadt</t>
  </si>
  <si>
    <t>Biberach</t>
  </si>
  <si>
    <t>Kippenheim</t>
  </si>
  <si>
    <t>Sasbach am Kaiserstuhl</t>
  </si>
  <si>
    <t>Neuenburg am Rhein</t>
  </si>
  <si>
    <t>Auggen</t>
  </si>
  <si>
    <t>Buggingen</t>
  </si>
  <si>
    <t>Eschbach</t>
  </si>
  <si>
    <t>Bad Säckingen</t>
  </si>
  <si>
    <t>Rostock</t>
  </si>
  <si>
    <t>Rerik, Bastorf, Biendorf</t>
  </si>
  <si>
    <t>Heidenau</t>
  </si>
  <si>
    <t>Apensen</t>
  </si>
  <si>
    <t>Beckdorf</t>
  </si>
  <si>
    <t>Halvesbostel</t>
  </si>
  <si>
    <t>Regesbostel</t>
  </si>
  <si>
    <t>Bosau</t>
  </si>
  <si>
    <t>Neuburg-Steinhausen, Hornstorf</t>
  </si>
  <si>
    <t>Kaltenkirchen</t>
  </si>
  <si>
    <t>Hartenholm</t>
  </si>
  <si>
    <t>Kisdorf</t>
  </si>
  <si>
    <t>Brande-Hörnerkirchen</t>
  </si>
  <si>
    <t>Neuenkirchen, Scholen</t>
  </si>
  <si>
    <t>Bruchhausen-Vilsen, Süstedt</t>
  </si>
  <si>
    <t>Zeven, Elsdorf</t>
  </si>
  <si>
    <t>Tarmstedt, Breddorf u.a.</t>
  </si>
  <si>
    <t>Kutenholz</t>
  </si>
  <si>
    <t>Hannover</t>
  </si>
  <si>
    <t>Herford</t>
  </si>
  <si>
    <t>Bad Salzuflen</t>
  </si>
  <si>
    <t>Hiddenhausen</t>
  </si>
  <si>
    <t>Rahden</t>
  </si>
  <si>
    <t>Minden</t>
  </si>
  <si>
    <t>Lemgo</t>
  </si>
  <si>
    <t>Beelen</t>
  </si>
  <si>
    <t>Bad Rothenfelde</t>
  </si>
  <si>
    <t>Bergneustadt</t>
  </si>
  <si>
    <t>Landscheid</t>
  </si>
  <si>
    <t>Spangdahlem</t>
  </si>
  <si>
    <t>Mainz Ebersheim, Hechtsheim</t>
  </si>
  <si>
    <t>Alzey</t>
  </si>
  <si>
    <t>Stadecken-Elsheim</t>
  </si>
  <si>
    <t>Nierstein</t>
  </si>
  <si>
    <t>Saulheim</t>
  </si>
  <si>
    <t>Harxheim</t>
  </si>
  <si>
    <t>Nackenheim</t>
  </si>
  <si>
    <t>Gensingen</t>
  </si>
  <si>
    <t>Aspisheim, Grolsheim</t>
  </si>
  <si>
    <t>Sprendlingen</t>
  </si>
  <si>
    <t>Gau-Bickelheim</t>
  </si>
  <si>
    <t>Freilingen, Freirachdorf u.a.</t>
  </si>
  <si>
    <t>Urbach</t>
  </si>
  <si>
    <t>Sankt Goar</t>
  </si>
  <si>
    <t>Sankt Goarshausen</t>
  </si>
  <si>
    <t>Bornich, Patersberg</t>
  </si>
  <si>
    <t>Katzenelnbogen</t>
  </si>
  <si>
    <t>Schönborn</t>
  </si>
  <si>
    <t>Melsbach</t>
  </si>
  <si>
    <t>Straßenhaus</t>
  </si>
  <si>
    <t>Daaden</t>
  </si>
  <si>
    <t>Niederfischbach</t>
  </si>
  <si>
    <t>Ennepetal</t>
  </si>
  <si>
    <t>Hemer</t>
  </si>
  <si>
    <t>Ennigerloh</t>
  </si>
  <si>
    <t>Wadersloh</t>
  </si>
  <si>
    <t>Möhnesee</t>
  </si>
  <si>
    <t>Bad Vilbel</t>
  </si>
  <si>
    <t>Erlensee</t>
  </si>
  <si>
    <t>Riedstadt</t>
  </si>
  <si>
    <t>Eltville am Rhein</t>
  </si>
  <si>
    <t>Brechen</t>
  </si>
  <si>
    <t>Eschborn</t>
  </si>
  <si>
    <t>Bexbach</t>
  </si>
  <si>
    <t>Battweiler u.a.</t>
  </si>
  <si>
    <t>Contwig</t>
  </si>
  <si>
    <t>Reifenberg</t>
  </si>
  <si>
    <t>Spiesen-Elversberg</t>
  </si>
  <si>
    <t>Namborn</t>
  </si>
  <si>
    <t>Brücken (Pfalz)</t>
  </si>
  <si>
    <t>Münchweiler an der Rodalb</t>
  </si>
  <si>
    <t>Ludwigshafen am Rhein</t>
  </si>
  <si>
    <t>Bad Dürkheim</t>
  </si>
  <si>
    <t>Wachenheim an der Weinstraße</t>
  </si>
  <si>
    <t>Römerberg</t>
  </si>
  <si>
    <t>Schwegenheim</t>
  </si>
  <si>
    <t>Dudenhofen</t>
  </si>
  <si>
    <t>Hanhofen</t>
  </si>
  <si>
    <t>Harthausen</t>
  </si>
  <si>
    <t>Frankenstein, Neidenfels, Frankeneck</t>
  </si>
  <si>
    <t>Lindenberg</t>
  </si>
  <si>
    <t>Flörsheim-Dalsheim</t>
  </si>
  <si>
    <t>Gundersheim</t>
  </si>
  <si>
    <t>Weilerbach u.a.</t>
  </si>
  <si>
    <t>Mackenbach</t>
  </si>
  <si>
    <t>Rodenbach</t>
  </si>
  <si>
    <t>Medard, Rathskirchen u.a.</t>
  </si>
  <si>
    <t>Dreisen, Standenbühl</t>
  </si>
  <si>
    <t>Alsenz</t>
  </si>
  <si>
    <t>Mannheim</t>
  </si>
  <si>
    <t>Waghäusel</t>
  </si>
  <si>
    <t>Bammental</t>
  </si>
  <si>
    <t>Heilbronn</t>
  </si>
  <si>
    <t>Eggenstein-Leopoldshafen</t>
  </si>
  <si>
    <t>Linkenheim-Hochstetten</t>
  </si>
  <si>
    <t>Durmersheim</t>
  </si>
  <si>
    <t>Au am Rhein</t>
  </si>
  <si>
    <t>Elchesheim-Illingen</t>
  </si>
  <si>
    <t>Steinmauern</t>
  </si>
  <si>
    <t>Baden-Baden</t>
  </si>
  <si>
    <t>Philippsburg</t>
  </si>
  <si>
    <t>Forst</t>
  </si>
  <si>
    <t>Hambrücken</t>
  </si>
  <si>
    <t>Rülzheim</t>
  </si>
  <si>
    <t>Rheinzabern</t>
  </si>
  <si>
    <t>Hagenbach</t>
  </si>
  <si>
    <t>Berg</t>
  </si>
  <si>
    <t>Hatzenbühl</t>
  </si>
  <si>
    <t>Kuhardt</t>
  </si>
  <si>
    <t>Neuburg am Rhein</t>
  </si>
  <si>
    <t>Billigheim-Ingenheim, Birkweiler</t>
  </si>
  <si>
    <t>Herxheim</t>
  </si>
  <si>
    <t>Insheim</t>
  </si>
  <si>
    <t>Durbach</t>
  </si>
  <si>
    <t>Steinach</t>
  </si>
  <si>
    <t>Rheinmünster</t>
  </si>
  <si>
    <t>Mühlhausen-Ehingen</t>
  </si>
  <si>
    <t>Bad Krozingen</t>
  </si>
  <si>
    <t>Umkirch</t>
  </si>
  <si>
    <t>Schallstadt</t>
  </si>
  <si>
    <t>Hartheim</t>
  </si>
  <si>
    <t>Teningen</t>
  </si>
  <si>
    <t>Bahlingen</t>
  </si>
  <si>
    <t>Heitersheim</t>
  </si>
  <si>
    <t>Lörrach</t>
  </si>
  <si>
    <t>Laufenburg (Baden)</t>
  </si>
  <si>
    <t>Waldshut-Tiengen</t>
  </si>
  <si>
    <t>Elmenhorst/Lichtenhagen, Rostock</t>
  </si>
  <si>
    <t>Seevetal</t>
  </si>
  <si>
    <t>Buchholz in der Nordheide</t>
  </si>
  <si>
    <t>Tostedt, Kakenstorf u.a.</t>
  </si>
  <si>
    <t>Sauensiek</t>
  </si>
  <si>
    <t>Ahlerstedt</t>
  </si>
  <si>
    <t>Ahrensburg</t>
  </si>
  <si>
    <t>Sarkwitz</t>
  </si>
  <si>
    <t>Eutin, Süsel</t>
  </si>
  <si>
    <t>Glasau</t>
  </si>
  <si>
    <t>Wahlstedt</t>
  </si>
  <si>
    <t>Henstedt-Ulzburg</t>
  </si>
  <si>
    <t>Struvenhütten</t>
  </si>
  <si>
    <t>Rellingen</t>
  </si>
  <si>
    <t>Borstel-Hohenraden</t>
  </si>
  <si>
    <t>Tangstedt</t>
  </si>
  <si>
    <t>Schwaförden</t>
  </si>
  <si>
    <t>Verden</t>
  </si>
  <si>
    <t>Rotenburg</t>
  </si>
  <si>
    <t>Bothel, Kirchwalsede u.a.</t>
  </si>
  <si>
    <t>Sittensen u.a.</t>
  </si>
  <si>
    <t>Selsingen</t>
  </si>
  <si>
    <t>Bünde</t>
  </si>
  <si>
    <t>Kirchlengern</t>
  </si>
  <si>
    <t>Rödinghausen</t>
  </si>
  <si>
    <t>Lübbecke</t>
  </si>
  <si>
    <t>Hüllhorst</t>
  </si>
  <si>
    <t>Salzkotten</t>
  </si>
  <si>
    <t>Rietberg</t>
  </si>
  <si>
    <t>Langenberg</t>
  </si>
  <si>
    <t>Versmold</t>
  </si>
  <si>
    <t>Halle (Westfalen)</t>
  </si>
  <si>
    <t>Leopoldshöhe</t>
  </si>
  <si>
    <t>Borgholzhausen</t>
  </si>
  <si>
    <t>Kassel</t>
  </si>
  <si>
    <t>Bad Essen</t>
  </si>
  <si>
    <t>Marienheide</t>
  </si>
  <si>
    <t>Altenahr, Berg, Kalenborn, Kirchsahr</t>
  </si>
  <si>
    <t>Irsch</t>
  </si>
  <si>
    <t>Wintrich</t>
  </si>
  <si>
    <t>Bettenfeld, Niederöfflingen u.a.</t>
  </si>
  <si>
    <t>Albig</t>
  </si>
  <si>
    <t>Gau-Odernheim</t>
  </si>
  <si>
    <t>Oppenheim</t>
  </si>
  <si>
    <t>Mommenheim</t>
  </si>
  <si>
    <t>Oberwesel</t>
  </si>
  <si>
    <t>Ockenheim</t>
  </si>
  <si>
    <t>Guldental</t>
  </si>
  <si>
    <t>Staudernheim</t>
  </si>
  <si>
    <t>Wallertheim</t>
  </si>
  <si>
    <t>Rehborn</t>
  </si>
  <si>
    <t>Rüdesheim</t>
  </si>
  <si>
    <t>Wöllstein</t>
  </si>
  <si>
    <t>Wildenbungert, Gondershausen, Nörtershausen u.a.</t>
  </si>
  <si>
    <t>Beltheim</t>
  </si>
  <si>
    <t>Dürrholz</t>
  </si>
  <si>
    <t>Waldesch, Hünenfeld</t>
  </si>
  <si>
    <t>Braubach</t>
  </si>
  <si>
    <t>Dernbach (Westerwald)</t>
  </si>
  <si>
    <t>Anhausen</t>
  </si>
  <si>
    <t>Reil</t>
  </si>
  <si>
    <t>Freudenberg</t>
  </si>
  <si>
    <t>Gebhardshain</t>
  </si>
  <si>
    <t>Hachenburg</t>
  </si>
  <si>
    <t>Malberg, Norken, Höchstenbach u.a.</t>
  </si>
  <si>
    <t>Nister</t>
  </si>
  <si>
    <t>Nistertal, Enspel</t>
  </si>
  <si>
    <t>Oelde</t>
  </si>
  <si>
    <t>Geseke</t>
  </si>
  <si>
    <t>Karben</t>
  </si>
  <si>
    <t>Steinbach (Taunus)</t>
  </si>
  <si>
    <t>Dietzenbach</t>
  </si>
  <si>
    <t>Dreieich</t>
  </si>
  <si>
    <t>Pfungstadt</t>
  </si>
  <si>
    <t>Stockstadt am Rhein</t>
  </si>
  <si>
    <t>Rimbach</t>
  </si>
  <si>
    <t>Babenhausen</t>
  </si>
  <si>
    <t>Aarbergen</t>
  </si>
  <si>
    <t>Burgschwalbach</t>
  </si>
  <si>
    <t>Hadamar</t>
  </si>
  <si>
    <t>Runkel</t>
  </si>
  <si>
    <t>Hünfelden</t>
  </si>
  <si>
    <t>Kleinblittersdorf</t>
  </si>
  <si>
    <t>Friedrichsthal</t>
  </si>
  <si>
    <t>Gersheim</t>
  </si>
  <si>
    <t>Ottweiler</t>
  </si>
  <si>
    <t>Merchweiler</t>
  </si>
  <si>
    <t>Wallerfangen</t>
  </si>
  <si>
    <t>Kusel</t>
  </si>
  <si>
    <t>Steinwenden u.a.</t>
  </si>
  <si>
    <t>Wallhalben u.a.</t>
  </si>
  <si>
    <t>Pirmasens</t>
  </si>
  <si>
    <t>Rodalben</t>
  </si>
  <si>
    <t>Niederkirchen bei Deidesheim</t>
  </si>
  <si>
    <t>Friedelsheim</t>
  </si>
  <si>
    <t>Grünstadt</t>
  </si>
  <si>
    <t>Bockenheim an der Weinstraße</t>
  </si>
  <si>
    <t>Marnheim</t>
  </si>
  <si>
    <t>Albisheim (Pfrimm)</t>
  </si>
  <si>
    <t>Hettenleidelheim</t>
  </si>
  <si>
    <t>Speyer</t>
  </si>
  <si>
    <t>Kirrweiler (Pfalz)</t>
  </si>
  <si>
    <t>Worms</t>
  </si>
  <si>
    <t>Dorn-Dürkheim</t>
  </si>
  <si>
    <t>Hillesheim</t>
  </si>
  <si>
    <t>Wintersheim</t>
  </si>
  <si>
    <t>Monsheim</t>
  </si>
  <si>
    <t>Offstein</t>
  </si>
  <si>
    <t>Gundheim</t>
  </si>
  <si>
    <t>Enkenbach-Alsenborn</t>
  </si>
  <si>
    <t>Börrstadt</t>
  </si>
  <si>
    <t>Wolfstein</t>
  </si>
  <si>
    <t>Callbach</t>
  </si>
  <si>
    <t>Altlußheim</t>
  </si>
  <si>
    <t>Heidelberg</t>
  </si>
  <si>
    <t>Wiesloch</t>
  </si>
  <si>
    <t>Malsch</t>
  </si>
  <si>
    <t>Rheinstetten</t>
  </si>
  <si>
    <t>Stutensee</t>
  </si>
  <si>
    <t>Bietigheim</t>
  </si>
  <si>
    <t>Ötigheim</t>
  </si>
  <si>
    <t>Iffezheim</t>
  </si>
  <si>
    <t>Bischweier</t>
  </si>
  <si>
    <t>Sinzheim</t>
  </si>
  <si>
    <t>Karlsdorf-Neuthard</t>
  </si>
  <si>
    <t>Kronau</t>
  </si>
  <si>
    <t>Wörth</t>
  </si>
  <si>
    <t>Scheibenhardt</t>
  </si>
  <si>
    <t>Landau in der Pfalz</t>
  </si>
  <si>
    <t>Rhodt u.a.</t>
  </si>
  <si>
    <t>Hauenstein</t>
  </si>
  <si>
    <t>Kandel</t>
  </si>
  <si>
    <t>Steinweiler</t>
  </si>
  <si>
    <t>Klingenmünster u.a.</t>
  </si>
  <si>
    <t>Ettenheim</t>
  </si>
  <si>
    <t>Breisach am Rhein</t>
  </si>
  <si>
    <t>Denzlingen</t>
  </si>
  <si>
    <t>March</t>
  </si>
  <si>
    <t>Vogtsburg im Kaiserstuhl</t>
  </si>
  <si>
    <t>Bötzingen</t>
  </si>
  <si>
    <t>Reute</t>
  </si>
  <si>
    <t>Vörstetten</t>
  </si>
  <si>
    <t>Gottenheim</t>
  </si>
  <si>
    <t>Merdingen</t>
  </si>
  <si>
    <t>Emmendingen</t>
  </si>
  <si>
    <t>Kenzingen</t>
  </si>
  <si>
    <t>Malterdingen</t>
  </si>
  <si>
    <t>Weil am Rhein</t>
  </si>
  <si>
    <t>Rheinfelden (Baden)</t>
  </si>
  <si>
    <t>Grenzach-Wyhlen</t>
  </si>
  <si>
    <t>Schwörstadt</t>
  </si>
  <si>
    <t>Wutöschingen</t>
  </si>
  <si>
    <t>Hohentengen am Hochrhein</t>
  </si>
  <si>
    <t>Baienfurt</t>
  </si>
  <si>
    <t>Würzburg</t>
  </si>
  <si>
    <t>Rostock, Graal-Müritz</t>
  </si>
  <si>
    <t>Bad Doberan, Bartenshagen-Parkentin u.a.</t>
  </si>
  <si>
    <t>Retschow, Admannshagen-Bargeshagen u.a.</t>
  </si>
  <si>
    <t>Putbus</t>
  </si>
  <si>
    <t>Rosengarten</t>
  </si>
  <si>
    <t>Nehms</t>
  </si>
  <si>
    <t>Rickling</t>
  </si>
  <si>
    <t>Ellerbek</t>
  </si>
  <si>
    <t>Maasen, Mellinghausen</t>
  </si>
  <si>
    <t>Hoya, Hoyerhagen, Hilgermissen</t>
  </si>
  <si>
    <t>Espelkamp</t>
  </si>
  <si>
    <t>Preußisch Oldendorf</t>
  </si>
  <si>
    <t>Bad Oeynhausen</t>
  </si>
  <si>
    <t>Vlotho</t>
  </si>
  <si>
    <t>Bad Lippspringe</t>
  </si>
  <si>
    <t>Verl</t>
  </si>
  <si>
    <t>Harsewinkel</t>
  </si>
  <si>
    <t>Herzebrock-Clarholz</t>
  </si>
  <si>
    <t>Reichshof</t>
  </si>
  <si>
    <t>Kröv</t>
  </si>
  <si>
    <t>Flonheim</t>
  </si>
  <si>
    <t>Wackernheim</t>
  </si>
  <si>
    <t>Hackenheim</t>
  </si>
  <si>
    <t>Merxheim</t>
  </si>
  <si>
    <t>Hillscheid</t>
  </si>
  <si>
    <t>Herschbach</t>
  </si>
  <si>
    <t>Osterspai</t>
  </si>
  <si>
    <t>Miehlen u.a.</t>
  </si>
  <si>
    <t>Willroth</t>
  </si>
  <si>
    <t>Enkirch u.a.</t>
  </si>
  <si>
    <t>Olpe</t>
  </si>
  <si>
    <t>Plettenberg</t>
  </si>
  <si>
    <t>Schöneck</t>
  </si>
  <si>
    <t>Friedberg (Hessen)</t>
  </si>
  <si>
    <t>Rodgau</t>
  </si>
  <si>
    <t>Seligenstadt</t>
  </si>
  <si>
    <t>Hainburg</t>
  </si>
  <si>
    <t>Messel</t>
  </si>
  <si>
    <t>Biebesheim am Rhein</t>
  </si>
  <si>
    <t>Dornburg</t>
  </si>
  <si>
    <t>Bad Soden am Taunus</t>
  </si>
  <si>
    <t>Quierschied</t>
  </si>
  <si>
    <t>Kleinbundenbach</t>
  </si>
  <si>
    <t>Bottenbach</t>
  </si>
  <si>
    <t>Maßweiler</t>
  </si>
  <si>
    <t>Pfeffelbach</t>
  </si>
  <si>
    <t>Bechhofen</t>
  </si>
  <si>
    <t>Herschweiler-Pettersheim</t>
  </si>
  <si>
    <t>Höheinöd, Petersberg u.a.</t>
  </si>
  <si>
    <t>Schifferstadt</t>
  </si>
  <si>
    <t>Ebertsheim</t>
  </si>
  <si>
    <t>Ramsen</t>
  </si>
  <si>
    <t>Göllheim</t>
  </si>
  <si>
    <t>Tiefenthal</t>
  </si>
  <si>
    <t>Carlsberg</t>
  </si>
  <si>
    <t>Altleiningen</t>
  </si>
  <si>
    <t>Böhl-Iggelheim</t>
  </si>
  <si>
    <t>Alsheim</t>
  </si>
  <si>
    <t>Gimbsheim</t>
  </si>
  <si>
    <t>Guntersblum</t>
  </si>
  <si>
    <t>Westhofen, Bermersheim</t>
  </si>
  <si>
    <t>Bechtheim</t>
  </si>
  <si>
    <t>Dittelsheim-Heßloch</t>
  </si>
  <si>
    <t>Mehlingen</t>
  </si>
  <si>
    <t>Hirschhorn</t>
  </si>
  <si>
    <t>Mehlbach</t>
  </si>
  <si>
    <t>Schwarzengraben, St. Alban, Gerbach</t>
  </si>
  <si>
    <t>Nußloch</t>
  </si>
  <si>
    <t>Mauer</t>
  </si>
  <si>
    <t>Weinheim</t>
  </si>
  <si>
    <t>Gorxheimertal</t>
  </si>
  <si>
    <t>Ettlingen</t>
  </si>
  <si>
    <t>Pfinztal</t>
  </si>
  <si>
    <t>Kuppenheim</t>
  </si>
  <si>
    <t>Muggensturm</t>
  </si>
  <si>
    <t>Hügelsheim</t>
  </si>
  <si>
    <t>Bad Schönborn</t>
  </si>
  <si>
    <t>Frankweiler</t>
  </si>
  <si>
    <t>Bad Bergzabern u.a.</t>
  </si>
  <si>
    <t>Bruchweiler-Bärenbach u.a.</t>
  </si>
  <si>
    <t>Hausach</t>
  </si>
  <si>
    <t>Stockach</t>
  </si>
  <si>
    <t>Gundelfingen, Heuweiler</t>
  </si>
  <si>
    <t>Ihringen</t>
  </si>
  <si>
    <t>Merzhausen</t>
  </si>
  <si>
    <t>Endingen am Kaiserstuhl</t>
  </si>
  <si>
    <t>Eichstetten</t>
  </si>
  <si>
    <t>Binzen</t>
  </si>
  <si>
    <t>Eimeldingen</t>
  </si>
  <si>
    <t>Fischingen</t>
  </si>
  <si>
    <t>Inzlingen</t>
  </si>
  <si>
    <t>Schallbach</t>
  </si>
  <si>
    <t>Wittlingen</t>
  </si>
  <si>
    <t>Daisendorf</t>
  </si>
  <si>
    <t>Garz/ Rügen</t>
  </si>
  <si>
    <t>Bendestorf</t>
  </si>
  <si>
    <t>Harmstorf</t>
  </si>
  <si>
    <t>Handeloh</t>
  </si>
  <si>
    <t>Jesteburg</t>
  </si>
  <si>
    <t>Glinde</t>
  </si>
  <si>
    <t>Barsbüttel</t>
  </si>
  <si>
    <t>Bargteheide, Delingsdorf u.a.</t>
  </si>
  <si>
    <t>Ammersbek</t>
  </si>
  <si>
    <t>Bad Schwartau</t>
  </si>
  <si>
    <t>Wensin</t>
  </si>
  <si>
    <t>Bargfeld-Stegen</t>
  </si>
  <si>
    <t>Sievershütten</t>
  </si>
  <si>
    <t>Quickborn</t>
  </si>
  <si>
    <t>Ellerau</t>
  </si>
  <si>
    <t>Hemdingen</t>
  </si>
  <si>
    <t>Alveslohe</t>
  </si>
  <si>
    <t>Bahrenborstel, Barenburg, Kirchdorf</t>
  </si>
  <si>
    <t>Borstel</t>
  </si>
  <si>
    <t>Siedenburg, Staffhorst</t>
  </si>
  <si>
    <t>Kirchlinteln</t>
  </si>
  <si>
    <t>Asendorf</t>
  </si>
  <si>
    <t>Scheeßel</t>
  </si>
  <si>
    <t>Soltau</t>
  </si>
  <si>
    <t>Uchte</t>
  </si>
  <si>
    <t>Diepenau</t>
  </si>
  <si>
    <t>Rinteln</t>
  </si>
  <si>
    <t>Hameln</t>
  </si>
  <si>
    <t>Porta Westfalica</t>
  </si>
  <si>
    <t>Hille</t>
  </si>
  <si>
    <t>Lage</t>
  </si>
  <si>
    <t>Delbrück</t>
  </si>
  <si>
    <t>Schloß Holte-Stukenbrock</t>
  </si>
  <si>
    <t>Steinhagen</t>
  </si>
  <si>
    <t>Werther (Westf.)</t>
  </si>
  <si>
    <t>Braunschweig</t>
  </si>
  <si>
    <t>Adenau, Kottenborn u.a.</t>
  </si>
  <si>
    <t>Waxweiler</t>
  </si>
  <si>
    <t>Ober-Olm</t>
  </si>
  <si>
    <t>Wörrstadt</t>
  </si>
  <si>
    <t>Monzingen</t>
  </si>
  <si>
    <t>Kaub</t>
  </si>
  <si>
    <t>Meudt, Molsberg, Hundsangen, Niederahr u.a.</t>
  </si>
  <si>
    <t>Klotten</t>
  </si>
  <si>
    <t>Bad Bertrich</t>
  </si>
  <si>
    <t>Nauroth</t>
  </si>
  <si>
    <t>Alpenrod</t>
  </si>
  <si>
    <t>Unnau</t>
  </si>
  <si>
    <t>Breckerfeld</t>
  </si>
  <si>
    <t>Halver</t>
  </si>
  <si>
    <t>Schalksmühle</t>
  </si>
  <si>
    <t>Anröchte</t>
  </si>
  <si>
    <t>Sundern</t>
  </si>
  <si>
    <t>Eslohe</t>
  </si>
  <si>
    <t>Nidderau</t>
  </si>
  <si>
    <t>Niederdorfelden</t>
  </si>
  <si>
    <t>Niddatal</t>
  </si>
  <si>
    <t>Wöllstadt</t>
  </si>
  <si>
    <t>Heusenstamm</t>
  </si>
  <si>
    <t>Mühlheim am Main</t>
  </si>
  <si>
    <t>Obertshausen</t>
  </si>
  <si>
    <t>Rödermark</t>
  </si>
  <si>
    <t>Maintal</t>
  </si>
  <si>
    <t>Bruchköbel</t>
  </si>
  <si>
    <t>Altenstadt</t>
  </si>
  <si>
    <t>Großostheim</t>
  </si>
  <si>
    <t>Karlstein am Main</t>
  </si>
  <si>
    <t>Kahl am Main</t>
  </si>
  <si>
    <t>Stockstadt am Main</t>
  </si>
  <si>
    <t>Mainaschaff</t>
  </si>
  <si>
    <t>Seeheim-Jugenheim</t>
  </si>
  <si>
    <t>Roßdorf</t>
  </si>
  <si>
    <t>Gernsheim</t>
  </si>
  <si>
    <t>Bensheim</t>
  </si>
  <si>
    <t>Fürth</t>
  </si>
  <si>
    <t>Dieburg</t>
  </si>
  <si>
    <t>Groß-Zimmern</t>
  </si>
  <si>
    <t>Eppertshausen</t>
  </si>
  <si>
    <t>Geisenheim</t>
  </si>
  <si>
    <t>Kiedrich</t>
  </si>
  <si>
    <t>Villmar</t>
  </si>
  <si>
    <t>Elbtal</t>
  </si>
  <si>
    <t>Kelkheim</t>
  </si>
  <si>
    <t>Mandelbachtal</t>
  </si>
  <si>
    <t>Nonnweiler</t>
  </si>
  <si>
    <t>Marpingen</t>
  </si>
  <si>
    <t>Landstuhl</t>
  </si>
  <si>
    <t>Altenkirchen</t>
  </si>
  <si>
    <t>Breitenbach</t>
  </si>
  <si>
    <t>Mutterstadt</t>
  </si>
  <si>
    <t>Limburgerhof</t>
  </si>
  <si>
    <t>Dannstadt-Schauernheim</t>
  </si>
  <si>
    <t>Hochdorf-Assenheim</t>
  </si>
  <si>
    <t>Rödersheim-Gronau</t>
  </si>
  <si>
    <t>Birkenheide</t>
  </si>
  <si>
    <t>Fußgönheim</t>
  </si>
  <si>
    <t>Ellerstadt</t>
  </si>
  <si>
    <t>Gönnheim</t>
  </si>
  <si>
    <t>Erpolzheim</t>
  </si>
  <si>
    <t>Frankenthal (Pfalz)</t>
  </si>
  <si>
    <t>Gerolsheim</t>
  </si>
  <si>
    <t>Lambsheim</t>
  </si>
  <si>
    <t>Dirmstein</t>
  </si>
  <si>
    <t>Heßheim</t>
  </si>
  <si>
    <t>Kindenheim</t>
  </si>
  <si>
    <t>Eisenberg (Pfalz)</t>
  </si>
  <si>
    <t>Wattenheim</t>
  </si>
  <si>
    <t>Osthofen</t>
  </si>
  <si>
    <t>Eich</t>
  </si>
  <si>
    <t>Neuhemsbach</t>
  </si>
  <si>
    <t>Sembach</t>
  </si>
  <si>
    <t>Hochspeyer</t>
  </si>
  <si>
    <t>Otterberg</t>
  </si>
  <si>
    <t>Schallodenbach</t>
  </si>
  <si>
    <t>Geiselberg</t>
  </si>
  <si>
    <t>Lohnsfeld</t>
  </si>
  <si>
    <t>Münchweiler an der Alsenz</t>
  </si>
  <si>
    <t>Sippersfeld</t>
  </si>
  <si>
    <t>Hinzweiler</t>
  </si>
  <si>
    <t>Feilbingert</t>
  </si>
  <si>
    <t>Sankt Leon-Rot</t>
  </si>
  <si>
    <t>Oberhausen-Rheinhausen</t>
  </si>
  <si>
    <t>Reilingen</t>
  </si>
  <si>
    <t>Neulußheim</t>
  </si>
  <si>
    <t>Leimen</t>
  </si>
  <si>
    <t>Walldorf</t>
  </si>
  <si>
    <t>Rauenberg</t>
  </si>
  <si>
    <t>Mörlenbach</t>
  </si>
  <si>
    <t>Esslingen am Neckar</t>
  </si>
  <si>
    <t>Eschelbronn</t>
  </si>
  <si>
    <t>Zuzenhausen</t>
  </si>
  <si>
    <t>Ubstadt-Weiher</t>
  </si>
  <si>
    <t>Aach</t>
  </si>
  <si>
    <t>Staufen im Breisgau</t>
  </si>
  <si>
    <t>Ehrenkirchen</t>
  </si>
  <si>
    <t>Ballrechten-Dottingen</t>
  </si>
  <si>
    <t>Pfaffenweiler</t>
  </si>
  <si>
    <t>Kandern</t>
  </si>
  <si>
    <t>Schliengen</t>
  </si>
  <si>
    <t>Efringen-Kirchen</t>
  </si>
  <si>
    <t>Rümmingen</t>
  </si>
  <si>
    <t>Maulburg</t>
  </si>
  <si>
    <t>Dettighofen</t>
  </si>
  <si>
    <t>Sigmarszell</t>
  </si>
  <si>
    <t>Rostock, Lambrechtshagen</t>
  </si>
  <si>
    <t>Bad Segeberg</t>
  </si>
  <si>
    <t>Rohlstorf</t>
  </si>
  <si>
    <t>Bark</t>
  </si>
  <si>
    <t>Wittenborn</t>
  </si>
  <si>
    <t>Bad Oldesloe</t>
  </si>
  <si>
    <t>Nahe</t>
  </si>
  <si>
    <t>Fintel, Lauenbrück u.a.</t>
  </si>
  <si>
    <t>Bomlitz</t>
  </si>
  <si>
    <t>Steyerberg</t>
  </si>
  <si>
    <t>Warmsen</t>
  </si>
  <si>
    <t>Nienstädt</t>
  </si>
  <si>
    <t>Luhden</t>
  </si>
  <si>
    <t>Petershagen</t>
  </si>
  <si>
    <t>Hövelhof</t>
  </si>
  <si>
    <t>Osburg, Gusterath, Farschweiler, Kasel u.a.</t>
  </si>
  <si>
    <t>Morbach</t>
  </si>
  <si>
    <t>Armsheim</t>
  </si>
  <si>
    <t>Simmern/Hunsrück u.a.</t>
  </si>
  <si>
    <t>Tiefenbach u.a.</t>
  </si>
  <si>
    <t>Boppard</t>
  </si>
  <si>
    <t>Irmenach</t>
  </si>
  <si>
    <t>Kirchhundem</t>
  </si>
  <si>
    <t>Neuenrade</t>
  </si>
  <si>
    <t>Rosbach v.d. Höhe</t>
  </si>
  <si>
    <t>Florstadt</t>
  </si>
  <si>
    <t>Oberursel (Taunus)</t>
  </si>
  <si>
    <t>Langenselbold</t>
  </si>
  <si>
    <t>Mainhausen</t>
  </si>
  <si>
    <t>Hammersbach</t>
  </si>
  <si>
    <t>Hasselroth</t>
  </si>
  <si>
    <t>Kleinostheim</t>
  </si>
  <si>
    <t>Großheubach</t>
  </si>
  <si>
    <t>Reinheim</t>
  </si>
  <si>
    <t>Bickenbach</t>
  </si>
  <si>
    <t>Heppenheim (Bergstraße)</t>
  </si>
  <si>
    <t>Obernheim-Kirchenarnbach u.a.</t>
  </si>
  <si>
    <t>Lemberg</t>
  </si>
  <si>
    <t>Maxdorf</t>
  </si>
  <si>
    <t>Weisenheim am Berg</t>
  </si>
  <si>
    <t>Mettenheim</t>
  </si>
  <si>
    <t>Waldleiningen, Fischbach</t>
  </si>
  <si>
    <t>Krickenbach</t>
  </si>
  <si>
    <t>Winnweiler</t>
  </si>
  <si>
    <t>Eßweiler</t>
  </si>
  <si>
    <t>Hockenheim</t>
  </si>
  <si>
    <t>Dossenheim</t>
  </si>
  <si>
    <t>Mühlhausen</t>
  </si>
  <si>
    <t>Neuenstadt am Kocher</t>
  </si>
  <si>
    <t>Offenau</t>
  </si>
  <si>
    <t>Bruchsal</t>
  </si>
  <si>
    <t>Sexau</t>
  </si>
  <si>
    <t>Bad Bellingen</t>
  </si>
  <si>
    <t>Deggenhausertal</t>
  </si>
  <si>
    <t>Samtens</t>
  </si>
  <si>
    <t>Welle</t>
  </si>
  <si>
    <t>Winsen</t>
  </si>
  <si>
    <t>Stelle</t>
  </si>
  <si>
    <t>Marschacht</t>
  </si>
  <si>
    <t>Marxen</t>
  </si>
  <si>
    <t>Reinbek</t>
  </si>
  <si>
    <t>Großhansdorf</t>
  </si>
  <si>
    <t>Siek</t>
  </si>
  <si>
    <t>Lübeck Schlutup/St. Gertrud</t>
  </si>
  <si>
    <t>Ahrensbök</t>
  </si>
  <si>
    <t>Leezen</t>
  </si>
  <si>
    <t>Pronstorf</t>
  </si>
  <si>
    <t>Seth</t>
  </si>
  <si>
    <t>Sülfeld</t>
  </si>
  <si>
    <t>Elmenhorst</t>
  </si>
  <si>
    <t>Grevesmühlen, Stepenitztal, Upahl u.a.</t>
  </si>
  <si>
    <t>Dörverden</t>
  </si>
  <si>
    <t>Eystrup, Hassel u.a.</t>
  </si>
  <si>
    <t>Visselhövede</t>
  </si>
  <si>
    <t>Bad Fallingbostel, Osterheide</t>
  </si>
  <si>
    <t>Nienburg/Weser</t>
  </si>
  <si>
    <t>Raddestorf</t>
  </si>
  <si>
    <t>Pennigsehl</t>
  </si>
  <si>
    <t>Bückeburg</t>
  </si>
  <si>
    <t>Helpsen, Seggebruch</t>
  </si>
  <si>
    <t>Hespe</t>
  </si>
  <si>
    <t>Heeßen, Bad Eilsen</t>
  </si>
  <si>
    <t>Ahnsen</t>
  </si>
  <si>
    <t>Buchholz</t>
  </si>
  <si>
    <t>Meerbeck</t>
  </si>
  <si>
    <t>Borchen</t>
  </si>
  <si>
    <t>Gießen</t>
  </si>
  <si>
    <t>Antweiler, Aremberg, Dorsel, Eichenbach, Aremberg, Fuchshofen und Müsch</t>
  </si>
  <si>
    <t>Blankenheim</t>
  </si>
  <si>
    <t>Gerolstein</t>
  </si>
  <si>
    <t>Üxheim</t>
  </si>
  <si>
    <t>Schönecken</t>
  </si>
  <si>
    <t>Daleiden, Preischeid u.a.</t>
  </si>
  <si>
    <t>Bacharach, Breitscheid</t>
  </si>
  <si>
    <t>Waldalgesheim</t>
  </si>
  <si>
    <t>Stromberg</t>
  </si>
  <si>
    <t>Gemünden</t>
  </si>
  <si>
    <t>Rhaunen</t>
  </si>
  <si>
    <t>Hoppstädten-Weiersbach</t>
  </si>
  <si>
    <t>Westerburg</t>
  </si>
  <si>
    <t>Peterswald-Löffelscheid u.a.</t>
  </si>
  <si>
    <t>Briedel</t>
  </si>
  <si>
    <t>Kreuztal</t>
  </si>
  <si>
    <t>Wenden</t>
  </si>
  <si>
    <t>Drolshagen</t>
  </si>
  <si>
    <t>Kierspe</t>
  </si>
  <si>
    <t>Meschede</t>
  </si>
  <si>
    <t>Bestwig</t>
  </si>
  <si>
    <t>Reichelsheim (Wetterau)</t>
  </si>
  <si>
    <t>Echzell</t>
  </si>
  <si>
    <t>Kronberg im Taunus</t>
  </si>
  <si>
    <t>Neuberg</t>
  </si>
  <si>
    <t>Ronneburg</t>
  </si>
  <si>
    <t>Büdingen</t>
  </si>
  <si>
    <t>Nidda</t>
  </si>
  <si>
    <t>Ranstadt</t>
  </si>
  <si>
    <t>Glauburg</t>
  </si>
  <si>
    <t>Alzenau</t>
  </si>
  <si>
    <t>Obernburg a.Main</t>
  </si>
  <si>
    <t>Niedernberg</t>
  </si>
  <si>
    <t>Mömlingen</t>
  </si>
  <si>
    <t>Mühltal</t>
  </si>
  <si>
    <t>Fränkisch-Crumbach</t>
  </si>
  <si>
    <t>Alsbach-Hähnlein</t>
  </si>
  <si>
    <t>Zwingenberg</t>
  </si>
  <si>
    <t>Groß-Umstadt</t>
  </si>
  <si>
    <t>Hohenstein</t>
  </si>
  <si>
    <t>Beselich</t>
  </si>
  <si>
    <t>Selters</t>
  </si>
  <si>
    <t>Hofheim am Taunus</t>
  </si>
  <si>
    <t>Rammelsbach u.a.</t>
  </si>
  <si>
    <t>Hinterweidenthal</t>
  </si>
  <si>
    <t>Beindersheim</t>
  </si>
  <si>
    <t>Bischheim u.a.</t>
  </si>
  <si>
    <t>Bolanden</t>
  </si>
  <si>
    <t>Lambrecht (Pfalz)</t>
  </si>
  <si>
    <t>Weidenthal</t>
  </si>
  <si>
    <t>Schneckenhausen</t>
  </si>
  <si>
    <t>Niederkirchen</t>
  </si>
  <si>
    <t>Heltersberg</t>
  </si>
  <si>
    <t>Gundersweiler, Gonbach u.a.</t>
  </si>
  <si>
    <t>Dielkirchen</t>
  </si>
  <si>
    <t>Groß-Rohrheim</t>
  </si>
  <si>
    <t>Schwetzingen</t>
  </si>
  <si>
    <t>Schriesheim</t>
  </si>
  <si>
    <t>Sandhausen</t>
  </si>
  <si>
    <t>Schönau</t>
  </si>
  <si>
    <t>Birkenau</t>
  </si>
  <si>
    <t>Kornwestheim</t>
  </si>
  <si>
    <t>Waiblingen</t>
  </si>
  <si>
    <t>Ludwigsburg</t>
  </si>
  <si>
    <t>Wendlingen am Neckar</t>
  </si>
  <si>
    <t>Neckarsulm</t>
  </si>
  <si>
    <t>Bad Friedrichshall</t>
  </si>
  <si>
    <t>Untereisesheim</t>
  </si>
  <si>
    <t>Haßmersheim</t>
  </si>
  <si>
    <t>Sinsheim</t>
  </si>
  <si>
    <t>Meckesheim</t>
  </si>
  <si>
    <t>Neidenstein</t>
  </si>
  <si>
    <t>Remchingen</t>
  </si>
  <si>
    <t>Kraichtal</t>
  </si>
  <si>
    <t>Engen</t>
  </si>
  <si>
    <t>Gailingen am Hochrhein</t>
  </si>
  <si>
    <t>Au (Breisgau)</t>
  </si>
  <si>
    <t>Winden im Elztal</t>
  </si>
  <si>
    <t>Steinen</t>
  </si>
  <si>
    <t>Schopfheim</t>
  </si>
  <si>
    <t>Hasel</t>
  </si>
  <si>
    <t>Hausen im Wiesental</t>
  </si>
  <si>
    <t>Murg</t>
  </si>
  <si>
    <t>Achberg</t>
  </si>
  <si>
    <t>Bardowick, Wittorf, Barum</t>
  </si>
  <si>
    <t>Tespe</t>
  </si>
  <si>
    <t>Brackel</t>
  </si>
  <si>
    <t>Handorf</t>
  </si>
  <si>
    <t>Hoisdorf</t>
  </si>
  <si>
    <t>Todendorf</t>
  </si>
  <si>
    <t>Tremsbüttel</t>
  </si>
  <si>
    <t>Wismar, Groß Krankow u.a.</t>
  </si>
  <si>
    <t>Schweringen, Warpe, Bücken</t>
  </si>
  <si>
    <t>Rethem (Aller), Häuslingen, Frankenfeld</t>
  </si>
  <si>
    <t>Schneverdingen, Heimbuch</t>
  </si>
  <si>
    <t>Walsrode, Ostenholz</t>
  </si>
  <si>
    <t>Hodenhagen u.a.</t>
  </si>
  <si>
    <t>Langenhagen</t>
  </si>
  <si>
    <t>Wunstorf</t>
  </si>
  <si>
    <t>Hagenburg</t>
  </si>
  <si>
    <t>Stolzenau</t>
  </si>
  <si>
    <t>Balge</t>
  </si>
  <si>
    <t>Wietzen</t>
  </si>
  <si>
    <t>Liebenau</t>
  </si>
  <si>
    <t>Heemsen</t>
  </si>
  <si>
    <t>Haßbergen</t>
  </si>
  <si>
    <t>Rohrsen</t>
  </si>
  <si>
    <t>Landesbergen</t>
  </si>
  <si>
    <t>Leese</t>
  </si>
  <si>
    <t>Stadthagen</t>
  </si>
  <si>
    <t>Heuerßen</t>
  </si>
  <si>
    <t>Lüdersfeld</t>
  </si>
  <si>
    <t>Niederwöhren</t>
  </si>
  <si>
    <t>Lauenhagen</t>
  </si>
  <si>
    <t>Nordsehl</t>
  </si>
  <si>
    <t>Pollhagen</t>
  </si>
  <si>
    <t>Wiedensahl</t>
  </si>
  <si>
    <t>Augustdorf</t>
  </si>
  <si>
    <t>Schlangen</t>
  </si>
  <si>
    <t>Hungen</t>
  </si>
  <si>
    <t>Wetzlar</t>
  </si>
  <si>
    <t>Göttingen</t>
  </si>
  <si>
    <t>Barweiler, Bauler, Hoffeld, Pomster, Wiesemscheid, Wirft</t>
  </si>
  <si>
    <t>Thalfang</t>
  </si>
  <si>
    <t>Monzelfeld, Hochscheid u.a.</t>
  </si>
  <si>
    <t>Manderscheid</t>
  </si>
  <si>
    <t>Lissendorf</t>
  </si>
  <si>
    <t>Seibersbach</t>
  </si>
  <si>
    <t>Sobernheim</t>
  </si>
  <si>
    <t>Kirn</t>
  </si>
  <si>
    <t>Mayen</t>
  </si>
  <si>
    <t>Bell</t>
  </si>
  <si>
    <t>Finnentrop</t>
  </si>
  <si>
    <t>Elkenroth</t>
  </si>
  <si>
    <t>Herscheid</t>
  </si>
  <si>
    <t>Wölfersheim</t>
  </si>
  <si>
    <t>Bad Nauheim</t>
  </si>
  <si>
    <t>Limeshain</t>
  </si>
  <si>
    <t>Goldbach</t>
  </si>
  <si>
    <t>Kleinwallstadt</t>
  </si>
  <si>
    <t>Großwallstadt</t>
  </si>
  <si>
    <t>Erlenbach a.Main</t>
  </si>
  <si>
    <t>Ober-Ramstadt</t>
  </si>
  <si>
    <t>Brensbach</t>
  </si>
  <si>
    <t>Groß-Bieberau</t>
  </si>
  <si>
    <t>Lorsch</t>
  </si>
  <si>
    <t>Lautertal (Odenwald)</t>
  </si>
  <si>
    <t>Otzberg</t>
  </si>
  <si>
    <t>Lorch</t>
  </si>
  <si>
    <t>Hünstetten, Idstein</t>
  </si>
  <si>
    <t>Bad Camberg</t>
  </si>
  <si>
    <t>Freisen</t>
  </si>
  <si>
    <t>Vinningen, Trulben, Ruppertsweiler u.a.</t>
  </si>
  <si>
    <t>Clausen</t>
  </si>
  <si>
    <t>Neuhofen</t>
  </si>
  <si>
    <t>Otterstadt</t>
  </si>
  <si>
    <t>Bobenheim-Roxheim</t>
  </si>
  <si>
    <t>Esthal</t>
  </si>
  <si>
    <t>Trippstadt u.a.</t>
  </si>
  <si>
    <t>Schopp</t>
  </si>
  <si>
    <t>Grumbach</t>
  </si>
  <si>
    <t>Kriegsfeld</t>
  </si>
  <si>
    <t>Lampertheim</t>
  </si>
  <si>
    <t>Bürstadt</t>
  </si>
  <si>
    <t>Biblis</t>
  </si>
  <si>
    <t>Ketsch</t>
  </si>
  <si>
    <t>Eppelheim</t>
  </si>
  <si>
    <t>Dielheim</t>
  </si>
  <si>
    <t>Wiesenbach</t>
  </si>
  <si>
    <t>Neckargerach</t>
  </si>
  <si>
    <t>Hemsbach</t>
  </si>
  <si>
    <t>Nürtingen</t>
  </si>
  <si>
    <t>Reutlingen</t>
  </si>
  <si>
    <t>Obersulm</t>
  </si>
  <si>
    <t>Weinsberg</t>
  </si>
  <si>
    <t>Oedheim</t>
  </si>
  <si>
    <t>Eberstadt</t>
  </si>
  <si>
    <t>Ellhofen</t>
  </si>
  <si>
    <t>Jagsthausen</t>
  </si>
  <si>
    <t>Öhringen</t>
  </si>
  <si>
    <t>Bretzfeld</t>
  </si>
  <si>
    <t>Pfedelbach</t>
  </si>
  <si>
    <t>Waibstadt</t>
  </si>
  <si>
    <t>Angelbachtal</t>
  </si>
  <si>
    <t>Ittlingen</t>
  </si>
  <si>
    <t>Eppingen</t>
  </si>
  <si>
    <t>Gondelsheim</t>
  </si>
  <si>
    <t>Sulzfeld</t>
  </si>
  <si>
    <t>Zaisenhausen</t>
  </si>
  <si>
    <t>Waldbronn</t>
  </si>
  <si>
    <t>Östringen</t>
  </si>
  <si>
    <t>Bühlertal</t>
  </si>
  <si>
    <t>Schuttertal</t>
  </si>
  <si>
    <t>Sölden</t>
  </si>
  <si>
    <t>Freiamt</t>
  </si>
  <si>
    <t>Albbruck</t>
  </si>
  <si>
    <t>Tettnang</t>
  </si>
  <si>
    <t>Stralsund</t>
  </si>
  <si>
    <t>Otter</t>
  </si>
  <si>
    <t>Undeloh</t>
  </si>
  <si>
    <t>Lüneburg</t>
  </si>
  <si>
    <t>Brietlingen</t>
  </si>
  <si>
    <t>Wulfsen</t>
  </si>
  <si>
    <t>Geesthacht</t>
  </si>
  <si>
    <t>Woltersdorf, Müssen u.a.</t>
  </si>
  <si>
    <t>Brunstorf</t>
  </si>
  <si>
    <t>Kröppelshagen-Fahrendorf</t>
  </si>
  <si>
    <t>Hamfelde, Kasseburg, Köthel, Rausdorf, Schönberg</t>
  </si>
  <si>
    <t>Trittau</t>
  </si>
  <si>
    <t>Steinburg</t>
  </si>
  <si>
    <t>Neuengörs</t>
  </si>
  <si>
    <t>Schönberg</t>
  </si>
  <si>
    <t>Wismar</t>
  </si>
  <si>
    <t>Celle</t>
  </si>
  <si>
    <t>Hildesheim</t>
  </si>
  <si>
    <t>Rehburg-Loccum</t>
  </si>
  <si>
    <t>Apelern, Rodenberg</t>
  </si>
  <si>
    <t>Auhagen, Sachsenhagen</t>
  </si>
  <si>
    <t>Wölpinghausen</t>
  </si>
  <si>
    <t>Drakenburg</t>
  </si>
  <si>
    <t>Steimbke</t>
  </si>
  <si>
    <t>Rodewald</t>
  </si>
  <si>
    <t>Lindhorst</t>
  </si>
  <si>
    <t>Beckedorf</t>
  </si>
  <si>
    <t>Hessisch Oldendorf</t>
  </si>
  <si>
    <t>Bad Münder am Deister</t>
  </si>
  <si>
    <t>Dörentrup</t>
  </si>
  <si>
    <t>Solms</t>
  </si>
  <si>
    <t>Simmerath</t>
  </si>
  <si>
    <t>Malborn</t>
  </si>
  <si>
    <t>Birresborn</t>
  </si>
  <si>
    <t>Jünkerath</t>
  </si>
  <si>
    <t>Lützkampen</t>
  </si>
  <si>
    <t>Kyllburg</t>
  </si>
  <si>
    <t>Neuerburg u.a.</t>
  </si>
  <si>
    <t>Kirchberg u.a.</t>
  </si>
  <si>
    <t>Dickenschied u.a.</t>
  </si>
  <si>
    <t>Sohren</t>
  </si>
  <si>
    <t>Simmertal</t>
  </si>
  <si>
    <t>Bundenbach</t>
  </si>
  <si>
    <t>Birkenfeld u.a.</t>
  </si>
  <si>
    <t>Lutzerath</t>
  </si>
  <si>
    <t>Wilnsdorf</t>
  </si>
  <si>
    <t>Ober-Mörlen</t>
  </si>
  <si>
    <t>Friedrichsdorf</t>
  </si>
  <si>
    <t>Freigericht</t>
  </si>
  <si>
    <t>Brachttal</t>
  </si>
  <si>
    <t>Sulzbach am Main</t>
  </si>
  <si>
    <t>Klingenberg a. Main</t>
  </si>
  <si>
    <t>Fischbachtal</t>
  </si>
  <si>
    <t>Einhausen</t>
  </si>
  <si>
    <t>Breuberg</t>
  </si>
  <si>
    <t>Niedernhausen</t>
  </si>
  <si>
    <t>Waldbrunn</t>
  </si>
  <si>
    <t>Eppstein</t>
  </si>
  <si>
    <t>Altrip</t>
  </si>
  <si>
    <t>Waldsee</t>
  </si>
  <si>
    <t>Kirchheimbolanden</t>
  </si>
  <si>
    <t>Steinbach, Weitersweiler, Bennhausen, Mörsfeld, Würzweiler, Ruppertsecke</t>
  </si>
  <si>
    <t>Neckargemünd</t>
  </si>
  <si>
    <t>Laudenbach</t>
  </si>
  <si>
    <t>Wannweil</t>
  </si>
  <si>
    <t>Bad Wimpfen</t>
  </si>
  <si>
    <t>Erlenbach</t>
  </si>
  <si>
    <t>Hardthausen am Kocher</t>
  </si>
  <si>
    <t>Langenbrettach</t>
  </si>
  <si>
    <t>Lehrensteinsfeld</t>
  </si>
  <si>
    <t>Lauffen am Neckar</t>
  </si>
  <si>
    <t>Güglingen</t>
  </si>
  <si>
    <t>Aglasterhausen</t>
  </si>
  <si>
    <t>Neudenau</t>
  </si>
  <si>
    <t>Spechbach</t>
  </si>
  <si>
    <t>Bretten</t>
  </si>
  <si>
    <t>Oberderdingen</t>
  </si>
  <si>
    <t>Walzbachtal</t>
  </si>
  <si>
    <t>Pforzheim</t>
  </si>
  <si>
    <t>Keltern</t>
  </si>
  <si>
    <t>Gaggenau</t>
  </si>
  <si>
    <t>Zell am Harmersbach</t>
  </si>
  <si>
    <t>Kappelrodeck</t>
  </si>
  <si>
    <t>Ottenhöfen im Schwarzwald</t>
  </si>
  <si>
    <t>Lauf</t>
  </si>
  <si>
    <t>Kirchzarten</t>
  </si>
  <si>
    <t>Elzach, Biederbach</t>
  </si>
  <si>
    <t>Gutach im Breisgau</t>
  </si>
  <si>
    <t>Simonswald</t>
  </si>
  <si>
    <t>Wittnau</t>
  </si>
  <si>
    <t>Wolpertswende</t>
  </si>
  <si>
    <t>Schweinfurt</t>
  </si>
  <si>
    <t>Rostock, Gelbensande, Rövershagen u.a.</t>
  </si>
  <si>
    <t>Miltzow u.a.</t>
  </si>
  <si>
    <t>Schwerin</t>
  </si>
  <si>
    <t>Hanstedt, Asendorf</t>
  </si>
  <si>
    <t>Mechtersen</t>
  </si>
  <si>
    <t>Vögelsen</t>
  </si>
  <si>
    <t>Scharnebeck, Echem, Lüdersburg, Rullstorf</t>
  </si>
  <si>
    <t>Artlenburg</t>
  </si>
  <si>
    <t>Garstedt</t>
  </si>
  <si>
    <t>Toppenstedt</t>
  </si>
  <si>
    <t>Radbruch</t>
  </si>
  <si>
    <t>Gülzow</t>
  </si>
  <si>
    <t>Fuhlenhagen</t>
  </si>
  <si>
    <t>Bröthen</t>
  </si>
  <si>
    <t>Hohnstorf (Elbe), Hittbergen</t>
  </si>
  <si>
    <t>Hohenhorn</t>
  </si>
  <si>
    <t>Kollow</t>
  </si>
  <si>
    <t>Lütjensee</t>
  </si>
  <si>
    <t>Grönwohld</t>
  </si>
  <si>
    <t>Linau</t>
  </si>
  <si>
    <t>Witzhave</t>
  </si>
  <si>
    <t>Stockelsdorf</t>
  </si>
  <si>
    <t>Zarpen</t>
  </si>
  <si>
    <t>Geschendorf</t>
  </si>
  <si>
    <t>Reinfeld (Holstein)</t>
  </si>
  <si>
    <t>Mölln</t>
  </si>
  <si>
    <t>Bispingen</t>
  </si>
  <si>
    <t>Schwarmstedt u.a.</t>
  </si>
  <si>
    <t>Garbsen</t>
  </si>
  <si>
    <t>Neustadt am Rübenberge</t>
  </si>
  <si>
    <t>Bad Nenndorf</t>
  </si>
  <si>
    <t>Suthfeld</t>
  </si>
  <si>
    <t>Haste, Hohnhorst</t>
  </si>
  <si>
    <t>Marklohe</t>
  </si>
  <si>
    <t>Binnen</t>
  </si>
  <si>
    <t>Husum</t>
  </si>
  <si>
    <t>Linsburg</t>
  </si>
  <si>
    <t>Obernkirchen</t>
  </si>
  <si>
    <t>Auetal</t>
  </si>
  <si>
    <t>Pohle, Lauenau, Messenkamp, Hülsede etc</t>
  </si>
  <si>
    <t>Vellmar</t>
  </si>
  <si>
    <t>Butzbach</t>
  </si>
  <si>
    <t>Schöffengrund</t>
  </si>
  <si>
    <t>Waldsolms</t>
  </si>
  <si>
    <t>Weilburg</t>
  </si>
  <si>
    <t>Weilmünster</t>
  </si>
  <si>
    <t>Weinbach</t>
  </si>
  <si>
    <t>Merenberg</t>
  </si>
  <si>
    <t>Monschau</t>
  </si>
  <si>
    <t>Schillingen</t>
  </si>
  <si>
    <t>Kleinich</t>
  </si>
  <si>
    <t>Gillenfeld</t>
  </si>
  <si>
    <t>Bleialf</t>
  </si>
  <si>
    <t>Lasel</t>
  </si>
  <si>
    <t>Winterspelt</t>
  </si>
  <si>
    <t>Üttfeld</t>
  </si>
  <si>
    <t>Arzfeld</t>
  </si>
  <si>
    <t>Büchenbeuren</t>
  </si>
  <si>
    <t>Ellern (Hunsrück), Schnorbach</t>
  </si>
  <si>
    <t>Hargesheim</t>
  </si>
  <si>
    <t>Hennweiler</t>
  </si>
  <si>
    <t>Hundsbach</t>
  </si>
  <si>
    <t>Seesbach</t>
  </si>
  <si>
    <t>Idar-Oberstein</t>
  </si>
  <si>
    <t>Herrstein</t>
  </si>
  <si>
    <t>Baumholder</t>
  </si>
  <si>
    <t>Berglangenbach, Ruschberg u.a.</t>
  </si>
  <si>
    <t>Emmelshausen</t>
  </si>
  <si>
    <t>Bellingen, Kölbingen, Gemünden etc</t>
  </si>
  <si>
    <t>Gevenich</t>
  </si>
  <si>
    <t>Blankenrath u.a.</t>
  </si>
  <si>
    <t>Mastershausen</t>
  </si>
  <si>
    <t>Emmerzhausen, Niederdreisbach, Steinebach</t>
  </si>
  <si>
    <t>Meinerzhagen</t>
  </si>
  <si>
    <t>Nachrodt-Wiblingwerde</t>
  </si>
  <si>
    <t>Warstein</t>
  </si>
  <si>
    <t>Gelnhausen</t>
  </si>
  <si>
    <t>Linsengericht</t>
  </si>
  <si>
    <t>Elsenfeld</t>
  </si>
  <si>
    <t>Weilbach</t>
  </si>
  <si>
    <t>Reichelsheim (Odenwald)</t>
  </si>
  <si>
    <t>Erbach</t>
  </si>
  <si>
    <t>Höchst i. Odw.</t>
  </si>
  <si>
    <t>Taunusstein</t>
  </si>
  <si>
    <t>Rüdesheim am Rhein</t>
  </si>
  <si>
    <t>Waldems</t>
  </si>
  <si>
    <t>Nohfelden</t>
  </si>
  <si>
    <t>Maikammer</t>
  </si>
  <si>
    <t>Nußbach</t>
  </si>
  <si>
    <t>Hallgarten</t>
  </si>
  <si>
    <t>Becherbach</t>
  </si>
  <si>
    <t>Viernheim</t>
  </si>
  <si>
    <t>Edingen-Neckarhausen</t>
  </si>
  <si>
    <t>Ilvesheim</t>
  </si>
  <si>
    <t>Gaiberg</t>
  </si>
  <si>
    <t>Fellbach</t>
  </si>
  <si>
    <t>Weinstadt</t>
  </si>
  <si>
    <t>Schwaikheim</t>
  </si>
  <si>
    <t>Weissach im Tal</t>
  </si>
  <si>
    <t>Marbach am Neckar</t>
  </si>
  <si>
    <t>Asperg</t>
  </si>
  <si>
    <t>Remseck am Neckar</t>
  </si>
  <si>
    <t>Riederich</t>
  </si>
  <si>
    <t>Unterensingen</t>
  </si>
  <si>
    <t>Göppingen</t>
  </si>
  <si>
    <t>Eislingen/Fils</t>
  </si>
  <si>
    <t>Plochingen</t>
  </si>
  <si>
    <t>Kirchheim unter Teck</t>
  </si>
  <si>
    <t>Altbach</t>
  </si>
  <si>
    <t>Schwaigern</t>
  </si>
  <si>
    <t>Leingarten</t>
  </si>
  <si>
    <t>Möckmühl</t>
  </si>
  <si>
    <t>Nordheim</t>
  </si>
  <si>
    <t>Abstatt</t>
  </si>
  <si>
    <t>Löwenstein</t>
  </si>
  <si>
    <t>Widdern</t>
  </si>
  <si>
    <t>Besigheim</t>
  </si>
  <si>
    <t>Kirchheim am Neckar</t>
  </si>
  <si>
    <t>Pleidelsheim</t>
  </si>
  <si>
    <t>Pfaffenhofen</t>
  </si>
  <si>
    <t>Neuenstein</t>
  </si>
  <si>
    <t>Adelsheim</t>
  </si>
  <si>
    <t>Gundelsheim</t>
  </si>
  <si>
    <t>Kirchardt</t>
  </si>
  <si>
    <t>Helmstadt-Bargen</t>
  </si>
  <si>
    <t>Neckarbischofsheim</t>
  </si>
  <si>
    <t>Epfenbach</t>
  </si>
  <si>
    <t>Hüffenhardt</t>
  </si>
  <si>
    <t>Lobbach</t>
  </si>
  <si>
    <t>Gemmingen</t>
  </si>
  <si>
    <t>Kürnbach</t>
  </si>
  <si>
    <t>Königsbach-Stein</t>
  </si>
  <si>
    <t>Marxzell</t>
  </si>
  <si>
    <t>Weisenbach</t>
  </si>
  <si>
    <t>Albersweiler, Silz u.a.</t>
  </si>
  <si>
    <t>Oppenau</t>
  </si>
  <si>
    <t>Oberharmersbach</t>
  </si>
  <si>
    <t>Lautenbach</t>
  </si>
  <si>
    <t>Buchenbach</t>
  </si>
  <si>
    <t>Ebringen</t>
  </si>
  <si>
    <t>Eggingen</t>
  </si>
  <si>
    <t>Überlingen</t>
  </si>
  <si>
    <t>Bad Kissingen</t>
  </si>
  <si>
    <t>Bad Bocklet</t>
  </si>
  <si>
    <t>Euerdorf</t>
  </si>
  <si>
    <t>Elfershausen</t>
  </si>
  <si>
    <t>Triefenstein</t>
  </si>
  <si>
    <t>Wertheim</t>
  </si>
  <si>
    <t>Faulbach</t>
  </si>
  <si>
    <t>Lauda-Königshofen</t>
  </si>
  <si>
    <t>Neubukow, Ravensberg, Westenbrügge u.a.</t>
  </si>
  <si>
    <t>Kröpelin, Carinerland</t>
  </si>
  <si>
    <t>Zingst a. Darß</t>
  </si>
  <si>
    <t>Bleckede</t>
  </si>
  <si>
    <t>Neetze</t>
  </si>
  <si>
    <t>Vierhöfen</t>
  </si>
  <si>
    <t>Lauenburg/Elbe</t>
  </si>
  <si>
    <t>Aumühle</t>
  </si>
  <si>
    <t>Kuddewörde</t>
  </si>
  <si>
    <t>Lasbek</t>
  </si>
  <si>
    <t>Klein Wesenberg</t>
  </si>
  <si>
    <t>Gudow</t>
  </si>
  <si>
    <t>Ratzeburg</t>
  </si>
  <si>
    <t>Dorf Mecklenburg, Lübow u.a.</t>
  </si>
  <si>
    <t>Barsinghausen</t>
  </si>
  <si>
    <t>Sarstedt</t>
  </si>
  <si>
    <t>Lich</t>
  </si>
  <si>
    <t>Münzenberg</t>
  </si>
  <si>
    <t>Rockenberg</t>
  </si>
  <si>
    <t>Wetzlar Garbeinheim</t>
  </si>
  <si>
    <t>Ehringshausen</t>
  </si>
  <si>
    <t>Dillenburg</t>
  </si>
  <si>
    <t>Mengerskirchen</t>
  </si>
  <si>
    <t>Rheinböllen</t>
  </si>
  <si>
    <t>Bad Marienberg (Westerwald)</t>
  </si>
  <si>
    <t>Uersfeld</t>
  </si>
  <si>
    <t>Hilchenbach</t>
  </si>
  <si>
    <t>Weitefeld</t>
  </si>
  <si>
    <t>Königstein im Taunus</t>
  </si>
  <si>
    <t>Gründau</t>
  </si>
  <si>
    <t>Hausen</t>
  </si>
  <si>
    <t>Glattbach</t>
  </si>
  <si>
    <t>Bad König</t>
  </si>
  <si>
    <t>Lützelbach</t>
  </si>
  <si>
    <t>Bad Schwalbach</t>
  </si>
  <si>
    <t>Heidenrod</t>
  </si>
  <si>
    <t>Mittelbrunn, Queidersbach u.a.</t>
  </si>
  <si>
    <t>Schmalenberg</t>
  </si>
  <si>
    <t>Rothselberg u.a.</t>
  </si>
  <si>
    <t>Imsbach</t>
  </si>
  <si>
    <t>Neckarsteinach</t>
  </si>
  <si>
    <t>Schönbrunn</t>
  </si>
  <si>
    <t>Hirschberg an der Bergstraße</t>
  </si>
  <si>
    <t>Kernen im Remstal</t>
  </si>
  <si>
    <t>Freiberg am Neckar</t>
  </si>
  <si>
    <t>Steinheim, Murr</t>
  </si>
  <si>
    <t>Neckartailfingen</t>
  </si>
  <si>
    <t>Deizisau</t>
  </si>
  <si>
    <t>Untergruppenbach</t>
  </si>
  <si>
    <t>Flein</t>
  </si>
  <si>
    <t>Massenbachhausen</t>
  </si>
  <si>
    <t>Brackenheim</t>
  </si>
  <si>
    <t>Ilsfeld</t>
  </si>
  <si>
    <t>Hessigheim</t>
  </si>
  <si>
    <t>Schefflenz</t>
  </si>
  <si>
    <t>Binau</t>
  </si>
  <si>
    <t>Reichartshausen</t>
  </si>
  <si>
    <t>Nordrach</t>
  </si>
  <si>
    <t>Glottertal</t>
  </si>
  <si>
    <t>Sulzburg</t>
  </si>
  <si>
    <t>Passau</t>
  </si>
  <si>
    <t>Bad Neustadt an der Saale</t>
  </si>
  <si>
    <t>Gössenheim</t>
  </si>
  <si>
    <t>Tauberbischofsheim</t>
  </si>
  <si>
    <t>Boizenburg/ Elbe</t>
  </si>
  <si>
    <t>Vellahn</t>
  </si>
  <si>
    <t>Eggestorf</t>
  </si>
  <si>
    <t>Adendorf</t>
  </si>
  <si>
    <t>Salzhausen</t>
  </si>
  <si>
    <t>Wendisch Evern</t>
  </si>
  <si>
    <t>Krummesse, Klempau</t>
  </si>
  <si>
    <t>Sterley</t>
  </si>
  <si>
    <t>Sandesneben u.a.</t>
  </si>
  <si>
    <t>Berkenthin</t>
  </si>
  <si>
    <t>Hemmingen</t>
  </si>
  <si>
    <t>Banteln</t>
  </si>
  <si>
    <t>Stöckse</t>
  </si>
  <si>
    <t>Extertal</t>
  </si>
  <si>
    <t>Oerlinghausen</t>
  </si>
  <si>
    <t>Lohra</t>
  </si>
  <si>
    <t>Leun</t>
  </si>
  <si>
    <t>Haiger</t>
  </si>
  <si>
    <t>Herborn</t>
  </si>
  <si>
    <t>Steinau an der Straße</t>
  </si>
  <si>
    <t>Salzgitter</t>
  </si>
  <si>
    <t>Reifferscheid, Kaltenborn, Wershofen u.a.</t>
  </si>
  <si>
    <t>Bodenbach, Kelberg, Kirsbach u.a.</t>
  </si>
  <si>
    <t>Kall</t>
  </si>
  <si>
    <t>Kell am See</t>
  </si>
  <si>
    <t>Walsdorf, Nohn u.a.</t>
  </si>
  <si>
    <t>Riesweiler</t>
  </si>
  <si>
    <t>Höhn</t>
  </si>
  <si>
    <t>Nisterau u.a.</t>
  </si>
  <si>
    <t>Rennerod, Zehnhausen, Nister-Möhrendorf, Waigandshain</t>
  </si>
  <si>
    <t>Oberrod u.a.</t>
  </si>
  <si>
    <t>Ettringen</t>
  </si>
  <si>
    <t>Alflen</t>
  </si>
  <si>
    <t>Netphen</t>
  </si>
  <si>
    <t>Rüthen</t>
  </si>
  <si>
    <t>Neu-Anspach</t>
  </si>
  <si>
    <t>Wehrheim</t>
  </si>
  <si>
    <t>Grävenwiesbach</t>
  </si>
  <si>
    <t>Hösbach</t>
  </si>
  <si>
    <t>Haibach</t>
  </si>
  <si>
    <t>Wörth a.Main</t>
  </si>
  <si>
    <t>Modautal</t>
  </si>
  <si>
    <t>Brombachtal</t>
  </si>
  <si>
    <t>Schaafheim</t>
  </si>
  <si>
    <t>Langweiler</t>
  </si>
  <si>
    <t>Ladenburg</t>
  </si>
  <si>
    <t>Heddesheim</t>
  </si>
  <si>
    <t>Wilhelmsfeld</t>
  </si>
  <si>
    <t>Eberbach</t>
  </si>
  <si>
    <t>Wald-Michelbach</t>
  </si>
  <si>
    <t>Winnenden</t>
  </si>
  <si>
    <t>Backnang</t>
  </si>
  <si>
    <t>Oberstenfeld</t>
  </si>
  <si>
    <t>Großbottwar</t>
  </si>
  <si>
    <t>Frickenhausen</t>
  </si>
  <si>
    <t>Oberboihingen</t>
  </si>
  <si>
    <t>Uhingen</t>
  </si>
  <si>
    <t>Wernau (Neckar)</t>
  </si>
  <si>
    <t>Köngen</t>
  </si>
  <si>
    <t>Notzingen</t>
  </si>
  <si>
    <t>Schorndorf</t>
  </si>
  <si>
    <t>Roigheim</t>
  </si>
  <si>
    <t>Bietigheim-Bissingen</t>
  </si>
  <si>
    <t>Talheim</t>
  </si>
  <si>
    <t>Zweiflingen</t>
  </si>
  <si>
    <t>Dörzbach</t>
  </si>
  <si>
    <t>Weißbach</t>
  </si>
  <si>
    <t>Osterburken</t>
  </si>
  <si>
    <t>Mosbach</t>
  </si>
  <si>
    <t>Elztal</t>
  </si>
  <si>
    <t>Billigheim</t>
  </si>
  <si>
    <t>Obrigheim</t>
  </si>
  <si>
    <t>Neckarzimmern</t>
  </si>
  <si>
    <t>Schwarzach</t>
  </si>
  <si>
    <t>Bad Rappenau</t>
  </si>
  <si>
    <t>Knittlingen</t>
  </si>
  <si>
    <t>Annweiler am Trifels</t>
  </si>
  <si>
    <t>Gutach (Schwarzwaldbahn)</t>
  </si>
  <si>
    <t>Waldkirch</t>
  </si>
  <si>
    <t>Stegen</t>
  </si>
  <si>
    <t>Coburg</t>
  </si>
  <si>
    <t>Üttingen, Holzkirchen</t>
  </si>
  <si>
    <t>Hohenroth</t>
  </si>
  <si>
    <t>Gemünden a. Main</t>
  </si>
  <si>
    <t>Burgsinn</t>
  </si>
  <si>
    <t>Eußenheim</t>
  </si>
  <si>
    <t>Dorfprozelten</t>
  </si>
  <si>
    <t>Hasloch</t>
  </si>
  <si>
    <t>Berlin Mitte</t>
  </si>
  <si>
    <t>Berlin Charlottenburg</t>
  </si>
  <si>
    <t>Berlin Neukölln</t>
  </si>
  <si>
    <t>Berlin Kreuzberg</t>
  </si>
  <si>
    <t>Gadebusch</t>
  </si>
  <si>
    <t>Wittenburg u.a.</t>
  </si>
  <si>
    <t>Zarrentin</t>
  </si>
  <si>
    <t>Nahrendorf</t>
  </si>
  <si>
    <t>Tosterglope</t>
  </si>
  <si>
    <t>Soderstorf</t>
  </si>
  <si>
    <t>Reppenstedt, Lüneburg</t>
  </si>
  <si>
    <t>Barendorf, Vastorf</t>
  </si>
  <si>
    <t>Reinstorf</t>
  </si>
  <si>
    <t>Groß Grönau</t>
  </si>
  <si>
    <t>Breitenfelde, Lankau</t>
  </si>
  <si>
    <t>Nusse</t>
  </si>
  <si>
    <t>Winsen (Aller)</t>
  </si>
  <si>
    <t>Hambühren</t>
  </si>
  <si>
    <t>Nienhagen</t>
  </si>
  <si>
    <t>Wienhausen</t>
  </si>
  <si>
    <t>Adelheidsdorf</t>
  </si>
  <si>
    <t>Eicklingen</t>
  </si>
  <si>
    <t>Uelzen</t>
  </si>
  <si>
    <t>Wietzendorf</t>
  </si>
  <si>
    <t>Laatzen</t>
  </si>
  <si>
    <t>Wedemark</t>
  </si>
  <si>
    <t>Seelze</t>
  </si>
  <si>
    <t>Burgwedel</t>
  </si>
  <si>
    <t>Ronnenberg</t>
  </si>
  <si>
    <t>Wennigsen (Deister)</t>
  </si>
  <si>
    <t>Gehrden</t>
  </si>
  <si>
    <t>Elze</t>
  </si>
  <si>
    <t>Eime</t>
  </si>
  <si>
    <t>Alfeld (Leine)</t>
  </si>
  <si>
    <t>Schellerten</t>
  </si>
  <si>
    <t>Peine</t>
  </si>
  <si>
    <t>Ilsede</t>
  </si>
  <si>
    <t>Springe</t>
  </si>
  <si>
    <t>Emmerthal</t>
  </si>
  <si>
    <t>Horn-Bad Meinberg</t>
  </si>
  <si>
    <t>Steinheim</t>
  </si>
  <si>
    <t>Büren</t>
  </si>
  <si>
    <t>Baunatal</t>
  </si>
  <si>
    <t>Fronhausen</t>
  </si>
  <si>
    <t>Buseck</t>
  </si>
  <si>
    <t>Linden</t>
  </si>
  <si>
    <t>Reiskirchen</t>
  </si>
  <si>
    <t>Aßlar</t>
  </si>
  <si>
    <t>Braunfels</t>
  </si>
  <si>
    <t>Hüttenberg</t>
  </si>
  <si>
    <t>Hohenahr</t>
  </si>
  <si>
    <t>Greifenstein</t>
  </si>
  <si>
    <t>Driedorf</t>
  </si>
  <si>
    <t>Löhnberg</t>
  </si>
  <si>
    <t>Wolfsburg</t>
  </si>
  <si>
    <t>Magdeburg</t>
  </si>
  <si>
    <t>Schleiden</t>
  </si>
  <si>
    <t>Reinsfeld</t>
  </si>
  <si>
    <t>Bausendorf</t>
  </si>
  <si>
    <t>Niederburg</t>
  </si>
  <si>
    <t>Bergen</t>
  </si>
  <si>
    <t>Düngenheim</t>
  </si>
  <si>
    <t>Ulmen</t>
  </si>
  <si>
    <t>Büchel</t>
  </si>
  <si>
    <t>Burbach</t>
  </si>
  <si>
    <t>Schmallenberg</t>
  </si>
  <si>
    <t>Usingen</t>
  </si>
  <si>
    <t>Weilrod</t>
  </si>
  <si>
    <t>Mömbris</t>
  </si>
  <si>
    <t>Bessenbach</t>
  </si>
  <si>
    <t>Amorbach</t>
  </si>
  <si>
    <t>Eichenbühl</t>
  </si>
  <si>
    <t>Kirchzell</t>
  </si>
  <si>
    <t>Mönchberg</t>
  </si>
  <si>
    <t>Röllbach</t>
  </si>
  <si>
    <t>Rothenberg</t>
  </si>
  <si>
    <t>Schlangenbad</t>
  </si>
  <si>
    <t>Elmstein</t>
  </si>
  <si>
    <t>Hirschhorn, Brombach, Heddesbach</t>
  </si>
  <si>
    <t>Sindelfingen</t>
  </si>
  <si>
    <t>Leutenbach</t>
  </si>
  <si>
    <t>Aspach</t>
  </si>
  <si>
    <t>Affalterbach</t>
  </si>
  <si>
    <t>Allmersbach im Tal</t>
  </si>
  <si>
    <t>Möglingen</t>
  </si>
  <si>
    <t>Erdmannhausen</t>
  </si>
  <si>
    <t>Kirchberg</t>
  </si>
  <si>
    <t>Tübingen</t>
  </si>
  <si>
    <t>Neckartenzlingen</t>
  </si>
  <si>
    <t>Altdorf</t>
  </si>
  <si>
    <t>Großbettlingen</t>
  </si>
  <si>
    <t>Ebersbach an der Fils</t>
  </si>
  <si>
    <t>Heiningen</t>
  </si>
  <si>
    <t>Rechberghausen</t>
  </si>
  <si>
    <t>Hochdorf</t>
  </si>
  <si>
    <t>Remshalden</t>
  </si>
  <si>
    <t>Berglen</t>
  </si>
  <si>
    <t>Schöntal</t>
  </si>
  <si>
    <t>Krautheim</t>
  </si>
  <si>
    <t>Neckarwestheim</t>
  </si>
  <si>
    <t>Seckach</t>
  </si>
  <si>
    <t>Ravenstein</t>
  </si>
  <si>
    <t>Rosenberg</t>
  </si>
  <si>
    <t>Siegelsbach</t>
  </si>
  <si>
    <t>Mühlenbach</t>
  </si>
  <si>
    <t>Bollschweil</t>
  </si>
  <si>
    <t>Horben</t>
  </si>
  <si>
    <t>München</t>
  </si>
  <si>
    <t>Neukirch</t>
  </si>
  <si>
    <t>Eibelstadt</t>
  </si>
  <si>
    <t>Winterhausen</t>
  </si>
  <si>
    <t>Thüngen</t>
  </si>
  <si>
    <t>Albertshofen</t>
  </si>
  <si>
    <t>Nüdlingen</t>
  </si>
  <si>
    <t>Birkenfeld</t>
  </si>
  <si>
    <t>Berlin Prenzlauer Berg</t>
  </si>
  <si>
    <t>Berlin Moabit</t>
  </si>
  <si>
    <t>Berlin Gesundbrunnen</t>
  </si>
  <si>
    <t>Ribnitz-Damgarten</t>
  </si>
  <si>
    <t>Rehna, Carlow u.a.</t>
  </si>
  <si>
    <t>Amt Neuhaus, Stapel</t>
  </si>
  <si>
    <t>Dahlenburg</t>
  </si>
  <si>
    <t>Kirchgellersen, Westergellersen, Südergellersen</t>
  </si>
  <si>
    <t>Thomasburg</t>
  </si>
  <si>
    <t>Deutsch Evern</t>
  </si>
  <si>
    <t>Ziethen</t>
  </si>
  <si>
    <t>Bad Kleinen u.a.</t>
  </si>
  <si>
    <t>Celle, Wittbeck</t>
  </si>
  <si>
    <t>Bergen, Lohheide u.a.</t>
  </si>
  <si>
    <t>Wietze</t>
  </si>
  <si>
    <t>Wathlingen</t>
  </si>
  <si>
    <t>Bröckel</t>
  </si>
  <si>
    <t>Langlingen</t>
  </si>
  <si>
    <t>Neu Darchau</t>
  </si>
  <si>
    <t>Pattensen</t>
  </si>
  <si>
    <t>Gronau (Leine)</t>
  </si>
  <si>
    <t>Despetal</t>
  </si>
  <si>
    <t>Rheden</t>
  </si>
  <si>
    <t>Nordstemmen</t>
  </si>
  <si>
    <t>Harsum</t>
  </si>
  <si>
    <t>Giesen</t>
  </si>
  <si>
    <t>Algermissen</t>
  </si>
  <si>
    <t>Hohenhameln</t>
  </si>
  <si>
    <t>Lehrte</t>
  </si>
  <si>
    <t>Burgdorf</t>
  </si>
  <si>
    <t>Uetze</t>
  </si>
  <si>
    <t>Lohfelden</t>
  </si>
  <si>
    <t>Reinhardshagen</t>
  </si>
  <si>
    <t>Gladenbach</t>
  </si>
  <si>
    <t>Laubach</t>
  </si>
  <si>
    <t>Pohlheim</t>
  </si>
  <si>
    <t>Langgöns</t>
  </si>
  <si>
    <t>Wettenberg</t>
  </si>
  <si>
    <t>Fernwald</t>
  </si>
  <si>
    <t>Allendorf</t>
  </si>
  <si>
    <t>Bischoffen</t>
  </si>
  <si>
    <t>Eschenburg</t>
  </si>
  <si>
    <t>Mittenaar</t>
  </si>
  <si>
    <t>Breitscheid</t>
  </si>
  <si>
    <t>Lengede</t>
  </si>
  <si>
    <t>Meinersen</t>
  </si>
  <si>
    <t>Bad Münstereifel</t>
  </si>
  <si>
    <t>Hellenthal</t>
  </si>
  <si>
    <t>Daun</t>
  </si>
  <si>
    <t>Niederwörresbach</t>
  </si>
  <si>
    <t>Brücken, Oberbrombach u.a.</t>
  </si>
  <si>
    <t>Berschweiler bei Baumholder</t>
  </si>
  <si>
    <t>Kastellaun</t>
  </si>
  <si>
    <t>Schmitten</t>
  </si>
  <si>
    <t>Geiselbach</t>
  </si>
  <si>
    <t>Oberthal</t>
  </si>
  <si>
    <t>Korb</t>
  </si>
  <si>
    <t>Auenwald</t>
  </si>
  <si>
    <t>Oppenweiler</t>
  </si>
  <si>
    <t>Burgstetten</t>
  </si>
  <si>
    <t>Schwieberdingen</t>
  </si>
  <si>
    <t>Beilstein</t>
  </si>
  <si>
    <t>Tamm</t>
  </si>
  <si>
    <t>Kirchentellinsfurt</t>
  </si>
  <si>
    <t>Metzingen</t>
  </si>
  <si>
    <t>Dettingen an der Erms</t>
  </si>
  <si>
    <t>Aichtal</t>
  </si>
  <si>
    <t>Bempflingen</t>
  </si>
  <si>
    <t>Süßen</t>
  </si>
  <si>
    <t>Holzmaden</t>
  </si>
  <si>
    <t>Schlierbach</t>
  </si>
  <si>
    <t>Stadt Schwäbisch Gmünd</t>
  </si>
  <si>
    <t>Winterbach</t>
  </si>
  <si>
    <t>Neuhausen auf den Fildern</t>
  </si>
  <si>
    <t>Denkendorf</t>
  </si>
  <si>
    <t>Bönnigheim</t>
  </si>
  <si>
    <t>Gemmrigheim</t>
  </si>
  <si>
    <t>Cleebronn</t>
  </si>
  <si>
    <t>Erligheim</t>
  </si>
  <si>
    <t>Walheim</t>
  </si>
  <si>
    <t>Kupferzell</t>
  </si>
  <si>
    <t>Forchtenberg</t>
  </si>
  <si>
    <t>Niedernhall</t>
  </si>
  <si>
    <t>Hardheim</t>
  </si>
  <si>
    <t>Fahrenbach</t>
  </si>
  <si>
    <t>Karlsbad</t>
  </si>
  <si>
    <t>Wolfach, Oberwolfach</t>
  </si>
  <si>
    <t>Nürnberg</t>
  </si>
  <si>
    <t>Hammelburg</t>
  </si>
  <si>
    <t>Gräfendorf</t>
  </si>
  <si>
    <t>Karsbach</t>
  </si>
  <si>
    <t>Karbach</t>
  </si>
  <si>
    <t>Urspringen</t>
  </si>
  <si>
    <t>Kreuzwertheim</t>
  </si>
  <si>
    <t>Wittighausen</t>
  </si>
  <si>
    <t>Weikersheim</t>
  </si>
  <si>
    <t>Berlin Friedrichshain</t>
  </si>
  <si>
    <t>Berlin Wilmersdorf</t>
  </si>
  <si>
    <t>Berlin Schöneberg</t>
  </si>
  <si>
    <t>Berlin Wedding</t>
  </si>
  <si>
    <t>Karlshagen</t>
  </si>
  <si>
    <t>Marlow</t>
  </si>
  <si>
    <t>Prohn</t>
  </si>
  <si>
    <t>Lübstorf</t>
  </si>
  <si>
    <t>Brüsewitz</t>
  </si>
  <si>
    <t>Wittenförden u.a.</t>
  </si>
  <si>
    <t>Pampow</t>
  </si>
  <si>
    <t>Lützow</t>
  </si>
  <si>
    <t>Lübtheen</t>
  </si>
  <si>
    <t>Oldendorf (Luhe), Amelinghausen, Rehlingen</t>
  </si>
  <si>
    <t>Betzendorf</t>
  </si>
  <si>
    <t>Melbeck, Barnstedt</t>
  </si>
  <si>
    <t>Embsen</t>
  </si>
  <si>
    <t>Neukloster</t>
  </si>
  <si>
    <t>Hermannsburg</t>
  </si>
  <si>
    <t>Lachendorf</t>
  </si>
  <si>
    <t>Eldingen</t>
  </si>
  <si>
    <t>Ahnsbeck</t>
  </si>
  <si>
    <t>Beedenbostel</t>
  </si>
  <si>
    <t>Habighorst</t>
  </si>
  <si>
    <t>Höfer</t>
  </si>
  <si>
    <t>Hohne</t>
  </si>
  <si>
    <t>Ummern</t>
  </si>
  <si>
    <t>Wesendorf</t>
  </si>
  <si>
    <t>Bienenbüttel</t>
  </si>
  <si>
    <t>Altenmedingen</t>
  </si>
  <si>
    <t>Langenhagen (Flughafen)</t>
  </si>
  <si>
    <t>Isernhagen</t>
  </si>
  <si>
    <t>Betheln</t>
  </si>
  <si>
    <t>Söhlde</t>
  </si>
  <si>
    <t>Edemissen</t>
  </si>
  <si>
    <t>Lahstedt</t>
  </si>
  <si>
    <t>Sehnde</t>
  </si>
  <si>
    <t>Bad Pyrmont</t>
  </si>
  <si>
    <t>Aerzen</t>
  </si>
  <si>
    <t>Kalletal</t>
  </si>
  <si>
    <t>Blomberg</t>
  </si>
  <si>
    <t>Nieheim</t>
  </si>
  <si>
    <t>Wünnenberg</t>
  </si>
  <si>
    <t>Altenbeken</t>
  </si>
  <si>
    <t>Liebenau (Hessen)</t>
  </si>
  <si>
    <t>Volkmarsen</t>
  </si>
  <si>
    <t>Battenberg</t>
  </si>
  <si>
    <t>Weimar (Lahn)</t>
  </si>
  <si>
    <t>Breidenbach</t>
  </si>
  <si>
    <t>Grünberg</t>
  </si>
  <si>
    <t>Biebertal</t>
  </si>
  <si>
    <t>Heuchelheim</t>
  </si>
  <si>
    <t>Lollar</t>
  </si>
  <si>
    <t>Staufenberg</t>
  </si>
  <si>
    <t>Rabenau</t>
  </si>
  <si>
    <t>Lahnau</t>
  </si>
  <si>
    <t>Angelburg</t>
  </si>
  <si>
    <t>Sinn</t>
  </si>
  <si>
    <t>Siegbach</t>
  </si>
  <si>
    <t>Fulda</t>
  </si>
  <si>
    <t>Vechelde</t>
  </si>
  <si>
    <t>Wendeburg</t>
  </si>
  <si>
    <t>Gifhorn</t>
  </si>
  <si>
    <t>Didderse</t>
  </si>
  <si>
    <t>Müden (Aller)</t>
  </si>
  <si>
    <t>Leiferde</t>
  </si>
  <si>
    <t>Hillerse</t>
  </si>
  <si>
    <t>Wagenhoff, Ringelah</t>
  </si>
  <si>
    <t>Nettersheim</t>
  </si>
  <si>
    <t>Deuselbach, Hermeskeil, Rorodt</t>
  </si>
  <si>
    <t>Mehren u.a.</t>
  </si>
  <si>
    <t>Büdesheim</t>
  </si>
  <si>
    <t>Leiningen</t>
  </si>
  <si>
    <t>Kempenich</t>
  </si>
  <si>
    <t>Lennestadt</t>
  </si>
  <si>
    <t>Brilon</t>
  </si>
  <si>
    <t>Glashütten</t>
  </si>
  <si>
    <t>Bad Orb</t>
  </si>
  <si>
    <t>Hirzenhain</t>
  </si>
  <si>
    <t>Kefenrod</t>
  </si>
  <si>
    <t>Kleinkahl</t>
  </si>
  <si>
    <t>Krombach</t>
  </si>
  <si>
    <t>Laufach</t>
  </si>
  <si>
    <t>Leidersbach</t>
  </si>
  <si>
    <t>Eschau</t>
  </si>
  <si>
    <t>Heimbuchenthal</t>
  </si>
  <si>
    <t>Hesseneck</t>
  </si>
  <si>
    <t>Mossautal</t>
  </si>
  <si>
    <t>Edenkoben</t>
  </si>
  <si>
    <t>Heiligkreuzsteinach</t>
  </si>
  <si>
    <t>Stuttgart/Leinfelden-Echterdingen</t>
  </si>
  <si>
    <t>Filderstadt</t>
  </si>
  <si>
    <t>Korntal-Münchingen</t>
  </si>
  <si>
    <t>Murrhardt</t>
  </si>
  <si>
    <t>Sulzbach an der Murr</t>
  </si>
  <si>
    <t>Benningen am Neckar</t>
  </si>
  <si>
    <t>Rottenburg am Neckar</t>
  </si>
  <si>
    <t>Rangendingen</t>
  </si>
  <si>
    <t>Wolfschlugen</t>
  </si>
  <si>
    <t>Gomaringen</t>
  </si>
  <si>
    <t>Albershausen</t>
  </si>
  <si>
    <t>Aichelberg</t>
  </si>
  <si>
    <t>Dürnau</t>
  </si>
  <si>
    <t>Eschenbach</t>
  </si>
  <si>
    <t>Hattenhofen</t>
  </si>
  <si>
    <t>Zell unter Aichelberg</t>
  </si>
  <si>
    <t>Weilheim an der Teck</t>
  </si>
  <si>
    <t>Reichenbach an der Fils</t>
  </si>
  <si>
    <t>Dettingen unter Teck</t>
  </si>
  <si>
    <t>Ohmden</t>
  </si>
  <si>
    <t>Gingen an der Fils</t>
  </si>
  <si>
    <t>Rudersberg</t>
  </si>
  <si>
    <t>Ostfildern</t>
  </si>
  <si>
    <t>Ingersheim</t>
  </si>
  <si>
    <t>Mundelsheim</t>
  </si>
  <si>
    <t>Braunsbach</t>
  </si>
  <si>
    <t>Mulfingen</t>
  </si>
  <si>
    <t>Buchen</t>
  </si>
  <si>
    <t>Kämpfelbach</t>
  </si>
  <si>
    <t>Eisingen</t>
  </si>
  <si>
    <t>Calw</t>
  </si>
  <si>
    <t>Hilzingen</t>
  </si>
  <si>
    <t>Tengen</t>
  </si>
  <si>
    <t>Öhningen</t>
  </si>
  <si>
    <t>Malsburg-Marzell</t>
  </si>
  <si>
    <t>Herdwangen-Schönach</t>
  </si>
  <si>
    <t>Bayreuth</t>
  </si>
  <si>
    <t>Höchberg</t>
  </si>
  <si>
    <t>Zellingen</t>
  </si>
  <si>
    <t>Altertheim</t>
  </si>
  <si>
    <t>Gaukönigshofen</t>
  </si>
  <si>
    <t>Himmelstadt</t>
  </si>
  <si>
    <t>Remlingen</t>
  </si>
  <si>
    <t>Kitzingen</t>
  </si>
  <si>
    <t>Volkach</t>
  </si>
  <si>
    <t>Schwarzach a. Main</t>
  </si>
  <si>
    <t>Arnstein</t>
  </si>
  <si>
    <t>Niederwerrn</t>
  </si>
  <si>
    <t>Poppenhausen</t>
  </si>
  <si>
    <t>Geldersheim</t>
  </si>
  <si>
    <t>Wipfeld</t>
  </si>
  <si>
    <t>Mellrichstadt</t>
  </si>
  <si>
    <t>Oberstreu</t>
  </si>
  <si>
    <t>Oerlenbach</t>
  </si>
  <si>
    <t>Oberthulba</t>
  </si>
  <si>
    <t>Burglauer</t>
  </si>
  <si>
    <t>Fuchsstadt</t>
  </si>
  <si>
    <t>Mittelsinn</t>
  </si>
  <si>
    <t>Hafenlohr, Rothenbuch</t>
  </si>
  <si>
    <t>Partenstein</t>
  </si>
  <si>
    <t>Königheim</t>
  </si>
  <si>
    <t>Assamstadt</t>
  </si>
  <si>
    <t>Berlin</t>
  </si>
  <si>
    <t>Koserow</t>
  </si>
  <si>
    <t>Lubmin</t>
  </si>
  <si>
    <t>Hagenow u.a.</t>
  </si>
  <si>
    <t>Steinhorst</t>
  </si>
  <si>
    <t>Groß Oesingen</t>
  </si>
  <si>
    <t>Wahrenholz</t>
  </si>
  <si>
    <t>Göhrde</t>
  </si>
  <si>
    <t>Brakel</t>
  </si>
  <si>
    <t>Marsberg</t>
  </si>
  <si>
    <t>Marburg</t>
  </si>
  <si>
    <t>Lahntal</t>
  </si>
  <si>
    <t>Dautphetal</t>
  </si>
  <si>
    <t>Steffenberg</t>
  </si>
  <si>
    <t>Sinntal</t>
  </si>
  <si>
    <t>Bodenwerder, Pegestorf, Kirchbrak, Hehlen</t>
  </si>
  <si>
    <t>Schwülper</t>
  </si>
  <si>
    <t>Adenbüttel</t>
  </si>
  <si>
    <t>Rötgesbüttel</t>
  </si>
  <si>
    <t>Vordorf</t>
  </si>
  <si>
    <t>Isenbüttel</t>
  </si>
  <si>
    <t>Ribbesbüttel</t>
  </si>
  <si>
    <t>Gusenburg</t>
  </si>
  <si>
    <t>Wächtersbach</t>
  </si>
  <si>
    <t>Johannesberg</t>
  </si>
  <si>
    <t>Sailauf</t>
  </si>
  <si>
    <t>Leinfelden-Echterdingen</t>
  </si>
  <si>
    <t>Leonberg</t>
  </si>
  <si>
    <t>Oberriexingen</t>
  </si>
  <si>
    <t>Ammerbuch</t>
  </si>
  <si>
    <t>Kusterdingen</t>
  </si>
  <si>
    <t>Nehren</t>
  </si>
  <si>
    <t>Grafenberg</t>
  </si>
  <si>
    <t>Schlaitdorf</t>
  </si>
  <si>
    <t>Löchgau</t>
  </si>
  <si>
    <t>Sersheim</t>
  </si>
  <si>
    <t>Niefern-Öschelbronn</t>
  </si>
  <si>
    <t>Höfen an der Enz</t>
  </si>
  <si>
    <t>Bad Peterstal-Griesbach</t>
  </si>
  <si>
    <t>Schiltach</t>
  </si>
  <si>
    <t>Rottendorf</t>
  </si>
  <si>
    <t>Estenfeld</t>
  </si>
  <si>
    <t>Eisenheim</t>
  </si>
  <si>
    <t>Güntersleben</t>
  </si>
  <si>
    <t>Hausen b. Würzburg</t>
  </si>
  <si>
    <t>Helmstadt</t>
  </si>
  <si>
    <t>Neubrunn</t>
  </si>
  <si>
    <t>Retzstadt</t>
  </si>
  <si>
    <t>Waldbrunn, Irtenberger Wald</t>
  </si>
  <si>
    <t>Waldbüttelbrunn</t>
  </si>
  <si>
    <t>Zell a. Main</t>
  </si>
  <si>
    <t>Obernbreit</t>
  </si>
  <si>
    <t>Rödelsee</t>
  </si>
  <si>
    <t>Mainbernheim</t>
  </si>
  <si>
    <t>Bergrheinfeld</t>
  </si>
  <si>
    <t>Röthlein</t>
  </si>
  <si>
    <t>Schwanfeld</t>
  </si>
  <si>
    <t>Waigolshausen</t>
  </si>
  <si>
    <t>Wasserlosen</t>
  </si>
  <si>
    <t>Maßbach</t>
  </si>
  <si>
    <t>Fellen</t>
  </si>
  <si>
    <t>Erlenbach b. Marktheidenfeld</t>
  </si>
  <si>
    <t>Wiesthal</t>
  </si>
  <si>
    <t>Boxberg</t>
  </si>
  <si>
    <t>Ostseebad Heringsdorf</t>
  </si>
  <si>
    <t>Kröslin, Krummin, Lassan u.a.</t>
  </si>
  <si>
    <t>Zinnowitz</t>
  </si>
  <si>
    <t>Greifswald</t>
  </si>
  <si>
    <t>Stäbelow, Kritzmow</t>
  </si>
  <si>
    <t>Satow</t>
  </si>
  <si>
    <t>Niepars</t>
  </si>
  <si>
    <t>Wittenhagen</t>
  </si>
  <si>
    <t>Pinnow</t>
  </si>
  <si>
    <t>Plate</t>
  </si>
  <si>
    <t>Parchim</t>
  </si>
  <si>
    <t>Warin</t>
  </si>
  <si>
    <t>Eschede</t>
  </si>
  <si>
    <t>Schönewörde</t>
  </si>
  <si>
    <t>Salzhemmendorf</t>
  </si>
  <si>
    <t>Bad Salzdetfurth</t>
  </si>
  <si>
    <t>Holle</t>
  </si>
  <si>
    <t>Barntrup</t>
  </si>
  <si>
    <t>Bad Driburg</t>
  </si>
  <si>
    <t>Calden</t>
  </si>
  <si>
    <t>Grebenstein</t>
  </si>
  <si>
    <t>Oberweser</t>
  </si>
  <si>
    <t>Borgentreich</t>
  </si>
  <si>
    <t>Wolfhagen</t>
  </si>
  <si>
    <t>Schrecksbach</t>
  </si>
  <si>
    <t>Ebsdorfergrund</t>
  </si>
  <si>
    <t>Biedenkopf</t>
  </si>
  <si>
    <t>Kirchhain</t>
  </si>
  <si>
    <t>Dietzhölztal</t>
  </si>
  <si>
    <t>Schlüchtern</t>
  </si>
  <si>
    <t>Witzenhausen</t>
  </si>
  <si>
    <t>Höxter</t>
  </si>
  <si>
    <t>Fürstenberg</t>
  </si>
  <si>
    <t>Baddeckenstedt</t>
  </si>
  <si>
    <t>Wolfenbüttel</t>
  </si>
  <si>
    <t>Sassenburg</t>
  </si>
  <si>
    <t>Meine</t>
  </si>
  <si>
    <t>Calberlah</t>
  </si>
  <si>
    <t>Wasbüttel</t>
  </si>
  <si>
    <t>Osloß</t>
  </si>
  <si>
    <t>Prüm</t>
  </si>
  <si>
    <t>Pronsfeld</t>
  </si>
  <si>
    <t>Kaisersesch</t>
  </si>
  <si>
    <t>Retterath</t>
  </si>
  <si>
    <t>Olsberg</t>
  </si>
  <si>
    <t>Bad Soden-Salmünster</t>
  </si>
  <si>
    <t>Birstein</t>
  </si>
  <si>
    <t>Gedern</t>
  </si>
  <si>
    <t>Schöllkrippen, Blankenbach</t>
  </si>
  <si>
    <t>Miltenberg</t>
  </si>
  <si>
    <t>Oestrich-Winkel</t>
  </si>
  <si>
    <t>Böblingen</t>
  </si>
  <si>
    <t>Holzgerlingen</t>
  </si>
  <si>
    <t>Weil der Stadt</t>
  </si>
  <si>
    <t>Vaihingen an der Enz</t>
  </si>
  <si>
    <t>Eberdingen</t>
  </si>
  <si>
    <t>Pliezhausen</t>
  </si>
  <si>
    <t>Sulz am Neckar</t>
  </si>
  <si>
    <t>Altenriet</t>
  </si>
  <si>
    <t>Gammelshausen</t>
  </si>
  <si>
    <t>Ottenbach</t>
  </si>
  <si>
    <t>Owen</t>
  </si>
  <si>
    <t>Plüderhausen</t>
  </si>
  <si>
    <t>Zaberfeld</t>
  </si>
  <si>
    <t>Freudental</t>
  </si>
  <si>
    <t>Gaildorf</t>
  </si>
  <si>
    <t>Fichtenberg</t>
  </si>
  <si>
    <t>Künzelsau, Ingelfingen</t>
  </si>
  <si>
    <t>Ispringen</t>
  </si>
  <si>
    <t>Neulingen</t>
  </si>
  <si>
    <t>Ölbronn-Dürrn</t>
  </si>
  <si>
    <t>Kieselbronn</t>
  </si>
  <si>
    <t>Straubenhardt</t>
  </si>
  <si>
    <t>Mühlacker</t>
  </si>
  <si>
    <t>Maulbronn</t>
  </si>
  <si>
    <t>Bad Herrenalb</t>
  </si>
  <si>
    <t>Loffenau</t>
  </si>
  <si>
    <t>Eigeltingen</t>
  </si>
  <si>
    <t>Utzenfeld</t>
  </si>
  <si>
    <t>Owingen</t>
  </si>
  <si>
    <t>Ochsenfurt</t>
  </si>
  <si>
    <t>Veitshöchheim</t>
  </si>
  <si>
    <t>Giebelstadt</t>
  </si>
  <si>
    <t>Aub</t>
  </si>
  <si>
    <t>Bergtheim, Oberpleichfeld</t>
  </si>
  <si>
    <t>Hettstadt</t>
  </si>
  <si>
    <t>Kürnach</t>
  </si>
  <si>
    <t>Leinach</t>
  </si>
  <si>
    <t>Margetshöchheim</t>
  </si>
  <si>
    <t>Röttingen, Tauberrettersheim</t>
  </si>
  <si>
    <t>Thüngershem</t>
  </si>
  <si>
    <t>Marktbreit</t>
  </si>
  <si>
    <t>Wiesentheid</t>
  </si>
  <si>
    <t>Prichsenstadt</t>
  </si>
  <si>
    <t>Werneck</t>
  </si>
  <si>
    <t>Gerolzhofen</t>
  </si>
  <si>
    <t>Euerbach</t>
  </si>
  <si>
    <t>Grafenrheinfeld</t>
  </si>
  <si>
    <t>Kolitzheim</t>
  </si>
  <si>
    <t>Rannungen</t>
  </si>
  <si>
    <t>Schwebheim</t>
  </si>
  <si>
    <t>Sennfeld</t>
  </si>
  <si>
    <t>Ramsthal</t>
  </si>
  <si>
    <t>Karlstadt</t>
  </si>
  <si>
    <t>Marktheidenfeld</t>
  </si>
  <si>
    <t>Frammersbach</t>
  </si>
  <si>
    <t>Roden</t>
  </si>
  <si>
    <t>Collenberg</t>
  </si>
  <si>
    <t>Stadtprozelten</t>
  </si>
  <si>
    <t>Großrinderfeld</t>
  </si>
  <si>
    <t>Bad Mergentheim</t>
  </si>
  <si>
    <t>Leipzig</t>
  </si>
  <si>
    <t>Wolgast</t>
  </si>
  <si>
    <t>Roggentin, Broderstorf u.a.</t>
  </si>
  <si>
    <t>Saal</t>
  </si>
  <si>
    <t>Bad Sülze</t>
  </si>
  <si>
    <t>Franzburg, Richtenberg, u.a.</t>
  </si>
  <si>
    <t>Grimmen</t>
  </si>
  <si>
    <t>Rastow</t>
  </si>
  <si>
    <t>Banzkow, Sukow</t>
  </si>
  <si>
    <t>Wittingen</t>
  </si>
  <si>
    <t>Hankensbüttel, Obernholz, Dedelstorf</t>
  </si>
  <si>
    <t>Lüchow</t>
  </si>
  <si>
    <t>Dannenberg</t>
  </si>
  <si>
    <t>Hitzacker (Elbe)</t>
  </si>
  <si>
    <t>Wustrow</t>
  </si>
  <si>
    <t>Damnatz</t>
  </si>
  <si>
    <t>Jameln</t>
  </si>
  <si>
    <t>Karwitz</t>
  </si>
  <si>
    <t>Küsten</t>
  </si>
  <si>
    <t>Zernien</t>
  </si>
  <si>
    <t>Bad Bevensen</t>
  </si>
  <si>
    <t>Rosche</t>
  </si>
  <si>
    <t>Himbergen</t>
  </si>
  <si>
    <t>Römstedt</t>
  </si>
  <si>
    <t>Munster</t>
  </si>
  <si>
    <t>Coppenbrügge</t>
  </si>
  <si>
    <t>Lügde</t>
  </si>
  <si>
    <t>Schieder-Schwalenberg</t>
  </si>
  <si>
    <t>Kaufungen</t>
  </si>
  <si>
    <t>Niestetal</t>
  </si>
  <si>
    <t>Fuldabrück</t>
  </si>
  <si>
    <t>Edermünde</t>
  </si>
  <si>
    <t>Hann. Münden, Gutsbezirk Reinhardswald</t>
  </si>
  <si>
    <t>Bad Karlshafen</t>
  </si>
  <si>
    <t>Trendelburg</t>
  </si>
  <si>
    <t>Warburg</t>
  </si>
  <si>
    <t>Bad Arolsen</t>
  </si>
  <si>
    <t>Twistetal</t>
  </si>
  <si>
    <t>Schwalmstadt</t>
  </si>
  <si>
    <t>Willingshausen</t>
  </si>
  <si>
    <t>Frankenberg</t>
  </si>
  <si>
    <t>Bad Endbach</t>
  </si>
  <si>
    <t>Wetter</t>
  </si>
  <si>
    <t>Cölbe</t>
  </si>
  <si>
    <t>Hatzfeld</t>
  </si>
  <si>
    <t>Münchhausen</t>
  </si>
  <si>
    <t>Amöneburg</t>
  </si>
  <si>
    <t>Homberg (Ohm)</t>
  </si>
  <si>
    <t>Mücke</t>
  </si>
  <si>
    <t>Halle</t>
  </si>
  <si>
    <t>Bevern</t>
  </si>
  <si>
    <t>Brevörde, Polle, Vahlbruch</t>
  </si>
  <si>
    <t>Beverungen</t>
  </si>
  <si>
    <t>Marienmünster</t>
  </si>
  <si>
    <t>Lauenförde</t>
  </si>
  <si>
    <t>Lehre</t>
  </si>
  <si>
    <t>Dorstadt, Flöthe, Börßum u.a.</t>
  </si>
  <si>
    <t>Denkte</t>
  </si>
  <si>
    <t>Ehra-Lessien</t>
  </si>
  <si>
    <t>Barwedel</t>
  </si>
  <si>
    <t>Jembke</t>
  </si>
  <si>
    <t>Tappenbeck</t>
  </si>
  <si>
    <t>Weyhausen</t>
  </si>
  <si>
    <t>Bokensdorf</t>
  </si>
  <si>
    <t>Dahlem</t>
  </si>
  <si>
    <t>Esch</t>
  </si>
  <si>
    <t>Schüller</t>
  </si>
  <si>
    <t>Argenthal</t>
  </si>
  <si>
    <t>Schotten</t>
  </si>
  <si>
    <t>Dammbach</t>
  </si>
  <si>
    <t>Michelstadt</t>
  </si>
  <si>
    <t>Sensbachtal</t>
  </si>
  <si>
    <t>Herrenberg</t>
  </si>
  <si>
    <t>Schönaich</t>
  </si>
  <si>
    <t>Waldenbuch</t>
  </si>
  <si>
    <t>Grafenau</t>
  </si>
  <si>
    <t>Ehningen</t>
  </si>
  <si>
    <t>Renningen</t>
  </si>
  <si>
    <t>Mönsheim</t>
  </si>
  <si>
    <t>Markgröningen</t>
  </si>
  <si>
    <t>Dußlingen</t>
  </si>
  <si>
    <t>Hirrlingen</t>
  </si>
  <si>
    <t>Neustetten</t>
  </si>
  <si>
    <t>Donzdorf</t>
  </si>
  <si>
    <t>Schlat</t>
  </si>
  <si>
    <t>Böbingen an der Rems</t>
  </si>
  <si>
    <t>Sachsenheim</t>
  </si>
  <si>
    <t>Oberrot</t>
  </si>
  <si>
    <t>Sulzbach-Laufen</t>
  </si>
  <si>
    <t>Schwäbisch Hall</t>
  </si>
  <si>
    <t>Michelbach an der Bilz</t>
  </si>
  <si>
    <t>Ahorn</t>
  </si>
  <si>
    <t>Wilgartswiesen</t>
  </si>
  <si>
    <t>Sasbach</t>
  </si>
  <si>
    <t>Zell im Wiesental</t>
  </si>
  <si>
    <t>Stühlingen</t>
  </si>
  <si>
    <t>Gerbrunn</t>
  </si>
  <si>
    <t>Reichenberg, Guttenberger Wald</t>
  </si>
  <si>
    <t>Randersacker</t>
  </si>
  <si>
    <t>Bieberehren</t>
  </si>
  <si>
    <t>Bütthard</t>
  </si>
  <si>
    <t>Erlabrunn</t>
  </si>
  <si>
    <t>Gelchsheim, Sonderhofen</t>
  </si>
  <si>
    <t>Geroldshausen</t>
  </si>
  <si>
    <t>Kirchheim</t>
  </si>
  <si>
    <t>Kleinrinderfeld</t>
  </si>
  <si>
    <t>Prosselsheim</t>
  </si>
  <si>
    <t>Theilheim</t>
  </si>
  <si>
    <t>Unterpleichfeld</t>
  </si>
  <si>
    <t>Sommerach</t>
  </si>
  <si>
    <t>Dettelbach</t>
  </si>
  <si>
    <t>Kleinlangheim</t>
  </si>
  <si>
    <t>Schonungen</t>
  </si>
  <si>
    <t>Dittelbrunn</t>
  </si>
  <si>
    <t>Gochsheim</t>
  </si>
  <si>
    <t>Stadtlauringen</t>
  </si>
  <si>
    <t>Lülsfeld</t>
  </si>
  <si>
    <t>Sulzheim</t>
  </si>
  <si>
    <t>Bad Königshofen i. Grabfeld</t>
  </si>
  <si>
    <t>Obersinn</t>
  </si>
  <si>
    <t>Rieneck</t>
  </si>
  <si>
    <t>Esselbach</t>
  </si>
  <si>
    <t>Külsheim</t>
  </si>
  <si>
    <t>Grünsfeld</t>
  </si>
  <si>
    <t>Werbach</t>
  </si>
  <si>
    <t>Creglingen</t>
  </si>
  <si>
    <t>Karlsburg</t>
  </si>
  <si>
    <t>Prerow a. Darß</t>
  </si>
  <si>
    <t>Rakow</t>
  </si>
  <si>
    <t>Dömitz</t>
  </si>
  <si>
    <t>Brüel</t>
  </si>
  <si>
    <t>Faßberg</t>
  </si>
  <si>
    <t>Unterlüß</t>
  </si>
  <si>
    <t>Sprakensehl</t>
  </si>
  <si>
    <t>Salzwedel</t>
  </si>
  <si>
    <t>Gusborn</t>
  </si>
  <si>
    <t>Langendorf</t>
  </si>
  <si>
    <t>Luckau (Wendland)</t>
  </si>
  <si>
    <t>Lübbow</t>
  </si>
  <si>
    <t>Waddeweitz</t>
  </si>
  <si>
    <t>Woltersdorf</t>
  </si>
  <si>
    <t>Eimke</t>
  </si>
  <si>
    <t>Jelmstorf</t>
  </si>
  <si>
    <t>Soltendiek</t>
  </si>
  <si>
    <t>Stoetze</t>
  </si>
  <si>
    <t>Weste</t>
  </si>
  <si>
    <t>Bockenem</t>
  </si>
  <si>
    <t>Diekholzen</t>
  </si>
  <si>
    <t>Kassel, Fuldatal</t>
  </si>
  <si>
    <t>Zierenberg</t>
  </si>
  <si>
    <t>Ahnatal</t>
  </si>
  <si>
    <t>Espenau</t>
  </si>
  <si>
    <t>Morschen</t>
  </si>
  <si>
    <t>Körle</t>
  </si>
  <si>
    <t>Hofgeismar</t>
  </si>
  <si>
    <t>Immenhausen</t>
  </si>
  <si>
    <t>Willebadessen</t>
  </si>
  <si>
    <t>Diemelsee</t>
  </si>
  <si>
    <t>Neuental</t>
  </si>
  <si>
    <t>Rosenthal</t>
  </si>
  <si>
    <t>Wohratal</t>
  </si>
  <si>
    <t>Gemünden (Felda)</t>
  </si>
  <si>
    <t>Alsfeld</t>
  </si>
  <si>
    <t>Antrifttal</t>
  </si>
  <si>
    <t>Northeim</t>
  </si>
  <si>
    <t>Uslar</t>
  </si>
  <si>
    <t>Dielmissen</t>
  </si>
  <si>
    <t>Golmbach</t>
  </si>
  <si>
    <t>Cremlingen</t>
  </si>
  <si>
    <t>Sickte, Dettum u.a.</t>
  </si>
  <si>
    <t>Elbe</t>
  </si>
  <si>
    <t>Hallschlag</t>
  </si>
  <si>
    <t>Bad Laasphe</t>
  </si>
  <si>
    <t>Waldaschaff, Waldaschaffer Forst</t>
  </si>
  <si>
    <t>Heigenbrücken</t>
  </si>
  <si>
    <t>Kleinheubach, Rüdenau</t>
  </si>
  <si>
    <t>Bürgstadt</t>
  </si>
  <si>
    <t>Beerfelden</t>
  </si>
  <si>
    <t>Abtsteinach</t>
  </si>
  <si>
    <t>Weil im Schönbuch</t>
  </si>
  <si>
    <t>Magstadt</t>
  </si>
  <si>
    <t>Gärtringen</t>
  </si>
  <si>
    <t>Gäufelden</t>
  </si>
  <si>
    <t>Steinenbronn</t>
  </si>
  <si>
    <t>Bondorf</t>
  </si>
  <si>
    <t>Nufringen</t>
  </si>
  <si>
    <t>Ditzingen</t>
  </si>
  <si>
    <t>Weissach</t>
  </si>
  <si>
    <t>Heimsheim</t>
  </si>
  <si>
    <t>Spiegelberg</t>
  </si>
  <si>
    <t>Walddorfhäslach</t>
  </si>
  <si>
    <t>Eutingen im Gäu</t>
  </si>
  <si>
    <t>Nagold</t>
  </si>
  <si>
    <t>Wildberg</t>
  </si>
  <si>
    <t>Rohrdorf</t>
  </si>
  <si>
    <t>Hechingen</t>
  </si>
  <si>
    <t>Beuren</t>
  </si>
  <si>
    <t>Pfullingen</t>
  </si>
  <si>
    <t>Salach</t>
  </si>
  <si>
    <t>Wangen</t>
  </si>
  <si>
    <t>Kuchen</t>
  </si>
  <si>
    <t>Baltmannsweiler</t>
  </si>
  <si>
    <t>Lichtenwald</t>
  </si>
  <si>
    <t>Tiefenbronn</t>
  </si>
  <si>
    <t>Bad Liebenzell</t>
  </si>
  <si>
    <t>Ötisheim</t>
  </si>
  <si>
    <t>Sternenfels</t>
  </si>
  <si>
    <t>Hohenfels</t>
  </si>
  <si>
    <t>Oberndorf am Neckar</t>
  </si>
  <si>
    <t>Rimpar</t>
  </si>
  <si>
    <t>Riedenheim</t>
  </si>
  <si>
    <t>Aidhausen</t>
  </si>
  <si>
    <t>Dingolshausen</t>
  </si>
  <si>
    <t>Grettstadt</t>
  </si>
  <si>
    <t>Üchtelhausen</t>
  </si>
  <si>
    <t>Münnerstadt</t>
  </si>
  <si>
    <t>Wartmannsroth</t>
  </si>
  <si>
    <t>Igersheim</t>
  </si>
  <si>
    <t>Berlin Tiergarten</t>
  </si>
  <si>
    <t>Berlin-West</t>
  </si>
  <si>
    <t>Berlin Pankow</t>
  </si>
  <si>
    <t>Loitz</t>
  </si>
  <si>
    <t>Seebad Ahlbeck</t>
  </si>
  <si>
    <t>Benz, Heringsdorf u.a.</t>
  </si>
  <si>
    <t>Rostock, Papendorf u.a.</t>
  </si>
  <si>
    <t>Bützow u.a.</t>
  </si>
  <si>
    <t>Bernitt, Qualitz, Warnow, Zernin u.a.</t>
  </si>
  <si>
    <t>Ahrenshagen-Daskow, Trinwillershagen u.a.</t>
  </si>
  <si>
    <t>Tribsees</t>
  </si>
  <si>
    <t>Velgast</t>
  </si>
  <si>
    <t>Glewitz</t>
  </si>
  <si>
    <t>Crivitz</t>
  </si>
  <si>
    <t>Ludwigslust</t>
  </si>
  <si>
    <t>Neu Kaliß</t>
  </si>
  <si>
    <t>Bad Bodenteich</t>
  </si>
  <si>
    <t>Lüder</t>
  </si>
  <si>
    <t>Dähre, Diesdorf, Wallstawe</t>
  </si>
  <si>
    <t>Kuhfelde</t>
  </si>
  <si>
    <t>Clenze</t>
  </si>
  <si>
    <t>Schnega</t>
  </si>
  <si>
    <t>Lemgow</t>
  </si>
  <si>
    <t>Prezelle</t>
  </si>
  <si>
    <t>Trebel</t>
  </si>
  <si>
    <t>Wrestedt</t>
  </si>
  <si>
    <t>Suhlendorf</t>
  </si>
  <si>
    <t>Wriedel</t>
  </si>
  <si>
    <t>Emmendorf</t>
  </si>
  <si>
    <t>Natendorf</t>
  </si>
  <si>
    <t>Oetzen</t>
  </si>
  <si>
    <t>Freden (Leine)</t>
  </si>
  <si>
    <t>Hoyershausen</t>
  </si>
  <si>
    <t>Marienhagen</t>
  </si>
  <si>
    <t>Gudensberg</t>
  </si>
  <si>
    <t>Guxhagen</t>
  </si>
  <si>
    <t>Felsberg</t>
  </si>
  <si>
    <t>Jesberg</t>
  </si>
  <si>
    <t>Burgwald</t>
  </si>
  <si>
    <t>Frankenau</t>
  </si>
  <si>
    <t>Stadtallendorf</t>
  </si>
  <si>
    <t>Rauschenberg</t>
  </si>
  <si>
    <t>Alheim</t>
  </si>
  <si>
    <t>Romrod</t>
  </si>
  <si>
    <t>Lauterbach</t>
  </si>
  <si>
    <t>Bodenfelde, Wahlsburg</t>
  </si>
  <si>
    <t>Wehretal</t>
  </si>
  <si>
    <t>Lüerdissen</t>
  </si>
  <si>
    <t>Holenberg</t>
  </si>
  <si>
    <t>Haverlah</t>
  </si>
  <si>
    <t>Heere</t>
  </si>
  <si>
    <t>Kissenbrück</t>
  </si>
  <si>
    <t>Bergfeld</t>
  </si>
  <si>
    <t>Parsau</t>
  </si>
  <si>
    <t>Rühen</t>
  </si>
  <si>
    <t>Tiddische</t>
  </si>
  <si>
    <t>Beetzendorf, Rohrberg, Jübar</t>
  </si>
  <si>
    <t>Neuhütten</t>
  </si>
  <si>
    <t>Erndtebrück</t>
  </si>
  <si>
    <t>Medebach</t>
  </si>
  <si>
    <t>Heinrichsthal</t>
  </si>
  <si>
    <t>Weibersbrunn, Rohrbrunner Forst</t>
  </si>
  <si>
    <t>Schneeberg</t>
  </si>
  <si>
    <t>Lindenfels</t>
  </si>
  <si>
    <t>Grasellenbach</t>
  </si>
  <si>
    <t>Gerlingen</t>
  </si>
  <si>
    <t>Aidlingen</t>
  </si>
  <si>
    <t>Friolzheim</t>
  </si>
  <si>
    <t>Ofterdingen</t>
  </si>
  <si>
    <t>Glatten</t>
  </si>
  <si>
    <t>Bodelshausen</t>
  </si>
  <si>
    <t>Bad Boll</t>
  </si>
  <si>
    <t>Börtlingen</t>
  </si>
  <si>
    <t>Mutlangen</t>
  </si>
  <si>
    <t>Walldürn</t>
  </si>
  <si>
    <t>Höpfingen</t>
  </si>
  <si>
    <t>Limbach</t>
  </si>
  <si>
    <t>Althengstett</t>
  </si>
  <si>
    <t>Gechingen</t>
  </si>
  <si>
    <t>Unterreichenbach</t>
  </si>
  <si>
    <t>Wiernsheim</t>
  </si>
  <si>
    <t>Wurmberg</t>
  </si>
  <si>
    <t>Gernsbach</t>
  </si>
  <si>
    <t>Schenkenzell</t>
  </si>
  <si>
    <t>Regensburg</t>
  </si>
  <si>
    <t>Untersiemau</t>
  </si>
  <si>
    <t>Rodach b. Coburg</t>
  </si>
  <si>
    <t>Weitramsdorf</t>
  </si>
  <si>
    <t>Dörfles-Esbach</t>
  </si>
  <si>
    <t>Niederfüllbach</t>
  </si>
  <si>
    <t>Ippesheim</t>
  </si>
  <si>
    <t>Greußenheim</t>
  </si>
  <si>
    <t>Kist, Irtenberger Wald</t>
  </si>
  <si>
    <t>Iphofen</t>
  </si>
  <si>
    <t>Bundorf</t>
  </si>
  <si>
    <t>Donnersdorf</t>
  </si>
  <si>
    <t>Gädheim</t>
  </si>
  <si>
    <t>Oberschwarzach</t>
  </si>
  <si>
    <t>Sulzdorf a.d. Lederhecke</t>
  </si>
  <si>
    <t>Bastheim</t>
  </si>
  <si>
    <t>Lohr a. Main</t>
  </si>
  <si>
    <t>Schollbrunn</t>
  </si>
  <si>
    <t>Römhild</t>
  </si>
  <si>
    <t>Berlin Lichtenberg</t>
  </si>
  <si>
    <t>Berlin Tempelhof</t>
  </si>
  <si>
    <t>Berlin Mariendorf</t>
  </si>
  <si>
    <t>Berlin Niederschönhausen</t>
  </si>
  <si>
    <t>Berlin Reinickendorf</t>
  </si>
  <si>
    <t>Lenzen</t>
  </si>
  <si>
    <t>Sternberg</t>
  </si>
  <si>
    <t>Gorleben</t>
  </si>
  <si>
    <t>Nieste</t>
  </si>
  <si>
    <t>Diemelstadt</t>
  </si>
  <si>
    <t>Breuna</t>
  </si>
  <si>
    <t>Korbach</t>
  </si>
  <si>
    <t>Vöhl</t>
  </si>
  <si>
    <t>Wabern</t>
  </si>
  <si>
    <t>Duderstadt</t>
  </si>
  <si>
    <t>Eschwege</t>
  </si>
  <si>
    <t>Gieboldehausen, Rhumequelle</t>
  </si>
  <si>
    <t>Dassel</t>
  </si>
  <si>
    <t>Stadtoldendorf u.a.</t>
  </si>
  <si>
    <t>Negenborn</t>
  </si>
  <si>
    <t>Heinsen</t>
  </si>
  <si>
    <t>Königslutter am Elm</t>
  </si>
  <si>
    <t>Wittmar</t>
  </si>
  <si>
    <t>Helmstedt</t>
  </si>
  <si>
    <t>Danndorf</t>
  </si>
  <si>
    <t>Grafhorst</t>
  </si>
  <si>
    <t>Tülau</t>
  </si>
  <si>
    <t>Biebergemünd</t>
  </si>
  <si>
    <t>Rothenbuch, Rothenbucher Forst</t>
  </si>
  <si>
    <t>Mespelbrunn</t>
  </si>
  <si>
    <t>Hildrizhausen</t>
  </si>
  <si>
    <t>Mötzingen</t>
  </si>
  <si>
    <t>Rutesheim</t>
  </si>
  <si>
    <t>Dettenhausen</t>
  </si>
  <si>
    <t>Empfingen</t>
  </si>
  <si>
    <t>Ebhausen</t>
  </si>
  <si>
    <t>Egenhausen</t>
  </si>
  <si>
    <t>Balingen</t>
  </si>
  <si>
    <t>Neuffen</t>
  </si>
  <si>
    <t>Kohlberg</t>
  </si>
  <si>
    <t>Wäschenbeuren</t>
  </si>
  <si>
    <t>Aalen</t>
  </si>
  <si>
    <t>Aichwald</t>
  </si>
  <si>
    <t>Untermünkheim</t>
  </si>
  <si>
    <t>Rosenheim</t>
  </si>
  <si>
    <t>Horgenzell</t>
  </si>
  <si>
    <t>Fürstenzell</t>
  </si>
  <si>
    <t>Salzweg</t>
  </si>
  <si>
    <t>Thyrnau</t>
  </si>
  <si>
    <t>Hofheim i. UFr.</t>
  </si>
  <si>
    <t>Michelau i. Steigerwald, Hundelshausen</t>
  </si>
  <si>
    <t>Bad Brückenau</t>
  </si>
  <si>
    <t>Erfurt</t>
  </si>
  <si>
    <t>Berlin Friedrichsfelde</t>
  </si>
  <si>
    <t>Berlin Karlshorst</t>
  </si>
  <si>
    <t>Berlin Halensee</t>
  </si>
  <si>
    <t>Berlin Wilhelmsdorf</t>
  </si>
  <si>
    <t>Berlin Friedenau</t>
  </si>
  <si>
    <t>Berlin Steglitz</t>
  </si>
  <si>
    <t>Berlin Lichtenfelde</t>
  </si>
  <si>
    <t>Berlin Lankwitz</t>
  </si>
  <si>
    <t>Berlin Britz</t>
  </si>
  <si>
    <t>Berlin Baumschulenweg</t>
  </si>
  <si>
    <t>Berlin Alt-Hohenschönhausen</t>
  </si>
  <si>
    <t>Berlin Heinelsdorf</t>
  </si>
  <si>
    <t>Berlin Märkisches Viertel</t>
  </si>
  <si>
    <t>Berlin Spandau</t>
  </si>
  <si>
    <t>Berlin Zehlendorf</t>
  </si>
  <si>
    <t>Berlin Schmargendorf</t>
  </si>
  <si>
    <t>Sanitz</t>
  </si>
  <si>
    <t>Tessin, Grammow u.a.</t>
  </si>
  <si>
    <t>Dummerstorf</t>
  </si>
  <si>
    <t>Schwaan u.a.</t>
  </si>
  <si>
    <t>Reimershagen, Lohmen, Zehna, Hägerfelde u.a.</t>
  </si>
  <si>
    <t>Laage, Wardow u.a.</t>
  </si>
  <si>
    <t>Löbnitz</t>
  </si>
  <si>
    <t>Barth</t>
  </si>
  <si>
    <t>Mestlin, Severin u.a.</t>
  </si>
  <si>
    <t>Gartow</t>
  </si>
  <si>
    <t>Höhbeck</t>
  </si>
  <si>
    <t>Suderburg</t>
  </si>
  <si>
    <t>Ebstorf</t>
  </si>
  <si>
    <t>Barum</t>
  </si>
  <si>
    <t>Gerdau</t>
  </si>
  <si>
    <t>Hanstedt</t>
  </si>
  <si>
    <t>Rätzlingen</t>
  </si>
  <si>
    <t>Schwienau</t>
  </si>
  <si>
    <t>Grünenplan, Delligsen</t>
  </si>
  <si>
    <t>Eberholzen, Sibbesse, Westfeld, Almstedt, Adenstedt</t>
  </si>
  <si>
    <t>Everode</t>
  </si>
  <si>
    <t>Edertal</t>
  </si>
  <si>
    <t>Fritzlar</t>
  </si>
  <si>
    <t>Homberg</t>
  </si>
  <si>
    <t>Bad Zwesten</t>
  </si>
  <si>
    <t>Frielendorf</t>
  </si>
  <si>
    <t>Neukirchen (Knüll)</t>
  </si>
  <si>
    <t>Ottrau</t>
  </si>
  <si>
    <t>Lichtenfels</t>
  </si>
  <si>
    <t>Flieden</t>
  </si>
  <si>
    <t>Hosenfeld</t>
  </si>
  <si>
    <t>Sontra</t>
  </si>
  <si>
    <t>Kirtorf</t>
  </si>
  <si>
    <t>Wartenberg</t>
  </si>
  <si>
    <t>Seulingen, Waake u.a.</t>
  </si>
  <si>
    <t>Adelebsen</t>
  </si>
  <si>
    <t>Katlenburg-Lindau</t>
  </si>
  <si>
    <t>Wulften</t>
  </si>
  <si>
    <t>Neu-Eichenberg</t>
  </si>
  <si>
    <t>Wanfried</t>
  </si>
  <si>
    <t>Schöppenstedt</t>
  </si>
  <si>
    <t>Schladen-Werla</t>
  </si>
  <si>
    <t>Semmenstedt</t>
  </si>
  <si>
    <t>Brome</t>
  </si>
  <si>
    <t>Stadtkyll</t>
  </si>
  <si>
    <t>Jossgrund</t>
  </si>
  <si>
    <t>Wiesen, Wiesener Forst</t>
  </si>
  <si>
    <t>Jettingen</t>
  </si>
  <si>
    <t>Wimsheim</t>
  </si>
  <si>
    <t>Mössingen</t>
  </si>
  <si>
    <t>Starzach</t>
  </si>
  <si>
    <t>Vöhringen</t>
  </si>
  <si>
    <t>Haigerloch</t>
  </si>
  <si>
    <t>Bisingen</t>
  </si>
  <si>
    <t>Grosselfingen</t>
  </si>
  <si>
    <t>Mögglingen</t>
  </si>
  <si>
    <t>Obersontheim</t>
  </si>
  <si>
    <t>Kirchberg an der Jagst</t>
  </si>
  <si>
    <t>Neuhausen</t>
  </si>
  <si>
    <t>Mühlingen</t>
  </si>
  <si>
    <t>Wilhelmsdorf</t>
  </si>
  <si>
    <t>Grünkraut</t>
  </si>
  <si>
    <t>Meßkirch, Sauldorf</t>
  </si>
  <si>
    <t>Neu-Ulm</t>
  </si>
  <si>
    <t>Tittling</t>
  </si>
  <si>
    <t>Tiefenbach</t>
  </si>
  <si>
    <t>Neuburg a. Inn</t>
  </si>
  <si>
    <t>Aicha vorm Wald</t>
  </si>
  <si>
    <t>Ebern</t>
  </si>
  <si>
    <t>Seßlach</t>
  </si>
  <si>
    <t>Michelau i. OFr.</t>
  </si>
  <si>
    <t>Redwitz a.d. Rodach</t>
  </si>
  <si>
    <t>Großheirath</t>
  </si>
  <si>
    <t>Itzgrund</t>
  </si>
  <si>
    <t>Schneckenlohe</t>
  </si>
  <si>
    <t>Neustadt b. Coburg</t>
  </si>
  <si>
    <t>Burgpreppach</t>
  </si>
  <si>
    <t>Riedbach</t>
  </si>
  <si>
    <t>Theres</t>
  </si>
  <si>
    <t>Aura i. Sinngrund</t>
  </si>
  <si>
    <t>Oberleichtersbach</t>
  </si>
  <si>
    <t>Schondra</t>
  </si>
  <si>
    <t>Rechtenbach</t>
  </si>
  <si>
    <t>Rothenfels</t>
  </si>
  <si>
    <t>Freudenberg, Collenberg</t>
  </si>
  <si>
    <t>Bad Colberg-Heldburg</t>
  </si>
  <si>
    <t>Dresden</t>
  </si>
  <si>
    <t>Berlin Rummelsburg</t>
  </si>
  <si>
    <t>Berlin Buckow</t>
  </si>
  <si>
    <t>Berlin Rudow</t>
  </si>
  <si>
    <t>Berlin Teltowkanal III</t>
  </si>
  <si>
    <t>Berlin Altglienicke</t>
  </si>
  <si>
    <t>Berlin Hellersdorf</t>
  </si>
  <si>
    <t>Berlin Biesdorf</t>
  </si>
  <si>
    <t>Berlin Falkenberg</t>
  </si>
  <si>
    <t>Berlin Weißensee</t>
  </si>
  <si>
    <t>Berlin Haselhorst</t>
  </si>
  <si>
    <t>Berlin Charlottenburg-Nord</t>
  </si>
  <si>
    <t>Berlin Westend</t>
  </si>
  <si>
    <t>Potsdam</t>
  </si>
  <si>
    <t>Jarmen</t>
  </si>
  <si>
    <t>Gnoien u.a.</t>
  </si>
  <si>
    <t>Gützkow</t>
  </si>
  <si>
    <t>Güstrow</t>
  </si>
  <si>
    <t>Krakow, Dobbin-Linstow u.a.</t>
  </si>
  <si>
    <t>Karstädt, Dambeck, Klüß</t>
  </si>
  <si>
    <t>Schnackenburg</t>
  </si>
  <si>
    <t>Winzenburg</t>
  </si>
  <si>
    <t>Coppengrave</t>
  </si>
  <si>
    <t>Weenzen</t>
  </si>
  <si>
    <t>Sehlem</t>
  </si>
  <si>
    <t>Niedenstein</t>
  </si>
  <si>
    <t>Bad Emstal</t>
  </si>
  <si>
    <t>Naumburg</t>
  </si>
  <si>
    <t>Waldeck</t>
  </si>
  <si>
    <t>Gilserberg</t>
  </si>
  <si>
    <t>Petersberg</t>
  </si>
  <si>
    <t>Neuhof</t>
  </si>
  <si>
    <t>Großenlüder</t>
  </si>
  <si>
    <t>Feldatal</t>
  </si>
  <si>
    <t>Grebenhain</t>
  </si>
  <si>
    <t>Bad Salzschlirf</t>
  </si>
  <si>
    <t>Barchfeld-Immelborn</t>
  </si>
  <si>
    <t>Bovenden</t>
  </si>
  <si>
    <t>Gleichen</t>
  </si>
  <si>
    <t>Friedland</t>
  </si>
  <si>
    <t>Nörten-Hardenberg</t>
  </si>
  <si>
    <t>Moringen</t>
  </si>
  <si>
    <t>Hattorf</t>
  </si>
  <si>
    <t>Meinhard</t>
  </si>
  <si>
    <t>Einbeck, Kreiensen</t>
  </si>
  <si>
    <t>Holzen, Eschershausen, Eimen</t>
  </si>
  <si>
    <t>Hedeper</t>
  </si>
  <si>
    <t>Roklum</t>
  </si>
  <si>
    <t>Schöningen</t>
  </si>
  <si>
    <t>Süpplingen, Frellstedt</t>
  </si>
  <si>
    <t>Süpplingenburg</t>
  </si>
  <si>
    <t>Wolsdorf</t>
  </si>
  <si>
    <t>Gevensleben</t>
  </si>
  <si>
    <t>Velpke</t>
  </si>
  <si>
    <t>Groß Twülpstedt</t>
  </si>
  <si>
    <t>Schönebeck</t>
  </si>
  <si>
    <t>Haldensleben</t>
  </si>
  <si>
    <t>Weferlingen, Behnsdorf, Belsdorf etc</t>
  </si>
  <si>
    <t>Rätzlingen, Wegenstedt, Calvörde, Böddensell etc</t>
  </si>
  <si>
    <t>Arendsee</t>
  </si>
  <si>
    <t>Oebisfelde</t>
  </si>
  <si>
    <t>Weiler bei Bingen</t>
  </si>
  <si>
    <t>Bromskirchen, Hallenberg</t>
  </si>
  <si>
    <t>Flörsbachtal</t>
  </si>
  <si>
    <t>Mudau</t>
  </si>
  <si>
    <t>Geislingen</t>
  </si>
  <si>
    <t>Dormettingen</t>
  </si>
  <si>
    <t>Adelberg</t>
  </si>
  <si>
    <t>Birenbach</t>
  </si>
  <si>
    <t>Schwäbisch Gmünd, Täferrot</t>
  </si>
  <si>
    <t>Leinzell</t>
  </si>
  <si>
    <t>Mainhardt</t>
  </si>
  <si>
    <t>Crailsheim</t>
  </si>
  <si>
    <t>Ostelsheim</t>
  </si>
  <si>
    <t>Simmozheim</t>
  </si>
  <si>
    <t>Hornberg</t>
  </si>
  <si>
    <t>Rottweil</t>
  </si>
  <si>
    <t>Dietingen</t>
  </si>
  <si>
    <t>Ühlingen-Birkendorf</t>
  </si>
  <si>
    <t>Ulm</t>
  </si>
  <si>
    <t>Ruhstorf a.d. Rott</t>
  </si>
  <si>
    <t>Hutthurm</t>
  </si>
  <si>
    <t>Büchlberg</t>
  </si>
  <si>
    <t>Neuhaus a. Inn</t>
  </si>
  <si>
    <t>Ruderting</t>
  </si>
  <si>
    <t>Haarbach</t>
  </si>
  <si>
    <t>Windorf</t>
  </si>
  <si>
    <t>Pfarrweisach</t>
  </si>
  <si>
    <t>Untermerzbach</t>
  </si>
  <si>
    <t>Ebersdorf b. Coburg</t>
  </si>
  <si>
    <t>Altenkunstadt</t>
  </si>
  <si>
    <t>Mitwitz</t>
  </si>
  <si>
    <t>Grub a. Forst</t>
  </si>
  <si>
    <t>Hochstadt a. Main</t>
  </si>
  <si>
    <t>Marktzeuln</t>
  </si>
  <si>
    <t>Weidhausen b. Coburg</t>
  </si>
  <si>
    <t>Küps</t>
  </si>
  <si>
    <t>Meeder</t>
  </si>
  <si>
    <t>Uffenheim</t>
  </si>
  <si>
    <t>Zeil a. Main</t>
  </si>
  <si>
    <t>Knetzgau</t>
  </si>
  <si>
    <t>Königsberg i. Bay.</t>
  </si>
  <si>
    <t>Sand a. Main</t>
  </si>
  <si>
    <t>Schönau a.d. Brend</t>
  </si>
  <si>
    <t>Zeitlofs</t>
  </si>
  <si>
    <t>Bischbrunn</t>
  </si>
  <si>
    <t>Neustadt a. Main</t>
  </si>
  <si>
    <t>Niederstetten</t>
  </si>
  <si>
    <t>Grabfeld</t>
  </si>
  <si>
    <t>Berlin Oberschöneweide</t>
  </si>
  <si>
    <t>Berlin Köpenik</t>
  </si>
  <si>
    <t>Berlin Mahlsdorf</t>
  </si>
  <si>
    <t>Berlin Rosenthal</t>
  </si>
  <si>
    <t>Berlin Hermsdorf</t>
  </si>
  <si>
    <t>Berlin Staaken</t>
  </si>
  <si>
    <t>Berlin Dahlem</t>
  </si>
  <si>
    <t>Falkensee</t>
  </si>
  <si>
    <t>Lalendorf, Langhagen</t>
  </si>
  <si>
    <t>Neustadt-Glewe</t>
  </si>
  <si>
    <t>Landwehr</t>
  </si>
  <si>
    <t>Duingen</t>
  </si>
  <si>
    <t>Harbarnsen</t>
  </si>
  <si>
    <t>Lamspringe, Neuhof</t>
  </si>
  <si>
    <t>Ottenstein</t>
  </si>
  <si>
    <t>Melsungen</t>
  </si>
  <si>
    <t>Schauenburg</t>
  </si>
  <si>
    <t>Künzell</t>
  </si>
  <si>
    <t>Eichenzell</t>
  </si>
  <si>
    <t>Niederaula</t>
  </si>
  <si>
    <t>Herbstein</t>
  </si>
  <si>
    <t>Freiensteinau</t>
  </si>
  <si>
    <t>Rosdorf</t>
  </si>
  <si>
    <t>Berkatal</t>
  </si>
  <si>
    <t>Rennau, Querenhorst, Mariental, Grasleben</t>
  </si>
  <si>
    <t>Büddenstedt</t>
  </si>
  <si>
    <t>Räbke</t>
  </si>
  <si>
    <t>Warberg</t>
  </si>
  <si>
    <t>Beierstedt</t>
  </si>
  <si>
    <t>Bahrdorf</t>
  </si>
  <si>
    <t>Klötze, Apenburg-Winterfeld</t>
  </si>
  <si>
    <t>Seesen</t>
  </si>
  <si>
    <t>Hahausen, Lutter, Wallmoden</t>
  </si>
  <si>
    <t>Hötensleben, Völpke, Ottleben, Hamersleben etc</t>
  </si>
  <si>
    <t>Kalbe, Bismark</t>
  </si>
  <si>
    <t>Gardelegen</t>
  </si>
  <si>
    <t>Wüstenrot, Beilstein-Stocksberg</t>
  </si>
  <si>
    <t>Horb am Neckar</t>
  </si>
  <si>
    <t>Haiterbach</t>
  </si>
  <si>
    <t>Abtsgmünd</t>
  </si>
  <si>
    <t>Heuchlingen</t>
  </si>
  <si>
    <t>Michelfeld</t>
  </si>
  <si>
    <t>Wolpertshausen</t>
  </si>
  <si>
    <t>Waldenburg</t>
  </si>
  <si>
    <t>Deckenpfronn</t>
  </si>
  <si>
    <t>Schönau im Schwarzwald</t>
  </si>
  <si>
    <t>Simbach a. Inn</t>
  </si>
  <si>
    <t>Kirchdorf a. Inn</t>
  </si>
  <si>
    <t>Egglham</t>
  </si>
  <si>
    <t>Beuron</t>
  </si>
  <si>
    <t>Ergersheim</t>
  </si>
  <si>
    <t>Pocking</t>
  </si>
  <si>
    <t>Bad Füssing</t>
  </si>
  <si>
    <t>Kirchham</t>
  </si>
  <si>
    <t>Ringelai</t>
  </si>
  <si>
    <t>Ortenburg</t>
  </si>
  <si>
    <t>Eging a. See</t>
  </si>
  <si>
    <t>Breitbrunn</t>
  </si>
  <si>
    <t>Staffelstein</t>
  </si>
  <si>
    <t>Stockheim</t>
  </si>
  <si>
    <t>Neuhaus-Schierschnitz</t>
  </si>
  <si>
    <t>Haßfurt</t>
  </si>
  <si>
    <t>Wonfurt</t>
  </si>
  <si>
    <t>Ostheim v.d. Rhön</t>
  </si>
  <si>
    <t>Breitungen/Werra</t>
  </si>
  <si>
    <t>Eisenach</t>
  </si>
  <si>
    <t>Berlin Alt Treptow</t>
  </si>
  <si>
    <t>Berlin Niederschöneweide</t>
  </si>
  <si>
    <t>Berlin Blankenburg</t>
  </si>
  <si>
    <t>Berlin Lübars</t>
  </si>
  <si>
    <t>Berlin Tegel</t>
  </si>
  <si>
    <t>Neuenhagen, Hoppegarten</t>
  </si>
  <si>
    <t>Glienicke/Nordbahn</t>
  </si>
  <si>
    <t>Dahmen, Groß Wokern, Teterow</t>
  </si>
  <si>
    <t>Jördenstorf, Prebberede u.a.</t>
  </si>
  <si>
    <t>Waren/ Müritz</t>
  </si>
  <si>
    <t>Klein Bünzow</t>
  </si>
  <si>
    <t>Grabow u.a.</t>
  </si>
  <si>
    <t>Wittenberge, Rühstädt</t>
  </si>
  <si>
    <t>Perleberg, Berge u.a.</t>
  </si>
  <si>
    <t>Spornitz</t>
  </si>
  <si>
    <t>Lübz, Passow</t>
  </si>
  <si>
    <t>Plau am See</t>
  </si>
  <si>
    <t>Goldberg</t>
  </si>
  <si>
    <t>Woltershausen</t>
  </si>
  <si>
    <t>Helsa</t>
  </si>
  <si>
    <t>Malsfeld</t>
  </si>
  <si>
    <t>Bad Wildungen</t>
  </si>
  <si>
    <t>Haina</t>
  </si>
  <si>
    <t>Hünfeld</t>
  </si>
  <si>
    <t>Schlitz</t>
  </si>
  <si>
    <t>Kalbach</t>
  </si>
  <si>
    <t>Dipperz</t>
  </si>
  <si>
    <t>Grebenau</t>
  </si>
  <si>
    <t>Unterbreizbach</t>
  </si>
  <si>
    <t>Herzberg, Elbingerode, Hörden</t>
  </si>
  <si>
    <t>Bad Grund</t>
  </si>
  <si>
    <t>Bad Gandersheim</t>
  </si>
  <si>
    <t>Kalefeld</t>
  </si>
  <si>
    <t>Jerxheim</t>
  </si>
  <si>
    <t>Ingeleben</t>
  </si>
  <si>
    <t>Söllingen</t>
  </si>
  <si>
    <t>Twieflingen</t>
  </si>
  <si>
    <t>Goslar</t>
  </si>
  <si>
    <t>Liebenburg</t>
  </si>
  <si>
    <t>Barleben</t>
  </si>
  <si>
    <t>Erxleben, Nordgermersleben u.a.</t>
  </si>
  <si>
    <t>Haldensleben, Flechtingen, Bülstringen u.a.</t>
  </si>
  <si>
    <t>Harbke, Sommersdorf, Wefensleben, Ummendorf, Eilsleben</t>
  </si>
  <si>
    <t>Oschersleben (Bode)</t>
  </si>
  <si>
    <t>Bismark</t>
  </si>
  <si>
    <t>Bad Berleburg</t>
  </si>
  <si>
    <t>Althütte</t>
  </si>
  <si>
    <t>Großerlach</t>
  </si>
  <si>
    <t>Altensteig</t>
  </si>
  <si>
    <t>Zimmern unter der Burg</t>
  </si>
  <si>
    <t>Jungingen</t>
  </si>
  <si>
    <t>Neidlingen</t>
  </si>
  <si>
    <t>Oberkochen</t>
  </si>
  <si>
    <t>Alfdorf, Schillinghof</t>
  </si>
  <si>
    <t>Gschwend</t>
  </si>
  <si>
    <t>Ilshofen</t>
  </si>
  <si>
    <t>Rot am See</t>
  </si>
  <si>
    <t>Frankenhardt</t>
  </si>
  <si>
    <t>Langenburg</t>
  </si>
  <si>
    <t>Neuenbürg</t>
  </si>
  <si>
    <t>Bad Teinach-Zavelstein</t>
  </si>
  <si>
    <t>Neubulach</t>
  </si>
  <si>
    <t>Forbach</t>
  </si>
  <si>
    <t>Tuttlingen</t>
  </si>
  <si>
    <t>Spaichingen</t>
  </si>
  <si>
    <t>Fridingen an der Donau</t>
  </si>
  <si>
    <t>Bärenthal</t>
  </si>
  <si>
    <t>Deißlingen</t>
  </si>
  <si>
    <t>Villingendorf</t>
  </si>
  <si>
    <t>Wellendingen</t>
  </si>
  <si>
    <t>Epfendorf</t>
  </si>
  <si>
    <t>Kolbermoor</t>
  </si>
  <si>
    <t>Schneizlreuth</t>
  </si>
  <si>
    <t>Burghausen</t>
  </si>
  <si>
    <t>Ingolstadt</t>
  </si>
  <si>
    <t>Fronreute</t>
  </si>
  <si>
    <t>Amtzell</t>
  </si>
  <si>
    <t>Riedhausen</t>
  </si>
  <si>
    <t>Mengen</t>
  </si>
  <si>
    <t>Heiligenberg</t>
  </si>
  <si>
    <t>Wald</t>
  </si>
  <si>
    <t>Elchingen</t>
  </si>
  <si>
    <t>Nersingen</t>
  </si>
  <si>
    <t>Holzheim</t>
  </si>
  <si>
    <t>Leipheim</t>
  </si>
  <si>
    <t>Heidenheim an der Brenz</t>
  </si>
  <si>
    <t>Erlangen</t>
  </si>
  <si>
    <t>Bad Windsheim</t>
  </si>
  <si>
    <t>Ipsheim</t>
  </si>
  <si>
    <t>Markt Bibart</t>
  </si>
  <si>
    <t>Oberscheinfeld</t>
  </si>
  <si>
    <t>Rothenburg ob der Tauber</t>
  </si>
  <si>
    <t>Adelshofen</t>
  </si>
  <si>
    <t>Burgbernheim</t>
  </si>
  <si>
    <t>Gebsattel</t>
  </si>
  <si>
    <t>Ohrenbach</t>
  </si>
  <si>
    <t>Hauzenberg</t>
  </si>
  <si>
    <t>Griesbach i. Rottal</t>
  </si>
  <si>
    <t>Rotthalmünster</t>
  </si>
  <si>
    <t>Röhrnbach</t>
  </si>
  <si>
    <t>Bayerbach</t>
  </si>
  <si>
    <t>Ering</t>
  </si>
  <si>
    <t>Fürsteneck</t>
  </si>
  <si>
    <t>Neukirchen vorm Wald</t>
  </si>
  <si>
    <t>Stubenberg</t>
  </si>
  <si>
    <t>Tettenweis</t>
  </si>
  <si>
    <t>Thurmansbang</t>
  </si>
  <si>
    <t>Vilshofen an der Donau</t>
  </si>
  <si>
    <t>Fürstenstein</t>
  </si>
  <si>
    <t>Hofkirchen</t>
  </si>
  <si>
    <t>Iggensbach</t>
  </si>
  <si>
    <t>Zenting</t>
  </si>
  <si>
    <t>Kulmbach</t>
  </si>
  <si>
    <t>Mainleus</t>
  </si>
  <si>
    <t>Maroldsweisach</t>
  </si>
  <si>
    <t>Ebrach</t>
  </si>
  <si>
    <t>Sonnefeld</t>
  </si>
  <si>
    <t>Rödental</t>
  </si>
  <si>
    <t>Ebelsbach</t>
  </si>
  <si>
    <t>Nordheim v.d. Rhön</t>
  </si>
  <si>
    <t>Bischofsheim a.d. Rhön</t>
  </si>
  <si>
    <t>Sandberg</t>
  </si>
  <si>
    <t>Burkardroth</t>
  </si>
  <si>
    <t>Neuendorf</t>
  </si>
  <si>
    <t>Altenbuch</t>
  </si>
  <si>
    <t>Schleusingen u.a.</t>
  </si>
  <si>
    <t>Schmalkalden</t>
  </si>
  <si>
    <t>Meiningen</t>
  </si>
  <si>
    <t>Themar</t>
  </si>
  <si>
    <t>Treffurt</t>
  </si>
  <si>
    <t>Berlin Kaulsdorf</t>
  </si>
  <si>
    <t>Berlin Frohnau</t>
  </si>
  <si>
    <t>Berlin Siemensstadt</t>
  </si>
  <si>
    <t>Brandenburg/ Havel</t>
  </si>
  <si>
    <t>Fürstenwalde/ Spree</t>
  </si>
  <si>
    <t>Hennigsdorf</t>
  </si>
  <si>
    <t>Neukalen</t>
  </si>
  <si>
    <t>Dargun</t>
  </si>
  <si>
    <t>Anklam</t>
  </si>
  <si>
    <t>Usedom u.a.</t>
  </si>
  <si>
    <t>Ebersburg</t>
  </si>
  <si>
    <t>Nüsttal</t>
  </si>
  <si>
    <t>Hauneck</t>
  </si>
  <si>
    <t>Breitenbach am Herzberg</t>
  </si>
  <si>
    <t>Lautertal</t>
  </si>
  <si>
    <t>Bad Sooden-Allendorf</t>
  </si>
  <si>
    <t>Boffzen, Derental</t>
  </si>
  <si>
    <t>Sehlde</t>
  </si>
  <si>
    <t>Bismark, Rochau</t>
  </si>
  <si>
    <t>Osterburg, Altmärkische Höhe</t>
  </si>
  <si>
    <t>Seehausen, Werben, Leppin, Wahrenberg etc</t>
  </si>
  <si>
    <t>Pelm, Neroth u.a.</t>
  </si>
  <si>
    <t>Rosenfeld</t>
  </si>
  <si>
    <t>Dautmergen</t>
  </si>
  <si>
    <t>Deggingen</t>
  </si>
  <si>
    <t>Mühlhausen im Täle</t>
  </si>
  <si>
    <t>Adelmannsfelden</t>
  </si>
  <si>
    <t>Rainau</t>
  </si>
  <si>
    <t>Iggingen</t>
  </si>
  <si>
    <t>Bühlerzell</t>
  </si>
  <si>
    <t>Gerabronn</t>
  </si>
  <si>
    <t>Engelsbrand</t>
  </si>
  <si>
    <t>Aldingen</t>
  </si>
  <si>
    <t>Schechen</t>
  </si>
  <si>
    <t>Wangen im Allgäu</t>
  </si>
  <si>
    <t>Aulendorf</t>
  </si>
  <si>
    <t>Hohentengen</t>
  </si>
  <si>
    <t>Ebenweiler</t>
  </si>
  <si>
    <t>Herbertingen</t>
  </si>
  <si>
    <t>Langenau</t>
  </si>
  <si>
    <t>Blaubeuren</t>
  </si>
  <si>
    <t>Pfaffenhofen a.d. Roth</t>
  </si>
  <si>
    <t>Herbrechtingen</t>
  </si>
  <si>
    <t>Neustadt a.d. Aisch</t>
  </si>
  <si>
    <t>Baudenbach</t>
  </si>
  <si>
    <t>Sugenheim</t>
  </si>
  <si>
    <t>Gallmersgarten</t>
  </si>
  <si>
    <t>Insingen</t>
  </si>
  <si>
    <t>Marktbergel</t>
  </si>
  <si>
    <t>Ködnitz</t>
  </si>
  <si>
    <t>Gerach</t>
  </si>
  <si>
    <t>Kirchlauter</t>
  </si>
  <si>
    <t>Rentweinsdorf</t>
  </si>
  <si>
    <t>Motten</t>
  </si>
  <si>
    <t>Benshausen</t>
  </si>
  <si>
    <t>Berlin Falkenhagener Feld</t>
  </si>
  <si>
    <t>Berlin Wlhelmstadt</t>
  </si>
  <si>
    <t>Borgsdorf</t>
  </si>
  <si>
    <t>Meyenburg, Kümmernitztal u.a.</t>
  </si>
  <si>
    <t>Demmin</t>
  </si>
  <si>
    <t>Bentzin</t>
  </si>
  <si>
    <t>Malchin</t>
  </si>
  <si>
    <t>Grabowhöfe, Moltzow u.a.</t>
  </si>
  <si>
    <t>Malchow u.a.</t>
  </si>
  <si>
    <t>Nossentiner Hütte</t>
  </si>
  <si>
    <t>Legde/Quitzöbel, Bad Wilsnack</t>
  </si>
  <si>
    <t>Plattenburg</t>
  </si>
  <si>
    <t>Siggelkow</t>
  </si>
  <si>
    <t>Burghaun</t>
  </si>
  <si>
    <t>Haunetal</t>
  </si>
  <si>
    <t>Bebra</t>
  </si>
  <si>
    <t>Rotenburg an der Fulda</t>
  </si>
  <si>
    <t>Nentershausen</t>
  </si>
  <si>
    <t>Cornberg</t>
  </si>
  <si>
    <t>Heringen</t>
  </si>
  <si>
    <t>Oberaula</t>
  </si>
  <si>
    <t>Hohenroda</t>
  </si>
  <si>
    <t>Stadtlengsfeld, Weilar, Urnshausen</t>
  </si>
  <si>
    <t>Dransfeld u.a.</t>
  </si>
  <si>
    <t>Waldkappel</t>
  </si>
  <si>
    <t>Meißner</t>
  </si>
  <si>
    <t>Leinefelde-Worbis, Wingerode, Hausen</t>
  </si>
  <si>
    <t>Holzminden</t>
  </si>
  <si>
    <t>Halberstadt</t>
  </si>
  <si>
    <t>Badersleben u.a.</t>
  </si>
  <si>
    <t>Huy</t>
  </si>
  <si>
    <t>Eichenbarleben, Ochtmersleben, Irxleben, Schnarsleben, Wellen etc</t>
  </si>
  <si>
    <t>Gerwisch, Biederitz, Menz, Körbelitz etc</t>
  </si>
  <si>
    <t>Gommern, Dannigkow</t>
  </si>
  <si>
    <t>Wolmirstedt u.a.</t>
  </si>
  <si>
    <t>Staßfurt</t>
  </si>
  <si>
    <t>Tangerhütte u.a.</t>
  </si>
  <si>
    <t>Stendal</t>
  </si>
  <si>
    <t>Waldachtal</t>
  </si>
  <si>
    <t>Loßburg</t>
  </si>
  <si>
    <t>Wörnersberg</t>
  </si>
  <si>
    <t>Inzigkofen</t>
  </si>
  <si>
    <t>Sigmaringendorf</t>
  </si>
  <si>
    <t>Westhausen</t>
  </si>
  <si>
    <t>Jagstzell</t>
  </si>
  <si>
    <t>Durlangen, Weggen-Ziegelhütte, Leinhäusle</t>
  </si>
  <si>
    <t>Göggingen</t>
  </si>
  <si>
    <t>Schechingen</t>
  </si>
  <si>
    <t>Welzheim</t>
  </si>
  <si>
    <t>Blaufelden</t>
  </si>
  <si>
    <t>Satteldorf</t>
  </si>
  <si>
    <t>Villingen-Schwenningen</t>
  </si>
  <si>
    <t>Wurmlingen</t>
  </si>
  <si>
    <t>Zimmern ob Rottweil</t>
  </si>
  <si>
    <t>Frittlingen</t>
  </si>
  <si>
    <t>Badenweiler</t>
  </si>
  <si>
    <t>Kleines Wiesental</t>
  </si>
  <si>
    <t>Bad Aibling</t>
  </si>
  <si>
    <t>Raubling</t>
  </si>
  <si>
    <t>Bad Feilnbach</t>
  </si>
  <si>
    <t>Großkarolinenfeld</t>
  </si>
  <si>
    <t>Neubeuern</t>
  </si>
  <si>
    <t>Landshut</t>
  </si>
  <si>
    <t>Bad Birnbach</t>
  </si>
  <si>
    <t>Dietersburg</t>
  </si>
  <si>
    <t>Wittibreut</t>
  </si>
  <si>
    <t>Walting</t>
  </si>
  <si>
    <t>Hergatz</t>
  </si>
  <si>
    <t>Altshausen</t>
  </si>
  <si>
    <t>Pfullendorf</t>
  </si>
  <si>
    <t>Illerkirchberg</t>
  </si>
  <si>
    <t>Asselfingen</t>
  </si>
  <si>
    <t>Rammingen</t>
  </si>
  <si>
    <t>Illertissen</t>
  </si>
  <si>
    <t>Markt Nordheim</t>
  </si>
  <si>
    <t>Steinsfeld</t>
  </si>
  <si>
    <t>Waldkirchen</t>
  </si>
  <si>
    <t>Untergriesbach</t>
  </si>
  <si>
    <t>Obernzell</t>
  </si>
  <si>
    <t>Kößlarn</t>
  </si>
  <si>
    <t>Aldersbach</t>
  </si>
  <si>
    <t>Schöllnach</t>
  </si>
  <si>
    <t>Außernzell</t>
  </si>
  <si>
    <t>Lisberg</t>
  </si>
  <si>
    <t>Weißenbrunn</t>
  </si>
  <si>
    <t>Suhl, Marisfeld, Rohr u.a.</t>
  </si>
  <si>
    <t>Veilsdorf</t>
  </si>
  <si>
    <t>Berka/ Werra</t>
  </si>
  <si>
    <t>Jena, Bucha, Großpürschütz u.a.</t>
  </si>
  <si>
    <t>Berlin Bohnsdorf</t>
  </si>
  <si>
    <t>Berlin Neu-Schönhausen</t>
  </si>
  <si>
    <t>Berlin Wartenberg</t>
  </si>
  <si>
    <t>Berlin Gatow</t>
  </si>
  <si>
    <t>Berlin Wannsee</t>
  </si>
  <si>
    <t>Nauen</t>
  </si>
  <si>
    <t>Fredersdorf-Vogelsdorf, Petershagen</t>
  </si>
  <si>
    <t>Königs Wusterhausen</t>
  </si>
  <si>
    <t>Schulzendorf b. Eichenwade</t>
  </si>
  <si>
    <t>Zeuthen</t>
  </si>
  <si>
    <t>Wildau</t>
  </si>
  <si>
    <t>Bernau</t>
  </si>
  <si>
    <t>Panketal</t>
  </si>
  <si>
    <t>Röbel/ Müritz</t>
  </si>
  <si>
    <t>Möllenhagen</t>
  </si>
  <si>
    <t>Spangenberg</t>
  </si>
  <si>
    <t>Habichtswald</t>
  </si>
  <si>
    <t>Eiterfeld</t>
  </si>
  <si>
    <t>Rasdorf</t>
  </si>
  <si>
    <t>Ronshausen</t>
  </si>
  <si>
    <t>Philippsthal</t>
  </si>
  <si>
    <t>Kirchheim (Hessen)</t>
  </si>
  <si>
    <t>Schenklengsfeld</t>
  </si>
  <si>
    <t>Bad Salzungen</t>
  </si>
  <si>
    <t>Tiefenort</t>
  </si>
  <si>
    <t>Hardegsen</t>
  </si>
  <si>
    <t>Witzenhausen, Gutsbezirk</t>
  </si>
  <si>
    <t>Arenshausen, Uder u.a.</t>
  </si>
  <si>
    <t>Wanzleben-Börde</t>
  </si>
  <si>
    <t>Sülzetal</t>
  </si>
  <si>
    <t>Schönebeck (Elbe)</t>
  </si>
  <si>
    <t>Barby</t>
  </si>
  <si>
    <t>Schwanebeck, Gröningen, Kroppenstedt</t>
  </si>
  <si>
    <t>Egeln, Unseburg, Wolmirsleben, Borne etc</t>
  </si>
  <si>
    <t>Börde-Hakel</t>
  </si>
  <si>
    <t>Havelberg</t>
  </si>
  <si>
    <t>Tangermünde</t>
  </si>
  <si>
    <t>Dannenfels</t>
  </si>
  <si>
    <t>Dornhan</t>
  </si>
  <si>
    <t>Alpirsbach</t>
  </si>
  <si>
    <t>Pfalzgrafenweiler</t>
  </si>
  <si>
    <t>Grömbach</t>
  </si>
  <si>
    <t>Schömberg</t>
  </si>
  <si>
    <t>Krauchenwies</t>
  </si>
  <si>
    <t>Bopfingen</t>
  </si>
  <si>
    <t>Hüttlingen</t>
  </si>
  <si>
    <t>Kirchheim am Ries</t>
  </si>
  <si>
    <t>Unterschneidheim</t>
  </si>
  <si>
    <t>Eschach, Obergröningen</t>
  </si>
  <si>
    <t>Ruppertshofen</t>
  </si>
  <si>
    <t>Bühlertann</t>
  </si>
  <si>
    <t>Vellberg</t>
  </si>
  <si>
    <t>Schrozberg</t>
  </si>
  <si>
    <t>Seebach</t>
  </si>
  <si>
    <t>Niedereschach</t>
  </si>
  <si>
    <t>Donaueschingen</t>
  </si>
  <si>
    <t>Blumberg</t>
  </si>
  <si>
    <t>Emmingen-Liptingen</t>
  </si>
  <si>
    <t>Neuhausen ob Eck</t>
  </si>
  <si>
    <t>Balgheim</t>
  </si>
  <si>
    <t>Dunningen</t>
  </si>
  <si>
    <t>Bösingen</t>
  </si>
  <si>
    <t>Fluorn-Winzeln</t>
  </si>
  <si>
    <t>Stephanskirchen</t>
  </si>
  <si>
    <t>Bad Endorf</t>
  </si>
  <si>
    <t>Eggenfelden</t>
  </si>
  <si>
    <t>Pfarrkirchen</t>
  </si>
  <si>
    <t>Tann</t>
  </si>
  <si>
    <t>Triftern</t>
  </si>
  <si>
    <t>Julbach</t>
  </si>
  <si>
    <t>Kipfenberg</t>
  </si>
  <si>
    <t>Böhmfeld</t>
  </si>
  <si>
    <t>Bodnegg</t>
  </si>
  <si>
    <t>Bad Saulgau, Allmannsweiler</t>
  </si>
  <si>
    <t>Fleischwangen</t>
  </si>
  <si>
    <t>Riedlingen</t>
  </si>
  <si>
    <t>Günzburg</t>
  </si>
  <si>
    <t>Ichenhausen</t>
  </si>
  <si>
    <t>Bibertal</t>
  </si>
  <si>
    <t>Bubesheim</t>
  </si>
  <si>
    <t>Kötz</t>
  </si>
  <si>
    <t>Dietersheim</t>
  </si>
  <si>
    <t>Illesheim</t>
  </si>
  <si>
    <t>Mönchsroth</t>
  </si>
  <si>
    <t>Wilburgstetten</t>
  </si>
  <si>
    <t>Weiltingen</t>
  </si>
  <si>
    <t>Perlesreut</t>
  </si>
  <si>
    <t>Saldenburg</t>
  </si>
  <si>
    <t>Roßbach</t>
  </si>
  <si>
    <t>Neuenmarkt</t>
  </si>
  <si>
    <t>Ludwigschorgast</t>
  </si>
  <si>
    <t>Heinersreuth</t>
  </si>
  <si>
    <t>Himmelkron</t>
  </si>
  <si>
    <t>Neudrossenfeld</t>
  </si>
  <si>
    <t>Baunach</t>
  </si>
  <si>
    <t>Rauhenebrach</t>
  </si>
  <si>
    <t>Schönbrunn i. Steigerwald</t>
  </si>
  <si>
    <t>Burgkunstadt</t>
  </si>
  <si>
    <t>Pressig</t>
  </si>
  <si>
    <t>Frankenblick, Schalkau, Bachfeld</t>
  </si>
  <si>
    <t>Eltmann</t>
  </si>
  <si>
    <t>Weimar</t>
  </si>
  <si>
    <t>Mihla</t>
  </si>
  <si>
    <t>Berlin Wilhelmstadt</t>
  </si>
  <si>
    <t>Berlin Grunewald</t>
  </si>
  <si>
    <t>Werder/ Havel</t>
  </si>
  <si>
    <t>Wandlitz</t>
  </si>
  <si>
    <t>Oranienburg, Mühlenbecker Land</t>
  </si>
  <si>
    <t>Hohen Neuendorf</t>
  </si>
  <si>
    <t>Birkenwerder</t>
  </si>
  <si>
    <t>Liebenwalde</t>
  </si>
  <si>
    <t>Leegebruch</t>
  </si>
  <si>
    <t>Pritzwalk, Groß Pankow</t>
  </si>
  <si>
    <t>Triglitz, Putlitz</t>
  </si>
  <si>
    <t>Neubrandenburg</t>
  </si>
  <si>
    <t>Demmin u.a.</t>
  </si>
  <si>
    <t>Stavenhagen</t>
  </si>
  <si>
    <t>Wredenhagen</t>
  </si>
  <si>
    <t>Rechlin</t>
  </si>
  <si>
    <t>Ulrichstein</t>
  </si>
  <si>
    <t>Wildeck</t>
  </si>
  <si>
    <t>Bad Hersfeld, Ludwigsau</t>
  </si>
  <si>
    <t>Dermbach, Wiesenthal</t>
  </si>
  <si>
    <t>Hessisch Lichtenau</t>
  </si>
  <si>
    <t>Am Ohmberg, Sonnenstein</t>
  </si>
  <si>
    <t>Dingelstädt</t>
  </si>
  <si>
    <t>Niederorschel u.a.</t>
  </si>
  <si>
    <t>Langelsheim</t>
  </si>
  <si>
    <t>Halberstadt, Groß Quenstedt</t>
  </si>
  <si>
    <t>Osterwieck</t>
  </si>
  <si>
    <t>Welsleben, Biere, Eickendorf, Eggersdorf, Großmühlingen etc</t>
  </si>
  <si>
    <t>Möckern, Schermen, Nedlitz etc</t>
  </si>
  <si>
    <t>Goldbeck, Arneburg u.a.</t>
  </si>
  <si>
    <t>Schopfloch</t>
  </si>
  <si>
    <t>Ratshausen</t>
  </si>
  <si>
    <t>Weilen unter den Rinnen</t>
  </si>
  <si>
    <t>Scheer</t>
  </si>
  <si>
    <t>Neresheim</t>
  </si>
  <si>
    <t>Neuler</t>
  </si>
  <si>
    <t>Wört</t>
  </si>
  <si>
    <t>Kaisersbach</t>
  </si>
  <si>
    <t>Stimpfach</t>
  </si>
  <si>
    <t>Wallhausen</t>
  </si>
  <si>
    <t>Bad Dürrheim</t>
  </si>
  <si>
    <t>Brigachtal</t>
  </si>
  <si>
    <t>Denkingen</t>
  </si>
  <si>
    <t>Durchhausen</t>
  </si>
  <si>
    <t>Rietheim-Weilheim</t>
  </si>
  <si>
    <t>Trossingen</t>
  </si>
  <si>
    <t>Aichhalden</t>
  </si>
  <si>
    <t>Söchtenau</t>
  </si>
  <si>
    <t>Prien a. Chiemsee, Herrenchiemssee</t>
  </si>
  <si>
    <t>Wasserburg a. Inn</t>
  </si>
  <si>
    <t>Rott a. Inn</t>
  </si>
  <si>
    <t>Ramerberg</t>
  </si>
  <si>
    <t>Vogtareuth</t>
  </si>
  <si>
    <t>Hebertsfelden</t>
  </si>
  <si>
    <t>Postmünster</t>
  </si>
  <si>
    <t>Eichstätt</t>
  </si>
  <si>
    <t>Hitzhofen</t>
  </si>
  <si>
    <t>Kinding</t>
  </si>
  <si>
    <t>Auhausen</t>
  </si>
  <si>
    <t>Fremdingen</t>
  </si>
  <si>
    <t>Schlier</t>
  </si>
  <si>
    <t>Niederstotzingen</t>
  </si>
  <si>
    <t>Ballendorf</t>
  </si>
  <si>
    <t>Bernstadt</t>
  </si>
  <si>
    <t>Neenstetten</t>
  </si>
  <si>
    <t>Westerstetten</t>
  </si>
  <si>
    <t>Weißenhorn</t>
  </si>
  <si>
    <t>Offingen</t>
  </si>
  <si>
    <t>Waldstetten</t>
  </si>
  <si>
    <t>Giengen an der Brenz</t>
  </si>
  <si>
    <t>Sontheim an der Brenz</t>
  </si>
  <si>
    <t>Hermaringen</t>
  </si>
  <si>
    <t>Herrieden</t>
  </si>
  <si>
    <t>Neusitz</t>
  </si>
  <si>
    <t>Gerolfingen</t>
  </si>
  <si>
    <t>Wittelshofen</t>
  </si>
  <si>
    <t>Lalling</t>
  </si>
  <si>
    <t>Harsdorf</t>
  </si>
  <si>
    <t>Bamberg</t>
  </si>
  <si>
    <t>Burghaslach</t>
  </si>
  <si>
    <t>Burgwindheim</t>
  </si>
  <si>
    <t>Rattelsdorf</t>
  </si>
  <si>
    <t>Ebensfeld</t>
  </si>
  <si>
    <t>Kronach</t>
  </si>
  <si>
    <t>Marktrodach</t>
  </si>
  <si>
    <t>Fladungen</t>
  </si>
  <si>
    <t>Hildburghausen</t>
  </si>
  <si>
    <t>Gerstungen</t>
  </si>
  <si>
    <t>Bad Langensalza</t>
  </si>
  <si>
    <t>Mühlhausen, Unstruttal</t>
  </si>
  <si>
    <t>Großengottern, Heroldishausen</t>
  </si>
  <si>
    <t>Radebeul</t>
  </si>
  <si>
    <t>Halle/ Saale</t>
  </si>
  <si>
    <t>Köthen</t>
  </si>
  <si>
    <t>Ilberstedt</t>
  </si>
  <si>
    <t>Seeland</t>
  </si>
  <si>
    <t>Bitterfeld-Wolfen</t>
  </si>
  <si>
    <t>Coswig (Anhalt)</t>
  </si>
  <si>
    <t>Jena</t>
  </si>
  <si>
    <t>Berlin Gropiusstadt</t>
  </si>
  <si>
    <t>Berlin Buch</t>
  </si>
  <si>
    <t>Berlin Französisch Buchholz</t>
  </si>
  <si>
    <t>Berlin Hakenfelde</t>
  </si>
  <si>
    <t>Berlin Nikolassee</t>
  </si>
  <si>
    <t>Teltow</t>
  </si>
  <si>
    <t>Kleinmachnow</t>
  </si>
  <si>
    <t>Schwielowswee</t>
  </si>
  <si>
    <t>Michendorf</t>
  </si>
  <si>
    <t>Schönwalde</t>
  </si>
  <si>
    <t>Dallgow-Döberitz</t>
  </si>
  <si>
    <t>Brieselang</t>
  </si>
  <si>
    <t>Ketzin</t>
  </si>
  <si>
    <t>Premnitz</t>
  </si>
  <si>
    <t>Rhinow</t>
  </si>
  <si>
    <t>Beetzsee, Wollin, Wenzlow, Golzow u.a</t>
  </si>
  <si>
    <t>Lehnin</t>
  </si>
  <si>
    <t>Strausberg</t>
  </si>
  <si>
    <t>Lichtenow, Altlandsberg u.a.</t>
  </si>
  <si>
    <t>Rüdersdorf</t>
  </si>
  <si>
    <t>Mühlenbecker Land</t>
  </si>
  <si>
    <t>Hohen Neuendorf OT Bergfelde</t>
  </si>
  <si>
    <t>Velten, Oberkrämer</t>
  </si>
  <si>
    <t>Zehdenick</t>
  </si>
  <si>
    <t>Mirow</t>
  </si>
  <si>
    <t>Krien u.a.</t>
  </si>
  <si>
    <t>Söhrewald</t>
  </si>
  <si>
    <t>Knüllwald</t>
  </si>
  <si>
    <t>Hofbieber</t>
  </si>
  <si>
    <t>Neuenstein (Hessen)</t>
  </si>
  <si>
    <t>Friedewald</t>
  </si>
  <si>
    <t>Geisa</t>
  </si>
  <si>
    <t>Krayenberggemeinde, Frauensee</t>
  </si>
  <si>
    <t>Großalmerode</t>
  </si>
  <si>
    <t>Herleshausen</t>
  </si>
  <si>
    <t>Ringgau</t>
  </si>
  <si>
    <t>Weißenborn</t>
  </si>
  <si>
    <t>Küllstedt</t>
  </si>
  <si>
    <t>Wegeleben</t>
  </si>
  <si>
    <t>Harsleben</t>
  </si>
  <si>
    <t>Calbe, Rosenburg, Lödderitz etc</t>
  </si>
  <si>
    <t>Zerbst/Anhalt</t>
  </si>
  <si>
    <t>Güterglück, Lübs, Deetz, Jütrichau etc</t>
  </si>
  <si>
    <t>Loburg, Leitzkau</t>
  </si>
  <si>
    <t>Burg</t>
  </si>
  <si>
    <t>Güsten</t>
  </si>
  <si>
    <t>Hecklingen</t>
  </si>
  <si>
    <t>Hausen am Tann</t>
  </si>
  <si>
    <t>Winterlingen</t>
  </si>
  <si>
    <t>Sigmaringen</t>
  </si>
  <si>
    <t>Veringenstadt</t>
  </si>
  <si>
    <t>Bissingen an der Teck</t>
  </si>
  <si>
    <t>Geislingen an der Steige</t>
  </si>
  <si>
    <t>Gruibingen</t>
  </si>
  <si>
    <t>Ellwangen (Jagst)</t>
  </si>
  <si>
    <t>Stödtlen</t>
  </si>
  <si>
    <t>Spraitbach</t>
  </si>
  <si>
    <t>Kreßberg</t>
  </si>
  <si>
    <t>Dobel</t>
  </si>
  <si>
    <t>Dauchingen</t>
  </si>
  <si>
    <t>Gunningen</t>
  </si>
  <si>
    <t>Tuningen</t>
  </si>
  <si>
    <t>Eschbronn</t>
  </si>
  <si>
    <t>Schramberg</t>
  </si>
  <si>
    <t>Rickenbach</t>
  </si>
  <si>
    <t>Weilheim</t>
  </si>
  <si>
    <t>Bruckmühl</t>
  </si>
  <si>
    <t>Eggstätt</t>
  </si>
  <si>
    <t>Halfing</t>
  </si>
  <si>
    <t>Prutting</t>
  </si>
  <si>
    <t>Grassau</t>
  </si>
  <si>
    <t>Bernau a. Chiemsee</t>
  </si>
  <si>
    <t>Übersee</t>
  </si>
  <si>
    <t>Marquartstein</t>
  </si>
  <si>
    <t>Rimsting</t>
  </si>
  <si>
    <t>Breitbrunn a. Chiemsee</t>
  </si>
  <si>
    <t>Chiemsee</t>
  </si>
  <si>
    <t>Gstadt a. Chiemsee</t>
  </si>
  <si>
    <t>Traunstein</t>
  </si>
  <si>
    <t>Grabenstätt</t>
  </si>
  <si>
    <t>Vachendorf</t>
  </si>
  <si>
    <t>Pfaffing</t>
  </si>
  <si>
    <t>Eiselfing</t>
  </si>
  <si>
    <t>Emmering</t>
  </si>
  <si>
    <t>Griesstätt</t>
  </si>
  <si>
    <t>Wurmannsquick</t>
  </si>
  <si>
    <t>Johanniskirchen</t>
  </si>
  <si>
    <t>Hepberg</t>
  </si>
  <si>
    <t>Stammham</t>
  </si>
  <si>
    <t>Monheim</t>
  </si>
  <si>
    <t>Oettingen i. Bay.</t>
  </si>
  <si>
    <t>Ehingen a. Ries</t>
  </si>
  <si>
    <t>Marktoffingen</t>
  </si>
  <si>
    <t>Ostrach</t>
  </si>
  <si>
    <t>Ebersbach-Musbach</t>
  </si>
  <si>
    <t>Königseggwald</t>
  </si>
  <si>
    <t>Biberach an der Riß</t>
  </si>
  <si>
    <t>Bad Schussenried</t>
  </si>
  <si>
    <t>Dettingen an der Iller</t>
  </si>
  <si>
    <t>Kirchdorf an der Iller</t>
  </si>
  <si>
    <t>Achstetten</t>
  </si>
  <si>
    <t>Ertingen</t>
  </si>
  <si>
    <t>Dürmentingen</t>
  </si>
  <si>
    <t>Unlingen</t>
  </si>
  <si>
    <t>Illmensee</t>
  </si>
  <si>
    <t>Blaustein</t>
  </si>
  <si>
    <t>Lonsee</t>
  </si>
  <si>
    <t>Altheim (Alb)</t>
  </si>
  <si>
    <t>Beimerstetten</t>
  </si>
  <si>
    <t>Breitingen</t>
  </si>
  <si>
    <t>Hüttisheim</t>
  </si>
  <si>
    <t>Bellenberg</t>
  </si>
  <si>
    <t>Roggenburg</t>
  </si>
  <si>
    <t>Burgau</t>
  </si>
  <si>
    <t>Ellzee</t>
  </si>
  <si>
    <t>Gundelfingen a.d. Donau</t>
  </si>
  <si>
    <t>Bachhagel</t>
  </si>
  <si>
    <t>Bächingen a.d. Brenz</t>
  </si>
  <si>
    <t>Gerstetten</t>
  </si>
  <si>
    <t>Königsbronn</t>
  </si>
  <si>
    <t>Emerkingen</t>
  </si>
  <si>
    <t>Griesingen</t>
  </si>
  <si>
    <t>Baiersdorf</t>
  </si>
  <si>
    <t>Poxdorf</t>
  </si>
  <si>
    <t>Höchstadt a.d.Aisch</t>
  </si>
  <si>
    <t>Scheinfeld</t>
  </si>
  <si>
    <t>Diespeck</t>
  </si>
  <si>
    <t>Dinkelsbühl</t>
  </si>
  <si>
    <t>Feuchtwangen</t>
  </si>
  <si>
    <t>Schillingsfürst</t>
  </si>
  <si>
    <t>Obernzenn</t>
  </si>
  <si>
    <t>Schnelldorf</t>
  </si>
  <si>
    <t>Windelsbach</t>
  </si>
  <si>
    <t>Wörnitz</t>
  </si>
  <si>
    <t>Langfurth</t>
  </si>
  <si>
    <t>Westheim</t>
  </si>
  <si>
    <t>Weiden in der OPf., Theisseil</t>
  </si>
  <si>
    <t>Stadtsteinach</t>
  </si>
  <si>
    <t>Kasendorf</t>
  </si>
  <si>
    <t>Rugendorf</t>
  </si>
  <si>
    <t>Bindlach</t>
  </si>
  <si>
    <t>Scheßlitz</t>
  </si>
  <si>
    <t>Lauter</t>
  </si>
  <si>
    <t>Reckendorf</t>
  </si>
  <si>
    <t>Wachenroth</t>
  </si>
  <si>
    <t>Walsdorf</t>
  </si>
  <si>
    <t>Weismain</t>
  </si>
  <si>
    <t>Eisfeld, Auengrund</t>
  </si>
  <si>
    <t>Weißensee</t>
  </si>
  <si>
    <t>Nordhausen</t>
  </si>
  <si>
    <t>Bleicherode</t>
  </si>
  <si>
    <t>Heringen/ Helme</t>
  </si>
  <si>
    <t>Wutha-Farnroda</t>
  </si>
  <si>
    <t>Rodeberg, Dünwald u.a.</t>
  </si>
  <si>
    <t>Vogtei, Kammerforst u.a.</t>
  </si>
  <si>
    <t>Südeichsfeld</t>
  </si>
  <si>
    <t>Riesa</t>
  </si>
  <si>
    <t>Meißen</t>
  </si>
  <si>
    <t>Markkleeberg</t>
  </si>
  <si>
    <t>Borna</t>
  </si>
  <si>
    <t>Rötha</t>
  </si>
  <si>
    <t>Hedersleben</t>
  </si>
  <si>
    <t>Chemnitz</t>
  </si>
  <si>
    <t>Berlin Blankenfelde</t>
  </si>
  <si>
    <t>Beelitz</t>
  </si>
  <si>
    <t>Groß Kreutz</t>
  </si>
  <si>
    <t>Nuthetal</t>
  </si>
  <si>
    <t>Rathenow</t>
  </si>
  <si>
    <t>Milower Land, Schollene, Nennhausen u.a.</t>
  </si>
  <si>
    <t>Havelsee</t>
  </si>
  <si>
    <t>Werneuchen</t>
  </si>
  <si>
    <t>Biesenthal</t>
  </si>
  <si>
    <t>Kyritz u.a.</t>
  </si>
  <si>
    <t>Ducherow</t>
  </si>
  <si>
    <t>Osterode am Harz</t>
  </si>
  <si>
    <t>Wernigerode, Nordharz</t>
  </si>
  <si>
    <t>Dotternhausen</t>
  </si>
  <si>
    <t>Bingen</t>
  </si>
  <si>
    <t>Essingen</t>
  </si>
  <si>
    <t>Tannhausen</t>
  </si>
  <si>
    <t>Riedering</t>
  </si>
  <si>
    <t>Schonstett</t>
  </si>
  <si>
    <t>Unterwössen</t>
  </si>
  <si>
    <t>Traunreut</t>
  </si>
  <si>
    <t>Seeon-Seebruck</t>
  </si>
  <si>
    <t>Freilassing</t>
  </si>
  <si>
    <t>Anger</t>
  </si>
  <si>
    <t>Edling</t>
  </si>
  <si>
    <t>Soyen</t>
  </si>
  <si>
    <t>Tittmoning</t>
  </si>
  <si>
    <t>Titting</t>
  </si>
  <si>
    <t>Otting</t>
  </si>
  <si>
    <t>Tagmersheim</t>
  </si>
  <si>
    <t>Wolferstadt</t>
  </si>
  <si>
    <t>Maihingen</t>
  </si>
  <si>
    <t>Möttingen</t>
  </si>
  <si>
    <t>Fellheim</t>
  </si>
  <si>
    <t>Pleß</t>
  </si>
  <si>
    <t>Weiler-Simmerberg</t>
  </si>
  <si>
    <t>Bad Buchau</t>
  </si>
  <si>
    <t>Laupheim</t>
  </si>
  <si>
    <t>Gutenzell-Hürbel</t>
  </si>
  <si>
    <t>Kirchberg an der Iller</t>
  </si>
  <si>
    <t>Zwiefalten</t>
  </si>
  <si>
    <t>Leibertingen, Buchheim</t>
  </si>
  <si>
    <t>Osterberg</t>
  </si>
  <si>
    <t>Rettenbach</t>
  </si>
  <si>
    <t>Ehingen (Donau), Lauterach</t>
  </si>
  <si>
    <t>Munderkingen</t>
  </si>
  <si>
    <t>Oberdischingen</t>
  </si>
  <si>
    <t>Öpfingen</t>
  </si>
  <si>
    <t>Rottenacker</t>
  </si>
  <si>
    <t>Dachsbach</t>
  </si>
  <si>
    <t>Lonnerstadt</t>
  </si>
  <si>
    <t>Buch a. Wald</t>
  </si>
  <si>
    <t>Burk</t>
  </si>
  <si>
    <t>Dombühl</t>
  </si>
  <si>
    <t>Dürrwangen</t>
  </si>
  <si>
    <t>Geslau</t>
  </si>
  <si>
    <t>Wieseth</t>
  </si>
  <si>
    <t>Röckingen</t>
  </si>
  <si>
    <t>Dietfurt a.d. Altmühl</t>
  </si>
  <si>
    <t>Straubing</t>
  </si>
  <si>
    <t>Geroda</t>
  </si>
  <si>
    <t>Suhl</t>
  </si>
  <si>
    <t>Schwallungen</t>
  </si>
  <si>
    <t>Gebesee</t>
  </si>
  <si>
    <t>Großrudestedt, Schloßvippach u.a.</t>
  </si>
  <si>
    <t>Sollstedt</t>
  </si>
  <si>
    <t>Marksuhl, Krauthausen u.a.</t>
  </si>
  <si>
    <t>Körner, Weinbergen</t>
  </si>
  <si>
    <t>Strehla</t>
  </si>
  <si>
    <t>Zeithain</t>
  </si>
  <si>
    <t>Coswig</t>
  </si>
  <si>
    <t>Naunhof</t>
  </si>
  <si>
    <t>Bennewitz, Machern</t>
  </si>
  <si>
    <t>Torgau</t>
  </si>
  <si>
    <t>Mockrehna</t>
  </si>
  <si>
    <t>Nienburg (Saale)</t>
  </si>
  <si>
    <t>Aschersleben</t>
  </si>
  <si>
    <t>Artern/ Unstrut u.a.</t>
  </si>
  <si>
    <t>Roßleben, Wiehe, Donndorf, Nausitz, Gehofen</t>
  </si>
  <si>
    <t>Wittenberg</t>
  </si>
  <si>
    <t>Berlin Rahnsdorf</t>
  </si>
  <si>
    <t>Seddinger See</t>
  </si>
  <si>
    <t>Belzig</t>
  </si>
  <si>
    <t>Brück, Borkheide u.a</t>
  </si>
  <si>
    <t>Niemegk</t>
  </si>
  <si>
    <t>Luckenwalde</t>
  </si>
  <si>
    <t>Ludwigsfelde</t>
  </si>
  <si>
    <t>Großbeeren</t>
  </si>
  <si>
    <t>Spreenhagen</t>
  </si>
  <si>
    <t>Erkner</t>
  </si>
  <si>
    <t>Kremmen</t>
  </si>
  <si>
    <t>Neuruppin</t>
  </si>
  <si>
    <t>Rheinsberg</t>
  </si>
  <si>
    <t>Neustadt (Dosse) u.a.</t>
  </si>
  <si>
    <t>Wusterhausen</t>
  </si>
  <si>
    <t>Wittstock/Dosse, Heiligengrabe</t>
  </si>
  <si>
    <t>Sponholz, Neunkirchen u.a.</t>
  </si>
  <si>
    <t>Möllenbeck</t>
  </si>
  <si>
    <t>Wesenberg</t>
  </si>
  <si>
    <t>Kaltennordheim</t>
  </si>
  <si>
    <t>Walkenried</t>
  </si>
  <si>
    <t>Jerichow</t>
  </si>
  <si>
    <t>Sandau</t>
  </si>
  <si>
    <t>Neufra</t>
  </si>
  <si>
    <t>Gammertingen</t>
  </si>
  <si>
    <t>Stetten am kalten Markt</t>
  </si>
  <si>
    <t>Lichtenstein</t>
  </si>
  <si>
    <t>Erkenbrechtsweiler</t>
  </si>
  <si>
    <t>Amstetten</t>
  </si>
  <si>
    <t>Lauchheim</t>
  </si>
  <si>
    <t>Enzklösterle</t>
  </si>
  <si>
    <t>Mönchweiler</t>
  </si>
  <si>
    <t>Hüfingen</t>
  </si>
  <si>
    <t>Bräunlingen</t>
  </si>
  <si>
    <t>Dürbheim</t>
  </si>
  <si>
    <t>Seitingen-Oberflacht</t>
  </si>
  <si>
    <t>Münstertal</t>
  </si>
  <si>
    <t>Tuntenhausen</t>
  </si>
  <si>
    <t>Amerang</t>
  </si>
  <si>
    <t>Waging a. See</t>
  </si>
  <si>
    <t>Palling</t>
  </si>
  <si>
    <t>Surberg</t>
  </si>
  <si>
    <t>Taching a. See</t>
  </si>
  <si>
    <t>Fridolfing</t>
  </si>
  <si>
    <t>Kirchanschöring</t>
  </si>
  <si>
    <t>Marktschellenberg</t>
  </si>
  <si>
    <t>Frauenneuharting</t>
  </si>
  <si>
    <t>Malgersdorf</t>
  </si>
  <si>
    <t>Manching</t>
  </si>
  <si>
    <t>Vohburg a.d. Donau</t>
  </si>
  <si>
    <t>Kösching</t>
  </si>
  <si>
    <t>Lenting</t>
  </si>
  <si>
    <t>Münchsmünster</t>
  </si>
  <si>
    <t>Pollenfeld</t>
  </si>
  <si>
    <t>Steinhöring</t>
  </si>
  <si>
    <t>Breitenthal</t>
  </si>
  <si>
    <t>Deisenhausen</t>
  </si>
  <si>
    <t>Wemding</t>
  </si>
  <si>
    <t>Rögling</t>
  </si>
  <si>
    <t>Nördlingen</t>
  </si>
  <si>
    <t>Alerheim</t>
  </si>
  <si>
    <t>Deiningen</t>
  </si>
  <si>
    <t>Reimlingen</t>
  </si>
  <si>
    <t>Wechingen</t>
  </si>
  <si>
    <t>Winterrieden</t>
  </si>
  <si>
    <t>Hoßkirch</t>
  </si>
  <si>
    <t>Maselheim</t>
  </si>
  <si>
    <t>Mittelbiberach</t>
  </si>
  <si>
    <t>Ummendorf</t>
  </si>
  <si>
    <t>Ingoldingen</t>
  </si>
  <si>
    <t>Balzheim</t>
  </si>
  <si>
    <t>Burgrieden</t>
  </si>
  <si>
    <t>Mietingen</t>
  </si>
  <si>
    <t>Wain</t>
  </si>
  <si>
    <t>Uttenweiler</t>
  </si>
  <si>
    <t>Dornstadt</t>
  </si>
  <si>
    <t>Dietenheim</t>
  </si>
  <si>
    <t>Berghülen</t>
  </si>
  <si>
    <t>Schnürpflingen</t>
  </si>
  <si>
    <t>Staig</t>
  </si>
  <si>
    <t>Weidenstetten</t>
  </si>
  <si>
    <t>Buch</t>
  </si>
  <si>
    <t>Kellmünz a.d. Iller</t>
  </si>
  <si>
    <t>Oberroth</t>
  </si>
  <si>
    <t>Kammeltal</t>
  </si>
  <si>
    <t>Syrgenstein</t>
  </si>
  <si>
    <t>Haunsheim</t>
  </si>
  <si>
    <t>Medlingen</t>
  </si>
  <si>
    <t>Zöschingen</t>
  </si>
  <si>
    <t>Nattheim</t>
  </si>
  <si>
    <t>Obermarchtal</t>
  </si>
  <si>
    <t>Oberstadion</t>
  </si>
  <si>
    <t>Untermarchtal</t>
  </si>
  <si>
    <t>Unterstadion</t>
  </si>
  <si>
    <t>Trautskirchen</t>
  </si>
  <si>
    <t>Bubenreuth</t>
  </si>
  <si>
    <t>Adelsdorf</t>
  </si>
  <si>
    <t>Gremsdorf</t>
  </si>
  <si>
    <t>Pinzberg</t>
  </si>
  <si>
    <t>Ansbach</t>
  </si>
  <si>
    <t>Burgoberbach</t>
  </si>
  <si>
    <t>Dentlein a. Forst</t>
  </si>
  <si>
    <t>Oberdachstetten</t>
  </si>
  <si>
    <t>Ehingen</t>
  </si>
  <si>
    <t>Unterschwaningen</t>
  </si>
  <si>
    <t>Neumarkt i.d. OPf.</t>
  </si>
  <si>
    <t>Beilngries</t>
  </si>
  <si>
    <t>Arnstorf</t>
  </si>
  <si>
    <t>Künzing</t>
  </si>
  <si>
    <t>Thurnau</t>
  </si>
  <si>
    <t>Schlüsselfeld</t>
  </si>
  <si>
    <t>Hollfeld</t>
  </si>
  <si>
    <t>Geiselwind</t>
  </si>
  <si>
    <t>Pommersfelden</t>
  </si>
  <si>
    <t>Wattendorf</t>
  </si>
  <si>
    <t>Zapfendorf</t>
  </si>
  <si>
    <t>Oberaurach</t>
  </si>
  <si>
    <t>Udestedt, Mönchenholzhausen u.a.</t>
  </si>
  <si>
    <t>Sömmerda</t>
  </si>
  <si>
    <t>Buttstädt</t>
  </si>
  <si>
    <t>Straußfurt</t>
  </si>
  <si>
    <t>Kindelbrück</t>
  </si>
  <si>
    <t>Kyffhäuserland</t>
  </si>
  <si>
    <t>Creuzburg, Ifta</t>
  </si>
  <si>
    <t>Borsdorf</t>
  </si>
  <si>
    <t>Regis-Breitingen</t>
  </si>
  <si>
    <t>Neukieritzsch, Deutzen</t>
  </si>
  <si>
    <t>Lucka</t>
  </si>
  <si>
    <t>Trebsen/Mulde</t>
  </si>
  <si>
    <t>Brandis</t>
  </si>
  <si>
    <t>Belgern-Schildau</t>
  </si>
  <si>
    <t>Mühlberg, Bad Liebenwerda</t>
  </si>
  <si>
    <t>Merseburg</t>
  </si>
  <si>
    <t>Quedlinburg</t>
  </si>
  <si>
    <t>Karsdorf</t>
  </si>
  <si>
    <t>Elsteraue</t>
  </si>
  <si>
    <t>Oranienbaum-Wörlitz</t>
  </si>
  <si>
    <t>Dessau-Roßlau</t>
  </si>
  <si>
    <t>Pößneck</t>
  </si>
  <si>
    <t>Kahla</t>
  </si>
  <si>
    <t>Zwickau</t>
  </si>
  <si>
    <t>Wusterwitz, Rosenau, Bensdorf</t>
  </si>
  <si>
    <t>Wiesenburg</t>
  </si>
  <si>
    <t>Görzke</t>
  </si>
  <si>
    <t>Schöneiche bei Berlin</t>
  </si>
  <si>
    <t>Fehrbellin, Temnitzquell, Märkisch Linden u.a.</t>
  </si>
  <si>
    <t>Altentreptow</t>
  </si>
  <si>
    <t>Burow</t>
  </si>
  <si>
    <t>Rosenow</t>
  </si>
  <si>
    <t>Penzlin</t>
  </si>
  <si>
    <t>Neustrelitz</t>
  </si>
  <si>
    <t>Schwarzenborn</t>
  </si>
  <si>
    <t>Hilders, Ehrenberg</t>
  </si>
  <si>
    <t>Heiligenstadt</t>
  </si>
  <si>
    <t>Ilsenburg, Nordharz</t>
  </si>
  <si>
    <t>Elbe-Parey</t>
  </si>
  <si>
    <t>Dornstetten</t>
  </si>
  <si>
    <t>Gomadingen</t>
  </si>
  <si>
    <t>Hayingen</t>
  </si>
  <si>
    <t>Bad Urach</t>
  </si>
  <si>
    <t>Grabenstetten</t>
  </si>
  <si>
    <t>Hülben</t>
  </si>
  <si>
    <t>Eningen</t>
  </si>
  <si>
    <t>Trochtelfingen</t>
  </si>
  <si>
    <t>Sonnenbühl</t>
  </si>
  <si>
    <t>Engstingen</t>
  </si>
  <si>
    <t>Bad Überkingen</t>
  </si>
  <si>
    <t>Riesbürg</t>
  </si>
  <si>
    <t>Heubach</t>
  </si>
  <si>
    <t>Fichtenau</t>
  </si>
  <si>
    <t>Neuweiler</t>
  </si>
  <si>
    <t>Oberreichenbach</t>
  </si>
  <si>
    <t>Unterkirnach</t>
  </si>
  <si>
    <t>Vöhrenbach</t>
  </si>
  <si>
    <t>Immendingen</t>
  </si>
  <si>
    <t>Gosheim</t>
  </si>
  <si>
    <t>Wehingen, Reichenbach</t>
  </si>
  <si>
    <t>Mühlheim an der Donau</t>
  </si>
  <si>
    <t>Hardt</t>
  </si>
  <si>
    <t>Görwihl</t>
  </si>
  <si>
    <t>Frasdorf</t>
  </si>
  <si>
    <t>Obing</t>
  </si>
  <si>
    <t>Höslwang</t>
  </si>
  <si>
    <t>Trostberg</t>
  </si>
  <si>
    <t>Teisendorf</t>
  </si>
  <si>
    <t>Chieming</t>
  </si>
  <si>
    <t>Kienberg</t>
  </si>
  <si>
    <t>St. Georgen</t>
  </si>
  <si>
    <t>Laufen</t>
  </si>
  <si>
    <t>Saaldorf</t>
  </si>
  <si>
    <t>Rechtmehring</t>
  </si>
  <si>
    <t>Falkenberg</t>
  </si>
  <si>
    <t>Altötting</t>
  </si>
  <si>
    <t>Burgkirchen an der Alz</t>
  </si>
  <si>
    <t>Marktl</t>
  </si>
  <si>
    <t>Kirchweidach</t>
  </si>
  <si>
    <t>Erlbach</t>
  </si>
  <si>
    <t>Großmehring</t>
  </si>
  <si>
    <t>Pförring</t>
  </si>
  <si>
    <t>Wettstetten</t>
  </si>
  <si>
    <t>Moosburg a.d. Isar</t>
  </si>
  <si>
    <t>Krumbach (Schwaben)</t>
  </si>
  <si>
    <t>Ebershausen</t>
  </si>
  <si>
    <t>Donauwörth</t>
  </si>
  <si>
    <t>Buchdorf</t>
  </si>
  <si>
    <t>Fünfstetten</t>
  </si>
  <si>
    <t>Huisheim</t>
  </si>
  <si>
    <t>Kaisheim</t>
  </si>
  <si>
    <t>Hainsfarth</t>
  </si>
  <si>
    <t>Hohenaltheim</t>
  </si>
  <si>
    <t>Munningen</t>
  </si>
  <si>
    <t>Wallerstein</t>
  </si>
  <si>
    <t>Memmingen</t>
  </si>
  <si>
    <t>Heimertingen</t>
  </si>
  <si>
    <t>Bad Waldsee</t>
  </si>
  <si>
    <t>Schemmerhofen</t>
  </si>
  <si>
    <t>Warthausen</t>
  </si>
  <si>
    <t>Attenweiler</t>
  </si>
  <si>
    <t>Erolzheim</t>
  </si>
  <si>
    <t>Schwendi</t>
  </si>
  <si>
    <t>Illerrieden</t>
  </si>
  <si>
    <t>Unterroth</t>
  </si>
  <si>
    <t>Jettingen-Scheppach</t>
  </si>
  <si>
    <t>Burtenbach</t>
  </si>
  <si>
    <t>Dürrlauingen</t>
  </si>
  <si>
    <t>Haldenwang</t>
  </si>
  <si>
    <t>Röfingen</t>
  </si>
  <si>
    <t>Lauingen (Donau)</t>
  </si>
  <si>
    <t>Ziertheim</t>
  </si>
  <si>
    <t>Steinheim am Albuch</t>
  </si>
  <si>
    <t>Dischingen</t>
  </si>
  <si>
    <t>Allmendingen</t>
  </si>
  <si>
    <t>Altheim</t>
  </si>
  <si>
    <t>Neuhof a.d.Zenn</t>
  </si>
  <si>
    <t>Uttenreuth, Marloffstein</t>
  </si>
  <si>
    <t>Eggolsheim</t>
  </si>
  <si>
    <t>Gerhardshofen</t>
  </si>
  <si>
    <t>Uehlfeld</t>
  </si>
  <si>
    <t>Vestenbergsgreuth</t>
  </si>
  <si>
    <t>Leutershausen</t>
  </si>
  <si>
    <t>Aurach</t>
  </si>
  <si>
    <t>Flachslanden</t>
  </si>
  <si>
    <t>Lehrberg</t>
  </si>
  <si>
    <t>Gunzenhausen</t>
  </si>
  <si>
    <t>Wassertrüdingen</t>
  </si>
  <si>
    <t>Gnotzheim</t>
  </si>
  <si>
    <t>Alesheim</t>
  </si>
  <si>
    <t>Dollnstein</t>
  </si>
  <si>
    <t>Mörnsheim</t>
  </si>
  <si>
    <t>Polsingen</t>
  </si>
  <si>
    <t>Neustadt a.d. Donau</t>
  </si>
  <si>
    <t>Riedenburg</t>
  </si>
  <si>
    <t>Wegscheid</t>
  </si>
  <si>
    <t>Jandelsbrunn</t>
  </si>
  <si>
    <t>Eichendorf</t>
  </si>
  <si>
    <t>Deggendorf</t>
  </si>
  <si>
    <t>Winzer</t>
  </si>
  <si>
    <t>Untersteinach</t>
  </si>
  <si>
    <t>Litzendorf</t>
  </si>
  <si>
    <t>Strullendorf</t>
  </si>
  <si>
    <t>Burgebrach</t>
  </si>
  <si>
    <t>Königsfeld</t>
  </si>
  <si>
    <t>Oberhaid</t>
  </si>
  <si>
    <t>Stadelhofen</t>
  </si>
  <si>
    <t>Stettfeld</t>
  </si>
  <si>
    <t>Wonsees</t>
  </si>
  <si>
    <t>Apolda</t>
  </si>
  <si>
    <t>Kölleda</t>
  </si>
  <si>
    <t>Ellrich</t>
  </si>
  <si>
    <t>Gotha</t>
  </si>
  <si>
    <t>Drei Gleichen</t>
  </si>
  <si>
    <t>Bad Tennstedt</t>
  </si>
  <si>
    <t>Großvargula, Tonna</t>
  </si>
  <si>
    <t>Zwenkau</t>
  </si>
  <si>
    <t>Groitzsch</t>
  </si>
  <si>
    <t>Böhlen</t>
  </si>
  <si>
    <t>Torgau, Dreiheide</t>
  </si>
  <si>
    <t>Wallhausen, Blankenheim</t>
  </si>
  <si>
    <t>Bad Frankenhausen/ Kyffhäuser</t>
  </si>
  <si>
    <t>Heldrungen</t>
  </si>
  <si>
    <t>Nebra, Kaiserpfalz</t>
  </si>
  <si>
    <t>Neuengönna u.a.</t>
  </si>
  <si>
    <t>Schönefeld</t>
  </si>
  <si>
    <t>Berlin Köpenick</t>
  </si>
  <si>
    <t>Berlin Wiesengrund</t>
  </si>
  <si>
    <t>Friesack</t>
  </si>
  <si>
    <t>Ziesar</t>
  </si>
  <si>
    <t>Treuenbrietzen</t>
  </si>
  <si>
    <t>Trebbin</t>
  </si>
  <si>
    <t>Mittenwalde</t>
  </si>
  <si>
    <t>Blankenfelde-Mahlow</t>
  </si>
  <si>
    <t>Blankenfelde-Mahlow u.a.</t>
  </si>
  <si>
    <t>Rangsdorf</t>
  </si>
  <si>
    <t>Storkow</t>
  </si>
  <si>
    <t>Wendisch Rietz</t>
  </si>
  <si>
    <t>Gransee, Löwenberg</t>
  </si>
  <si>
    <t>Fehrbellin</t>
  </si>
  <si>
    <t>Lindow u.a.</t>
  </si>
  <si>
    <t>Cölpin</t>
  </si>
  <si>
    <t>Feldberger Seenlandschaft</t>
  </si>
  <si>
    <t>Torgelow</t>
  </si>
  <si>
    <t>Eggesin</t>
  </si>
  <si>
    <t>Ferdinandshof u.a.</t>
  </si>
  <si>
    <t>Spantekow</t>
  </si>
  <si>
    <t>Willingen (Upland)</t>
  </si>
  <si>
    <t>Bad Liebenstein</t>
  </si>
  <si>
    <t>Worbis</t>
  </si>
  <si>
    <t>Bad Sachsa</t>
  </si>
  <si>
    <t>Langenstein, Derenburg</t>
  </si>
  <si>
    <t>Genthin, Hohenseeden, Zabakuck u.a.</t>
  </si>
  <si>
    <t>Winterberg</t>
  </si>
  <si>
    <t>Burladingen</t>
  </si>
  <si>
    <t>Albstadt</t>
  </si>
  <si>
    <t>Straßberg</t>
  </si>
  <si>
    <t>Hettingen</t>
  </si>
  <si>
    <t>Pfronstetten</t>
  </si>
  <si>
    <t>Bartholomä</t>
  </si>
  <si>
    <t>Bad Rippoldsau-Schapbach</t>
  </si>
  <si>
    <t>Königsfeld im Schwarzwald</t>
  </si>
  <si>
    <t>Deilingen</t>
  </si>
  <si>
    <t>Hausen ob Verena</t>
  </si>
  <si>
    <t>Kolbingen</t>
  </si>
  <si>
    <t>Pittenhart</t>
  </si>
  <si>
    <t>Altenmarkt a.d. Alz</t>
  </si>
  <si>
    <t>Neukirchen am Teisenberg</t>
  </si>
  <si>
    <t>Petting</t>
  </si>
  <si>
    <t>Stein a.d. Traun</t>
  </si>
  <si>
    <t>Wonneberg</t>
  </si>
  <si>
    <t>Bad Reichenhall</t>
  </si>
  <si>
    <t>Babensham</t>
  </si>
  <si>
    <t>Marklkofen</t>
  </si>
  <si>
    <t>Mitterskirchen</t>
  </si>
  <si>
    <t>Unterdietfurt</t>
  </si>
  <si>
    <t>Emmerting</t>
  </si>
  <si>
    <t>Adelschlag</t>
  </si>
  <si>
    <t>Ernsgaden</t>
  </si>
  <si>
    <t>Oberdolling</t>
  </si>
  <si>
    <t>Geisenfeld</t>
  </si>
  <si>
    <t>Neuburg a.d. Kammel</t>
  </si>
  <si>
    <t>Aletshausen</t>
  </si>
  <si>
    <t>Kettershausen</t>
  </si>
  <si>
    <t>Tapfheim</t>
  </si>
  <si>
    <t>Genderkingen</t>
  </si>
  <si>
    <t>Amerdingen</t>
  </si>
  <si>
    <t>Megesheim</t>
  </si>
  <si>
    <t>Boos</t>
  </si>
  <si>
    <t>Egg an der Günz</t>
  </si>
  <si>
    <t>Westerheim</t>
  </si>
  <si>
    <t>Scheidegg</t>
  </si>
  <si>
    <t>Tannheim</t>
  </si>
  <si>
    <t>Langenenslingen</t>
  </si>
  <si>
    <t>Merklingen</t>
  </si>
  <si>
    <t>Nellingen</t>
  </si>
  <si>
    <t>Gundremmingen</t>
  </si>
  <si>
    <t>Wittislingen</t>
  </si>
  <si>
    <t>Oberasbach</t>
  </si>
  <si>
    <t>Dietenhofen</t>
  </si>
  <si>
    <t>Herzogenaurach</t>
  </si>
  <si>
    <t>Großenseebach</t>
  </si>
  <si>
    <t>Heßdorf</t>
  </si>
  <si>
    <t>Langensendelbach</t>
  </si>
  <si>
    <t>Möhrendorf/Mark</t>
  </si>
  <si>
    <t>Röttenbach</t>
  </si>
  <si>
    <t>Hallerndorf</t>
  </si>
  <si>
    <t>Markt Taschendorf</t>
  </si>
  <si>
    <t>Bruckberg</t>
  </si>
  <si>
    <t>Colmberg</t>
  </si>
  <si>
    <t>Sachsen b. Ansbach</t>
  </si>
  <si>
    <t>Weihenzell</t>
  </si>
  <si>
    <t>Arberg</t>
  </si>
  <si>
    <t>Dittenheim</t>
  </si>
  <si>
    <t>Höttingen</t>
  </si>
  <si>
    <t>Mindelstetten</t>
  </si>
  <si>
    <t>Cham</t>
  </si>
  <si>
    <t>Furth i. Wald</t>
  </si>
  <si>
    <t>Eschlkam</t>
  </si>
  <si>
    <t>Reisbach</t>
  </si>
  <si>
    <t>Simbach</t>
  </si>
  <si>
    <t>Innernzell</t>
  </si>
  <si>
    <t>Bad Berneck im Fichtelgebirge</t>
  </si>
  <si>
    <t>Eckersdorf</t>
  </si>
  <si>
    <t>Mistelgau</t>
  </si>
  <si>
    <t>Memmelsdorf</t>
  </si>
  <si>
    <t>Bischberg</t>
  </si>
  <si>
    <t>Viereth-Trunstadt</t>
  </si>
  <si>
    <t>Elleben, Wachsenburg</t>
  </si>
  <si>
    <t>Bad Sulza</t>
  </si>
  <si>
    <t>Rastenberg</t>
  </si>
  <si>
    <t>Greußen Clingen Großenehrich</t>
  </si>
  <si>
    <t>Werther Hohenstein Wolkramshausen</t>
  </si>
  <si>
    <t>Waltershausen</t>
  </si>
  <si>
    <t>Gröditz, Wülknitz, Röderaue</t>
  </si>
  <si>
    <t>Cottbus</t>
  </si>
  <si>
    <t>Taucha</t>
  </si>
  <si>
    <t>Großpösna</t>
  </si>
  <si>
    <t>Pegau, Elstertrebnitz</t>
  </si>
  <si>
    <t>Kitzscher</t>
  </si>
  <si>
    <t>Meuselwitz</t>
  </si>
  <si>
    <t>Colditz</t>
  </si>
  <si>
    <t>Waldheim</t>
  </si>
  <si>
    <t>Machern</t>
  </si>
  <si>
    <t>Dommitzsch</t>
  </si>
  <si>
    <t>Arzberg, Beilrode</t>
  </si>
  <si>
    <t>Falkenberg/ Elster</t>
  </si>
  <si>
    <t>Elsterwerda</t>
  </si>
  <si>
    <t>Röderland, Großthiemig u.a.</t>
  </si>
  <si>
    <t>Aken (Elbe)</t>
  </si>
  <si>
    <t>Südliches Anhalt, Köthen</t>
  </si>
  <si>
    <t>Bernburg (Saale)</t>
  </si>
  <si>
    <t>Falkenstein</t>
  </si>
  <si>
    <t>Kelbra (Kyffhäuser)</t>
  </si>
  <si>
    <t>Laucha an der Unstrut</t>
  </si>
  <si>
    <t>Weißenfels, Stößen</t>
  </si>
  <si>
    <t>Hohenmölsen</t>
  </si>
  <si>
    <t>Zeitz</t>
  </si>
  <si>
    <t>Droyßig, Wetterzeube</t>
  </si>
  <si>
    <t>Gräfenhainichen</t>
  </si>
  <si>
    <t>Raguhn-Jeßnitz</t>
  </si>
  <si>
    <t>Zahna-Elster</t>
  </si>
  <si>
    <t>Kemberg</t>
  </si>
  <si>
    <t>Unterwellenborn</t>
  </si>
  <si>
    <t>Gera</t>
  </si>
  <si>
    <t>Dornburg-Camburg u.a.</t>
  </si>
  <si>
    <t>Rochlitz</t>
  </si>
  <si>
    <t>Freiberg</t>
  </si>
  <si>
    <t>Mittweida, Kriebstein</t>
  </si>
  <si>
    <t>Berlin Schmöckwitz</t>
  </si>
  <si>
    <t>Bad Saarow-Pieskow</t>
  </si>
  <si>
    <t>Heidesee</t>
  </si>
  <si>
    <t>Eberswalde</t>
  </si>
  <si>
    <t>Schorfheide</t>
  </si>
  <si>
    <t>Friedland, Galenbeck, Datzetal</t>
  </si>
  <si>
    <t>Woldegk</t>
  </si>
  <si>
    <t>Groß Miltzow</t>
  </si>
  <si>
    <t>Vogelsang-Warsin, Meiersberg, Mönkebude u.a.</t>
  </si>
  <si>
    <t>Gersfeld</t>
  </si>
  <si>
    <t>Vacha, Unterbreizbach</t>
  </si>
  <si>
    <t>Wildemann</t>
  </si>
  <si>
    <t>Freudenstadt</t>
  </si>
  <si>
    <t>Bitz</t>
  </si>
  <si>
    <t>Schwenningen</t>
  </si>
  <si>
    <t>Mehrstetten</t>
  </si>
  <si>
    <t>St. Johann</t>
  </si>
  <si>
    <t>Ellenberg</t>
  </si>
  <si>
    <t>Sasbachwalden</t>
  </si>
  <si>
    <t>Triberg im Schwarzwald</t>
  </si>
  <si>
    <t>Sankt Georgen im Schwarzwald</t>
  </si>
  <si>
    <t>Furtwangen im Schwarzwald</t>
  </si>
  <si>
    <t>Geisingen</t>
  </si>
  <si>
    <t>Irndorf</t>
  </si>
  <si>
    <t>St. Märgen</t>
  </si>
  <si>
    <t>Wieden</t>
  </si>
  <si>
    <t>Wutach</t>
  </si>
  <si>
    <t>Gröbenzell</t>
  </si>
  <si>
    <t>Oberaudorf</t>
  </si>
  <si>
    <t>Samerberg</t>
  </si>
  <si>
    <t>Aschau i. Chiemgau</t>
  </si>
  <si>
    <t>Inzell</t>
  </si>
  <si>
    <t>Nußdorf</t>
  </si>
  <si>
    <t>Ainring</t>
  </si>
  <si>
    <t>Bischofswiesen</t>
  </si>
  <si>
    <t>Schnaitsee</t>
  </si>
  <si>
    <t>Albaching</t>
  </si>
  <si>
    <t>in der Gde Frauenneuharting</t>
  </si>
  <si>
    <t>Unterreit</t>
  </si>
  <si>
    <t>Pfeffenhausen</t>
  </si>
  <si>
    <t>Elsendorf</t>
  </si>
  <si>
    <t>Baierbach</t>
  </si>
  <si>
    <t>Massing</t>
  </si>
  <si>
    <t>Dorfen</t>
  </si>
  <si>
    <t>Neuötting</t>
  </si>
  <si>
    <t>Winhöring</t>
  </si>
  <si>
    <t>Halsbach</t>
  </si>
  <si>
    <t>Kastl</t>
  </si>
  <si>
    <t>Reichertshofen</t>
  </si>
  <si>
    <t>Baar-Ebenhausen</t>
  </si>
  <si>
    <t>Buxheim</t>
  </si>
  <si>
    <t>Karlskron</t>
  </si>
  <si>
    <t>Nassenfels</t>
  </si>
  <si>
    <t>Schernfeld</t>
  </si>
  <si>
    <t>Wolnzach</t>
  </si>
  <si>
    <t>Neubiberg</t>
  </si>
  <si>
    <t>Aßling</t>
  </si>
  <si>
    <t>Augsburg</t>
  </si>
  <si>
    <t>Münsterhausen</t>
  </si>
  <si>
    <t>Neuburg an der Donau</t>
  </si>
  <si>
    <t>Harburg</t>
  </si>
  <si>
    <t>Bissingen</t>
  </si>
  <si>
    <t>Asbach-Bäumenheim</t>
  </si>
  <si>
    <t>Niederschönenfeld</t>
  </si>
  <si>
    <t>Weichering</t>
  </si>
  <si>
    <t>Ederheim</t>
  </si>
  <si>
    <t>Mönchsdeggingen</t>
  </si>
  <si>
    <t>Benningen</t>
  </si>
  <si>
    <t>Breitenbrunn</t>
  </si>
  <si>
    <t>Holzgünz</t>
  </si>
  <si>
    <t>Kirchhaslach</t>
  </si>
  <si>
    <t>Lauben</t>
  </si>
  <si>
    <t>Oberrieden</t>
  </si>
  <si>
    <t>Oberschönegg</t>
  </si>
  <si>
    <t>Trunkelsberg</t>
  </si>
  <si>
    <t>Heimenkirch</t>
  </si>
  <si>
    <t>Argenbühl</t>
  </si>
  <si>
    <t>Waldburg</t>
  </si>
  <si>
    <t>Bergatreute</t>
  </si>
  <si>
    <t>Unterwaldhausen</t>
  </si>
  <si>
    <t>Ochsenhausen</t>
  </si>
  <si>
    <t>Berkheim</t>
  </si>
  <si>
    <t>Aislingen</t>
  </si>
  <si>
    <t>Finningen</t>
  </si>
  <si>
    <t>Lutzingen</t>
  </si>
  <si>
    <t>Böhmenkirch</t>
  </si>
  <si>
    <t>Weisendorf</t>
  </si>
  <si>
    <t>Aurachtal</t>
  </si>
  <si>
    <t>Spalt</t>
  </si>
  <si>
    <t>Hemhofen</t>
  </si>
  <si>
    <t>Heroldsbach</t>
  </si>
  <si>
    <t>Pretzfeld</t>
  </si>
  <si>
    <t>Weilersbach</t>
  </si>
  <si>
    <t>Wiesenthau</t>
  </si>
  <si>
    <t>Wilhermsdorf</t>
  </si>
  <si>
    <t>Markt Erlbach</t>
  </si>
  <si>
    <t>Gutenstetten</t>
  </si>
  <si>
    <t>Münchsteinach</t>
  </si>
  <si>
    <t>Rügland</t>
  </si>
  <si>
    <t>Heidenheim</t>
  </si>
  <si>
    <t>Muhr a. See</t>
  </si>
  <si>
    <t>Ornbau</t>
  </si>
  <si>
    <t>Weidenbach</t>
  </si>
  <si>
    <t>Treuchtlingen</t>
  </si>
  <si>
    <t>Nennslingen</t>
  </si>
  <si>
    <t>Ellingen</t>
  </si>
  <si>
    <t>Langenaltheim</t>
  </si>
  <si>
    <t>Markt Berolzheim</t>
  </si>
  <si>
    <t>Meinheim</t>
  </si>
  <si>
    <t>Solnhofen</t>
  </si>
  <si>
    <t>Wellheim</t>
  </si>
  <si>
    <t>Neustadt a.d. Waldnaab</t>
  </si>
  <si>
    <t>Etzenricht</t>
  </si>
  <si>
    <t>Bechtsried</t>
  </si>
  <si>
    <t>Luhe-Wildenau</t>
  </si>
  <si>
    <t>Mantel</t>
  </si>
  <si>
    <t>Pirk</t>
  </si>
  <si>
    <t>Schirmitz</t>
  </si>
  <si>
    <t>Weiherhammer</t>
  </si>
  <si>
    <t>Pfatter</t>
  </si>
  <si>
    <t>Kelheim</t>
  </si>
  <si>
    <t>Abensberg</t>
  </si>
  <si>
    <t>Altmannstein</t>
  </si>
  <si>
    <t>Siegenburg</t>
  </si>
  <si>
    <t>Train</t>
  </si>
  <si>
    <t>Neukirchen b. Hl. Blut</t>
  </si>
  <si>
    <t>Arnbruck</t>
  </si>
  <si>
    <t>Hohenwarth</t>
  </si>
  <si>
    <t>Pösing</t>
  </si>
  <si>
    <t>Weiding</t>
  </si>
  <si>
    <t>Kollnburg</t>
  </si>
  <si>
    <t>Patersdorf</t>
  </si>
  <si>
    <t>Plattling</t>
  </si>
  <si>
    <t>Osterhofen</t>
  </si>
  <si>
    <t>Hengersberg</t>
  </si>
  <si>
    <t>Grattersdorf</t>
  </si>
  <si>
    <t>Schaufling</t>
  </si>
  <si>
    <t>Trebgast</t>
  </si>
  <si>
    <t>Gesees</t>
  </si>
  <si>
    <t>Mistelbach</t>
  </si>
  <si>
    <t>Plankenfels</t>
  </si>
  <si>
    <t>Stegaurach</t>
  </si>
  <si>
    <t>Altendorf</t>
  </si>
  <si>
    <t>Breitengüßbach</t>
  </si>
  <si>
    <t>Frensdorf</t>
  </si>
  <si>
    <t>Brotterode-Trusetal</t>
  </si>
  <si>
    <t>Großfahner, Dachwig u.a.</t>
  </si>
  <si>
    <t>Berlstedt</t>
  </si>
  <si>
    <t>Schlotheim</t>
  </si>
  <si>
    <t>Menteroda, Obermehler</t>
  </si>
  <si>
    <t>Weinböhla</t>
  </si>
  <si>
    <t>Freital</t>
  </si>
  <si>
    <t>Altenburg</t>
  </si>
  <si>
    <t>Rositz, Starkenberg, Treben</t>
  </si>
  <si>
    <t>Langenleuba-Niederhain</t>
  </si>
  <si>
    <t>Eilenburg u.a.</t>
  </si>
  <si>
    <t>Bad Liebenwerda</t>
  </si>
  <si>
    <t>Uebigau-Wahrenbrück</t>
  </si>
  <si>
    <t>Braunsbedra</t>
  </si>
  <si>
    <t>Hergisdorf</t>
  </si>
  <si>
    <t>Aken, Osternienburger Land, Südliches Anhalt</t>
  </si>
  <si>
    <t>Bilzingsleben Kannawurf Oldisleben</t>
  </si>
  <si>
    <t>Teuchern</t>
  </si>
  <si>
    <t>Aue</t>
  </si>
  <si>
    <t>Flöha</t>
  </si>
  <si>
    <t>Oberbarnim, Märkische Höhe u.a.</t>
  </si>
  <si>
    <t>Ueckermünde</t>
  </si>
  <si>
    <t>Münsingen</t>
  </si>
  <si>
    <t>Egesheim</t>
  </si>
  <si>
    <t>Königsheim</t>
  </si>
  <si>
    <t>Mahlstetten</t>
  </si>
  <si>
    <t>Löffingen</t>
  </si>
  <si>
    <t>Tacherting</t>
  </si>
  <si>
    <t>Gars a. Inn</t>
  </si>
  <si>
    <t>Essenbach</t>
  </si>
  <si>
    <t>Aiglsbach</t>
  </si>
  <si>
    <t>Altfraunhofen</t>
  </si>
  <si>
    <t>Neufraunhofen</t>
  </si>
  <si>
    <t>Feichten a.d. Alz</t>
  </si>
  <si>
    <t>Reischach</t>
  </si>
  <si>
    <t>Gaimersheim</t>
  </si>
  <si>
    <t>Egweil</t>
  </si>
  <si>
    <t>Eitensheim</t>
  </si>
  <si>
    <t>Glonn</t>
  </si>
  <si>
    <t>Erkheim</t>
  </si>
  <si>
    <t>Kirchheim in Schwaben</t>
  </si>
  <si>
    <t>Ungerhausen</t>
  </si>
  <si>
    <t>Vogt</t>
  </si>
  <si>
    <t>Glött</t>
  </si>
  <si>
    <t>Blindheim</t>
  </si>
  <si>
    <t>Schelklingen</t>
  </si>
  <si>
    <t>Zirndorf</t>
  </si>
  <si>
    <t>Nürnberg-Feucht, Feuchter Forst</t>
  </si>
  <si>
    <t>Roßtal</t>
  </si>
  <si>
    <t>Veitsbronn</t>
  </si>
  <si>
    <t>Neunkirchen a. Brand</t>
  </si>
  <si>
    <t>Effeltrich</t>
  </si>
  <si>
    <t>Greding</t>
  </si>
  <si>
    <t>Heideck</t>
  </si>
  <si>
    <t>Rohr</t>
  </si>
  <si>
    <t>Kunreuth</t>
  </si>
  <si>
    <t>Heilsbronn</t>
  </si>
  <si>
    <t>Merkendorf</t>
  </si>
  <si>
    <t>Mitteleschenbach</t>
  </si>
  <si>
    <t>Theilenhofen</t>
  </si>
  <si>
    <t>Schnaittenbach</t>
  </si>
  <si>
    <t>Tegernheim</t>
  </si>
  <si>
    <t>Essing</t>
  </si>
  <si>
    <t>Kirchdorf</t>
  </si>
  <si>
    <t>Wildenberg</t>
  </si>
  <si>
    <t>Arnschwang</t>
  </si>
  <si>
    <t>Auerbach</t>
  </si>
  <si>
    <t>Niederalteich</t>
  </si>
  <si>
    <t>Riedenberg</t>
  </si>
  <si>
    <t>Viernau u.a.</t>
  </si>
  <si>
    <t>Nesse-Apfelstädt, Nottleben</t>
  </si>
  <si>
    <t>Bad Berka u.a.</t>
  </si>
  <si>
    <t>Kranichfeld u.a.</t>
  </si>
  <si>
    <t>Hörselberg-Hainich</t>
  </si>
  <si>
    <t>Großenhain</t>
  </si>
  <si>
    <t>Käbschütztal, Klipphausen, Diera-Zehren</t>
  </si>
  <si>
    <t>Pirna, Struppen, Dohma</t>
  </si>
  <si>
    <t>Lauchhammer</t>
  </si>
  <si>
    <t>Ortrand</t>
  </si>
  <si>
    <t>Markranstädt</t>
  </si>
  <si>
    <t>Schkeuditz</t>
  </si>
  <si>
    <t>Nobitz, Göhren, Windischleuba</t>
  </si>
  <si>
    <t>Gößnitz</t>
  </si>
  <si>
    <t>Bad Lausick</t>
  </si>
  <si>
    <t>Mügeln</t>
  </si>
  <si>
    <t>Wurzen</t>
  </si>
  <si>
    <t>Bad Düben</t>
  </si>
  <si>
    <t>Herzberg/ Elster</t>
  </si>
  <si>
    <t>Plessa, Schraden</t>
  </si>
  <si>
    <t>Bad Dürrenberg</t>
  </si>
  <si>
    <t>Frankleben</t>
  </si>
  <si>
    <t>Schraplau, Farnstädt</t>
  </si>
  <si>
    <t>Eisleben</t>
  </si>
  <si>
    <t>Hettstedt, Endorf</t>
  </si>
  <si>
    <t>Südliches Anhalt u.a.</t>
  </si>
  <si>
    <t>Könnern</t>
  </si>
  <si>
    <t>Sangerhausen</t>
  </si>
  <si>
    <t>Lanitz-Hassel-Tal, Molauer Land</t>
  </si>
  <si>
    <t>Eckartsberga</t>
  </si>
  <si>
    <t>Lützen</t>
  </si>
  <si>
    <t>Bad Schmiedeberg</t>
  </si>
  <si>
    <t>Annaburg</t>
  </si>
  <si>
    <t>Neukirchen/Erzgeb.</t>
  </si>
  <si>
    <t>Geringswalde</t>
  </si>
  <si>
    <t>Lunzenau</t>
  </si>
  <si>
    <t>Stollberg/Erzgeb.</t>
  </si>
  <si>
    <t>Jüterbog</t>
  </si>
  <si>
    <t>Briesen, Rauen u.a.</t>
  </si>
  <si>
    <t>Beeskow</t>
  </si>
  <si>
    <t>Bad Freienwalde u.a.</t>
  </si>
  <si>
    <t>Bad Lauterberg</t>
  </si>
  <si>
    <t>Wieda</t>
  </si>
  <si>
    <t>Bad Harzburg, Torfhaus</t>
  </si>
  <si>
    <t>Simmersfeld</t>
  </si>
  <si>
    <t>Seewald</t>
  </si>
  <si>
    <t>Nusplingen</t>
  </si>
  <si>
    <t>Meßstetten</t>
  </si>
  <si>
    <t>Heroldstatt</t>
  </si>
  <si>
    <t>Römerstein</t>
  </si>
  <si>
    <t>Bad Ditzenbach</t>
  </si>
  <si>
    <t>Schonach im Schwarzwald</t>
  </si>
  <si>
    <t>Gütenbach</t>
  </si>
  <si>
    <t>Böttingen</t>
  </si>
  <si>
    <t>Bubsheim</t>
  </si>
  <si>
    <t>Renquishausen</t>
  </si>
  <si>
    <t>Sankt Peter</t>
  </si>
  <si>
    <t>Bonndorf im Schwarzwald</t>
  </si>
  <si>
    <t>Gräfelfing</t>
  </si>
  <si>
    <t>Bayerisch Gmain</t>
  </si>
  <si>
    <t>Gars am Inn</t>
  </si>
  <si>
    <t>Ergolding, Landshut</t>
  </si>
  <si>
    <t>Landshut, Linden, Altdorf</t>
  </si>
  <si>
    <t>Dingolfing</t>
  </si>
  <si>
    <t>Gangkofen</t>
  </si>
  <si>
    <t>Niederviehbach</t>
  </si>
  <si>
    <t>Taufkirchen (Vils)</t>
  </si>
  <si>
    <t>Schwindegg</t>
  </si>
  <si>
    <t>Reichertsheim</t>
  </si>
  <si>
    <t>Waldkraiburg</t>
  </si>
  <si>
    <t>Garching a.d. Alz</t>
  </si>
  <si>
    <t>Aschau a. Inn</t>
  </si>
  <si>
    <t>Kraiburg a. Inn</t>
  </si>
  <si>
    <t>Unterneukirchen</t>
  </si>
  <si>
    <t>Rohrbach</t>
  </si>
  <si>
    <t>Freising</t>
  </si>
  <si>
    <t>Oberding</t>
  </si>
  <si>
    <t>Grafing b. München</t>
  </si>
  <si>
    <t>Dinkelscherben</t>
  </si>
  <si>
    <t>Thannhausen</t>
  </si>
  <si>
    <t>Ursberg</t>
  </si>
  <si>
    <t>Brunnen</t>
  </si>
  <si>
    <t>Langenmosen</t>
  </si>
  <si>
    <t>Rennertshofen</t>
  </si>
  <si>
    <t>Buttenwiesen</t>
  </si>
  <si>
    <t>Karlshuld</t>
  </si>
  <si>
    <t>Ehekirchen</t>
  </si>
  <si>
    <t>Marxheim</t>
  </si>
  <si>
    <t>Mertingen</t>
  </si>
  <si>
    <t>Oberndorf a.Lech</t>
  </si>
  <si>
    <t>Rohrenfels</t>
  </si>
  <si>
    <t>Mindelheim</t>
  </si>
  <si>
    <t>Pfaffenhausen</t>
  </si>
  <si>
    <t>Wolfegg</t>
  </si>
  <si>
    <t>Eberhardzell</t>
  </si>
  <si>
    <t>Laichingen</t>
  </si>
  <si>
    <t>Dillingen a.d. Donau</t>
  </si>
  <si>
    <t>Höchstädt a.d. Donau</t>
  </si>
  <si>
    <t>Eckental</t>
  </si>
  <si>
    <t>Stein</t>
  </si>
  <si>
    <t>Langenzenn</t>
  </si>
  <si>
    <t>Schwarzenbruck</t>
  </si>
  <si>
    <t>Winkelhaid</t>
  </si>
  <si>
    <t>Großhabersdorf</t>
  </si>
  <si>
    <t>Ammerndorf</t>
  </si>
  <si>
    <t>Schwabach</t>
  </si>
  <si>
    <t>Leinburg</t>
  </si>
  <si>
    <t>Igensdorf</t>
  </si>
  <si>
    <t>Aufseß</t>
  </si>
  <si>
    <t>Emskirchen</t>
  </si>
  <si>
    <t>Hagenbüchach</t>
  </si>
  <si>
    <t>Windsbach</t>
  </si>
  <si>
    <t>Petersaurach</t>
  </si>
  <si>
    <t>Wolframs-Eschenbach</t>
  </si>
  <si>
    <t>Pfofeld</t>
  </si>
  <si>
    <t>Pappenheim</t>
  </si>
  <si>
    <t>Berching</t>
  </si>
  <si>
    <t>Wernberg-Köblitz</t>
  </si>
  <si>
    <t>Eslarn</t>
  </si>
  <si>
    <t>Schwarzenbach</t>
  </si>
  <si>
    <t>Mintraching</t>
  </si>
  <si>
    <t>Nittendorf</t>
  </si>
  <si>
    <t>Laaber, Brunn</t>
  </si>
  <si>
    <t>Altenthann</t>
  </si>
  <si>
    <t>Deuerling</t>
  </si>
  <si>
    <t>Pielenhofen</t>
  </si>
  <si>
    <t>Saal a.d. Donau</t>
  </si>
  <si>
    <t>Kötzting</t>
  </si>
  <si>
    <t>Lam</t>
  </si>
  <si>
    <t>Blaibach</t>
  </si>
  <si>
    <t>Grafenwiesen</t>
  </si>
  <si>
    <t>Runding</t>
  </si>
  <si>
    <t>Willmering</t>
  </si>
  <si>
    <t>Freyung</t>
  </si>
  <si>
    <t>Breitenberg</t>
  </si>
  <si>
    <t>Viechtach</t>
  </si>
  <si>
    <t>Metten</t>
  </si>
  <si>
    <t>Buchhofen</t>
  </si>
  <si>
    <t>Eppenschlag</t>
  </si>
  <si>
    <t>Wallerfing</t>
  </si>
  <si>
    <t>Hallstadt</t>
  </si>
  <si>
    <t>Hirschaid</t>
  </si>
  <si>
    <t>Kemmern</t>
  </si>
  <si>
    <t>Oberelsbach</t>
  </si>
  <si>
    <t>Floh-Seligenthal</t>
  </si>
  <si>
    <t>Arnstadt</t>
  </si>
  <si>
    <t>Sondershausen</t>
  </si>
  <si>
    <t>Ebeleben</t>
  </si>
  <si>
    <t>Ottendorf-Okrilla</t>
  </si>
  <si>
    <t>Radeburg</t>
  </si>
  <si>
    <t>Großenhain, Ebersbach u.a.</t>
  </si>
  <si>
    <t>Riesa, Stauchitz, Hirschstein</t>
  </si>
  <si>
    <t>Nünchritz, Glaubitz</t>
  </si>
  <si>
    <t>Lommatzsch</t>
  </si>
  <si>
    <t>Wehlen</t>
  </si>
  <si>
    <t>Stolpen, Dürrröhrsdorf-Dittersbach</t>
  </si>
  <si>
    <t>Sonnewalde</t>
  </si>
  <si>
    <t>Delitzsch, Krostitz u.a.</t>
  </si>
  <si>
    <t>Rackwitz</t>
  </si>
  <si>
    <t>Frohburg</t>
  </si>
  <si>
    <t>Kohren-Sahlis</t>
  </si>
  <si>
    <t>Ostrau</t>
  </si>
  <si>
    <t>Oschatz</t>
  </si>
  <si>
    <t>Schlieben</t>
  </si>
  <si>
    <t>Kabelsketal</t>
  </si>
  <si>
    <t>Leuna</t>
  </si>
  <si>
    <t>Schkopau</t>
  </si>
  <si>
    <t>Klostermansfeld, Benndorf</t>
  </si>
  <si>
    <t>Alsleben/Saale, Plötzkau</t>
  </si>
  <si>
    <t>Allstedt</t>
  </si>
  <si>
    <t>Bad Bibra, Finne u.a.</t>
  </si>
  <si>
    <t>Weißenfels</t>
  </si>
  <si>
    <t>Muldestausee</t>
  </si>
  <si>
    <t>Jessen (Elster)</t>
  </si>
  <si>
    <t>Saalfeld/Saale, Wittgendorf</t>
  </si>
  <si>
    <t>Kamsdorf</t>
  </si>
  <si>
    <t>Wilkau-Haßlau</t>
  </si>
  <si>
    <t>Burgstädt</t>
  </si>
  <si>
    <t>Claußnitz</t>
  </si>
  <si>
    <t>Röhrsdorf</t>
  </si>
  <si>
    <t>Oberlungwitz</t>
  </si>
  <si>
    <t>Gersdorf</t>
  </si>
  <si>
    <t>Oelsnitz/Erzgebirge</t>
  </si>
  <si>
    <t>Jahnsdorf</t>
  </si>
  <si>
    <t>Hohndorf</t>
  </si>
  <si>
    <t>Niederwürschnitz</t>
  </si>
  <si>
    <t>Zschopau, Gornau</t>
  </si>
  <si>
    <t>Leubsdorf, Gornau, Augustusburg</t>
  </si>
  <si>
    <t>Niederwiesa</t>
  </si>
  <si>
    <t>Hainichen, Rossau, Striegistal</t>
  </si>
  <si>
    <t>Müncheberg</t>
  </si>
  <si>
    <t>Melchow, Chorin u.a.</t>
  </si>
  <si>
    <t>Wriezen</t>
  </si>
  <si>
    <t>Lychen</t>
  </si>
  <si>
    <t>Zorge</t>
  </si>
  <si>
    <t>Baiersbronn</t>
  </si>
  <si>
    <t>Obernheim</t>
  </si>
  <si>
    <t>Lauterstein</t>
  </si>
  <si>
    <t>Lenningen</t>
  </si>
  <si>
    <t>Wiesensteig</t>
  </si>
  <si>
    <t>Oberried</t>
  </si>
  <si>
    <t>Todtmoos</t>
  </si>
  <si>
    <t>Häg-Ehrsberg</t>
  </si>
  <si>
    <t>Herrischried</t>
  </si>
  <si>
    <t>Titisee-Neustadt</t>
  </si>
  <si>
    <t>Lenzkirch</t>
  </si>
  <si>
    <t>Wolfratshausen</t>
  </si>
  <si>
    <t>Siegsdorf</t>
  </si>
  <si>
    <t>Piding</t>
  </si>
  <si>
    <t>Haag i. OB</t>
  </si>
  <si>
    <t>Mainburg</t>
  </si>
  <si>
    <t>Rottenburg a.d. Laaber</t>
  </si>
  <si>
    <t>Au in der Hallertau</t>
  </si>
  <si>
    <t>Attenhofen</t>
  </si>
  <si>
    <t>Furth</t>
  </si>
  <si>
    <t>Obersüßbach</t>
  </si>
  <si>
    <t>Postau</t>
  </si>
  <si>
    <t>Wörth a.d. Isar</t>
  </si>
  <si>
    <t>Vilsbiburg</t>
  </si>
  <si>
    <t>Bodenkirchen</t>
  </si>
  <si>
    <t>Frontenhausen</t>
  </si>
  <si>
    <t>Adlkofen</t>
  </si>
  <si>
    <t>Eching</t>
  </si>
  <si>
    <t>Gottfrieding</t>
  </si>
  <si>
    <t>Kröning</t>
  </si>
  <si>
    <t>Buchbach</t>
  </si>
  <si>
    <t>Hohenpolding</t>
  </si>
  <si>
    <t>Lengdorf</t>
  </si>
  <si>
    <t>Neumarkt-Sankt Veit</t>
  </si>
  <si>
    <t>Töging a. Inn</t>
  </si>
  <si>
    <t>Ampfing</t>
  </si>
  <si>
    <t>Engelsberg</t>
  </si>
  <si>
    <t>Geratskirchen</t>
  </si>
  <si>
    <t>Oberbergkirchen</t>
  </si>
  <si>
    <t>Pleiskirchen</t>
  </si>
  <si>
    <t>Taufkirchen</t>
  </si>
  <si>
    <t>Teising</t>
  </si>
  <si>
    <t>Pörnbach</t>
  </si>
  <si>
    <t>Allershausen</t>
  </si>
  <si>
    <t>Hallbergmoos</t>
  </si>
  <si>
    <t>Nandlstadt</t>
  </si>
  <si>
    <t>Zolling</t>
  </si>
  <si>
    <t>Haag a.d. Amper</t>
  </si>
  <si>
    <t>Kirchdorf a.d. Amper</t>
  </si>
  <si>
    <t>Langenbach</t>
  </si>
  <si>
    <t>Marzling</t>
  </si>
  <si>
    <t>Mauern</t>
  </si>
  <si>
    <t>Erding</t>
  </si>
  <si>
    <t>Berglern</t>
  </si>
  <si>
    <t>Eitting</t>
  </si>
  <si>
    <t>Langenpreising</t>
  </si>
  <si>
    <t>Ottobrunn/Riemerling</t>
  </si>
  <si>
    <t>Poing</t>
  </si>
  <si>
    <t>Feldkirchen</t>
  </si>
  <si>
    <t>Forstinning</t>
  </si>
  <si>
    <t>Pastetten</t>
  </si>
  <si>
    <t>Zusmarshausen</t>
  </si>
  <si>
    <t>Altenmünster</t>
  </si>
  <si>
    <t>Balzhausen</t>
  </si>
  <si>
    <t>Hohenwart</t>
  </si>
  <si>
    <t>Berg im Gau</t>
  </si>
  <si>
    <t>Wertingen</t>
  </si>
  <si>
    <t>Rain</t>
  </si>
  <si>
    <t>Königsmoos</t>
  </si>
  <si>
    <t>Nordendorf</t>
  </si>
  <si>
    <t>Westendorf, Kühlenthal</t>
  </si>
  <si>
    <t>Kammlach</t>
  </si>
  <si>
    <t>Memmingerberg</t>
  </si>
  <si>
    <t>Niederrieden</t>
  </si>
  <si>
    <t>Landensberg</t>
  </si>
  <si>
    <t>Altdorf bei Nürnberg</t>
  </si>
  <si>
    <t>Röthenbach an der Pegnitz</t>
  </si>
  <si>
    <t>Cadolzburg</t>
  </si>
  <si>
    <t>Burgthann</t>
  </si>
  <si>
    <t>Schwaig b. Nürnberg, Behringersdorfer Forst</t>
  </si>
  <si>
    <t>Schwanstetten</t>
  </si>
  <si>
    <t>Rückersdorf</t>
  </si>
  <si>
    <t>Georgensgmünd</t>
  </si>
  <si>
    <t>Thalmässing</t>
  </si>
  <si>
    <t>Abenberg</t>
  </si>
  <si>
    <t>Lauf an der Pegnitz</t>
  </si>
  <si>
    <t>Hersbruck</t>
  </si>
  <si>
    <t>Pottenstein</t>
  </si>
  <si>
    <t>Ebermannstadt</t>
  </si>
  <si>
    <t>Heiligenstadt i. OFr.</t>
  </si>
  <si>
    <t>Weißenohe</t>
  </si>
  <si>
    <t>Neuendettelsau</t>
  </si>
  <si>
    <t>Haundorf</t>
  </si>
  <si>
    <t>Pleinfeld</t>
  </si>
  <si>
    <t>Ettenstatt</t>
  </si>
  <si>
    <t>Amberg</t>
  </si>
  <si>
    <t>Freystadt</t>
  </si>
  <si>
    <t>Berg b. Neumarkt i.d. OPf.</t>
  </si>
  <si>
    <t>Sengenthal</t>
  </si>
  <si>
    <t>Schwandorf</t>
  </si>
  <si>
    <t>Pleystein</t>
  </si>
  <si>
    <t>Neutraubling</t>
  </si>
  <si>
    <t>Bach an der Donau</t>
  </si>
  <si>
    <t>Barbing</t>
  </si>
  <si>
    <t>Pfakofen</t>
  </si>
  <si>
    <t>Duggendorf</t>
  </si>
  <si>
    <t>Pettendorf</t>
  </si>
  <si>
    <t>Chamerau</t>
  </si>
  <si>
    <t>Miltach</t>
  </si>
  <si>
    <t>Gleißenberg</t>
  </si>
  <si>
    <t>Pemfling</t>
  </si>
  <si>
    <t>Schönthal</t>
  </si>
  <si>
    <t>Treffelstein</t>
  </si>
  <si>
    <t>Kirchdorf i. Wald</t>
  </si>
  <si>
    <t>Geiselhöring</t>
  </si>
  <si>
    <t>Ascha</t>
  </si>
  <si>
    <t>Haselbach</t>
  </si>
  <si>
    <t>Konzell</t>
  </si>
  <si>
    <t>Loitzendorf</t>
  </si>
  <si>
    <t>Mitterfels</t>
  </si>
  <si>
    <t>Stallwang</t>
  </si>
  <si>
    <t>Landau a.d. Isar</t>
  </si>
  <si>
    <t>Pilsting</t>
  </si>
  <si>
    <t>Mamming</t>
  </si>
  <si>
    <t>Wallersdorf</t>
  </si>
  <si>
    <t>Aholming</t>
  </si>
  <si>
    <t>Oberpöring</t>
  </si>
  <si>
    <t>Guttenberg</t>
  </si>
  <si>
    <t>Marktschorgast</t>
  </si>
  <si>
    <t>Buttenheim</t>
  </si>
  <si>
    <t>Wildflecken</t>
  </si>
  <si>
    <t>Wasungen</t>
  </si>
  <si>
    <t>Sachsenbrunn</t>
  </si>
  <si>
    <t>Lehnstedt u.a.</t>
  </si>
  <si>
    <t>Neustadt/Harz u.a.</t>
  </si>
  <si>
    <t>Luisenthal, Ohrdruf, Wolfis</t>
  </si>
  <si>
    <t>Leinatal</t>
  </si>
  <si>
    <t>Bannewitz</t>
  </si>
  <si>
    <t>Kreischa</t>
  </si>
  <si>
    <t>Bad Schandau</t>
  </si>
  <si>
    <t>Bahretal</t>
  </si>
  <si>
    <t>Lohmen</t>
  </si>
  <si>
    <t>Sebnitz</t>
  </si>
  <si>
    <t>Forst/ Lausitz</t>
  </si>
  <si>
    <t>Geithain</t>
  </si>
  <si>
    <t>Grimma</t>
  </si>
  <si>
    <t>Leisnig</t>
  </si>
  <si>
    <t>Döbeln, Großweitzschen u.a.</t>
  </si>
  <si>
    <t>Roßwein</t>
  </si>
  <si>
    <t>Dahlen</t>
  </si>
  <si>
    <t>Mücheln/ Geiseltal</t>
  </si>
  <si>
    <t>Helbra</t>
  </si>
  <si>
    <t>Seegebiet Mansfelder Land</t>
  </si>
  <si>
    <t>Freyburg, Balgstädt</t>
  </si>
  <si>
    <t>Zörbig</t>
  </si>
  <si>
    <t>Sandersdorf-Brehna</t>
  </si>
  <si>
    <t>Roitzsch, Petersroda</t>
  </si>
  <si>
    <t>Krölpa</t>
  </si>
  <si>
    <t>Stadtroda u.a.</t>
  </si>
  <si>
    <t>Berga/Elster</t>
  </si>
  <si>
    <t>Langenweißbach, Wildenfels</t>
  </si>
  <si>
    <t>Reinsdorf</t>
  </si>
  <si>
    <t>Fraureuth</t>
  </si>
  <si>
    <t>Mühlau</t>
  </si>
  <si>
    <t>Lugau/Erzgeb.</t>
  </si>
  <si>
    <t>Oederan</t>
  </si>
  <si>
    <t>Grünhainichen</t>
  </si>
  <si>
    <t>Reinsberg</t>
  </si>
  <si>
    <t>Frankfurt/ Oder</t>
  </si>
  <si>
    <t>Neutrebbin, Neuhardenberg</t>
  </si>
  <si>
    <t>Letschin</t>
  </si>
  <si>
    <t>Bestensee</t>
  </si>
  <si>
    <t>Märkisch Buchholz</t>
  </si>
  <si>
    <t>Dahme u.a.</t>
  </si>
  <si>
    <t>Löcknitz, Rothenklempenow</t>
  </si>
  <si>
    <t>Clausthal-Zellerfeld, Oberschulenberg</t>
  </si>
  <si>
    <t>Braunlage</t>
  </si>
  <si>
    <t>Altenau, Schulenberg</t>
  </si>
  <si>
    <t>Oberharz am Brocken</t>
  </si>
  <si>
    <t>Hohenstadt/Drackenstein</t>
  </si>
  <si>
    <t>Bad Wildbad</t>
  </si>
  <si>
    <t>Hinterzarten</t>
  </si>
  <si>
    <t>Bernau im Schwarzwald</t>
  </si>
  <si>
    <t>Dachsberg</t>
  </si>
  <si>
    <t>Friedenweiler</t>
  </si>
  <si>
    <t>Sindelsdorf</t>
  </si>
  <si>
    <t>Nußdorf a. Inn</t>
  </si>
  <si>
    <t>Feldkirchen-Westerham</t>
  </si>
  <si>
    <t>Laberweinting</t>
  </si>
  <si>
    <t>Langquaid</t>
  </si>
  <si>
    <t>Niederaichbach</t>
  </si>
  <si>
    <t>Rudelzhausen</t>
  </si>
  <si>
    <t>Volkenschwand</t>
  </si>
  <si>
    <t>Geisenhausen</t>
  </si>
  <si>
    <t>Velden</t>
  </si>
  <si>
    <t>Loiching</t>
  </si>
  <si>
    <t>Vilsheim</t>
  </si>
  <si>
    <t>Weng</t>
  </si>
  <si>
    <t>Isen</t>
  </si>
  <si>
    <t>Heldenstein</t>
  </si>
  <si>
    <t>Steinkirchen</t>
  </si>
  <si>
    <t>Mühldorf a. Inn</t>
  </si>
  <si>
    <t>Jettenbach</t>
  </si>
  <si>
    <t>Oberneukirchen</t>
  </si>
  <si>
    <t>Tüßling</t>
  </si>
  <si>
    <t>Neufahrn b. Freising</t>
  </si>
  <si>
    <t>Gammelsdorf</t>
  </si>
  <si>
    <t>Hohenkammer</t>
  </si>
  <si>
    <t>Hörgertshausen</t>
  </si>
  <si>
    <t>Fraunberg</t>
  </si>
  <si>
    <t>Moosinning</t>
  </si>
  <si>
    <t>Finsing</t>
  </si>
  <si>
    <t>Neuching</t>
  </si>
  <si>
    <t>Walpertskirchen</t>
  </si>
  <si>
    <t>Haar</t>
  </si>
  <si>
    <t>Markt Schwaben</t>
  </si>
  <si>
    <t>Parsdorf/Hergolding</t>
  </si>
  <si>
    <t>Anzing</t>
  </si>
  <si>
    <t>Forstern</t>
  </si>
  <si>
    <t>Moosach</t>
  </si>
  <si>
    <t>Karlsfeld</t>
  </si>
  <si>
    <t>Meitingen</t>
  </si>
  <si>
    <t>Aichen</t>
  </si>
  <si>
    <t>Ustersbach</t>
  </si>
  <si>
    <t>Schrobenhausen</t>
  </si>
  <si>
    <t>Waidhofen</t>
  </si>
  <si>
    <t>Burgheim</t>
  </si>
  <si>
    <t>Baar</t>
  </si>
  <si>
    <t>Ellgau</t>
  </si>
  <si>
    <t>Penzing</t>
  </si>
  <si>
    <t>Kempten (Allgäu)</t>
  </si>
  <si>
    <t>Salgen</t>
  </si>
  <si>
    <t>Aichstetten</t>
  </si>
  <si>
    <t>Wendelstein</t>
  </si>
  <si>
    <t>Heroldsberg</t>
  </si>
  <si>
    <t>Roth</t>
  </si>
  <si>
    <t>Hilpoltstein</t>
  </si>
  <si>
    <t>Büchenbach</t>
  </si>
  <si>
    <t>Neunkirchen am Sand</t>
  </si>
  <si>
    <t>Henfenfeld</t>
  </si>
  <si>
    <t>Reichenschwand</t>
  </si>
  <si>
    <t>Kirchehrenbach</t>
  </si>
  <si>
    <t>Unterleinleiter</t>
  </si>
  <si>
    <t>Absberg</t>
  </si>
  <si>
    <t>Weißenburg i. Bay.</t>
  </si>
  <si>
    <t>Freihung</t>
  </si>
  <si>
    <t>Parsberg</t>
  </si>
  <si>
    <t>Postbauer-Heng</t>
  </si>
  <si>
    <t>Berngau</t>
  </si>
  <si>
    <t>Deining</t>
  </si>
  <si>
    <t>Bruck i.d. OPf.</t>
  </si>
  <si>
    <t>Neukirchen-Balbini</t>
  </si>
  <si>
    <t>Oberviechtach</t>
  </si>
  <si>
    <t>Trausnitz</t>
  </si>
  <si>
    <t>Winklarn</t>
  </si>
  <si>
    <t>Vohenstrauß</t>
  </si>
  <si>
    <t>Eschenbach i.d. OPf.</t>
  </si>
  <si>
    <t>Leuchtenberg</t>
  </si>
  <si>
    <t>Moosbach</t>
  </si>
  <si>
    <t>Störnstein</t>
  </si>
  <si>
    <t>Trabitz</t>
  </si>
  <si>
    <t>Bad Abbach</t>
  </si>
  <si>
    <t>Pentling</t>
  </si>
  <si>
    <t>Obertraubling</t>
  </si>
  <si>
    <t>Alteglofsheim</t>
  </si>
  <si>
    <t>Aufhausen</t>
  </si>
  <si>
    <t>Mötzing</t>
  </si>
  <si>
    <t>Sünching</t>
  </si>
  <si>
    <t>Hemau</t>
  </si>
  <si>
    <t>Sinzing</t>
  </si>
  <si>
    <t>Beratzhausen</t>
  </si>
  <si>
    <t>Zeitlarn</t>
  </si>
  <si>
    <t>Rohr i. NB</t>
  </si>
  <si>
    <t>Roding</t>
  </si>
  <si>
    <t>Lohberg</t>
  </si>
  <si>
    <t>Arrach</t>
  </si>
  <si>
    <t>Waffenbrunn</t>
  </si>
  <si>
    <t>Zandt</t>
  </si>
  <si>
    <t>Teisnach</t>
  </si>
  <si>
    <t>Bogen</t>
  </si>
  <si>
    <t>Hunderdorf</t>
  </si>
  <si>
    <t>Aholfing</t>
  </si>
  <si>
    <t>Kirchroth</t>
  </si>
  <si>
    <t>Perasdorf</t>
  </si>
  <si>
    <t>Mariaposching</t>
  </si>
  <si>
    <t>Niederwinkling</t>
  </si>
  <si>
    <t>Offenberg</t>
  </si>
  <si>
    <t>Otzing</t>
  </si>
  <si>
    <t>Stephansposching</t>
  </si>
  <si>
    <t>Creußen</t>
  </si>
  <si>
    <t>Ahorntal</t>
  </si>
  <si>
    <t>Hummeltal</t>
  </si>
  <si>
    <t>Emtmannsberg</t>
  </si>
  <si>
    <t>Pettstadt</t>
  </si>
  <si>
    <t>Wallenfels</t>
  </si>
  <si>
    <t>Steinwiesen</t>
  </si>
  <si>
    <t>Nordhalben</t>
  </si>
  <si>
    <t>Zella-Mehlis</t>
  </si>
  <si>
    <t>Moritzburg</t>
  </si>
  <si>
    <t>Nossen</t>
  </si>
  <si>
    <t>Wilsdruff</t>
  </si>
  <si>
    <t>Tharandt u.a.</t>
  </si>
  <si>
    <t>Dorfhain</t>
  </si>
  <si>
    <t>Görlitz</t>
  </si>
  <si>
    <t>Burg/Spreewald u.a.</t>
  </si>
  <si>
    <t>Kolkwitz</t>
  </si>
  <si>
    <t>Peitz</t>
  </si>
  <si>
    <t>Jänschwalde</t>
  </si>
  <si>
    <t>Finsterwalde</t>
  </si>
  <si>
    <t>Crinitz</t>
  </si>
  <si>
    <t>Doberlug-Kirchhain</t>
  </si>
  <si>
    <t>Narsdorf</t>
  </si>
  <si>
    <t>Hartha</t>
  </si>
  <si>
    <t>Wermsdorf</t>
  </si>
  <si>
    <t>Hohenleipisch</t>
  </si>
  <si>
    <t>Landsberg</t>
  </si>
  <si>
    <t>Querfurt, Obhausen, Mücheln u.a.</t>
  </si>
  <si>
    <t>Rudolstadt</t>
  </si>
  <si>
    <t>Königsee-Rottenbach u.a.</t>
  </si>
  <si>
    <t>Schkölen</t>
  </si>
  <si>
    <t>Elsterberg</t>
  </si>
  <si>
    <t>Hartenstein</t>
  </si>
  <si>
    <t>Mülsen</t>
  </si>
  <si>
    <t>Hirschfeld</t>
  </si>
  <si>
    <t>Schlema</t>
  </si>
  <si>
    <t>Lauter-Bernsbach</t>
  </si>
  <si>
    <t>Remse</t>
  </si>
  <si>
    <t>Werdau</t>
  </si>
  <si>
    <t>Limbach-Oberfrohna</t>
  </si>
  <si>
    <t>Hartmannsdorf</t>
  </si>
  <si>
    <t>Burkhardtsdorf</t>
  </si>
  <si>
    <t>Niederfrohna</t>
  </si>
  <si>
    <t>Taura b. Burgstädt</t>
  </si>
  <si>
    <t>Penig</t>
  </si>
  <si>
    <t>Callenberg, Hohenstein-Ernstthal, Bernsdorf</t>
  </si>
  <si>
    <t>St. Egidien</t>
  </si>
  <si>
    <t>Thalheim/Erzgebirge</t>
  </si>
  <si>
    <t>Drebach</t>
  </si>
  <si>
    <t>Amtsberg</t>
  </si>
  <si>
    <t>Pockau-Lengefeld (Pockau)</t>
  </si>
  <si>
    <t>Pockau-Lengefeld (Lengefeld)</t>
  </si>
  <si>
    <t>Weißenborn, Oberschöna</t>
  </si>
  <si>
    <t>Großschirma</t>
  </si>
  <si>
    <t>Halsbrücke</t>
  </si>
  <si>
    <t>Lichtenberg/Erzgeb.</t>
  </si>
  <si>
    <t>Müllrose</t>
  </si>
  <si>
    <t>Golzow, Zechin u.a.</t>
  </si>
  <si>
    <t>Zossen</t>
  </si>
  <si>
    <t>Lübben/ Spreewald</t>
  </si>
  <si>
    <t>Straupitz</t>
  </si>
  <si>
    <t>Pasewalk u.a.</t>
  </si>
  <si>
    <t>Blankensee, Grambow u.a.</t>
  </si>
  <si>
    <t>Strasburg</t>
  </si>
  <si>
    <t>Schönwald im Schwarzwald</t>
  </si>
  <si>
    <t>Todtnau</t>
  </si>
  <si>
    <t>St. Blasien, Ibach</t>
  </si>
  <si>
    <t>Höchenschwand</t>
  </si>
  <si>
    <t>Grafenhausen</t>
  </si>
  <si>
    <t>Unterhaching</t>
  </si>
  <si>
    <t>Germering</t>
  </si>
  <si>
    <t>Olching</t>
  </si>
  <si>
    <t>Weilheim i. OB</t>
  </si>
  <si>
    <t>Huglfing</t>
  </si>
  <si>
    <t>Habach</t>
  </si>
  <si>
    <t>Obersöchering</t>
  </si>
  <si>
    <t>Raisting</t>
  </si>
  <si>
    <t>Eglfing</t>
  </si>
  <si>
    <t>Spatzenhausen</t>
  </si>
  <si>
    <t>Königsdorf</t>
  </si>
  <si>
    <t>Maitenbeth</t>
  </si>
  <si>
    <t>Irschenberg</t>
  </si>
  <si>
    <t>Mallersdorf-Pfaffenberg</t>
  </si>
  <si>
    <t>Schierling</t>
  </si>
  <si>
    <t>Neufahrn i. NB</t>
  </si>
  <si>
    <t>Bayerbach bei Ergoldsbach</t>
  </si>
  <si>
    <t>Herrngiersdorf</t>
  </si>
  <si>
    <t>Weihmichl</t>
  </si>
  <si>
    <t>Moosthenning</t>
  </si>
  <si>
    <t>Buch a. Erlbach</t>
  </si>
  <si>
    <t>Gerzen</t>
  </si>
  <si>
    <t>Wurmsham</t>
  </si>
  <si>
    <t>Sankt Wolfgang</t>
  </si>
  <si>
    <t>Egglkofen</t>
  </si>
  <si>
    <t>Polling</t>
  </si>
  <si>
    <t>Petershausen</t>
  </si>
  <si>
    <t>Hebertshausen</t>
  </si>
  <si>
    <t>Schweitenkirchen</t>
  </si>
  <si>
    <t>Attenkirchen</t>
  </si>
  <si>
    <t>Kirchheim b. München</t>
  </si>
  <si>
    <t>Vaterstetten</t>
  </si>
  <si>
    <t>Baldham</t>
  </si>
  <si>
    <t>Aschheim</t>
  </si>
  <si>
    <t>Pliening</t>
  </si>
  <si>
    <t>Buch a. Buchrain</t>
  </si>
  <si>
    <t>Hohenlinden</t>
  </si>
  <si>
    <t>Unterschleißheim</t>
  </si>
  <si>
    <t>Ismaning</t>
  </si>
  <si>
    <t>Garching b. München</t>
  </si>
  <si>
    <t>Oberschleißheim</t>
  </si>
  <si>
    <t>Unterföhring</t>
  </si>
  <si>
    <t>Haimhausen</t>
  </si>
  <si>
    <t>Emersacker</t>
  </si>
  <si>
    <t>Horgau</t>
  </si>
  <si>
    <t>Laugna</t>
  </si>
  <si>
    <t>Pöttmes</t>
  </si>
  <si>
    <t>Aresing</t>
  </si>
  <si>
    <t>Inchenhofen</t>
  </si>
  <si>
    <t>Landsberg a. Lech</t>
  </si>
  <si>
    <t>Apfeltrach</t>
  </si>
  <si>
    <t>Hawangen</t>
  </si>
  <si>
    <t>Kronburg</t>
  </si>
  <si>
    <t>Woringen</t>
  </si>
  <si>
    <t>Lindenberg im Allgäu</t>
  </si>
  <si>
    <t>Kißlegg</t>
  </si>
  <si>
    <t>Bad Wurzach</t>
  </si>
  <si>
    <t>Rot an der Rot</t>
  </si>
  <si>
    <t>Allersberg</t>
  </si>
  <si>
    <t>Pyrbaum</t>
  </si>
  <si>
    <t>Puschendorf</t>
  </si>
  <si>
    <t>Schnaittach</t>
  </si>
  <si>
    <t>Ottensoos</t>
  </si>
  <si>
    <t>Auerbach i.d. OPf.</t>
  </si>
  <si>
    <t>Neuhaus a.d.Pegnitz</t>
  </si>
  <si>
    <t>Egloffstein</t>
  </si>
  <si>
    <t>Hirschau</t>
  </si>
  <si>
    <t>Seubersdorf i.d. OPf.</t>
  </si>
  <si>
    <t>Rötz</t>
  </si>
  <si>
    <t>Pfreimd</t>
  </si>
  <si>
    <t>Thanstein</t>
  </si>
  <si>
    <t>Altenstadt a.d. Waldnaab</t>
  </si>
  <si>
    <t>Kaltenbrunn</t>
  </si>
  <si>
    <t>Püchersreuth</t>
  </si>
  <si>
    <t>Waidhaus</t>
  </si>
  <si>
    <t>Waldthurn</t>
  </si>
  <si>
    <t>Wörth an der Donau</t>
  </si>
  <si>
    <t>Donaustauf</t>
  </si>
  <si>
    <t>Köfering</t>
  </si>
  <si>
    <t>Thalmassing</t>
  </si>
  <si>
    <t>Lappersdorf</t>
  </si>
  <si>
    <t>Nittenau</t>
  </si>
  <si>
    <t>Bernhardswald</t>
  </si>
  <si>
    <t>Wenzenbach</t>
  </si>
  <si>
    <t>Brennberg</t>
  </si>
  <si>
    <t>Zell</t>
  </si>
  <si>
    <t>Ihrlerstein</t>
  </si>
  <si>
    <t>Teugn</t>
  </si>
  <si>
    <t>Waldmünchen</t>
  </si>
  <si>
    <t>Traitsching</t>
  </si>
  <si>
    <t>Stamsried</t>
  </si>
  <si>
    <t>Regen</t>
  </si>
  <si>
    <t>Langdorf</t>
  </si>
  <si>
    <t>Prackenbach</t>
  </si>
  <si>
    <t>Rinchnach</t>
  </si>
  <si>
    <t>Aiterhofen</t>
  </si>
  <si>
    <t>Straßkirchen</t>
  </si>
  <si>
    <t>Atting</t>
  </si>
  <si>
    <t>Parkstetten</t>
  </si>
  <si>
    <t>Perkam</t>
  </si>
  <si>
    <t>Rattiszell</t>
  </si>
  <si>
    <t>Bernried</t>
  </si>
  <si>
    <t>Hohenau</t>
  </si>
  <si>
    <t>Speichersdorf</t>
  </si>
  <si>
    <t>Kemnath</t>
  </si>
  <si>
    <t>Vorbach</t>
  </si>
  <si>
    <t>Wilhelmsthal</t>
  </si>
  <si>
    <t>Rockhausen, Klettbach</t>
  </si>
  <si>
    <t>Blankenhain</t>
  </si>
  <si>
    <t>Dippoldiswalde</t>
  </si>
  <si>
    <t>Klingenberg</t>
  </si>
  <si>
    <t>Königstein/Sächs.Schw.</t>
  </si>
  <si>
    <t>Großharthau, Frankenthal</t>
  </si>
  <si>
    <t>Schwarzheide N.L.</t>
  </si>
  <si>
    <t>Neuhausen/Spree</t>
  </si>
  <si>
    <t>Guben, Schenkendöbern</t>
  </si>
  <si>
    <t>Altdöbern, Luckaitztal</t>
  </si>
  <si>
    <t>Teutschenthal</t>
  </si>
  <si>
    <t>Bad Lauchstädt</t>
  </si>
  <si>
    <t>Mücheln</t>
  </si>
  <si>
    <t>Falkenstein, Arnstein</t>
  </si>
  <si>
    <t>Weida, Harth-Pöllnitz, Wünschendorf</t>
  </si>
  <si>
    <t>Münchenbernsdorf, Schwarzbach, Bocka</t>
  </si>
  <si>
    <t>Eisenberg, Gösen, Hainspitz</t>
  </si>
  <si>
    <t>Glauchau</t>
  </si>
  <si>
    <t>Mylau</t>
  </si>
  <si>
    <t>Großolbersdorf, Zschopau</t>
  </si>
  <si>
    <t>Treplin, Jacobsdorf, Frankfurt (Oder)</t>
  </si>
  <si>
    <t>Seelow, Lietzen u.a.</t>
  </si>
  <si>
    <t>Lieberose</t>
  </si>
  <si>
    <t>Eisenhüttenstadt</t>
  </si>
  <si>
    <t>Templin, Boitzenburg u.a.</t>
  </si>
  <si>
    <t>Nadrensee u.a.</t>
  </si>
  <si>
    <t>Uckerland, Groß Luckow, Schönhausen</t>
  </si>
  <si>
    <t>Eisenbach</t>
  </si>
  <si>
    <t>Breitnau</t>
  </si>
  <si>
    <t>Pullach i. Isartal</t>
  </si>
  <si>
    <t>Puchheim</t>
  </si>
  <si>
    <t>Iffeldorf</t>
  </si>
  <si>
    <t>Großweil</t>
  </si>
  <si>
    <t>Schlehdorf</t>
  </si>
  <si>
    <t>Oberau</t>
  </si>
  <si>
    <t>Eurasburg</t>
  </si>
  <si>
    <t>Brannenburg</t>
  </si>
  <si>
    <t>Valley</t>
  </si>
  <si>
    <t>Weyarn</t>
  </si>
  <si>
    <t>Bad Tölz, Wackersberg</t>
  </si>
  <si>
    <t>Miesbach</t>
  </si>
  <si>
    <t>Dachau</t>
  </si>
  <si>
    <t>Zorneding</t>
  </si>
  <si>
    <t>Kirchseeon</t>
  </si>
  <si>
    <t>Grasbrunn</t>
  </si>
  <si>
    <t>Putzbrunn</t>
  </si>
  <si>
    <t>Aying</t>
  </si>
  <si>
    <t>Welden</t>
  </si>
  <si>
    <t>Adelsried</t>
  </si>
  <si>
    <t>Kühbach</t>
  </si>
  <si>
    <t>Eresing</t>
  </si>
  <si>
    <t>Finning</t>
  </si>
  <si>
    <t>Schwifting</t>
  </si>
  <si>
    <t>Windach</t>
  </si>
  <si>
    <t>Sontheim</t>
  </si>
  <si>
    <t>Wolfertschwenden</t>
  </si>
  <si>
    <t>Happurg</t>
  </si>
  <si>
    <t>Engelthal/Offenhausen</t>
  </si>
  <si>
    <t>Pegnitz</t>
  </si>
  <si>
    <t>Gräfenberg</t>
  </si>
  <si>
    <t>Vilseck</t>
  </si>
  <si>
    <t>Lauterhofen</t>
  </si>
  <si>
    <t>Schwarzhofen</t>
  </si>
  <si>
    <t>Teunz</t>
  </si>
  <si>
    <t>Windischeschenbach</t>
  </si>
  <si>
    <t>Erbendorf</t>
  </si>
  <si>
    <t>Tännesberg</t>
  </si>
  <si>
    <t>Hagelstadt</t>
  </si>
  <si>
    <t>Teublitz</t>
  </si>
  <si>
    <t>Reichenbach</t>
  </si>
  <si>
    <t>Walderbach</t>
  </si>
  <si>
    <t>Painten</t>
  </si>
  <si>
    <t>Bischofsmais</t>
  </si>
  <si>
    <t>Leiblfing</t>
  </si>
  <si>
    <t>Falkenfels</t>
  </si>
  <si>
    <t>Oberschneiding</t>
  </si>
  <si>
    <t>Neustadt a. Kulm</t>
  </si>
  <si>
    <t>Langewiesen</t>
  </si>
  <si>
    <t>Harztor</t>
  </si>
  <si>
    <t>Radeberg, Wachau</t>
  </si>
  <si>
    <t>Arnsdorf b. Dresden</t>
  </si>
  <si>
    <t>Glashütte</t>
  </si>
  <si>
    <t>Hohnstein</t>
  </si>
  <si>
    <t>Großröhrsdorf, Bretnig-Hauswalde</t>
  </si>
  <si>
    <t>Calau, Bronkow</t>
  </si>
  <si>
    <t>Lübbenau/ Spreewald</t>
  </si>
  <si>
    <t>Mansfeld</t>
  </si>
  <si>
    <t>Zeitz, Gutenborn u.a.</t>
  </si>
  <si>
    <t>Meineweh, Osterfeld</t>
  </si>
  <si>
    <t>Bürgel u.a.</t>
  </si>
  <si>
    <t>Bad Klosterlausnitz</t>
  </si>
  <si>
    <t>Neustadt/ Orla</t>
  </si>
  <si>
    <t>Lichtentanne</t>
  </si>
  <si>
    <t>Meerane</t>
  </si>
  <si>
    <t>Langenbernsdorf</t>
  </si>
  <si>
    <t>Crimmitschau</t>
  </si>
  <si>
    <t>Neukirchen/Pleiße</t>
  </si>
  <si>
    <t>Neumark</t>
  </si>
  <si>
    <t>Gornsdorf</t>
  </si>
  <si>
    <t>Gelenau/Erzgeb.</t>
  </si>
  <si>
    <t>Großolbersdorf</t>
  </si>
  <si>
    <t>Börnichen, Gornau</t>
  </si>
  <si>
    <t>Eppendorf</t>
  </si>
  <si>
    <t>Halbe</t>
  </si>
  <si>
    <t>Luckau, Waldrehna, Heideblick, Fürstlich Drehna</t>
  </si>
  <si>
    <t>Joachimsthal u.a.</t>
  </si>
  <si>
    <t>Blankenburg, Oberharz am Brocken</t>
  </si>
  <si>
    <t>Seefeld</t>
  </si>
  <si>
    <t>Türkenfeld</t>
  </si>
  <si>
    <t>Starnberg</t>
  </si>
  <si>
    <t>Pöcking</t>
  </si>
  <si>
    <t>Penzberg</t>
  </si>
  <si>
    <t>Peißenberg</t>
  </si>
  <si>
    <t>Antdorf</t>
  </si>
  <si>
    <t>Böbing</t>
  </si>
  <si>
    <t>Pähl</t>
  </si>
  <si>
    <t>Walchensee</t>
  </si>
  <si>
    <t>Uffing a. Staffelsee</t>
  </si>
  <si>
    <t>Farchant</t>
  </si>
  <si>
    <t>Geretsried</t>
  </si>
  <si>
    <t>Schleching</t>
  </si>
  <si>
    <t>Bad Heilbrunn</t>
  </si>
  <si>
    <t>Bichl</t>
  </si>
  <si>
    <t>Reichersbeuern</t>
  </si>
  <si>
    <t>Tegernsee</t>
  </si>
  <si>
    <t>Fischbachau</t>
  </si>
  <si>
    <t>Ergoldsbach</t>
  </si>
  <si>
    <t>Hohenthann</t>
  </si>
  <si>
    <t>Mengkofen</t>
  </si>
  <si>
    <t>Aham</t>
  </si>
  <si>
    <t>Bergkirchen</t>
  </si>
  <si>
    <t>Sulzemoos</t>
  </si>
  <si>
    <t>Paunzhausen</t>
  </si>
  <si>
    <t>Kranzberg</t>
  </si>
  <si>
    <t>Ebersberg</t>
  </si>
  <si>
    <t>Egmating</t>
  </si>
  <si>
    <t>Oberpframmern</t>
  </si>
  <si>
    <t>Fahrenzhausen</t>
  </si>
  <si>
    <t>Aichach</t>
  </si>
  <si>
    <t>Thierhaupten</t>
  </si>
  <si>
    <t>Buchloe</t>
  </si>
  <si>
    <t>Igling</t>
  </si>
  <si>
    <t>Markt Wald</t>
  </si>
  <si>
    <t>Tussenhausen</t>
  </si>
  <si>
    <t>Waal</t>
  </si>
  <si>
    <t>Wiedergeltingen</t>
  </si>
  <si>
    <t>Utting a. Ammersee</t>
  </si>
  <si>
    <t>Greifenberg</t>
  </si>
  <si>
    <t>Schondorf a. Ammersee</t>
  </si>
  <si>
    <t>Unterdießen</t>
  </si>
  <si>
    <t>Eppishausen</t>
  </si>
  <si>
    <t>Lachen</t>
  </si>
  <si>
    <t>Lautrach</t>
  </si>
  <si>
    <t>Legau</t>
  </si>
  <si>
    <t>Leutkirch im Allgäu</t>
  </si>
  <si>
    <t>Alfeld</t>
  </si>
  <si>
    <t>Obertrubach</t>
  </si>
  <si>
    <t>Schnabelwaid</t>
  </si>
  <si>
    <t>Waischenfeld</t>
  </si>
  <si>
    <t>Wiesenttal</t>
  </si>
  <si>
    <t>Sulzbach-Rosenberg</t>
  </si>
  <si>
    <t>Neunburg vorm Wald</t>
  </si>
  <si>
    <t>Bodenwöhr</t>
  </si>
  <si>
    <t>Nabburg</t>
  </si>
  <si>
    <t>Schwarzenfeld</t>
  </si>
  <si>
    <t>Schönsee</t>
  </si>
  <si>
    <t>Guteneck</t>
  </si>
  <si>
    <t>Floß</t>
  </si>
  <si>
    <t>Pressath</t>
  </si>
  <si>
    <t>Krummennaab</t>
  </si>
  <si>
    <t>Reuth b. Erbendorf</t>
  </si>
  <si>
    <t>Wiesent</t>
  </si>
  <si>
    <t>Regenstauf</t>
  </si>
  <si>
    <t>Michelsneukirchen</t>
  </si>
  <si>
    <t>Wolfsegg</t>
  </si>
  <si>
    <t>Neureichenau</t>
  </si>
  <si>
    <t>Rattenberg</t>
  </si>
  <si>
    <t>Riedlhütte</t>
  </si>
  <si>
    <t>Kupferberg</t>
  </si>
  <si>
    <t>Weidenberg, Kirchenpingarten</t>
  </si>
  <si>
    <t>Warmensteinach</t>
  </si>
  <si>
    <t>Plößberg</t>
  </si>
  <si>
    <t>Gräfenroda</t>
  </si>
  <si>
    <t>Tabarz/ Thür. Wald</t>
  </si>
  <si>
    <t>Bad Gottleuba-Berggießhübel</t>
  </si>
  <si>
    <t>Liebstadt</t>
  </si>
  <si>
    <t>Neustadt i. Sa.</t>
  </si>
  <si>
    <t>Bischofswerda u.a.</t>
  </si>
  <si>
    <t>Pulsnitz</t>
  </si>
  <si>
    <t>Kamenz</t>
  </si>
  <si>
    <t>Königsbrück u.a.</t>
  </si>
  <si>
    <t>Lauta</t>
  </si>
  <si>
    <t>Drebkau</t>
  </si>
  <si>
    <t>Vetschau</t>
  </si>
  <si>
    <t>Salzatal</t>
  </si>
  <si>
    <t>Gerbstedt</t>
  </si>
  <si>
    <t>Probstzella</t>
  </si>
  <si>
    <t>Schwarzburg</t>
  </si>
  <si>
    <t>Gera, Zedlitz u.a.</t>
  </si>
  <si>
    <t>Crossen, Heideland u.a.</t>
  </si>
  <si>
    <t>Triptis</t>
  </si>
  <si>
    <t>Hohenleuben</t>
  </si>
  <si>
    <t>Lößnitz</t>
  </si>
  <si>
    <t>Zwönitz</t>
  </si>
  <si>
    <t>Schwarzenberg/Erzgeb.</t>
  </si>
  <si>
    <t>Thum</t>
  </si>
  <si>
    <t>Bobritzsch</t>
  </si>
  <si>
    <t>Nuthe-Urstromtal</t>
  </si>
  <si>
    <t>Zeschdorf, Podelzig, Lebus</t>
  </si>
  <si>
    <t>Groß Köris</t>
  </si>
  <si>
    <t>Baruth</t>
  </si>
  <si>
    <t>Neuzelle</t>
  </si>
  <si>
    <t>Oderberg u.a.</t>
  </si>
  <si>
    <t>Schwedt</t>
  </si>
  <si>
    <t>Gartz (Oder)</t>
  </si>
  <si>
    <t>Brüssow</t>
  </si>
  <si>
    <t>Schluchsee</t>
  </si>
  <si>
    <t>Grünwald</t>
  </si>
  <si>
    <t>Planegg/Krailling</t>
  </si>
  <si>
    <t>Maisach</t>
  </si>
  <si>
    <t>Inning a. Ammersee</t>
  </si>
  <si>
    <t>Grafrath</t>
  </si>
  <si>
    <t>Kottgeisering</t>
  </si>
  <si>
    <t>Feldafing</t>
  </si>
  <si>
    <t>Hohenpeißenberg</t>
  </si>
  <si>
    <t>Eberfing</t>
  </si>
  <si>
    <t>Rottenbuch</t>
  </si>
  <si>
    <t>Seeshaupt</t>
  </si>
  <si>
    <t>Wessobrunn</t>
  </si>
  <si>
    <t>Wielenbach</t>
  </si>
  <si>
    <t>Murnau a. Staffelsee</t>
  </si>
  <si>
    <t>Bayersoien</t>
  </si>
  <si>
    <t>Oberammergau</t>
  </si>
  <si>
    <t>Unterammergau</t>
  </si>
  <si>
    <t>Sachsenkam</t>
  </si>
  <si>
    <t>Gmund a. Tegernsee</t>
  </si>
  <si>
    <t>Hausham</t>
  </si>
  <si>
    <t>Odelzhausen</t>
  </si>
  <si>
    <t>Röhrmoos</t>
  </si>
  <si>
    <t>Erdweg</t>
  </si>
  <si>
    <t>Weichs</t>
  </si>
  <si>
    <t>Pfaffenhofen a.d.Ilm</t>
  </si>
  <si>
    <t>Reichertshausen</t>
  </si>
  <si>
    <t>Gerolsbach</t>
  </si>
  <si>
    <t>Jetzendorf</t>
  </si>
  <si>
    <t>Höhenkirchen-Siegertsbrunn</t>
  </si>
  <si>
    <t>Hohenbrunn</t>
  </si>
  <si>
    <t>Stadtbergen</t>
  </si>
  <si>
    <t>Diedorf</t>
  </si>
  <si>
    <t>Gessertshausen</t>
  </si>
  <si>
    <t>Ziemetshausen</t>
  </si>
  <si>
    <t>Bonstetten</t>
  </si>
  <si>
    <t>Kutzenhausen</t>
  </si>
  <si>
    <t>Gachenbach</t>
  </si>
  <si>
    <t>Schiltberg</t>
  </si>
  <si>
    <t>Bad Wörishofen</t>
  </si>
  <si>
    <t>Fischach</t>
  </si>
  <si>
    <t>Jengen</t>
  </si>
  <si>
    <t>Langenneufnach</t>
  </si>
  <si>
    <t>Kaufering</t>
  </si>
  <si>
    <t>Hofstetten</t>
  </si>
  <si>
    <t>Pürgen</t>
  </si>
  <si>
    <t>Weil</t>
  </si>
  <si>
    <t>Schongau</t>
  </si>
  <si>
    <t>Peiting</t>
  </si>
  <si>
    <t>Ingenried</t>
  </si>
  <si>
    <t>Steingaden</t>
  </si>
  <si>
    <t>Dietmannsried</t>
  </si>
  <si>
    <t>Rieden</t>
  </si>
  <si>
    <t>Markt Rettenbach</t>
  </si>
  <si>
    <t>Isny im Allgäu</t>
  </si>
  <si>
    <t>Velden/Hartenstein</t>
  </si>
  <si>
    <t>Simmelsdorf</t>
  </si>
  <si>
    <t>Kirchenthumbach</t>
  </si>
  <si>
    <t>Betzenstein</t>
  </si>
  <si>
    <t>Gößweinstein</t>
  </si>
  <si>
    <t>Birgland</t>
  </si>
  <si>
    <t>Schmidmühlen</t>
  </si>
  <si>
    <t>Steinberg</t>
  </si>
  <si>
    <t>Dieterskirchen</t>
  </si>
  <si>
    <t>Niedermurach</t>
  </si>
  <si>
    <t>Parkstein</t>
  </si>
  <si>
    <t>Maxhütte-Haidhof</t>
  </si>
  <si>
    <t>Kallmünz</t>
  </si>
  <si>
    <t>Grainet</t>
  </si>
  <si>
    <t>Zwiesel</t>
  </si>
  <si>
    <t>Zachenberg</t>
  </si>
  <si>
    <t>Bodenmais</t>
  </si>
  <si>
    <t>Achslach</t>
  </si>
  <si>
    <t>Böbrach</t>
  </si>
  <si>
    <t>Drachselsried</t>
  </si>
  <si>
    <t>Frauenau</t>
  </si>
  <si>
    <t>Wiesenfelden</t>
  </si>
  <si>
    <t>Grafling</t>
  </si>
  <si>
    <t>Marktleugast</t>
  </si>
  <si>
    <t>Gefrees</t>
  </si>
  <si>
    <t>Goldkronach</t>
  </si>
  <si>
    <t>Bärnau</t>
  </si>
  <si>
    <t>Stadtilm, Ilmtal</t>
  </si>
  <si>
    <t>Ruhla</t>
  </si>
  <si>
    <t>Burkau</t>
  </si>
  <si>
    <t>Ruhland</t>
  </si>
  <si>
    <t>Senftenberg</t>
  </si>
  <si>
    <t>Großräschen</t>
  </si>
  <si>
    <t>Spreetal, Elsterheide</t>
  </si>
  <si>
    <t>Schmölln, Altkirchen, Nöbdenitz u.a.</t>
  </si>
  <si>
    <t>Thale, Blankenburg</t>
  </si>
  <si>
    <t>Südharz, Berga</t>
  </si>
  <si>
    <t>Brahmenau</t>
  </si>
  <si>
    <t>Ronneburg, Braunichswalde, Großenstein u.a.</t>
  </si>
  <si>
    <t>Bad Köstritz</t>
  </si>
  <si>
    <t>Hermsdorf</t>
  </si>
  <si>
    <t>Langenwetzendorf</t>
  </si>
  <si>
    <t>Mohlsdorf-Teichwolframsdorf</t>
  </si>
  <si>
    <t>Wolkenstein</t>
  </si>
  <si>
    <t>Wiesa</t>
  </si>
  <si>
    <t>Am Mellensee</t>
  </si>
  <si>
    <t>Golßen</t>
  </si>
  <si>
    <t>Biesendahlshof, Berkholz-Meyenburg</t>
  </si>
  <si>
    <t>Prenzlau u.a.</t>
  </si>
  <si>
    <t>Penkun u.a.</t>
  </si>
  <si>
    <t>Feldberg</t>
  </si>
  <si>
    <t>Gauting</t>
  </si>
  <si>
    <t>Herrsching a. Ammersee</t>
  </si>
  <si>
    <t>Eichenau</t>
  </si>
  <si>
    <t>Weßling</t>
  </si>
  <si>
    <t>Fürstenfeldbruck</t>
  </si>
  <si>
    <t>Moorenweis</t>
  </si>
  <si>
    <t>Eching a. Ammersee</t>
  </si>
  <si>
    <t>Schöngeising</t>
  </si>
  <si>
    <t>Kochel a. See</t>
  </si>
  <si>
    <t>Bad Kohlgrub</t>
  </si>
  <si>
    <t>Ohlstadt</t>
  </si>
  <si>
    <t>Münsing</t>
  </si>
  <si>
    <t>Kiefersfelden</t>
  </si>
  <si>
    <t>Holzkirchen</t>
  </si>
  <si>
    <t>Jachenau</t>
  </si>
  <si>
    <t>Altomünster</t>
  </si>
  <si>
    <t>Vierkirchen</t>
  </si>
  <si>
    <t>Scheyern</t>
  </si>
  <si>
    <t>Ilmmünster</t>
  </si>
  <si>
    <t>Brunnthal</t>
  </si>
  <si>
    <t>Aystetten</t>
  </si>
  <si>
    <t>Biberbach</t>
  </si>
  <si>
    <t>Sielenbach</t>
  </si>
  <si>
    <t>Türkheim</t>
  </si>
  <si>
    <t>Lamerdingen</t>
  </si>
  <si>
    <t>Mittelneufnach</t>
  </si>
  <si>
    <t>Walkertshofen</t>
  </si>
  <si>
    <t>Dießen a. Ammersee</t>
  </si>
  <si>
    <t>Schwabsoien</t>
  </si>
  <si>
    <t>Kaufbeuren</t>
  </si>
  <si>
    <t>Bad Grönenbach</t>
  </si>
  <si>
    <t>Pommelsbrunn</t>
  </si>
  <si>
    <t>Kirchensittenbach</t>
  </si>
  <si>
    <t>Plech</t>
  </si>
  <si>
    <t>Hiltpoltstein</t>
  </si>
  <si>
    <t>Etzelwang</t>
  </si>
  <si>
    <t>Hohenburg</t>
  </si>
  <si>
    <t>Schwarzach b. Nabburg</t>
  </si>
  <si>
    <t>Stulln</t>
  </si>
  <si>
    <t>Grafenwöhr</t>
  </si>
  <si>
    <t>Haidmühle</t>
  </si>
  <si>
    <t>Sankt Oswald</t>
  </si>
  <si>
    <t>Schöfweg</t>
  </si>
  <si>
    <t>Marktleuthen</t>
  </si>
  <si>
    <t>Marktredwitz</t>
  </si>
  <si>
    <t>Wunsiedel</t>
  </si>
  <si>
    <t>Tirschenreuth</t>
  </si>
  <si>
    <t>Waldershof</t>
  </si>
  <si>
    <t>Brand</t>
  </si>
  <si>
    <t>Ebnath</t>
  </si>
  <si>
    <t>Steinbach-Hallenberg</t>
  </si>
  <si>
    <t>Georgenthal/ Thür. Wald</t>
  </si>
  <si>
    <t>Schipkau</t>
  </si>
  <si>
    <t>Bautzen</t>
  </si>
  <si>
    <t>Göda</t>
  </si>
  <si>
    <t>Wilthen</t>
  </si>
  <si>
    <t>Sohland a. d. Spree</t>
  </si>
  <si>
    <t>Doberschau-Gaußig, Großpostwitz, Obergurig</t>
  </si>
  <si>
    <t>Zittau u.a.</t>
  </si>
  <si>
    <t>Rothenburg/O.L.</t>
  </si>
  <si>
    <t>Hoyerswerda</t>
  </si>
  <si>
    <t>Wittichenau</t>
  </si>
  <si>
    <t>Lohsa</t>
  </si>
  <si>
    <t>Döbern</t>
  </si>
  <si>
    <t>Zeulenroda-Triebes, Weißendorf</t>
  </si>
  <si>
    <t>Lengenfeld</t>
  </si>
  <si>
    <t>Plauen</t>
  </si>
  <si>
    <t>Olbernhau, Pfaffroda, Heidersdorf</t>
  </si>
  <si>
    <t>Brand-Erbisdorf, Großhartmannsdorf</t>
  </si>
  <si>
    <t>Brieskow-Finkenheerd</t>
  </si>
  <si>
    <t>Teupitz</t>
  </si>
  <si>
    <t>Oberhaching</t>
  </si>
  <si>
    <t>Sauerlach</t>
  </si>
  <si>
    <t>Straßlach-Dingharting</t>
  </si>
  <si>
    <t>Baierbrunn</t>
  </si>
  <si>
    <t>Schäftlarn</t>
  </si>
  <si>
    <t>Gilching</t>
  </si>
  <si>
    <t>Wörthsee</t>
  </si>
  <si>
    <t>Alling</t>
  </si>
  <si>
    <t>Geltendorf</t>
  </si>
  <si>
    <t>Egenhofen</t>
  </si>
  <si>
    <t>Jesenwang</t>
  </si>
  <si>
    <t>Landsberied</t>
  </si>
  <si>
    <t>Mittelstetten</t>
  </si>
  <si>
    <t>Tutzing</t>
  </si>
  <si>
    <t>Pentenried</t>
  </si>
  <si>
    <t>Wildsteig</t>
  </si>
  <si>
    <t>Egling</t>
  </si>
  <si>
    <t>Dietramszell</t>
  </si>
  <si>
    <t>Otterfing</t>
  </si>
  <si>
    <t>Waakirchen</t>
  </si>
  <si>
    <t>Benediktbeuern</t>
  </si>
  <si>
    <t>Markt Indersdorf</t>
  </si>
  <si>
    <t>Schwabhausen</t>
  </si>
  <si>
    <t>Friedberg</t>
  </si>
  <si>
    <t>Königsbrunn</t>
  </si>
  <si>
    <t>Neusäß</t>
  </si>
  <si>
    <t>Gersthofen</t>
  </si>
  <si>
    <t>Affing</t>
  </si>
  <si>
    <t>Gablingen</t>
  </si>
  <si>
    <t>Langweid a. Lech</t>
  </si>
  <si>
    <t>Rehling</t>
  </si>
  <si>
    <t>Ried</t>
  </si>
  <si>
    <t>Adelzhausen</t>
  </si>
  <si>
    <t>Hilgertshausen-Tandern</t>
  </si>
  <si>
    <t>Hollenbach</t>
  </si>
  <si>
    <t>Langerringen</t>
  </si>
  <si>
    <t>Mickhausen</t>
  </si>
  <si>
    <t>Scherstetten</t>
  </si>
  <si>
    <t>Thaining</t>
  </si>
  <si>
    <t>Burggen</t>
  </si>
  <si>
    <t>Hohenfurch</t>
  </si>
  <si>
    <t>Lechbruck</t>
  </si>
  <si>
    <t>Prem</t>
  </si>
  <si>
    <t>Schwabbruck</t>
  </si>
  <si>
    <t>Sulzberg</t>
  </si>
  <si>
    <t>Biessenhofen</t>
  </si>
  <si>
    <t>Baisweil</t>
  </si>
  <si>
    <t>Stötten am Auerberg</t>
  </si>
  <si>
    <t>Westendorf</t>
  </si>
  <si>
    <t>Ottobeuren</t>
  </si>
  <si>
    <t>Unteregg</t>
  </si>
  <si>
    <t>Röthenbach (Allgäu)</t>
  </si>
  <si>
    <t>Aitrach</t>
  </si>
  <si>
    <t>Vorra</t>
  </si>
  <si>
    <t>Weigendorf</t>
  </si>
  <si>
    <t>Hahnbach</t>
  </si>
  <si>
    <t>Edelsfeld</t>
  </si>
  <si>
    <t>Fensterbach</t>
  </si>
  <si>
    <t>Gebenbach</t>
  </si>
  <si>
    <t>Hirschbach</t>
  </si>
  <si>
    <t>Königstein</t>
  </si>
  <si>
    <t>Velburg</t>
  </si>
  <si>
    <t>Pilsach</t>
  </si>
  <si>
    <t>Wackersdorf</t>
  </si>
  <si>
    <t>Georgenberg</t>
  </si>
  <si>
    <t>Sonnen</t>
  </si>
  <si>
    <t>Selb</t>
  </si>
  <si>
    <t>Weißenstadt</t>
  </si>
  <si>
    <t>Röslau</t>
  </si>
  <si>
    <t>Grafengehaig</t>
  </si>
  <si>
    <t>Immenreuth</t>
  </si>
  <si>
    <t>Kulmain</t>
  </si>
  <si>
    <t>Wiesau</t>
  </si>
  <si>
    <t>Friedenfels</t>
  </si>
  <si>
    <t>Mehlmeisel</t>
  </si>
  <si>
    <t>Nagel</t>
  </si>
  <si>
    <t>Neusorg</t>
  </si>
  <si>
    <t>Pullenreuth</t>
  </si>
  <si>
    <t>Tröstau</t>
  </si>
  <si>
    <t>Ludwigsstadt</t>
  </si>
  <si>
    <t>Teuschnitz</t>
  </si>
  <si>
    <t>Tschirn</t>
  </si>
  <si>
    <t>Schleusegrund</t>
  </si>
  <si>
    <t>Ilmenau</t>
  </si>
  <si>
    <t>Gehren</t>
  </si>
  <si>
    <t>Stützerbach</t>
  </si>
  <si>
    <t>Geschwenda</t>
  </si>
  <si>
    <t>Tambach-Dietharz/ Thür.</t>
  </si>
  <si>
    <t>Elstra, Oßling u.a.</t>
  </si>
  <si>
    <t>Weißenberg, Hochkirch u.a.</t>
  </si>
  <si>
    <t>Markersdorf, Neißeaue u.a.</t>
  </si>
  <si>
    <t>Hähnichen, Horka, Kodersdorf</t>
  </si>
  <si>
    <t>Schleife</t>
  </si>
  <si>
    <t>Neu-Seeland, Neupetershain</t>
  </si>
  <si>
    <t>Spremberg, Tschernitz u.a.</t>
  </si>
  <si>
    <t>Ballenstedt, Harzgerode</t>
  </si>
  <si>
    <t>Greiz</t>
  </si>
  <si>
    <t>Rodewisch</t>
  </si>
  <si>
    <t>Reichenbach/Vogtl.</t>
  </si>
  <si>
    <t>Angermünde</t>
  </si>
  <si>
    <t>Icking</t>
  </si>
  <si>
    <t>Mammendorf</t>
  </si>
  <si>
    <t>Oberschweinbach</t>
  </si>
  <si>
    <t>Reit im Winkl</t>
  </si>
  <si>
    <t>Warngau</t>
  </si>
  <si>
    <t>Mering</t>
  </si>
  <si>
    <t>Kissing</t>
  </si>
  <si>
    <t>Petersdorf</t>
  </si>
  <si>
    <t>Hurlach</t>
  </si>
  <si>
    <t>Oberostendorf</t>
  </si>
  <si>
    <t>Vilgertshofen</t>
  </si>
  <si>
    <t>Bernbeuren</t>
  </si>
  <si>
    <t>Waltenhofen</t>
  </si>
  <si>
    <t>Schwangau</t>
  </si>
  <si>
    <t>Pforzen</t>
  </si>
  <si>
    <t>Rieden am Forggensee</t>
  </si>
  <si>
    <t>Ruderatshofen</t>
  </si>
  <si>
    <t>Oberreute</t>
  </si>
  <si>
    <t>Kümmersbruck</t>
  </si>
  <si>
    <t>Neukirchen b. Sulzbach-Rosen</t>
  </si>
  <si>
    <t>Poppenricht</t>
  </si>
  <si>
    <t>Ursensollen</t>
  </si>
  <si>
    <t>Schmidgaden</t>
  </si>
  <si>
    <t>Stadlern</t>
  </si>
  <si>
    <t>Burglengenfeld</t>
  </si>
  <si>
    <t>Thierstein</t>
  </si>
  <si>
    <t>Presseck</t>
  </si>
  <si>
    <t>Fichtelberg</t>
  </si>
  <si>
    <t>Pechbrunn</t>
  </si>
  <si>
    <t>Thiersheim</t>
  </si>
  <si>
    <t>Steinbach a. Wald</t>
  </si>
  <si>
    <t>Gräfenthal</t>
  </si>
  <si>
    <t>Altenberg</t>
  </si>
  <si>
    <t>Großdubrau, Malschwitz</t>
  </si>
  <si>
    <t>Königswartha</t>
  </si>
  <si>
    <t>Reichenbach, Vierkirchen</t>
  </si>
  <si>
    <t>Rietschen</t>
  </si>
  <si>
    <t>Krauschwitz, Weißkeißel</t>
  </si>
  <si>
    <t>Bernsdorf</t>
  </si>
  <si>
    <t>Ziegenrück</t>
  </si>
  <si>
    <t>Auma-Weidatal</t>
  </si>
  <si>
    <t>Klingenthal/Sa.</t>
  </si>
  <si>
    <t>Markneukirchen</t>
  </si>
  <si>
    <t>Pöhl</t>
  </si>
  <si>
    <t>Bad Elster</t>
  </si>
  <si>
    <t>Schlettau</t>
  </si>
  <si>
    <t>Althegnenberg</t>
  </si>
  <si>
    <t>Steindorf</t>
  </si>
  <si>
    <t>Andechs</t>
  </si>
  <si>
    <t>Schliersee</t>
  </si>
  <si>
    <t>Aindling</t>
  </si>
  <si>
    <t>Dasing</t>
  </si>
  <si>
    <t>Merching</t>
  </si>
  <si>
    <t>Oberottmarshausen</t>
  </si>
  <si>
    <t>Schmiechen</t>
  </si>
  <si>
    <t>Wehringen</t>
  </si>
  <si>
    <t>Obergriesbach</t>
  </si>
  <si>
    <t>Denklingen</t>
  </si>
  <si>
    <t>Fuchstal</t>
  </si>
  <si>
    <t>Rott</t>
  </si>
  <si>
    <t>Apfeldorf</t>
  </si>
  <si>
    <t>Kinsau</t>
  </si>
  <si>
    <t>Germaringen</t>
  </si>
  <si>
    <t>Ammerthal</t>
  </si>
  <si>
    <t>Ebermannsdorf</t>
  </si>
  <si>
    <t>Illschwang</t>
  </si>
  <si>
    <t>Flossenbürg</t>
  </si>
  <si>
    <t>Bayerisch Eisenstein</t>
  </si>
  <si>
    <t>Sankt Englmar</t>
  </si>
  <si>
    <t>Schwarzenbach a. Wald</t>
  </si>
  <si>
    <t>Höchstädt</t>
  </si>
  <si>
    <t>Sparneck</t>
  </si>
  <si>
    <t>Stammbach</t>
  </si>
  <si>
    <t>Bischofsgrün</t>
  </si>
  <si>
    <t>Mitterteich</t>
  </si>
  <si>
    <t>Bad Alexandersbad</t>
  </si>
  <si>
    <t>Fuchsmühl</t>
  </si>
  <si>
    <t>Konnersreuth</t>
  </si>
  <si>
    <t>Mähring</t>
  </si>
  <si>
    <t>Sonneberg, Judenbach</t>
  </si>
  <si>
    <t>Hartmannsdorf-Reichenau</t>
  </si>
  <si>
    <t>Löbau, Kottmar u.a.</t>
  </si>
  <si>
    <t>Cunewalde</t>
  </si>
  <si>
    <t>Neusalza-Spremberg</t>
  </si>
  <si>
    <t>Östritz, Schönau-Berzdorf</t>
  </si>
  <si>
    <t>Niesky, Hohendubrau u.a.</t>
  </si>
  <si>
    <t>Weißwasser, Boxberg</t>
  </si>
  <si>
    <t>Welzow</t>
  </si>
  <si>
    <t>Quedlinburg, Ballenstedt</t>
  </si>
  <si>
    <t>Ranis</t>
  </si>
  <si>
    <t>Bad Blankenburg, Saalfelder Höhe</t>
  </si>
  <si>
    <t>Schleiz</t>
  </si>
  <si>
    <t>Kirschkau, Pausa-Mühltroff</t>
  </si>
  <si>
    <t>Zeulenroda-Triebes, Langenwolschendorf</t>
  </si>
  <si>
    <t>Pausa-Mühltroff</t>
  </si>
  <si>
    <t>Ellefeld</t>
  </si>
  <si>
    <t>Klingenthal</t>
  </si>
  <si>
    <t>Plauen, Rößnitz</t>
  </si>
  <si>
    <t>Neuensalz</t>
  </si>
  <si>
    <t>Jößnitz</t>
  </si>
  <si>
    <t>Bad Brambach</t>
  </si>
  <si>
    <t>Ehrenfriedersdorf</t>
  </si>
  <si>
    <t>Berchtesgaden &amp; Schönau</t>
  </si>
  <si>
    <t>Gaißach</t>
  </si>
  <si>
    <t>Bayrischzell</t>
  </si>
  <si>
    <t>Bobingen</t>
  </si>
  <si>
    <t>Egling a.d. Paar</t>
  </si>
  <si>
    <t>Untermeitingen</t>
  </si>
  <si>
    <t>Großaitingen</t>
  </si>
  <si>
    <t>Hiltenfingen</t>
  </si>
  <si>
    <t>Prittriching</t>
  </si>
  <si>
    <t>Reichling</t>
  </si>
  <si>
    <t>Scheuring</t>
  </si>
  <si>
    <t>Altusried</t>
  </si>
  <si>
    <t>Nesselwang</t>
  </si>
  <si>
    <t>Marktoberdorf</t>
  </si>
  <si>
    <t>Aitrang</t>
  </si>
  <si>
    <t>Irsee</t>
  </si>
  <si>
    <t>Mauerstetten</t>
  </si>
  <si>
    <t>Roßhaupten</t>
  </si>
  <si>
    <t>Stöttwang</t>
  </si>
  <si>
    <t>Böhen</t>
  </si>
  <si>
    <t>Hinterschmiding</t>
  </si>
  <si>
    <t>Mauth</t>
  </si>
  <si>
    <t>Hof</t>
  </si>
  <si>
    <t>Schwarzenbach a.d. Saale</t>
  </si>
  <si>
    <t>Bad Steben</t>
  </si>
  <si>
    <t>Kirchenlamitz</t>
  </si>
  <si>
    <t>Geroldsgrün</t>
  </si>
  <si>
    <t>Schauenstein</t>
  </si>
  <si>
    <t>Münchberg</t>
  </si>
  <si>
    <t>Weißdorf</t>
  </si>
  <si>
    <t>Waldsassen</t>
  </si>
  <si>
    <t>Arzberg</t>
  </si>
  <si>
    <t>Hohenberg a.d. Eger</t>
  </si>
  <si>
    <t>Neualbenreuth</t>
  </si>
  <si>
    <t>Großbreitenbach</t>
  </si>
  <si>
    <t>Schmiedefeld, Frauenwald, Suhl</t>
  </si>
  <si>
    <t>Neukirch/Lausitz</t>
  </si>
  <si>
    <t>Bad Muskau, Groß Düben, Gablenz</t>
  </si>
  <si>
    <t>Wurzbach</t>
  </si>
  <si>
    <t>Blankenstein, Blankenberg u.a.</t>
  </si>
  <si>
    <t>Döschnitz, Sitzendorf, Rohrbach</t>
  </si>
  <si>
    <t>Tanna</t>
  </si>
  <si>
    <t>Hirschberg</t>
  </si>
  <si>
    <t>Crinitzberg</t>
  </si>
  <si>
    <t>Auerbach/Vogtl.</t>
  </si>
  <si>
    <t>Treuen</t>
  </si>
  <si>
    <t>Zschorlau</t>
  </si>
  <si>
    <t>Stützengrün</t>
  </si>
  <si>
    <t>Netzschkau, Limbach</t>
  </si>
  <si>
    <t>Adorf</t>
  </si>
  <si>
    <t>Großrückerswalde</t>
  </si>
  <si>
    <t>Dorfchemnitz, Mulda, Sayda</t>
  </si>
  <si>
    <t>Eschenlohe</t>
  </si>
  <si>
    <t>Kreuth</t>
  </si>
  <si>
    <t>Schwabmünchen</t>
  </si>
  <si>
    <t>Durach</t>
  </si>
  <si>
    <t>Betzigau</t>
  </si>
  <si>
    <t>Füssen</t>
  </si>
  <si>
    <t>Bidingen</t>
  </si>
  <si>
    <t>Eggenthal</t>
  </si>
  <si>
    <t>Friesenried</t>
  </si>
  <si>
    <t>Ronsberg</t>
  </si>
  <si>
    <t>Spiegelau</t>
  </si>
  <si>
    <t>Oberkotzau</t>
  </si>
  <si>
    <t>Kaulsdorf</t>
  </si>
  <si>
    <t>Lobenstein, Neundorf</t>
  </si>
  <si>
    <t>Remptendorf</t>
  </si>
  <si>
    <t>Saalburg-Ebersdorf</t>
  </si>
  <si>
    <t>Schönheide</t>
  </si>
  <si>
    <t>Bockau</t>
  </si>
  <si>
    <t>Grünhain</t>
  </si>
  <si>
    <t>Raschau</t>
  </si>
  <si>
    <t>Rosenbach</t>
  </si>
  <si>
    <t>Annaberg-Buchholz, Mildenau</t>
  </si>
  <si>
    <t>Sehma</t>
  </si>
  <si>
    <t>Crottendorf</t>
  </si>
  <si>
    <t>Jöhstadt</t>
  </si>
  <si>
    <t>Neuhausen/Erzgeb.</t>
  </si>
  <si>
    <t>Frauenstein</t>
  </si>
  <si>
    <t>Ettal</t>
  </si>
  <si>
    <t>Untrasried</t>
  </si>
  <si>
    <t>Wildpoldsried</t>
  </si>
  <si>
    <t>Obergünzburg</t>
  </si>
  <si>
    <t>Seeg</t>
  </si>
  <si>
    <t>Unterthingau</t>
  </si>
  <si>
    <t>Hopferau</t>
  </si>
  <si>
    <t>Kaltental</t>
  </si>
  <si>
    <t>Lengenwang</t>
  </si>
  <si>
    <t>Philippsreut</t>
  </si>
  <si>
    <t>Neuschönau</t>
  </si>
  <si>
    <t>Rehau</t>
  </si>
  <si>
    <t>Naila</t>
  </si>
  <si>
    <t>Selbitz</t>
  </si>
  <si>
    <t>Döhlau</t>
  </si>
  <si>
    <t>Issigau</t>
  </si>
  <si>
    <t>Leupoldsgrün</t>
  </si>
  <si>
    <t>Lichtenberg</t>
  </si>
  <si>
    <t>Regnitzlosau</t>
  </si>
  <si>
    <t>Helmbrechts</t>
  </si>
  <si>
    <t>Schirnding</t>
  </si>
  <si>
    <t>Beiersdorf, Oppach</t>
  </si>
  <si>
    <t>Olbersdorf</t>
  </si>
  <si>
    <t>Gefell</t>
  </si>
  <si>
    <t>Schöneck/Vogtl.</t>
  </si>
  <si>
    <t>Breitenbrunn/Erzgeb.</t>
  </si>
  <si>
    <t>Bärenstein</t>
  </si>
  <si>
    <t>Oberstaufen</t>
  </si>
  <si>
    <t>Missen-Wilhams</t>
  </si>
  <si>
    <t>Görisried</t>
  </si>
  <si>
    <t>Schönwald</t>
  </si>
  <si>
    <t>Konradsreuth</t>
  </si>
  <si>
    <t>Neuhaus am Rennweg, Lauscha</t>
  </si>
  <si>
    <t>Katzhütte</t>
  </si>
  <si>
    <t>Herrnhut</t>
  </si>
  <si>
    <t>Oderwitz</t>
  </si>
  <si>
    <t>Lehesten</t>
  </si>
  <si>
    <t>Falkenstein/Vogtl.</t>
  </si>
  <si>
    <t>Weischlitz u.a.</t>
  </si>
  <si>
    <t>Oelsnitz</t>
  </si>
  <si>
    <t>Geyer</t>
  </si>
  <si>
    <t>Scheibenberg</t>
  </si>
  <si>
    <t>Flintsbach a. Inn</t>
  </si>
  <si>
    <t>Ruhpolding</t>
  </si>
  <si>
    <t>Oy-Mittelberg</t>
  </si>
  <si>
    <t>Buchenberg</t>
  </si>
  <si>
    <t>Rückholz</t>
  </si>
  <si>
    <t>Halblech</t>
  </si>
  <si>
    <t>Feilitzsch</t>
  </si>
  <si>
    <t>Köditz</t>
  </si>
  <si>
    <t>Oberhof</t>
  </si>
  <si>
    <t>Großschönau</t>
  </si>
  <si>
    <t>Seifhennersdorf</t>
  </si>
  <si>
    <t>Muldenhammer</t>
  </si>
  <si>
    <t>Marienberg</t>
  </si>
  <si>
    <t>Schwaigen</t>
  </si>
  <si>
    <t>Weitnau</t>
  </si>
  <si>
    <t>Wiggensbach</t>
  </si>
  <si>
    <t>Immenstadt im Allgäu</t>
  </si>
  <si>
    <t>Gattendorf</t>
  </si>
  <si>
    <t>Tettau</t>
  </si>
  <si>
    <t>Biberau, Masserberg</t>
  </si>
  <si>
    <t>Lichte</t>
  </si>
  <si>
    <t>Oberweißbach u.a.</t>
  </si>
  <si>
    <t>Ebersbach-Neugersdorf</t>
  </si>
  <si>
    <t>Seiffen/Erzgeb.</t>
  </si>
  <si>
    <t>Krün</t>
  </si>
  <si>
    <t>Wallgau</t>
  </si>
  <si>
    <t>Rottach-Egern</t>
  </si>
  <si>
    <t>Pfronten</t>
  </si>
  <si>
    <t>Wertach</t>
  </si>
  <si>
    <t>Kottmar</t>
  </si>
  <si>
    <t>Zittau</t>
  </si>
  <si>
    <t>Leutersdorf, Spitzkunnersdorf</t>
  </si>
  <si>
    <t>Eibenstock</t>
  </si>
  <si>
    <t>Johanngeorgenstadt</t>
  </si>
  <si>
    <t>Saulgrub</t>
  </si>
  <si>
    <t>Garmisch-Partenkirchen</t>
  </si>
  <si>
    <t>Lenggries</t>
  </si>
  <si>
    <t>Bad Wiessee</t>
  </si>
  <si>
    <t>Rettenberg</t>
  </si>
  <si>
    <t>Jonsdorf</t>
  </si>
  <si>
    <t>Oybin</t>
  </si>
  <si>
    <t>Mittenwald</t>
  </si>
  <si>
    <t>Wernigerode</t>
  </si>
  <si>
    <t>Grainau</t>
  </si>
  <si>
    <t>Burgberg im Allgäu</t>
  </si>
  <si>
    <t>Blaichach</t>
  </si>
  <si>
    <t>Oberwiesenthal</t>
  </si>
  <si>
    <t>Bad Hindelang</t>
  </si>
  <si>
    <t>Sonthofen</t>
  </si>
  <si>
    <t>Fischen im Allgäu</t>
  </si>
  <si>
    <t>Ramsau b. Berchtesgaden</t>
  </si>
  <si>
    <t>Oberstdorf</t>
  </si>
  <si>
    <t>Garmisch-Partenkirchen (Schneefernerhaus)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</si>
</sst>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0000"/>
    <numFmt numFmtId="167" formatCode="0.000000"/>
    <numFmt numFmtId="168" formatCode="_-* #,##0.00\ _€_-;\-* #,##0.00\ _€_-;_-* &quot;-&quot;??\ _€_-;_-@_-"/>
    <numFmt numFmtId="169" formatCode="0.000"/>
  </numFmts>
  <fonts count="19">
    <font>
      <sz val="11"/>
      <color theme="1"/>
      <name val="Calibri"/>
      <family val="2"/>
    </font>
    <font>
      <sz val="11"/>
      <color theme="1"/>
      <name val="Verdana"/>
      <family val="2"/>
      <scheme val="minor"/>
    </font>
    <font>
      <sz val="11"/>
      <color theme="1"/>
      <name val="Arial"/>
      <family val="2"/>
    </font>
    <font>
      <b/>
      <sz val="11"/>
      <color theme="1"/>
      <name val="Arial"/>
      <family val="2"/>
    </font>
    <font>
      <b/>
      <sz val="10"/>
      <name val="Arial"/>
      <family val="2"/>
    </font>
    <font>
      <b/>
      <sz val="12"/>
      <name val="Arial"/>
      <family val="2"/>
    </font>
    <font>
      <b/>
      <sz val="10"/>
      <color indexed="9"/>
      <name val="Arial"/>
      <family val="2"/>
    </font>
    <font>
      <sz val="11"/>
      <color rgb="FFFF0000"/>
      <name val="Calibri"/>
      <family val="2"/>
    </font>
    <font>
      <b/>
      <sz val="11"/>
      <color theme="1"/>
      <name val="Calibri"/>
      <family val="2"/>
    </font>
    <font>
      <sz val="11"/>
      <color rgb="FFFF0000"/>
      <name val="Arial"/>
      <family val="2"/>
    </font>
    <font>
      <sz val="8"/>
      <name val="Calibri"/>
      <family val="2"/>
    </font>
    <font>
      <sz val="11"/>
      <color theme="1"/>
      <name val="Calibri"/>
      <family val="2"/>
    </font>
    <font>
      <i/>
      <sz val="11"/>
      <color theme="1"/>
      <name val="Calibri"/>
      <family val="2"/>
    </font>
    <font>
      <b/>
      <sz val="11"/>
      <color theme="0"/>
      <name val="Calibri"/>
      <family val="2"/>
    </font>
    <font>
      <sz val="11"/>
      <color theme="0"/>
      <name val="Calibri"/>
      <family val="2"/>
    </font>
    <font>
      <sz val="11"/>
      <name val="Calibri"/>
      <family val="2"/>
    </font>
    <font>
      <sz val="11"/>
      <color theme="1"/>
      <name val="Aptos"/>
      <family val="2"/>
    </font>
    <font>
      <sz val="9"/>
      <color theme="1"/>
      <name val="Segoe UI"/>
      <family val="2"/>
    </font>
    <font>
      <b/>
      <sz val="14"/>
      <name val="Calibri"/>
      <family val="2"/>
    </font>
  </fonts>
  <fills count="24">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1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3" tint="0.89999084444715716"/>
        <bgColor theme="0" tint="-0.14999847407452621"/>
      </patternFill>
    </fill>
    <fill>
      <patternFill patternType="solid">
        <fgColor theme="3" tint="0.89999084444715716"/>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9999"/>
        <bgColor indexed="64"/>
      </patternFill>
    </fill>
    <fill>
      <patternFill patternType="solid">
        <fgColor theme="4"/>
        <bgColor theme="4"/>
      </patternFill>
    </fill>
    <fill>
      <patternFill patternType="solid">
        <fgColor theme="4"/>
        <bgColor indexed="64"/>
      </patternFill>
    </fill>
    <fill>
      <patternFill patternType="solid">
        <fgColor theme="4"/>
        <bgColor theme="4" tint="0.79998168889431442"/>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s>
  <borders count="37">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medium">
        <color indexed="64"/>
      </left>
      <right style="medium">
        <color indexed="64"/>
      </right>
      <top/>
      <bottom style="medium">
        <color indexed="64"/>
      </bottom>
      <diagonal/>
    </border>
    <border>
      <left/>
      <right/>
      <top/>
      <bottom style="thin">
        <color theme="4" tint="0.39997558519241921"/>
      </bottom>
      <diagonal/>
    </border>
    <border>
      <left/>
      <right/>
      <top style="thin">
        <color theme="1"/>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auto="1"/>
      </bottom>
      <diagonal/>
    </border>
    <border>
      <left style="thin">
        <color indexed="64"/>
      </left>
      <right style="thin">
        <color indexed="64"/>
      </right>
      <top/>
      <bottom style="medium">
        <color auto="1"/>
      </bottom>
      <diagonal/>
    </border>
    <border>
      <left style="thin">
        <color indexed="64"/>
      </left>
      <right style="thin">
        <color indexed="64"/>
      </right>
      <top/>
      <bottom/>
      <diagonal/>
    </border>
    <border>
      <left/>
      <right/>
      <top style="medium">
        <color auto="1"/>
      </top>
      <bottom style="thin">
        <color auto="1"/>
      </bottom>
      <diagonal/>
    </border>
    <border>
      <left/>
      <right/>
      <top style="thin">
        <color auto="1"/>
      </top>
      <bottom style="medium">
        <color auto="1"/>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ck">
        <color indexed="64"/>
      </bottom>
      <diagonal/>
    </border>
    <border>
      <left/>
      <right/>
      <top style="thin">
        <color indexed="64"/>
      </top>
      <bottom style="thin">
        <color indexed="64"/>
      </bottom>
      <diagonal/>
    </border>
  </borders>
  <cellStyleXfs count="5">
    <xf numFmtId="0" fontId="0" fillId="0" borderId="0"/>
    <xf numFmtId="0" fontId="2" fillId="0" borderId="0"/>
    <xf numFmtId="43" fontId="11" fillId="0" borderId="0" applyFont="0" applyFill="0" applyBorder="0" applyAlignment="0" applyProtection="0"/>
    <xf numFmtId="9" fontId="11" fillId="0" borderId="0" applyFont="0" applyFill="0" applyBorder="0" applyAlignment="0" applyProtection="0"/>
    <xf numFmtId="0" fontId="1" fillId="0" borderId="0"/>
  </cellStyleXfs>
  <cellXfs count="210">
    <xf numFmtId="0" fontId="0" fillId="0" borderId="0" xfId="0"/>
    <xf numFmtId="0" fontId="2" fillId="0" borderId="0" xfId="1"/>
    <xf numFmtId="0" fontId="4" fillId="0" borderId="0" xfId="0" applyFont="1" applyAlignment="1">
      <alignment vertical="top" wrapText="1"/>
    </xf>
    <xf numFmtId="0" fontId="4" fillId="2" borderId="0" xfId="0" applyFont="1" applyFill="1" applyAlignment="1">
      <alignment horizontal="center" vertical="top" wrapText="1"/>
    </xf>
    <xf numFmtId="0" fontId="0" fillId="0" borderId="0" xfId="0" applyAlignment="1">
      <alignment vertical="top" wrapText="1"/>
    </xf>
    <xf numFmtId="0" fontId="0" fillId="0" borderId="2" xfId="0" applyBorder="1"/>
    <xf numFmtId="0" fontId="8" fillId="0" borderId="0" xfId="0" applyFont="1"/>
    <xf numFmtId="0" fontId="9" fillId="0" borderId="0" xfId="1" applyFont="1"/>
    <xf numFmtId="0" fontId="7" fillId="0" borderId="0" xfId="0" applyFont="1"/>
    <xf numFmtId="0" fontId="0" fillId="0" borderId="0" xfId="0" applyAlignment="1">
      <alignment horizontal="right"/>
    </xf>
    <xf numFmtId="49" fontId="0" fillId="0" borderId="0" xfId="0" applyNumberFormat="1" applyAlignment="1">
      <alignment horizontal="right"/>
    </xf>
    <xf numFmtId="0" fontId="0" fillId="0" borderId="0" xfId="0" applyAlignment="1">
      <alignment wrapText="1"/>
    </xf>
    <xf numFmtId="2" fontId="0" fillId="0" borderId="0" xfId="0" applyNumberFormat="1"/>
    <xf numFmtId="1" fontId="0" fillId="0" borderId="0" xfId="0" applyNumberFormat="1"/>
    <xf numFmtId="0" fontId="0" fillId="0" borderId="4" xfId="0" applyBorder="1"/>
    <xf numFmtId="2" fontId="5" fillId="2" borderId="0" xfId="0" applyNumberFormat="1" applyFont="1" applyFill="1" applyAlignment="1">
      <alignment horizontal="center" vertical="top" wrapText="1"/>
    </xf>
    <xf numFmtId="2" fontId="5" fillId="3" borderId="0" xfId="0" applyNumberFormat="1" applyFont="1" applyFill="1" applyAlignment="1">
      <alignment horizontal="center" vertical="top" wrapText="1"/>
    </xf>
    <xf numFmtId="2" fontId="4" fillId="2" borderId="0" xfId="0" applyNumberFormat="1" applyFont="1" applyFill="1" applyAlignment="1">
      <alignment horizontal="center" vertical="top" wrapText="1"/>
    </xf>
    <xf numFmtId="2" fontId="4" fillId="3" borderId="0" xfId="0" applyNumberFormat="1" applyFont="1" applyFill="1" applyAlignment="1">
      <alignment horizontal="center" vertical="top" wrapText="1"/>
    </xf>
    <xf numFmtId="2" fontId="0" fillId="2" borderId="0" xfId="0" applyNumberFormat="1" applyFill="1" applyAlignment="1">
      <alignment horizontal="center" vertical="top" wrapText="1"/>
    </xf>
    <xf numFmtId="2" fontId="0" fillId="3" borderId="0" xfId="0" applyNumberFormat="1" applyFill="1" applyAlignment="1">
      <alignment horizontal="center" vertical="top" wrapText="1"/>
    </xf>
    <xf numFmtId="2" fontId="0" fillId="4" borderId="0" xfId="0" applyNumberFormat="1" applyFill="1"/>
    <xf numFmtId="0" fontId="8" fillId="0" borderId="0" xfId="0" applyFont="1" applyAlignment="1">
      <alignment vertical="top" wrapText="1"/>
    </xf>
    <xf numFmtId="2" fontId="6" fillId="4" borderId="0" xfId="0" applyNumberFormat="1" applyFont="1" applyFill="1" applyAlignment="1">
      <alignment vertical="top" textRotation="90"/>
    </xf>
    <xf numFmtId="0" fontId="0" fillId="7" borderId="0" xfId="0" applyFill="1" applyAlignment="1">
      <alignment vertical="top" wrapText="1"/>
    </xf>
    <xf numFmtId="0" fontId="0" fillId="8" borderId="0" xfId="0" applyFill="1" applyAlignment="1">
      <alignment vertical="top" wrapText="1"/>
    </xf>
    <xf numFmtId="0" fontId="0" fillId="8" borderId="0" xfId="0" applyFill="1"/>
    <xf numFmtId="0" fontId="0" fillId="9" borderId="0" xfId="0" applyFill="1"/>
    <xf numFmtId="2" fontId="0" fillId="0" borderId="2" xfId="0" applyNumberFormat="1" applyBorder="1" applyAlignment="1">
      <alignment horizontal="right"/>
    </xf>
    <xf numFmtId="164" fontId="0" fillId="0" borderId="2" xfId="0" applyNumberFormat="1" applyBorder="1" applyAlignment="1">
      <alignment horizontal="right"/>
    </xf>
    <xf numFmtId="1" fontId="0" fillId="0" borderId="2" xfId="0" applyNumberFormat="1" applyBorder="1" applyAlignment="1">
      <alignment horizontal="right"/>
    </xf>
    <xf numFmtId="0" fontId="0" fillId="6" borderId="5" xfId="0" applyFill="1" applyBorder="1"/>
    <xf numFmtId="0" fontId="0" fillId="0" borderId="5" xfId="0" applyBorder="1"/>
    <xf numFmtId="0" fontId="0" fillId="0" borderId="6" xfId="0" applyBorder="1"/>
    <xf numFmtId="1" fontId="0" fillId="0" borderId="2" xfId="0" applyNumberFormat="1" applyBorder="1"/>
    <xf numFmtId="0" fontId="0" fillId="0" borderId="13" xfId="0" applyBorder="1"/>
    <xf numFmtId="2" fontId="0" fillId="0" borderId="2" xfId="0" applyNumberFormat="1" applyBorder="1"/>
    <xf numFmtId="165" fontId="2" fillId="0" borderId="0" xfId="2" applyNumberFormat="1" applyFont="1"/>
    <xf numFmtId="165" fontId="0" fillId="0" borderId="0" xfId="2" applyNumberFormat="1" applyFont="1"/>
    <xf numFmtId="165" fontId="0" fillId="0" borderId="2" xfId="0" applyNumberFormat="1" applyBorder="1"/>
    <xf numFmtId="9" fontId="0" fillId="0" borderId="0" xfId="0" applyNumberFormat="1"/>
    <xf numFmtId="9" fontId="0" fillId="0" borderId="2" xfId="0" applyNumberFormat="1" applyBorder="1"/>
    <xf numFmtId="0" fontId="0" fillId="0" borderId="0" xfId="0" quotePrefix="1"/>
    <xf numFmtId="0" fontId="8" fillId="0" borderId="15" xfId="0" applyFont="1" applyBorder="1"/>
    <xf numFmtId="0" fontId="0" fillId="0" borderId="15" xfId="0" applyBorder="1"/>
    <xf numFmtId="0" fontId="0" fillId="6" borderId="16" xfId="0" applyFill="1" applyBorder="1"/>
    <xf numFmtId="0" fontId="0" fillId="6" borderId="17" xfId="0" applyFill="1" applyBorder="1"/>
    <xf numFmtId="0" fontId="8" fillId="6" borderId="3" xfId="0" applyFont="1" applyFill="1" applyBorder="1"/>
    <xf numFmtId="0" fontId="13" fillId="15" borderId="18" xfId="0" applyFont="1" applyFill="1" applyBorder="1"/>
    <xf numFmtId="0" fontId="13" fillId="15" borderId="19" xfId="0" applyFont="1" applyFill="1" applyBorder="1"/>
    <xf numFmtId="0" fontId="8" fillId="6" borderId="18" xfId="0" applyFont="1" applyFill="1" applyBorder="1"/>
    <xf numFmtId="0" fontId="0" fillId="6" borderId="19" xfId="0" applyFill="1" applyBorder="1"/>
    <xf numFmtId="0" fontId="0" fillId="6" borderId="20" xfId="0" applyFill="1" applyBorder="1"/>
    <xf numFmtId="0" fontId="8" fillId="0" borderId="18" xfId="0" applyFont="1" applyBorder="1"/>
    <xf numFmtId="0" fontId="0" fillId="0" borderId="19" xfId="0" applyBorder="1"/>
    <xf numFmtId="0" fontId="0" fillId="0" borderId="20" xfId="0" applyBorder="1"/>
    <xf numFmtId="0" fontId="0" fillId="0" borderId="0" xfId="0" applyAlignment="1">
      <alignment horizontal="left"/>
    </xf>
    <xf numFmtId="0" fontId="8" fillId="6" borderId="18" xfId="0" applyFont="1" applyFill="1" applyBorder="1" applyAlignment="1">
      <alignment textRotation="90" wrapText="1"/>
    </xf>
    <xf numFmtId="0" fontId="0" fillId="6" borderId="19" xfId="0" applyFill="1" applyBorder="1" applyAlignment="1">
      <alignment textRotation="90" wrapText="1"/>
    </xf>
    <xf numFmtId="0" fontId="0" fillId="0" borderId="0" xfId="0" applyAlignment="1">
      <alignment textRotation="90" wrapText="1"/>
    </xf>
    <xf numFmtId="0" fontId="13" fillId="15" borderId="21" xfId="0" applyFont="1" applyFill="1" applyBorder="1"/>
    <xf numFmtId="0" fontId="0" fillId="0" borderId="16" xfId="0" applyBorder="1"/>
    <xf numFmtId="0" fontId="0" fillId="0" borderId="19" xfId="0" applyBorder="1" applyAlignment="1">
      <alignment textRotation="90" wrapText="1"/>
    </xf>
    <xf numFmtId="0" fontId="13" fillId="16" borderId="19" xfId="0" applyFont="1" applyFill="1" applyBorder="1"/>
    <xf numFmtId="0" fontId="13" fillId="16" borderId="19" xfId="0" applyFont="1" applyFill="1" applyBorder="1" applyAlignment="1">
      <alignment textRotation="90" wrapText="1"/>
    </xf>
    <xf numFmtId="0" fontId="13" fillId="16" borderId="20" xfId="0" applyFont="1" applyFill="1" applyBorder="1"/>
    <xf numFmtId="0" fontId="13" fillId="17" borderId="21" xfId="0" applyFont="1" applyFill="1" applyBorder="1"/>
    <xf numFmtId="0" fontId="13" fillId="16" borderId="21" xfId="0" applyFont="1" applyFill="1" applyBorder="1"/>
    <xf numFmtId="0" fontId="14" fillId="16" borderId="0" xfId="0" applyFont="1" applyFill="1"/>
    <xf numFmtId="0" fontId="15" fillId="0" borderId="0" xfId="0" applyFont="1"/>
    <xf numFmtId="164" fontId="0" fillId="0" borderId="0" xfId="0" applyNumberFormat="1"/>
    <xf numFmtId="0" fontId="8" fillId="0" borderId="13" xfId="0" applyFont="1" applyBorder="1"/>
    <xf numFmtId="0" fontId="0" fillId="12" borderId="0" xfId="0" applyFill="1"/>
    <xf numFmtId="0" fontId="0" fillId="0" borderId="1" xfId="0" applyBorder="1"/>
    <xf numFmtId="0" fontId="13" fillId="15" borderId="23" xfId="0" applyFont="1" applyFill="1" applyBorder="1"/>
    <xf numFmtId="0" fontId="0" fillId="18" borderId="0" xfId="0" applyFill="1"/>
    <xf numFmtId="9" fontId="0" fillId="0" borderId="22" xfId="0" applyNumberFormat="1" applyBorder="1"/>
    <xf numFmtId="15" fontId="0" fillId="0" borderId="0" xfId="0" applyNumberFormat="1"/>
    <xf numFmtId="0" fontId="0" fillId="0" borderId="0" xfId="0" applyAlignment="1">
      <alignment horizontal="left" vertical="top" wrapText="1"/>
    </xf>
    <xf numFmtId="9" fontId="0" fillId="0" borderId="2" xfId="3" applyFont="1" applyFill="1" applyBorder="1"/>
    <xf numFmtId="0" fontId="2" fillId="19" borderId="24" xfId="1" applyFill="1" applyBorder="1"/>
    <xf numFmtId="165" fontId="2" fillId="19" borderId="24" xfId="2" applyNumberFormat="1" applyFont="1" applyFill="1" applyBorder="1"/>
    <xf numFmtId="2" fontId="2" fillId="19" borderId="24" xfId="1" applyNumberFormat="1" applyFill="1" applyBorder="1"/>
    <xf numFmtId="167" fontId="2" fillId="19" borderId="24" xfId="1" applyNumberFormat="1" applyFill="1" applyBorder="1"/>
    <xf numFmtId="165" fontId="2" fillId="19" borderId="24" xfId="1" applyNumberFormat="1" applyFill="1" applyBorder="1"/>
    <xf numFmtId="2" fontId="2" fillId="0" borderId="0" xfId="1" applyNumberFormat="1"/>
    <xf numFmtId="167" fontId="2" fillId="0" borderId="0" xfId="1" applyNumberFormat="1"/>
    <xf numFmtId="165" fontId="2" fillId="0" borderId="0" xfId="1" applyNumberFormat="1"/>
    <xf numFmtId="0" fontId="2" fillId="19" borderId="0" xfId="1" applyFill="1"/>
    <xf numFmtId="165" fontId="2" fillId="19" borderId="0" xfId="2" applyNumberFormat="1" applyFont="1" applyFill="1"/>
    <xf numFmtId="2" fontId="2" fillId="19" borderId="0" xfId="1" applyNumberFormat="1" applyFill="1"/>
    <xf numFmtId="167" fontId="2" fillId="19" borderId="0" xfId="1" applyNumberFormat="1" applyFill="1"/>
    <xf numFmtId="165" fontId="2" fillId="19" borderId="0" xfId="1" applyNumberFormat="1" applyFill="1"/>
    <xf numFmtId="166" fontId="2" fillId="0" borderId="0" xfId="1" applyNumberFormat="1"/>
    <xf numFmtId="166" fontId="2" fillId="19" borderId="0" xfId="1" applyNumberFormat="1" applyFill="1"/>
    <xf numFmtId="165" fontId="0" fillId="19" borderId="0" xfId="2" applyNumberFormat="1" applyFont="1" applyFill="1"/>
    <xf numFmtId="0" fontId="3" fillId="0" borderId="0" xfId="1" applyFont="1" applyAlignment="1">
      <alignment wrapText="1"/>
    </xf>
    <xf numFmtId="165" fontId="2" fillId="19" borderId="0" xfId="2" applyNumberFormat="1" applyFont="1" applyFill="1" applyBorder="1"/>
    <xf numFmtId="165" fontId="2" fillId="0" borderId="16" xfId="2" applyNumberFormat="1" applyFont="1" applyBorder="1"/>
    <xf numFmtId="165" fontId="2" fillId="19" borderId="16" xfId="2" applyNumberFormat="1" applyFont="1" applyFill="1" applyBorder="1"/>
    <xf numFmtId="165" fontId="2" fillId="0" borderId="19" xfId="2" applyNumberFormat="1" applyFont="1" applyBorder="1"/>
    <xf numFmtId="0" fontId="0" fillId="11" borderId="0" xfId="0" applyFill="1"/>
    <xf numFmtId="0" fontId="0" fillId="20" borderId="0" xfId="0" applyFill="1"/>
    <xf numFmtId="0" fontId="0" fillId="5" borderId="0" xfId="0" applyFill="1"/>
    <xf numFmtId="0" fontId="0" fillId="10" borderId="0" xfId="0" applyFill="1"/>
    <xf numFmtId="0" fontId="0" fillId="13" borderId="0" xfId="0" applyFill="1"/>
    <xf numFmtId="0" fontId="0" fillId="21" borderId="0" xfId="0" applyFill="1"/>
    <xf numFmtId="0" fontId="0" fillId="22" borderId="0" xfId="0" applyFill="1"/>
    <xf numFmtId="0" fontId="0" fillId="0" borderId="25" xfId="0" applyBorder="1"/>
    <xf numFmtId="9" fontId="0" fillId="0" borderId="0" xfId="3" applyFont="1"/>
    <xf numFmtId="0" fontId="8" fillId="23" borderId="0" xfId="0" applyFont="1" applyFill="1"/>
    <xf numFmtId="0" fontId="8" fillId="23" borderId="9" xfId="0" applyFont="1" applyFill="1" applyBorder="1"/>
    <xf numFmtId="0" fontId="0" fillId="23" borderId="10" xfId="0" applyFill="1" applyBorder="1"/>
    <xf numFmtId="0" fontId="0" fillId="0" borderId="10" xfId="0" applyBorder="1"/>
    <xf numFmtId="0" fontId="0" fillId="0" borderId="11" xfId="0" applyBorder="1"/>
    <xf numFmtId="0" fontId="0" fillId="23" borderId="7" xfId="0" applyFill="1" applyBorder="1"/>
    <xf numFmtId="0" fontId="0" fillId="23" borderId="0" xfId="0" applyFill="1"/>
    <xf numFmtId="0" fontId="0" fillId="23" borderId="12" xfId="0" applyFill="1" applyBorder="1"/>
    <xf numFmtId="0" fontId="0" fillId="23" borderId="13" xfId="0" applyFill="1" applyBorder="1"/>
    <xf numFmtId="9" fontId="8" fillId="0" borderId="8" xfId="3" applyFont="1" applyBorder="1"/>
    <xf numFmtId="9" fontId="8" fillId="0" borderId="14" xfId="3" applyFont="1" applyBorder="1"/>
    <xf numFmtId="9" fontId="0" fillId="0" borderId="19" xfId="3" applyFont="1" applyBorder="1"/>
    <xf numFmtId="0" fontId="8" fillId="0" borderId="1" xfId="0" applyFont="1" applyBorder="1"/>
    <xf numFmtId="1" fontId="8" fillId="0" borderId="2" xfId="0" applyNumberFormat="1" applyFont="1" applyBorder="1"/>
    <xf numFmtId="1" fontId="8" fillId="0" borderId="8" xfId="0" applyNumberFormat="1" applyFont="1" applyBorder="1"/>
    <xf numFmtId="0" fontId="0" fillId="0" borderId="4" xfId="0" quotePrefix="1" applyBorder="1"/>
    <xf numFmtId="0" fontId="8" fillId="0" borderId="13" xfId="0" applyFont="1" applyBorder="1" applyAlignment="1">
      <alignment wrapText="1"/>
    </xf>
    <xf numFmtId="0" fontId="0" fillId="0" borderId="0" xfId="0" applyAlignment="1">
      <alignment horizontal="left" vertical="top"/>
    </xf>
    <xf numFmtId="9" fontId="0" fillId="0" borderId="2" xfId="3" applyFont="1" applyFill="1" applyBorder="1" applyAlignment="1">
      <alignment horizontal="right"/>
    </xf>
    <xf numFmtId="165" fontId="0" fillId="0" borderId="2" xfId="2" applyNumberFormat="1" applyFont="1" applyFill="1" applyBorder="1"/>
    <xf numFmtId="0" fontId="0" fillId="0" borderId="27" xfId="0" applyBorder="1"/>
    <xf numFmtId="0" fontId="0" fillId="0" borderId="26" xfId="0" applyBorder="1"/>
    <xf numFmtId="164" fontId="0" fillId="0" borderId="26" xfId="0" applyNumberFormat="1" applyBorder="1"/>
    <xf numFmtId="0" fontId="0" fillId="0" borderId="13" xfId="0" applyBorder="1" applyAlignment="1">
      <alignment wrapText="1"/>
    </xf>
    <xf numFmtId="0" fontId="0" fillId="0" borderId="13" xfId="0" quotePrefix="1" applyBorder="1"/>
    <xf numFmtId="0" fontId="0" fillId="0" borderId="28" xfId="0" applyBorder="1"/>
    <xf numFmtId="0" fontId="15" fillId="0" borderId="29" xfId="0" applyFont="1" applyBorder="1"/>
    <xf numFmtId="0" fontId="0" fillId="0" borderId="13" xfId="0" applyBorder="1" applyAlignment="1">
      <alignment horizontal="left"/>
    </xf>
    <xf numFmtId="0" fontId="0" fillId="0" borderId="28" xfId="0" quotePrefix="1" applyBorder="1"/>
    <xf numFmtId="0" fontId="0" fillId="0" borderId="29" xfId="0" applyBorder="1"/>
    <xf numFmtId="0" fontId="0" fillId="0" borderId="30" xfId="0" applyBorder="1"/>
    <xf numFmtId="1" fontId="0" fillId="0" borderId="28" xfId="0" applyNumberFormat="1" applyBorder="1"/>
    <xf numFmtId="168" fontId="2" fillId="0" borderId="0" xfId="1" applyNumberFormat="1"/>
    <xf numFmtId="0" fontId="2" fillId="0" borderId="0" xfId="1" quotePrefix="1"/>
    <xf numFmtId="11" fontId="0" fillId="0" borderId="4" xfId="0" applyNumberFormat="1" applyBorder="1"/>
    <xf numFmtId="0" fontId="16" fillId="0" borderId="0" xfId="0" applyFont="1" applyAlignment="1">
      <alignment horizontal="left" vertical="center" wrapText="1"/>
    </xf>
    <xf numFmtId="0" fontId="16" fillId="0" borderId="0" xfId="0" applyFont="1" applyAlignment="1">
      <alignment wrapText="1"/>
    </xf>
    <xf numFmtId="0" fontId="16" fillId="0" borderId="0" xfId="0" applyFont="1" applyAlignment="1">
      <alignment vertical="top" wrapText="1"/>
    </xf>
    <xf numFmtId="0" fontId="16" fillId="0" borderId="0" xfId="0" applyFont="1" applyAlignment="1">
      <alignment vertical="center" wrapText="1"/>
    </xf>
    <xf numFmtId="0" fontId="8" fillId="0" borderId="0" xfId="0" applyFont="1" applyAlignment="1">
      <alignment wrapText="1"/>
    </xf>
    <xf numFmtId="0" fontId="0" fillId="0" borderId="31" xfId="0" applyBorder="1"/>
    <xf numFmtId="0" fontId="0" fillId="0" borderId="31" xfId="0" applyBorder="1" applyAlignment="1">
      <alignment wrapText="1"/>
    </xf>
    <xf numFmtId="0" fontId="0" fillId="0" borderId="32" xfId="0" applyBorder="1"/>
    <xf numFmtId="0" fontId="0" fillId="0" borderId="32" xfId="0" applyBorder="1" applyAlignment="1">
      <alignment wrapText="1"/>
    </xf>
    <xf numFmtId="0" fontId="0" fillId="0" borderId="32" xfId="0" quotePrefix="1" applyBorder="1"/>
    <xf numFmtId="0" fontId="0" fillId="0" borderId="34" xfId="0" applyBorder="1"/>
    <xf numFmtId="0" fontId="0" fillId="0" borderId="10" xfId="0" applyBorder="1" applyAlignment="1">
      <alignment wrapText="1"/>
    </xf>
    <xf numFmtId="0" fontId="0" fillId="0" borderId="33" xfId="0" applyBorder="1"/>
    <xf numFmtId="0" fontId="0" fillId="0" borderId="1" xfId="0" quotePrefix="1" applyBorder="1"/>
    <xf numFmtId="0" fontId="0" fillId="0" borderId="1" xfId="0" applyBorder="1" applyAlignment="1">
      <alignment wrapText="1"/>
    </xf>
    <xf numFmtId="1" fontId="0" fillId="0" borderId="4" xfId="0" applyNumberFormat="1" applyBorder="1"/>
    <xf numFmtId="2" fontId="0" fillId="0" borderId="2" xfId="3" applyNumberFormat="1" applyFont="1" applyFill="1" applyBorder="1" applyAlignment="1">
      <alignment horizontal="right"/>
    </xf>
    <xf numFmtId="2" fontId="0" fillId="0" borderId="2" xfId="3" applyNumberFormat="1" applyFont="1" applyFill="1" applyBorder="1"/>
    <xf numFmtId="2" fontId="0" fillId="0" borderId="2" xfId="2" applyNumberFormat="1" applyFont="1" applyFill="1" applyBorder="1"/>
    <xf numFmtId="2" fontId="0" fillId="0" borderId="22" xfId="0" applyNumberFormat="1" applyBorder="1"/>
    <xf numFmtId="2" fontId="0" fillId="0" borderId="2" xfId="3" applyNumberFormat="1" applyFont="1" applyBorder="1" applyAlignment="1">
      <alignment horizontal="right"/>
    </xf>
    <xf numFmtId="2" fontId="0" fillId="0" borderId="2" xfId="2" applyNumberFormat="1" applyFont="1" applyBorder="1"/>
    <xf numFmtId="2" fontId="0" fillId="0" borderId="0" xfId="0" applyNumberFormat="1" applyAlignment="1">
      <alignment wrapText="1"/>
    </xf>
    <xf numFmtId="1" fontId="0" fillId="0" borderId="0" xfId="0" applyNumberFormat="1" applyAlignment="1">
      <alignment wrapText="1"/>
    </xf>
    <xf numFmtId="1" fontId="0" fillId="0" borderId="0" xfId="3" applyNumberFormat="1" applyFont="1" applyAlignment="1">
      <alignment wrapText="1"/>
    </xf>
    <xf numFmtId="1" fontId="0" fillId="14" borderId="28" xfId="0" applyNumberFormat="1" applyFill="1" applyBorder="1"/>
    <xf numFmtId="0" fontId="0" fillId="0" borderId="0" xfId="0" applyAlignment="1">
      <alignment vertical="top"/>
    </xf>
    <xf numFmtId="15" fontId="0" fillId="0" borderId="0" xfId="0" applyNumberFormat="1" applyAlignment="1">
      <alignment wrapText="1"/>
    </xf>
    <xf numFmtId="15" fontId="0" fillId="0" borderId="1" xfId="0" applyNumberFormat="1" applyBorder="1"/>
    <xf numFmtId="15" fontId="8" fillId="0" borderId="13" xfId="0" applyNumberFormat="1" applyFont="1" applyBorder="1"/>
    <xf numFmtId="15" fontId="0" fillId="0" borderId="13" xfId="0" applyNumberFormat="1" applyBorder="1" applyAlignment="1">
      <alignment wrapText="1"/>
    </xf>
    <xf numFmtId="1" fontId="0" fillId="0" borderId="13" xfId="0" applyNumberFormat="1" applyBorder="1" applyAlignment="1">
      <alignment wrapText="1"/>
    </xf>
    <xf numFmtId="15" fontId="0" fillId="0" borderId="13" xfId="0" applyNumberFormat="1" applyBorder="1"/>
    <xf numFmtId="0" fontId="0" fillId="0" borderId="13" xfId="0" applyBorder="1" applyAlignment="1">
      <alignment vertical="top" wrapText="1"/>
    </xf>
    <xf numFmtId="1" fontId="0" fillId="0" borderId="0" xfId="0" applyNumberFormat="1" applyAlignment="1">
      <alignment vertical="top" wrapText="1"/>
    </xf>
    <xf numFmtId="2" fontId="0" fillId="0" borderId="0" xfId="0" applyNumberFormat="1" applyAlignment="1">
      <alignment vertical="top" wrapText="1"/>
    </xf>
    <xf numFmtId="9" fontId="0" fillId="0" borderId="0" xfId="3" applyFont="1" applyAlignment="1">
      <alignment vertical="top" wrapText="1"/>
    </xf>
    <xf numFmtId="9" fontId="0" fillId="0" borderId="1" xfId="3" applyFont="1" applyBorder="1" applyAlignment="1">
      <alignment vertical="top" wrapText="1"/>
    </xf>
    <xf numFmtId="0" fontId="0" fillId="0" borderId="1" xfId="0" applyBorder="1" applyAlignment="1">
      <alignment vertical="top" wrapText="1"/>
    </xf>
    <xf numFmtId="1" fontId="0" fillId="0" borderId="0" xfId="3" applyNumberFormat="1" applyFont="1" applyAlignment="1">
      <alignment vertical="top" wrapText="1"/>
    </xf>
    <xf numFmtId="0" fontId="17" fillId="0" borderId="0" xfId="0" applyFont="1" applyAlignment="1">
      <alignment vertical="center"/>
    </xf>
    <xf numFmtId="0" fontId="0" fillId="19" borderId="0" xfId="0" applyFill="1"/>
    <xf numFmtId="11" fontId="0" fillId="0" borderId="0" xfId="0" applyNumberFormat="1"/>
    <xf numFmtId="9" fontId="0" fillId="0" borderId="0" xfId="3" applyFont="1" applyFill="1"/>
    <xf numFmtId="0" fontId="0" fillId="0" borderId="13" xfId="0" applyBorder="1" applyAlignment="1">
      <alignment horizontal="left" vertical="top"/>
    </xf>
    <xf numFmtId="0" fontId="0" fillId="0" borderId="19" xfId="3" applyNumberFormat="1" applyFont="1" applyBorder="1"/>
    <xf numFmtId="0" fontId="0" fillId="0" borderId="0" xfId="0" quotePrefix="1" applyAlignment="1">
      <alignment vertical="top" wrapText="1"/>
    </xf>
    <xf numFmtId="169" fontId="0" fillId="0" borderId="0" xfId="0" applyNumberFormat="1" applyAlignment="1">
      <alignment vertical="top" wrapText="1"/>
    </xf>
    <xf numFmtId="2" fontId="0" fillId="0" borderId="15" xfId="0" applyNumberFormat="1" applyBorder="1" applyAlignment="1">
      <alignment vertical="top" wrapText="1"/>
    </xf>
    <xf numFmtId="2" fontId="0" fillId="0" borderId="13" xfId="0" applyNumberFormat="1" applyBorder="1" applyAlignment="1">
      <alignment vertical="top" wrapText="1"/>
    </xf>
    <xf numFmtId="15" fontId="0" fillId="0" borderId="0" xfId="0" applyNumberFormat="1" applyAlignment="1">
      <alignment vertical="top"/>
    </xf>
    <xf numFmtId="9" fontId="0" fillId="0" borderId="0" xfId="0" applyNumberFormat="1" applyAlignment="1">
      <alignment vertical="top" wrapText="1"/>
    </xf>
    <xf numFmtId="9" fontId="0" fillId="0" borderId="0" xfId="0" quotePrefix="1" applyNumberFormat="1" applyAlignment="1">
      <alignment vertical="top" wrapText="1"/>
    </xf>
    <xf numFmtId="0" fontId="0" fillId="0" borderId="26" xfId="0" applyBorder="1" applyAlignment="1">
      <alignment horizontal="left" vertical="top" wrapText="1"/>
    </xf>
    <xf numFmtId="0" fontId="0" fillId="0" borderId="26" xfId="0" applyBorder="1" applyAlignment="1">
      <alignment horizontal="center" vertical="top" wrapText="1"/>
    </xf>
    <xf numFmtId="0" fontId="0" fillId="0" borderId="4" xfId="0" applyBorder="1" applyAlignment="1">
      <alignment horizontal="left" vertical="top" wrapText="1"/>
    </xf>
    <xf numFmtId="0" fontId="0" fillId="0" borderId="4" xfId="0" applyBorder="1" applyAlignment="1">
      <alignment horizontal="center" vertical="top" wrapText="1"/>
    </xf>
    <xf numFmtId="0" fontId="0" fillId="0" borderId="35" xfId="0" applyBorder="1" applyAlignment="1">
      <alignment horizontal="left" vertical="top" wrapText="1"/>
    </xf>
    <xf numFmtId="0" fontId="0" fillId="0" borderId="35" xfId="0" applyBorder="1" applyAlignment="1">
      <alignment horizontal="center" vertical="top" wrapText="1"/>
    </xf>
    <xf numFmtId="165" fontId="2" fillId="0" borderId="0" xfId="2" applyNumberFormat="1" applyFont="1" applyBorder="1"/>
    <xf numFmtId="2" fontId="0" fillId="0" borderId="1" xfId="0" applyNumberFormat="1" applyBorder="1"/>
    <xf numFmtId="0" fontId="8" fillId="0" borderId="36" xfId="0" applyFont="1" applyBorder="1"/>
    <xf numFmtId="0" fontId="0" fillId="0" borderId="36" xfId="0" applyBorder="1"/>
    <xf numFmtId="9" fontId="8" fillId="0" borderId="1" xfId="3" applyFont="1" applyBorder="1"/>
    <xf numFmtId="0" fontId="18" fillId="0" borderId="0" xfId="0" applyFont="1" applyAlignment="1">
      <alignment vertical="center"/>
    </xf>
  </cellXfs>
  <cellStyles count="5">
    <cellStyle name="Komma" xfId="2" builtinId="3"/>
    <cellStyle name="Prozent" xfId="3" builtinId="5"/>
    <cellStyle name="Standard" xfId="0" builtinId="0"/>
    <cellStyle name="Standard 2" xfId="1" xr:uid="{56A49AC1-C660-4256-BE9C-6F9EA27A4998}"/>
    <cellStyle name="Standard 3" xfId="4" xr:uid="{09B45074-9B95-4A71-880F-A58C0E205D6F}"/>
  </cellStyles>
  <dxfs count="110">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right" vertical="bottom" textRotation="0" wrapText="0"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5"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 formatCode="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1"/>
        <color theme="1"/>
        <name val="Arial"/>
        <family val="2"/>
        <scheme val="none"/>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family val="2"/>
        <scheme val="none"/>
      </font>
      <numFmt numFmtId="0" formatCode="General"/>
      <alignment horizontal="general" vertical="bottom" textRotation="0" wrapText="1" indent="0" justifyLastLine="0" shrinkToFit="0" readingOrder="0"/>
    </dxf>
    <dxf>
      <numFmt numFmtId="1" formatCode="0"/>
    </dxf>
    <dxf>
      <numFmt numFmtId="0" formatCode="General"/>
    </dxf>
    <dxf>
      <numFmt numFmtId="0" formatCode="General"/>
    </dxf>
    <dxf>
      <alignment horizontal="general" vertical="top"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numFmt numFmtId="165" formatCode="_-* #,##0_-;\-* #,##0_-;_-* &quot;-&quot;??_-;_-@_-"/>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none"/>
      </font>
      <fill>
        <patternFill patternType="solid">
          <fgColor theme="4"/>
          <bgColor theme="4"/>
        </patternFill>
      </fill>
    </dxf>
    <dxf>
      <numFmt numFmtId="13" formatCode="0%"/>
    </dxf>
    <dxf>
      <font>
        <b/>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
      <border outline="0">
        <bottom style="thin">
          <color theme="4" tint="0.39997558519241921"/>
        </bottom>
      </border>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theme="4"/>
        </patternFill>
      </fill>
    </dxf>
    <dxf>
      <border outline="0">
        <left style="thin">
          <color theme="4" tint="0.39997558519241921"/>
        </left>
        <top style="thin">
          <color theme="4" tint="0.39997558519241921"/>
        </top>
      </border>
    </dxf>
    <dxf>
      <fill>
        <patternFill patternType="none">
          <fgColor indexed="64"/>
          <bgColor auto="1"/>
        </patternFill>
      </fill>
    </dxf>
    <dxf>
      <font>
        <strike val="0"/>
        <outline val="0"/>
        <shadow val="0"/>
        <u val="none"/>
        <vertAlign val="baseline"/>
        <sz val="11"/>
        <color theme="0"/>
        <name val="Calibri"/>
        <family val="2"/>
        <scheme val="none"/>
      </font>
      <fill>
        <patternFill>
          <bgColor theme="4"/>
        </patternFill>
      </fill>
    </dxf>
  </dxfs>
  <tableStyles count="0" defaultTableStyle="TableStyleMedium2" defaultPivotStyle="PivotStyleLight16"/>
  <colors>
    <mruColors>
      <color rgb="FF9F5987"/>
      <color rgb="FFFF00FF"/>
      <color rgb="FFFF9999"/>
      <color rgb="FFA2C5D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ABAB13F-0333-4A8D-A76E-279A4B564C8B}" name="PAR" displayName="PAR" ref="F1:Y5" totalsRowShown="0" headerRowDxfId="109" dataDxfId="108" tableBorderDxfId="107">
  <autoFilter ref="F1:Y5" xr:uid="{7ABAB13F-0333-4A8D-A76E-279A4B564C8B}"/>
  <tableColumns count="20">
    <tableColumn id="1" xr3:uid="{A31D01DC-3F94-4B1C-A271-B4D85B31F688}" name="Bezeichnung" dataDxfId="106"/>
    <tableColumn id="2" xr3:uid="{FA36BC78-DB6D-483D-9584-CF99969181DF}" name="lambda_ins_thick" dataDxfId="105"/>
    <tableColumn id="101" xr3:uid="{5A8EB7B0-4240-47A1-ADBE-B162CC9A4C36}" name="U_inwall"/>
    <tableColumn id="3" xr3:uid="{31865E74-A3E6-4F91-A627-70C9B6009FA6}" name="T_air_norm" dataDxfId="104"/>
    <tableColumn id="4" xr3:uid="{5B465689-FC8A-465D-BED4-834AED33100B}" name="T_air_norm_bath" dataDxfId="103"/>
    <tableColumn id="5" xr3:uid="{C8E4F3D7-B127-4F25-8616-DE20BC084D0B}" name="ang_roof_slop" dataDxfId="102"/>
    <tableColumn id="6" xr3:uid="{342A8A6D-D5A7-47F1-8902-33529D0AF68A}" name="ang_roof_steep" dataDxfId="101"/>
    <tableColumn id="7" xr3:uid="{62C9AA62-56F3-43BA-BF2B-AC1BB14C6E0A}" name="ang_roof_steepr" dataDxfId="100"/>
    <tableColumn id="8" xr3:uid="{BAEB5904-64ED-4016-8F14-2AC7644E8B27}" name="U_opaque_lim" dataDxfId="99"/>
    <tableColumn id="9" xr3:uid="{F23592B0-ACFB-4496-AF46-01F2D6698739}" name="U_win_lim" dataDxfId="98"/>
    <tableColumn id="10" xr3:uid="{56C8116C-D0BC-46E7-BDEF-901EFB897E41}" name="r_worst_lim" dataDxfId="97"/>
    <tableColumn id="11" xr3:uid="{587B24DE-2F7C-426C-95F6-1A4D42816DDE}" name="NO_round_Qdot" dataDxfId="96"/>
    <tableColumn id="12" xr3:uid="{BF07CF1C-3A4D-484C-82F9-5F455F17309D}" name="NO_round_Qdot_spez" dataDxfId="95"/>
    <tableColumn id="13" xr3:uid="{77C78E16-7BB6-44D6-97FB-033EC7E0EBB6}" name="NO_round_rcover" dataDxfId="94"/>
    <tableColumn id="17" xr3:uid="{F8BB63EF-5DD6-48FA-8520-330FEC1FE3A5}" name="f_A_wall_wid" dataDxfId="93"/>
    <tableColumn id="18" xr3:uid="{3B11BF38-8FB9-46BB-84A0-2C85AB22FD10}" name="f_A_wall_hei" dataDxfId="92"/>
    <tableColumn id="19" xr3:uid="{A5B37BB5-FC8F-480A-A85A-52F5755FF7EC}" name="f_A_roof_wid" dataDxfId="91"/>
    <tableColumn id="20" xr3:uid="{4D156FE1-F7A0-491C-BA85-E1D9972E4C94}" name="f_A_roof_hei" dataDxfId="90"/>
    <tableColumn id="21" xr3:uid="{5EC794F0-ECA4-42C6-A617-762AB229B637}" name="f_Vroom_roof" dataDxfId="89"/>
    <tableColumn id="22" xr3:uid="{70E28D15-8CFC-4504-9436-7C9457C5E7BD}" name="f_Awall_roof" dataDxfId="8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B97B0C-B1FA-4388-805D-9B8425CCAABF}" name="Heizkoerpertyp" displayName="Heizkoerpertyp" ref="I3:I8" totalsRowShown="0">
  <autoFilter ref="I3:I8" xr:uid="{36B97B0C-B1FA-4388-805D-9B8425CCAABF}"/>
  <tableColumns count="1">
    <tableColumn id="1" xr3:uid="{52AD0341-E711-4AFC-99EF-BF1BC9A045D3}" name="Heizkörpertyp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813E6-EDC0-4D58-8401-7DB20B412C25}" name="Flachheizkoerper_senkrecht_profiliert" displayName="Flachheizkoerper_senkrecht_profiliert" ref="K3:K8" totalsRowShown="0">
  <autoFilter ref="K3:K8" xr:uid="{F24813E6-EDC0-4D58-8401-7DB20B412C25}"/>
  <tableColumns count="1">
    <tableColumn id="1" xr3:uid="{3D0CC992-FB7E-4319-927A-15B0A69620C3}" name="Flachheizkoerper_senkrecht_profilier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185B60-4F25-43EB-B817-222ADCE64F38}" name="Gliederheizkörper" displayName="Gliederheizkörper" ref="M3:M5" totalsRowShown="0">
  <autoFilter ref="M3:M5" xr:uid="{2D185B60-4F25-43EB-B817-222ADCE64F38}"/>
  <tableColumns count="1">
    <tableColumn id="1" xr3:uid="{11313BD8-CD81-4298-B5D0-68BAB30C6A8B}" name="Gliederheizkörp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A8BEA9-CA31-4E9E-ADA9-AD1661C3501C}" name="Tabelle10" displayName="Tabelle10" ref="N3:N6" totalsRowShown="0">
  <autoFilter ref="N3:N6" xr:uid="{DEA8BEA9-CA31-4E9E-ADA9-AD1661C3501C}"/>
  <tableColumns count="1">
    <tableColumn id="1" xr3:uid="{0761952C-45A5-41CA-8298-2A2F1D9CFA77}" name="Rohrradi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6A62F34-2BC7-4295-8369-8DFE0D274A99}" name="Tabelle11" displayName="Tabelle11" ref="O3:O6" totalsRowShown="0">
  <autoFilter ref="O3:O6" xr:uid="{C6A62F34-2BC7-4295-8369-8DFE0D274A99}"/>
  <tableColumns count="1">
    <tableColumn id="1" xr3:uid="{B3AC0CF6-614E-47C5-B40E-26833DD6F42E}" name="Rohrheizkörp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86A93B-C6C1-437B-BDAC-340CC11DCDE4}" name="Tabelle12" displayName="Tabelle12" ref="P3:P4" totalsRowShown="0">
  <autoFilter ref="P3:P4" xr:uid="{D186A93B-C6C1-437B-BDAC-340CC11DCDE4}"/>
  <tableColumns count="1">
    <tableColumn id="1" xr3:uid="{80821ECE-5D3B-44A4-B75A-D26885F35823}" name="Konvekto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18701B-8D7F-432C-9662-32D1B8353790}" name="Typ_10" displayName="Typ_10" ref="K23:K27" totalsRowShown="0">
  <autoFilter ref="K23:K27" xr:uid="{F018701B-8D7F-432C-9662-32D1B8353790}"/>
  <tableColumns count="1">
    <tableColumn id="1" xr3:uid="{A44E1978-18AE-40AB-8A2A-546EB1C327BA}" name="Typ_10_Hoeh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5A482F0-6314-4C20-AF9E-301B41DA06DB}" name="Gussradiator" displayName="Gussradiator" ref="S23:S28" totalsRowShown="0">
  <autoFilter ref="S23:S28" xr:uid="{C5A482F0-6314-4C20-AF9E-301B41DA06DB}"/>
  <tableColumns count="1">
    <tableColumn id="1" xr3:uid="{B2F30CF3-8D7B-412B-997C-96A364E7A798}" name="Gussradiator_Hoeh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63633B0-358D-4482-A6D6-A531BFF3F62F}" name="Stahlradiator" displayName="Stahlradiator" ref="T23:T27" totalsRowShown="0">
  <autoFilter ref="T23:T27" xr:uid="{363633B0-358D-4482-A6D6-A531BFF3F62F}"/>
  <tableColumns count="1">
    <tableColumn id="1" xr3:uid="{39D6A83C-8BFE-4C8D-9F1A-CE8025B0C6E9}" name="Stahlradiator_Hoeh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257339-029E-4396-933C-56DC476D7904}" name="Stahlrohrradiator" displayName="Stahlrohrradiator" ref="U23:U36" totalsRowShown="0">
  <autoFilter ref="U23:U36" xr:uid="{1E257339-029E-4396-933C-56DC476D7904}"/>
  <tableColumns count="1">
    <tableColumn id="1" xr3:uid="{B92087C9-314F-4A73-A5B8-97BF00C51B09}" name="Stahlrohrradiator_Hoeh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9FC862-9F54-43FA-A47D-0C160E6A3448}" name="Fensterbankradiator" displayName="Fensterbankradiator" ref="V23:V27" totalsRowShown="0">
  <autoFilter ref="V23:V27" xr:uid="{909FC862-9F54-43FA-A47D-0C160E6A3448}"/>
  <tableColumns count="1">
    <tableColumn id="1" xr3:uid="{1745D1BB-3B47-4030-850E-96D9DFA07A29}" name="Fensterbankradiator_Hoeh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05B315-86C5-43E9-9245-B38A1B34B3D9}" name="Standardkonvektor" displayName="Standardkonvektor" ref="AA23:AA27" totalsRowShown="0">
  <autoFilter ref="AA23:AA27" xr:uid="{C605B315-86C5-43E9-9245-B38A1B34B3D9}"/>
  <tableColumns count="1">
    <tableColumn id="1" xr3:uid="{1B0DBFF0-A856-4F9F-AA25-1C385F625AB1}" name="Standardkonvektor_Hoeh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3323D4F-C04B-4E20-8535-125131C60949}" name="Handtuchradiator" displayName="Handtuchradiator" ref="W23:W50" totalsRowShown="0">
  <autoFilter ref="W23:W50" xr:uid="{E3323D4F-C04B-4E20-8535-125131C60949}"/>
  <tableColumns count="1">
    <tableColumn id="1" xr3:uid="{BC89ED53-EB1E-4BBC-8117-9D006A7AA977}" name="Handtuchradiator_Hoeh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9F58EE7-DC6F-4CD8-975C-F5899C468F7A}" name="Fensterbankradiator_b" displayName="Fensterbankradiator_b" ref="V40:V43" totalsRowShown="0">
  <autoFilter ref="V40:V43" xr:uid="{C9F58EE7-DC6F-4CD8-975C-F5899C468F7A}"/>
  <tableColumns count="1">
    <tableColumn id="1" xr3:uid="{3BEFC9BF-B5D8-42FE-A735-848EBEE1C5E0}" name="Fensterbankradiator_Brei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BBD5190-22EC-4794-B771-2AF6FE8D7091}" name="Tabelle23" displayName="Tabelle23" ref="Q275:Q279" totalsRowShown="0">
  <autoFilter ref="Q275:Q279" xr:uid="{BBBD5190-22EC-4794-B771-2AF6FE8D7091}"/>
  <tableColumns count="1">
    <tableColumn id="1" xr3:uid="{24D89878-F3DF-491E-BCA9-12A0EB8D257D}" name="Handtuchradiat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4115F9-10B4-4A78-84B6-B3F51A26E522}" name="Deckenstrahlplatten_Wärmedämmung" displayName="Deckenstrahlplatten_Wärmedämmung" ref="AB47:AB54" totalsRowShown="0">
  <autoFilter ref="AB47:AB54" xr:uid="{F84115F9-10B4-4A78-84B6-B3F51A26E522}"/>
  <tableColumns count="1">
    <tableColumn id="1" xr3:uid="{1EAED1E4-DDEE-4B3E-A361-AB88C1C8F836}" name="Deckenstrahlplatten_Wärmedämmung"/>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4AE37E8-09C7-4D07-8FED-4E508564D76F}" name="Tabelle26" displayName="Tabelle26" ref="K56:K60" totalsRowShown="0">
  <autoFilter ref="K56:K60" xr:uid="{A4AE37E8-09C7-4D07-8FED-4E508564D76F}"/>
  <tableColumns count="1">
    <tableColumn id="1" xr3:uid="{08CF0455-17C8-4033-B471-2E99007D0E92}" name="Senkrecht_profiliert"/>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DFB452-BEA1-4392-BF36-66A4D37C6A5B}" name="Tabelle27" displayName="Tabelle27" ref="R56:R60" totalsRowShown="0" tableBorderDxfId="53">
  <autoFilter ref="R56:R60" xr:uid="{62DFB452-BEA1-4392-BF36-66A4D37C6A5B}"/>
  <tableColumns count="1">
    <tableColumn id="1" xr3:uid="{F7F8E93A-5E81-4440-804F-DC24EC8E8D12}" name="Glattwandig"/>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88FEAE-E31A-4853-8E89-9739200D985E}" name="Tabelle8" displayName="Tabelle8" ref="X23:X24" totalsRowShown="0">
  <autoFilter ref="X23:X24" xr:uid="{0088FEAE-E31A-4853-8E89-9739200D985E}"/>
  <tableColumns count="1">
    <tableColumn id="1" xr3:uid="{7872432F-B4EA-4B4C-88C9-E5AB082A5AC2}" name="Gewinderohr_Hoeh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F3471D5-8FCE-49CE-A14A-A767F5BEDACC}" name="Tabelle28" displayName="Tabelle28" ref="Y23:Y24" totalsRowShown="0">
  <autoFilter ref="Y23:Y24" xr:uid="{9F3471D5-8FCE-49CE-A14A-A767F5BEDACC}"/>
  <tableColumns count="1">
    <tableColumn id="1" xr3:uid="{DABF7303-1690-451B-81A8-44A95C0B4319}" name="Stahlrohr_Hoeh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297E363-A448-408E-B7FF-D581D6104EDC}" name="Tabelle29" displayName="Tabelle29" ref="Z23:Z24" totalsRowShown="0">
  <autoFilter ref="Z23:Z24" xr:uid="{C297E363-A448-408E-B7FF-D581D6104EDC}"/>
  <tableColumns count="1">
    <tableColumn id="1" xr3:uid="{AD7D572F-CE73-4F79-BF1C-054683A07D41}" name="Stahlrippenrohr_Hoeh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E3CB0B7-041F-411C-BC89-6AA1FC2C621C}" name="Tabelle25" displayName="Tabelle25" ref="E3:E7" totalsRowShown="0" headerRowDxfId="52">
  <autoFilter ref="E3:E7" xr:uid="{0E3CB0B7-041F-411C-BC89-6AA1FC2C621C}"/>
  <tableColumns count="1">
    <tableColumn id="1" xr3:uid="{4960B43D-956E-4E88-9A70-281711F7B61C}" name="Frontend_allg"/>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6570C28-3D16-4A10-A927-F2015FBD8044}" name="Tabelle33" displayName="Tabelle33" ref="E9:E12" totalsRowShown="0">
  <autoFilter ref="E9:E12" xr:uid="{16570C28-3D16-4A10-A927-F2015FBD8044}"/>
  <tableColumns count="1">
    <tableColumn id="1" xr3:uid="{017D8B30-D166-4EEB-950E-C32B55321CD8}" name="Gebäudetype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ADD96F8-BA63-40FF-BEC4-C6E5F87D919C}" name="Baualtersklassen" displayName="Baualtersklassen" ref="E16:E29" totalsRowShown="0">
  <autoFilter ref="E16:E29" xr:uid="{BADD96F8-BA63-40FF-BEC4-C6E5F87D919C}"/>
  <tableColumns count="1">
    <tableColumn id="1" xr3:uid="{F63BD180-323F-4D2E-9FBF-68E4433A4D2E}" name="Baualtersklasse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3344637-8ED4-45ED-82E3-971BA5C867EA}" name="Tabelle35" displayName="Tabelle35" ref="E30:E40" totalsRowShown="0">
  <autoFilter ref="E30:E40" xr:uid="{A3344637-8ED4-45ED-82E3-971BA5C867EA}"/>
  <tableColumns count="1">
    <tableColumn id="1" xr3:uid="{B3CCADBC-B0EA-4C55-9C07-EBCE8ED5CADE}" name="Energieeffizienzklasse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0DD8AB-7FC8-4B0D-9A07-CF6C46D34086}" name="Tabelle36" displayName="Tabelle36" ref="E41:E50" totalsRowShown="0">
  <autoFilter ref="E41:E50" xr:uid="{550DD8AB-7FC8-4B0D-9A07-CF6C46D34086}"/>
  <tableColumns count="1">
    <tableColumn id="1" xr3:uid="{3EE7C85A-F4AC-4050-B630-96B7DBABF7F2}" name="Nachträglich gedämmte Bauteil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0FE797D-7510-4759-9A1C-7CA1E904D35B}" name="Tabelle37" displayName="Tabelle37" ref="E52:E54" totalsRowShown="0">
  <autoFilter ref="E52:E54" xr:uid="{40FE797D-7510-4759-9A1C-7CA1E904D35B}"/>
  <tableColumns count="1">
    <tableColumn id="1" xr3:uid="{02A5964B-F802-41E1-8062-FAEEDFCDE112}" name="Denkmalschutz"/>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9CBC7D-5172-416C-A35F-91D7EEDEDB01}" name="Tabelle38" displayName="Tabelle38" ref="E56:E61" totalsRowShown="0">
  <autoFilter ref="E56:E61" xr:uid="{F79CBC7D-5172-416C-A35F-91D7EEDEDB01}"/>
  <tableColumns count="1">
    <tableColumn id="1" xr3:uid="{0154D1F7-A131-4519-AE3E-AF65576A4032}" name="Art der Wärmeübergab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1278C32-BEA2-4A4B-98E8-5F47A289B5B8}" name="Tabelle39" displayName="Tabelle39" ref="E65:E67" totalsRowShown="0">
  <autoFilter ref="E65:E67" xr:uid="{B1278C32-BEA2-4A4B-98E8-5F47A289B5B8}"/>
  <tableColumns count="1">
    <tableColumn id="1" xr3:uid="{CC27D7B5-226A-4E04-84FA-7989F2FD548B}" name="Vorlauftemperatur"/>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ED96557-1148-4A9C-9BDD-F3086FD8C6BD}" name="Tabelle40" displayName="Tabelle40" ref="E69:F71" totalsRowShown="0">
  <autoFilter ref="E69:F71" xr:uid="{8ED96557-1148-4A9C-9BDD-F3086FD8C6BD}"/>
  <tableColumns count="2">
    <tableColumn id="1" xr3:uid="{B9E334EB-F9E3-4788-8D83-24FFFB2C393C}" name="Heizkreislauf"/>
    <tableColumn id="2" xr3:uid="{1CC790FC-F371-4B87-81B8-66734965F85B}" name="Spalte1"/>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95BBCA9-0230-41CF-A674-32914F5A78F9}" name="Tabelle41" displayName="Tabelle41" ref="E84:E86" totalsRowShown="0">
  <autoFilter ref="E84:E86" xr:uid="{395BBCA9-0230-41CF-A674-32914F5A78F9}"/>
  <tableColumns count="1">
    <tableColumn id="1" xr3:uid="{7541027B-54F9-4CE0-8D0C-C504929713E2}" name="Lüftung"/>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E422111-30F0-41E3-A286-C42F0CB4FDB3}" name="Tabelle42" displayName="Tabelle42" ref="E73:E82" totalsRowShown="0">
  <autoFilter ref="E73:E82" xr:uid="{9E422111-30F0-41E3-A286-C42F0CB4FDB3}"/>
  <tableColumns count="1">
    <tableColumn id="1" xr3:uid="{B669966E-3FAA-43E0-B3C2-2490BB79515B}" name="Raumauswahl"/>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886E18-64F7-4E31-9231-0BC098C40AFE}" name="Tabelle43" displayName="Tabelle43" ref="E98:E103" totalsRowShown="0" headerRowDxfId="51">
  <autoFilter ref="E98:E103" xr:uid="{92886E18-64F7-4E31-9231-0BC098C40AFE}"/>
  <tableColumns count="1">
    <tableColumn id="1" xr3:uid="{FD60564B-EDE4-4158-9D6A-13E876CEC131}" name="Tiefe Stahlrohrradiatore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05828B-3B3B-4A9F-A2C9-6A572EC1936A}" name="Tabelle44" displayName="Tabelle44" ref="E88:E96" totalsRowShown="0">
  <autoFilter ref="E88:E96" xr:uid="{7705828B-3B3B-4A9F-A2C9-6A572EC1936A}"/>
  <tableColumns count="1">
    <tableColumn id="1" xr3:uid="{14532FB0-E477-4498-8F07-643592C36D42}" name="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D35E3FF-BF7D-47FB-9F2A-BE7F0A8FF6C7}" name="DD_Bauteil_grenz" displayName="DD_Bauteil_grenz" ref="E105:F109" totalsRowShown="0">
  <autoFilter ref="E105:F109" xr:uid="{2D35E3FF-BF7D-47FB-9F2A-BE7F0A8FF6C7}"/>
  <tableColumns count="2">
    <tableColumn id="1" xr3:uid="{AAAAB7E6-D533-4615-9767-EDA6C778067B}" name="Grenze Bauteil gegen "/>
    <tableColumn id="2" xr3:uid="{3D5DDBD1-9F2B-43A9-A6C0-63513DFEFD23}" name="Temperaturkorrekturfaktor"/>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433FE0A-369A-4AA7-A590-CFD2A45D909B}" name="Tabelle3446" displayName="Tabelle3446" ref="G16:G30" totalsRowShown="0">
  <autoFilter ref="G16:G30" xr:uid="{9433FE0A-369A-4AA7-A590-CFD2A45D909B}"/>
  <tableColumns count="1">
    <tableColumn id="1" xr3:uid="{155B3BCD-3DA7-4E85-B46A-AAE0A3F6AB54}" name="Baualtersklasse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BFFED4A-A85F-4CCE-A187-FABFFF74AAFF}" name="Abschlag_Heizlast" displayName="Abschlag_Heizlast" ref="E111:F114" totalsRowShown="0">
  <autoFilter ref="E111:F114" xr:uid="{EBFFED4A-A85F-4CCE-A187-FABFFF74AAFF}"/>
  <tableColumns count="2">
    <tableColumn id="1" xr3:uid="{40C107C1-159D-4A05-85C6-6337EB4F8507}" name="Phi,Raum"/>
    <tableColumn id="2" xr3:uid="{D42D92F3-A6CE-4987-A961-8F06465FD9C6}" name="Abschlag Heizlast" dataDxfId="5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239E07-BC3C-4305-A5CD-BB86A363FD25}" name="Tabelle47" displayName="Tabelle47" ref="B9:C13" totalsRowShown="0">
  <autoFilter ref="B9:C13" xr:uid="{D7239E07-BC3C-4305-A5CD-BB86A363FD25}"/>
  <tableColumns count="2">
    <tableColumn id="1" xr3:uid="{CA72FB2B-CD07-4F14-8A23-730CCA9AA779}" name="Dachtyp"/>
    <tableColumn id="2" xr3:uid="{EB793F35-27A7-44C8-8754-BE475EB806F2}" name="Dachneigung (°)"/>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7E1CDB1-263F-4557-B69B-E7A458B1A868}" name="Tabelle30" displayName="Tabelle30" ref="G88:G95" totalsRowShown="0" headerRowDxfId="49" dataDxfId="48" headerRowBorderDxfId="46" tableBorderDxfId="47" totalsRowBorderDxfId="45">
  <autoFilter ref="G88:G95" xr:uid="{D7E1CDB1-263F-4557-B69B-E7A458B1A868}"/>
  <tableColumns count="1">
    <tableColumn id="1" xr3:uid="{DD941F4E-59E3-4028-A3CC-35D9300D79DA}" name="1" dataDxfId="44"/>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4EAA4BB-40CE-47C0-979C-8B47321D02A4}" name="Flachheizkoerper_glatt" displayName="Flachheizkoerper_glatt" ref="L3:L8" totalsRowShown="0">
  <autoFilter ref="L3:L8" xr:uid="{D4EAA4BB-40CE-47C0-979C-8B47321D02A4}"/>
  <tableColumns count="1">
    <tableColumn id="1" xr3:uid="{0CDE7D91-5D72-494F-9ABD-F63661EF0404}" name="Flachheizkoerper_glatt"/>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AEC1A90-BD0F-4580-A337-D9DC986E524D}" name="Typ_11" displayName="Typ_11" ref="L23:L27" totalsRowShown="0">
  <autoFilter ref="L23:L27" xr:uid="{1AEC1A90-BD0F-4580-A337-D9DC986E524D}"/>
  <tableColumns count="1">
    <tableColumn id="1" xr3:uid="{8B23943F-6989-46FE-8B7E-B655C662955B}" name="Typ_11_Hoeh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9081DF5-1044-413B-9D4C-2E10E6D31C42}" name="Typ_20" displayName="Typ_20" ref="M23:M27" totalsRowShown="0">
  <autoFilter ref="M23:M27" xr:uid="{A9081DF5-1044-413B-9D4C-2E10E6D31C42}"/>
  <tableColumns count="1">
    <tableColumn id="1" xr3:uid="{A6F71E99-A924-41B6-91AF-2A3112961ED9}" name="Typ_20_Hoeh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1ED4D14-B91A-47BD-90A1-B6186412D308}" name="Typ_21" displayName="Typ_21" ref="N23:N27" totalsRowShown="0">
  <autoFilter ref="N23:N27" xr:uid="{61ED4D14-B91A-47BD-90A1-B6186412D308}"/>
  <tableColumns count="1">
    <tableColumn id="1" xr3:uid="{192CB125-89ED-4E3D-A45E-425CDE23405F}" name="Typ_21_Hoeh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D1D95BE-506A-4A34-992F-AC2516483E6F}" name="Typ_22" displayName="Typ_22" ref="O23:O27" totalsRowShown="0">
  <autoFilter ref="O23:O27" xr:uid="{DD1D95BE-506A-4A34-992F-AC2516483E6F}"/>
  <tableColumns count="1">
    <tableColumn id="1" xr3:uid="{C82A58E3-D959-4F7F-A1ED-F8441B8301EA}" name="Typ_22_Hoeh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4CF8426-321F-4F65-A49C-37BB53B710D8}" name="Typ_30" displayName="Typ_30" ref="P23:P27" totalsRowShown="0">
  <autoFilter ref="P23:P27" xr:uid="{34CF8426-321F-4F65-A49C-37BB53B710D8}"/>
  <tableColumns count="1">
    <tableColumn id="1" xr3:uid="{D1CABC77-89D8-4C6A-A523-15A7C0AB0764}" name="Typ_30_Hoeh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531E3F7-09DB-460D-8D71-F903CC55ACB6}" name="Typ_33" displayName="Typ_33" ref="Q23:Q27" totalsRowShown="0">
  <autoFilter ref="Q23:Q27" xr:uid="{A531E3F7-09DB-460D-8D71-F903CC55ACB6}"/>
  <tableColumns count="1">
    <tableColumn id="1" xr3:uid="{A796C005-71F1-4A00-B93D-BAC80718FF00}" name="Typ_33_Hoeh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B28BB70-8091-4644-9C1E-E6423F1DF63D}" name="Glattwandig" displayName="Glattwandig" ref="R23:R27" totalsRowShown="0">
  <autoFilter ref="R23:R27" xr:uid="{6B28BB70-8091-4644-9C1E-E6423F1DF63D}"/>
  <tableColumns count="1">
    <tableColumn id="1" xr3:uid="{CFC1988E-BEF2-4E63-9937-05B22488BEDE}" name="Glattwandig_Hoeh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E386C58-21D7-434A-8C2D-A6BB4F2D3F18}" name="Typ_10_t" displayName="Typ_10_t" ref="K14:K15" totalsRowShown="0">
  <autoFilter ref="K14:K15" xr:uid="{CE386C58-21D7-434A-8C2D-A6BB4F2D3F18}"/>
  <tableColumns count="1">
    <tableColumn id="1" xr3:uid="{22A04B9E-F79F-438F-931F-AB9EFE1CEC8B}" name="Typ_10_Tief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FFE2314-79BF-4A1F-8897-F7927209BB3C}" name="Typ_11_t" displayName="Typ_11_t" ref="L14:L15" totalsRowShown="0">
  <autoFilter ref="L14:L15" xr:uid="{2FFE2314-79BF-4A1F-8897-F7927209BB3C}"/>
  <tableColumns count="1">
    <tableColumn id="1" xr3:uid="{F2549967-78C2-49BF-A0A6-23A719822666}" name="Typ_11_Tief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F8214DB-4451-4E23-BFAC-FE5CB78DC69D}" name="Typ_20_t" displayName="Typ_20_t" ref="M14:M15" totalsRowShown="0">
  <autoFilter ref="M14:M15" xr:uid="{5F8214DB-4451-4E23-BFAC-FE5CB78DC69D}"/>
  <tableColumns count="1">
    <tableColumn id="1" xr3:uid="{6CE455EA-C691-485C-A240-84CEA59B9FFD}" name="Typ_20_Tief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B986286-F75D-4BE4-BB85-DF5372D28236}" name="Typ_21_t" displayName="Typ_21_t" ref="N14:N15" totalsRowShown="0">
  <autoFilter ref="N14:N15" xr:uid="{DB986286-F75D-4BE4-BB85-DF5372D28236}"/>
  <tableColumns count="1">
    <tableColumn id="1" xr3:uid="{EA787C7A-6F01-44CC-AFE9-ABF46181F6F6}" name="Typ_21_Tief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AA08DE6-C93B-4813-B3E1-5F63A95A10CC}" name="Typ_22_t" displayName="Typ_22_t" ref="O14:O15" totalsRowShown="0">
  <autoFilter ref="O14:O15" xr:uid="{6AA08DE6-C93B-4813-B3E1-5F63A95A10CC}"/>
  <tableColumns count="1">
    <tableColumn id="1" xr3:uid="{6758A769-87ED-4974-99D2-75DF7CC15BDC}" name="Typ_22_Tief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D42CA20-69E1-427A-BE95-56AA99039041}" name="Typ_30_t" displayName="Typ_30_t" ref="P14:P15" totalsRowShown="0">
  <autoFilter ref="P14:P15" xr:uid="{2D42CA20-69E1-427A-BE95-56AA99039041}"/>
  <tableColumns count="1">
    <tableColumn id="1" xr3:uid="{A78537CB-FFB1-4AFE-9ED2-FA4D2BBCAF5C}" name="Typ_30_Tief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25AF41B-80D6-478C-AC0D-C343B3403357}" name="Typ_33_t" displayName="Typ_33_t" ref="Q14:Q15" totalsRowShown="0">
  <autoFilter ref="Q14:Q15" xr:uid="{525AF41B-80D6-478C-AC0D-C343B3403357}"/>
  <tableColumns count="1">
    <tableColumn id="1" xr3:uid="{EB8929FF-BC69-48D7-9363-550B6D2C30A5}" name="Typ_33_Tief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0FF3CD1-1B09-46C0-9717-6426F267A23A}" name="Gussradiator_t" displayName="Gussradiator_t" ref="S14:S19" totalsRowShown="0">
  <autoFilter ref="S14:S19" xr:uid="{90FF3CD1-1B09-46C0-9717-6426F267A23A}"/>
  <tableColumns count="1">
    <tableColumn id="1" xr3:uid="{984665EA-C8FD-4E55-9495-2683AB5B76AE}" name="Gussradiator_Tief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064755F-B7DF-4A9D-96EA-2F7409D2CF1E}" name="Stahlradiator_t" displayName="Stahlradiator_t" ref="T14:T17" totalsRowShown="0">
  <autoFilter ref="T14:T17" xr:uid="{E064755F-B7DF-4A9D-96EA-2F7409D2CF1E}"/>
  <tableColumns count="1">
    <tableColumn id="1" xr3:uid="{151378E2-091E-4351-B10F-9A8A87E114AE}" name="Stahlradiator_Tief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6FD7125-47E6-4268-B5C9-EC2EA86A9179}" name="Stahlrohrradiator_t" displayName="Stahlrohrradiator_t" ref="U14:U19" totalsRowShown="0" dataDxfId="43" tableBorderDxfId="42">
  <autoFilter ref="U14:U19" xr:uid="{56FD7125-47E6-4268-B5C9-EC2EA86A9179}"/>
  <tableColumns count="1">
    <tableColumn id="1" xr3:uid="{C87B6000-DC53-4851-8E3E-5FCB136E5047}" name="Stahlrohrradiator_Tiefe" dataDxfId="41"/>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6A36E3E-A98B-4C3B-8599-00FDAB5506B8}" name="Fensterbankradiator_t" displayName="Fensterbankradiator_t" ref="V14:V17" totalsRowShown="0" tableBorderDxfId="40">
  <autoFilter ref="V14:V17" xr:uid="{76A36E3E-A98B-4C3B-8599-00FDAB5506B8}"/>
  <tableColumns count="1">
    <tableColumn id="1" xr3:uid="{36BB5EE9-6DCE-4448-B420-3ACC08D07793}" name="Fensterbankradiator_Tiefe"/>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BA50234-D5AA-4EBB-A8B0-73F209A20110}" name="Standardkonvektor_t" displayName="Standardkonvektor_t" ref="AA14:AA18" totalsRowShown="0">
  <autoFilter ref="AA14:AA18" xr:uid="{5BA50234-D5AA-4EBB-A8B0-73F209A20110}"/>
  <tableColumns count="1">
    <tableColumn id="1" xr3:uid="{53B6C37A-9A14-450C-9118-63E93C028353}" name="Standardkonvektor_Tief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8718E09-EF08-429E-8959-EF3362061576}" name="Modernisierungsjahr_Bauteil" displayName="Modernisierungsjahr_Bauteil" ref="B18:B25" totalsRowShown="0">
  <autoFilter ref="B18:B25" xr:uid="{F8718E09-EF08-429E-8959-EF3362061576}"/>
  <tableColumns count="1">
    <tableColumn id="1" xr3:uid="{B549BCFE-C540-41C9-9DC8-BB445E147156}" name="Modernisierungsjahr"/>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4DE331D-488B-46A2-9C9F-667383C1348A}" name="UWert_Mod" displayName="UWert_Mod" ref="M62:T86" totalsRowShown="0">
  <autoFilter ref="M62:T86" xr:uid="{94DE331D-488B-46A2-9C9F-667383C1348A}"/>
  <sortState xmlns:xlrd2="http://schemas.microsoft.com/office/spreadsheetml/2017/richdata2" ref="M63:S86">
    <sortCondition ref="S62:S86"/>
  </sortState>
  <tableColumns count="8">
    <tableColumn id="1" xr3:uid="{524599CB-F052-4167-9A10-F94F643EE335}" name="Modernisierungsjahr"/>
    <tableColumn id="2" xr3:uid="{ED21D29B-4AAC-4B9B-B4B9-37CF863657CC}" name="U-Wert" dataDxfId="39"/>
    <tableColumn id="4" xr3:uid="{1010F935-A96D-4277-AB52-45825AB54A0E}" name="Bauteil"/>
    <tableColumn id="8" xr3:uid="{E973163B-4610-4070-A22B-279103C9E061}" name="lambda" dataDxfId="38"/>
    <tableColumn id="3" xr3:uid="{14F58F04-16DE-4AB7-BC52-69BF88875AE7}" name="U_no_ins" dataDxfId="37"/>
    <tableColumn id="5" xr3:uid="{47C1C85C-3B0C-4827-8D83-8227EA7656EE}" name="d_ins" dataDxfId="36">
      <calculatedColumnFormula>(1/UWert_Mod[[#This Row],[U-Wert]]-1/UWert_Mod[[#This Row],[U_no_ins]])*INDEX(PAR[lambda_ins_thick],1)*100</calculatedColumnFormula>
    </tableColumn>
    <tableColumn id="6" xr3:uid="{246D721F-888E-4D45-897F-8EEC1AAB7EA0}" name="Quelle"/>
    <tableColumn id="7" xr3:uid="{953791C7-83F5-4F30-8980-4491F78D99EC}" name="plausi_fm"/>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3C03456-0EDC-41B7-8AE7-4C05EEA813D3}" name="Gussradiator_hb" displayName="Gussradiator_hb" ref="AC12:AD25" totalsRowShown="0">
  <autoFilter ref="AC12:AD25" xr:uid="{53C03456-0EDC-41B7-8AE7-4C05EEA813D3}"/>
  <tableColumns count="2">
    <tableColumn id="1" xr3:uid="{1C274836-48FC-4496-88F9-0788D95FD46C}" name="h"/>
    <tableColumn id="2" xr3:uid="{0FE40123-E5BE-47C7-B97E-6EFE985C99EE}" name="b"/>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C057A77-345F-4D8E-B149-D38751825A36}" name="Stahlradiator_hb" displayName="Stahlradiator_hb" ref="AE12:AF23" totalsRowShown="0">
  <autoFilter ref="AE12:AF23" xr:uid="{DC057A77-345F-4D8E-B149-D38751825A36}"/>
  <tableColumns count="2">
    <tableColumn id="1" xr3:uid="{270C6640-0E00-40BB-AD7F-8E105CC4D84D}" name="h"/>
    <tableColumn id="2" xr3:uid="{80B2E846-3603-4C9A-92BF-D7E3DE8571C6}" name="b"/>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0C1B334-9D8C-4B9E-9DBE-5951C9FB5183}" name="Tabelle72" displayName="Tabelle72" ref="B28:B33" totalsRowShown="0">
  <autoFilter ref="B28:B33" xr:uid="{D0C1B334-9D8C-4B9E-9DBE-5951C9FB5183}"/>
  <tableColumns count="1">
    <tableColumn id="1" xr3:uid="{5B3EF3DA-ABED-425B-BA61-510D969C4FDC}" name="Vorhandene Dachfläche (Raum)"/>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BF0CC-489B-4A8A-B5AD-1D54F542F741}" name="tabelle1" displayName="tabelle1" ref="B4:AC385" totalsRowShown="0" headerRowDxfId="35" dataDxfId="34" tableBorderDxfId="33" headerRowCellStyle="Standard 2">
  <sortState xmlns:xlrd2="http://schemas.microsoft.com/office/spreadsheetml/2017/richdata2" ref="B5:AC385">
    <sortCondition ref="B4:B385"/>
  </sortState>
  <tableColumns count="28">
    <tableColumn id="1" xr3:uid="{D727AAB0-48D8-4B32-B7DF-1F143067CD79}" name="Lfd. Nr." dataDxfId="32" dataCellStyle="Standard 2"/>
    <tableColumn id="2" xr3:uid="{A1174E93-A82D-428B-9E64-8D283C69C8C7}" name="Spalte1" dataDxfId="31" dataCellStyle="Standard 2"/>
    <tableColumn id="3" xr3:uid="{D19C1EC3-FE16-4E94-927B-A91BB7C157A9}" name="Heizkörper Subtyp" dataDxfId="30" dataCellStyle="Standard 2"/>
    <tableColumn id="4" xr3:uid="{4F564AB6-E30D-423E-B273-32DD6E5B08DF}" name="Heizkörper_Typ" dataDxfId="29" dataCellStyle="Standard 2"/>
    <tableColumn id="5" xr3:uid="{9393E6E1-E369-43DE-9166-8D85C39521CD}" name="Heizkörper_Subtyp" dataDxfId="28" dataCellStyle="Standard 2"/>
    <tableColumn id="6" xr3:uid="{EB95B471-5420-443D-8545-C24E4A7D1A16}" name="Höhe H in mm" dataDxfId="27"/>
    <tableColumn id="7" xr3:uid="{44425A21-32C1-4D52-B606-8B186E0A99AF}" name="Breite B in mm" dataDxfId="26" dataCellStyle="Standard 2"/>
    <tableColumn id="8" xr3:uid="{E512A002-AF23-4C26-9999-B3682E982035}" name="HK Fläche in m²" dataDxfId="25" dataCellStyle="Standard 2"/>
    <tableColumn id="9" xr3:uid="{8BAF7958-CA8C-4F97-B3C9-F76501DBDD91}" name="HK Volumen in m³" dataDxfId="24" dataCellStyle="Standard 2"/>
    <tableColumn id="10" xr3:uid="{4A3203B5-3DAB-459C-9DB5-2583B7175D29}" name="Nabenabstand N in mm" dataDxfId="23"/>
    <tableColumn id="11" xr3:uid="{622A11EE-524A-4F1C-8978-05EB2DBD893A}" name="Bautiefe T in mm" dataDxfId="22"/>
    <tableColumn id="12" xr3:uid="{5E947C73-F149-4FBC-BB24-389987CC7EB5}" name="Anzahl Rohre" dataDxfId="21" dataCellStyle="Standard 2"/>
    <tableColumn id="13" xr3:uid="{CAA01412-5350-4BE6-8B98-27C54FC587ED}" name="Anzahl Rohreinheiten" dataDxfId="20" dataCellStyle="Standard 2"/>
    <tableColumn id="14" xr3:uid="{589D78FC-41B7-4196-9F12-7A33E9512C88}" name="Nennweite DN" dataDxfId="19" dataCellStyle="Standard 2"/>
    <tableColumn id="15" xr3:uid="{DD516A88-DAD4-434F-9471-217FFF58BD97}" name="Außendurchmesser d in mm" dataDxfId="18" dataCellStyle="Standard 2"/>
    <tableColumn id="16" xr3:uid="{125706B4-9707-41F5-B67A-393C28979D11}" name="Rippenhöhe in mm" dataDxfId="17" dataCellStyle="Standard 2"/>
    <tableColumn id="17" xr3:uid="{67FCFA89-AABD-409B-8866-C0D598CCA5EE}" name="Mittlere Rohrübertemperatur in K" dataDxfId="16" dataCellStyle="Standard 2"/>
    <tableColumn id="18" xr3:uid="{F6EB4555-EFB4-4195-B6F4-B630E81D9F3A}" name="Übertemperatur in K" dataDxfId="15" dataCellStyle="Standard 2"/>
    <tableColumn id="19" xr3:uid="{DD6AD7BA-EE73-48EE-9CC5-B39FC283661B}" name="Mittlere Wassertemperatur in °C" dataDxfId="14" dataCellStyle="Standard 2"/>
    <tableColumn id="20" xr3:uid="{61E8C273-4A76-4464-B261-BC17F87986B9}" name="Rippenhöhe h in mm" dataDxfId="13" dataCellStyle="Standard 2"/>
    <tableColumn id="21" xr3:uid="{8D63A201-759F-44EC-A0F9-9345C8260177}" name="Rippenabstand a in mm" dataDxfId="12" dataCellStyle="Standard 2"/>
    <tableColumn id="22" xr3:uid="{66BA7AF9-65E1-43BC-A65E-5D9BDB10E2F5}" name="Rohrreihen" dataDxfId="11" dataCellStyle="Standard 2"/>
    <tableColumn id="23" xr3:uid="{D5E8893F-0C19-4BF1-A76C-4D70E46FF170}" name="Heizkörperexponent n " dataDxfId="10" dataCellStyle="Standard 2"/>
    <tableColumn id="24" xr3:uid="{EFEFB7E2-85A7-4FF3-9ACF-F7096A512DC8}" name="Wärmeleistung (75/65/20)  in W" dataDxfId="9"/>
    <tableColumn id="25" xr3:uid="{0AF16D92-4856-48D4-A61A-A5574EECAECE}" name="Wärmeleistung (75/65/20)  in W/m"/>
    <tableColumn id="26" xr3:uid="{36395D9C-3059-403A-9BF3-6CD6BB7EEC1C}" name="Wärmeleistung (75/65/20)  in W/Glied" dataDxfId="8"/>
    <tableColumn id="27" xr3:uid="{4F43B250-7406-48E5-A093-B80A3F48596F}" name="Wärmeleistung in W/m²" dataDxfId="7"/>
    <tableColumn id="28" xr3:uid="{2C6875E1-9E79-4977-8887-C9BC46250C03}" name="Kommentar" dataDxfId="6" dataCellStyle="Standard 2"/>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A80D70-0380-45A5-AA9C-56A5A2E78CA6}" name="IWU" displayName="IWU" ref="B29:G297" totalsRowShown="0">
  <autoFilter ref="B29:G297" xr:uid="{4EA80D70-0380-45A5-AA9C-56A5A2E78CA6}"/>
  <tableColumns count="6">
    <tableColumn id="6" xr3:uid="{CACCD311-40B4-469A-BA4D-B2F64565C1D5}" name="Index" dataDxfId="5"/>
    <tableColumn id="1" xr3:uid="{B305C6BE-5EC8-499B-96D5-025C243E7702}" name="Gebäudetyp" dataDxfId="4"/>
    <tableColumn id="2" xr3:uid="{AB98277C-DAFB-4791-AB90-33529332E258}" name="Baujahr"/>
    <tableColumn id="3" xr3:uid="{450DDC2D-0F32-4772-8F86-24B79723BCC8}" name="Bauteil"/>
    <tableColumn id="4" xr3:uid="{59320B88-B979-4470-8966-E5A853086BF4}" name="U-Wert"/>
    <tableColumn id="5" xr3:uid="{9DD6DA57-84FA-4B06-9C3C-D06296917C60}" name="Baualtersklasse"/>
  </tableColumns>
  <tableStyleInfo name="TableStyleMedium20"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F690AF-D3FC-4231-BB09-BCE92DC4CC27}" name="Tabelle4" displayName="Tabelle4" ref="D2:G8201" totalsRowShown="0">
  <autoFilter ref="D2:G8201" xr:uid="{7FF690AF-D3FC-4231-BB09-BCE92DC4CC27}"/>
  <sortState xmlns:xlrd2="http://schemas.microsoft.com/office/spreadsheetml/2017/richdata2" ref="D3:G8201">
    <sortCondition descending="1" ref="F2:F8201"/>
  </sortState>
  <tableColumns count="4">
    <tableColumn id="1" xr3:uid="{87A26F8C-3F7F-4316-BCAD-422DF8128A52}" name="Ort" dataDxfId="3"/>
    <tableColumn id="2" xr3:uid="{75893335-8E88-40A1-A336-EC7E68FBE0DB}" name="Plz" dataDxfId="2"/>
    <tableColumn id="3" xr3:uid="{29E4DA8D-5455-4BB3-921D-B1A4C4AD3DB7}" name="Außentemperatur °C" dataDxfId="1"/>
    <tableColumn id="5" xr3:uid="{0E57542B-D541-4224-996B-B3643A763B36}" name="T_Mittel" dataDxfId="0"/>
  </tableColumns>
  <tableStyleInfo name="TableStyleMedium2" showFirstColumn="0" showLastColumn="0" showRowStripes="1" showColumnStripes="0"/>
</table>
</file>

<file path=xl/theme/theme1.xml><?xml version="1.0" encoding="utf-8"?>
<a:theme xmlns:a="http://schemas.openxmlformats.org/drawingml/2006/main" name="ifeu-Farben">
  <a:themeElements>
    <a:clrScheme name="ifeu Farben">
      <a:dk1>
        <a:sysClr val="windowText" lastClr="000000"/>
      </a:dk1>
      <a:lt1>
        <a:sysClr val="window" lastClr="FFFFFF"/>
      </a:lt1>
      <a:dk2>
        <a:srgbClr val="44546A"/>
      </a:dk2>
      <a:lt2>
        <a:srgbClr val="E7E6E6"/>
      </a:lt2>
      <a:accent1>
        <a:srgbClr val="00609C"/>
      </a:accent1>
      <a:accent2>
        <a:srgbClr val="9F5987"/>
      </a:accent2>
      <a:accent3>
        <a:srgbClr val="DEDC00"/>
      </a:accent3>
      <a:accent4>
        <a:srgbClr val="93C120"/>
      </a:accent4>
      <a:accent5>
        <a:srgbClr val="A2C5D3"/>
      </a:accent5>
      <a:accent6>
        <a:srgbClr val="978B87"/>
      </a:accent6>
      <a:hlink>
        <a:srgbClr val="003746"/>
      </a:hlink>
      <a:folHlink>
        <a:srgbClr val="4C2F48"/>
      </a:folHlink>
    </a:clrScheme>
    <a:fontScheme name="ifeu">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D795D9-4B6E-423A-AA5B-EDCDF03609FD}">
  <we:reference id="wa200005502" version="1.0.0.11" store="de-DE" storeType="OMEX"/>
  <we:alternateReferences>
    <we:reference id="WA200005502" version="1.0.0.11" store="" storeType="OMEX"/>
  </we:alternateReferences>
  <we:properties>
    <we:property name="docId" value="&quot;WGinqL7bQQlPiS4GFEF4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9" Type="http://schemas.openxmlformats.org/officeDocument/2006/relationships/table" Target="../tables/table40.xml"/><Relationship Id="rId21" Type="http://schemas.openxmlformats.org/officeDocument/2006/relationships/table" Target="../tables/table22.xml"/><Relationship Id="rId34" Type="http://schemas.openxmlformats.org/officeDocument/2006/relationships/table" Target="../tables/table35.xml"/><Relationship Id="rId42" Type="http://schemas.openxmlformats.org/officeDocument/2006/relationships/table" Target="../tables/table43.xml"/><Relationship Id="rId47" Type="http://schemas.openxmlformats.org/officeDocument/2006/relationships/table" Target="../tables/table48.xml"/><Relationship Id="rId50" Type="http://schemas.openxmlformats.org/officeDocument/2006/relationships/table" Target="../tables/table51.xml"/><Relationship Id="rId55" Type="http://schemas.openxmlformats.org/officeDocument/2006/relationships/table" Target="../tables/table56.xml"/><Relationship Id="rId63" Type="http://schemas.openxmlformats.org/officeDocument/2006/relationships/table" Target="../tables/table64.xml"/><Relationship Id="rId7" Type="http://schemas.openxmlformats.org/officeDocument/2006/relationships/table" Target="../tables/table8.xml"/><Relationship Id="rId2" Type="http://schemas.openxmlformats.org/officeDocument/2006/relationships/table" Target="../tables/table3.xml"/><Relationship Id="rId16" Type="http://schemas.openxmlformats.org/officeDocument/2006/relationships/table" Target="../tables/table17.xml"/><Relationship Id="rId29" Type="http://schemas.openxmlformats.org/officeDocument/2006/relationships/table" Target="../tables/table30.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3" Type="http://schemas.openxmlformats.org/officeDocument/2006/relationships/table" Target="../tables/table54.xml"/><Relationship Id="rId58" Type="http://schemas.openxmlformats.org/officeDocument/2006/relationships/table" Target="../tables/table59.xml"/><Relationship Id="rId5" Type="http://schemas.openxmlformats.org/officeDocument/2006/relationships/table" Target="../tables/table6.xml"/><Relationship Id="rId61" Type="http://schemas.openxmlformats.org/officeDocument/2006/relationships/table" Target="../tables/table62.xml"/><Relationship Id="rId19" Type="http://schemas.openxmlformats.org/officeDocument/2006/relationships/table" Target="../tables/table2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56" Type="http://schemas.openxmlformats.org/officeDocument/2006/relationships/table" Target="../tables/table57.xml"/><Relationship Id="rId64" Type="http://schemas.openxmlformats.org/officeDocument/2006/relationships/table" Target="../tables/table65.xml"/><Relationship Id="rId8" Type="http://schemas.openxmlformats.org/officeDocument/2006/relationships/table" Target="../tables/table9.xml"/><Relationship Id="rId51" Type="http://schemas.openxmlformats.org/officeDocument/2006/relationships/table" Target="../tables/table52.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59" Type="http://schemas.openxmlformats.org/officeDocument/2006/relationships/table" Target="../tables/table60.xml"/><Relationship Id="rId20" Type="http://schemas.openxmlformats.org/officeDocument/2006/relationships/table" Target="../tables/table21.xml"/><Relationship Id="rId41" Type="http://schemas.openxmlformats.org/officeDocument/2006/relationships/table" Target="../tables/table42.xml"/><Relationship Id="rId54" Type="http://schemas.openxmlformats.org/officeDocument/2006/relationships/table" Target="../tables/table55.xml"/><Relationship Id="rId62" Type="http://schemas.openxmlformats.org/officeDocument/2006/relationships/table" Target="../tables/table63.xml"/><Relationship Id="rId1" Type="http://schemas.openxmlformats.org/officeDocument/2006/relationships/table" Target="../tables/table2.xml"/><Relationship Id="rId6" Type="http://schemas.openxmlformats.org/officeDocument/2006/relationships/table" Target="../tables/table7.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table" Target="../tables/table50.xml"/><Relationship Id="rId57" Type="http://schemas.openxmlformats.org/officeDocument/2006/relationships/table" Target="../tables/table58.xml"/><Relationship Id="rId10" Type="http://schemas.openxmlformats.org/officeDocument/2006/relationships/table" Target="../tables/table11.xml"/><Relationship Id="rId31" Type="http://schemas.openxmlformats.org/officeDocument/2006/relationships/table" Target="../tables/table32.xml"/><Relationship Id="rId44" Type="http://schemas.openxmlformats.org/officeDocument/2006/relationships/table" Target="../tables/table45.xml"/><Relationship Id="rId52" Type="http://schemas.openxmlformats.org/officeDocument/2006/relationships/table" Target="../tables/table53.xml"/><Relationship Id="rId60" Type="http://schemas.openxmlformats.org/officeDocument/2006/relationships/table" Target="../tables/table61.xml"/><Relationship Id="rId4" Type="http://schemas.openxmlformats.org/officeDocument/2006/relationships/table" Target="../tables/table5.xml"/><Relationship Id="rId9"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8FE4-3F08-4804-8B76-A518BEDA5686}">
  <sheetPr>
    <tabColor rgb="FFFF0000"/>
  </sheetPr>
  <dimension ref="A1:Y100"/>
  <sheetViews>
    <sheetView topLeftCell="F1" zoomScaleNormal="100" workbookViewId="0">
      <selection activeCell="J16" sqref="J16"/>
    </sheetView>
  </sheetViews>
  <sheetFormatPr defaultColWidth="11.42578125" defaultRowHeight="15"/>
  <cols>
    <col min="1" max="1" width="22.42578125" hidden="1" customWidth="1"/>
    <col min="2" max="2" width="12.42578125" hidden="1" customWidth="1"/>
    <col min="3" max="3" width="10.28515625" hidden="1" customWidth="1"/>
    <col min="4" max="4" width="66" hidden="1" customWidth="1"/>
    <col min="5" max="5" width="22.42578125" hidden="1" customWidth="1"/>
    <col min="6" max="6" width="14.5703125" bestFit="1" customWidth="1"/>
    <col min="7" max="7" width="18.85546875" bestFit="1" customWidth="1"/>
    <col min="8" max="8" width="18.85546875" customWidth="1"/>
    <col min="9" max="9" width="13.42578125" bestFit="1" customWidth="1"/>
    <col min="10" max="10" width="18.42578125" bestFit="1" customWidth="1"/>
    <col min="11" max="11" width="15.85546875" bestFit="1" customWidth="1"/>
    <col min="12" max="12" width="17.140625" bestFit="1" customWidth="1"/>
    <col min="13" max="13" width="17.85546875" bestFit="1" customWidth="1"/>
    <col min="14" max="14" width="16.28515625" bestFit="1" customWidth="1"/>
    <col min="15" max="15" width="12.85546875" bestFit="1" customWidth="1"/>
    <col min="16" max="16" width="13.85546875" bestFit="1" customWidth="1"/>
    <col min="17" max="19" width="9.85546875" bestFit="1" customWidth="1"/>
    <col min="20" max="25" width="10.85546875" bestFit="1" customWidth="1"/>
  </cols>
  <sheetData>
    <row r="1" spans="1:25" s="68" customFormat="1">
      <c r="A1" s="48" t="s">
        <v>0</v>
      </c>
      <c r="B1" s="49" t="s">
        <v>1</v>
      </c>
      <c r="C1" s="49" t="s">
        <v>2</v>
      </c>
      <c r="D1" s="49" t="s">
        <v>3</v>
      </c>
      <c r="E1" s="49" t="s">
        <v>4</v>
      </c>
      <c r="F1" s="60" t="s">
        <v>0</v>
      </c>
      <c r="G1" s="66" t="s">
        <v>5</v>
      </c>
      <c r="H1" s="66" t="s">
        <v>6</v>
      </c>
      <c r="I1" s="67" t="s">
        <v>7</v>
      </c>
      <c r="J1" s="66" t="s">
        <v>8</v>
      </c>
      <c r="K1" s="67" t="s">
        <v>9</v>
      </c>
      <c r="L1" s="66" t="s">
        <v>10</v>
      </c>
      <c r="M1" s="67" t="s">
        <v>11</v>
      </c>
      <c r="N1" s="66" t="s">
        <v>12</v>
      </c>
      <c r="O1" s="67" t="s">
        <v>13</v>
      </c>
      <c r="P1" s="66" t="s">
        <v>14</v>
      </c>
      <c r="Q1" s="67" t="s">
        <v>15</v>
      </c>
      <c r="R1" s="66" t="s">
        <v>16</v>
      </c>
      <c r="S1" s="67" t="s">
        <v>17</v>
      </c>
      <c r="T1" s="67" t="s">
        <v>18</v>
      </c>
      <c r="U1" s="66" t="s">
        <v>19</v>
      </c>
      <c r="V1" s="67" t="s">
        <v>20</v>
      </c>
      <c r="W1" s="66" t="s">
        <v>21</v>
      </c>
      <c r="X1" s="67" t="s">
        <v>22</v>
      </c>
      <c r="Y1" s="66" t="s">
        <v>23</v>
      </c>
    </row>
    <row r="2" spans="1:25">
      <c r="A2" s="50" t="s">
        <v>5</v>
      </c>
      <c r="B2" s="51">
        <v>0.04</v>
      </c>
      <c r="C2" s="51" t="s">
        <v>24</v>
      </c>
      <c r="D2" s="51" t="s">
        <v>25</v>
      </c>
      <c r="E2" s="51"/>
      <c r="F2" s="63" t="s">
        <v>1</v>
      </c>
      <c r="G2" s="54">
        <v>0.04</v>
      </c>
      <c r="H2" s="54">
        <v>2</v>
      </c>
      <c r="I2" s="54">
        <v>20</v>
      </c>
      <c r="J2" s="54">
        <v>24</v>
      </c>
      <c r="K2" s="54">
        <v>25</v>
      </c>
      <c r="L2" s="54">
        <v>40</v>
      </c>
      <c r="M2" s="54">
        <v>55</v>
      </c>
      <c r="N2" s="54">
        <v>0.8</v>
      </c>
      <c r="O2" s="54">
        <v>1.7</v>
      </c>
      <c r="P2" s="121">
        <v>0.2</v>
      </c>
      <c r="Q2" s="54">
        <v>100</v>
      </c>
      <c r="R2" s="54">
        <v>5</v>
      </c>
      <c r="S2" s="121">
        <v>0.1</v>
      </c>
      <c r="T2" s="190">
        <v>0.5</v>
      </c>
      <c r="U2" s="54">
        <v>0.3</v>
      </c>
      <c r="V2" s="54">
        <v>0.25</v>
      </c>
      <c r="W2" s="54">
        <v>0.3</v>
      </c>
      <c r="X2" s="121">
        <v>0.7</v>
      </c>
      <c r="Y2" s="121">
        <v>1.1000000000000001</v>
      </c>
    </row>
    <row r="3" spans="1:25">
      <c r="A3" s="53" t="s">
        <v>7</v>
      </c>
      <c r="B3" s="54">
        <v>20</v>
      </c>
      <c r="C3" s="54" t="s">
        <v>26</v>
      </c>
      <c r="D3" s="54" t="s">
        <v>27</v>
      </c>
      <c r="E3" s="54"/>
      <c r="F3" s="63" t="s">
        <v>2</v>
      </c>
      <c r="G3" s="54" t="s">
        <v>24</v>
      </c>
      <c r="H3" s="54" t="s">
        <v>28</v>
      </c>
      <c r="I3" s="54" t="s">
        <v>26</v>
      </c>
      <c r="J3" s="54" t="s">
        <v>26</v>
      </c>
      <c r="K3" s="54" t="s">
        <v>29</v>
      </c>
      <c r="L3" s="54" t="s">
        <v>29</v>
      </c>
      <c r="M3" s="54" t="s">
        <v>29</v>
      </c>
      <c r="N3" s="54" t="s">
        <v>28</v>
      </c>
      <c r="O3" s="54" t="s">
        <v>28</v>
      </c>
      <c r="P3" s="54" t="s">
        <v>30</v>
      </c>
      <c r="Q3" s="54" t="s">
        <v>31</v>
      </c>
      <c r="R3" s="54" t="s">
        <v>32</v>
      </c>
      <c r="S3" s="54" t="s">
        <v>30</v>
      </c>
      <c r="T3" s="54" t="s">
        <v>33</v>
      </c>
      <c r="U3" s="54" t="s">
        <v>33</v>
      </c>
      <c r="V3" s="54" t="s">
        <v>33</v>
      </c>
      <c r="W3" s="54"/>
      <c r="X3" s="54"/>
      <c r="Y3" s="54"/>
    </row>
    <row r="4" spans="1:25" s="59" customFormat="1" ht="221.25" customHeight="1">
      <c r="A4" s="57" t="s">
        <v>8</v>
      </c>
      <c r="B4" s="58">
        <v>24</v>
      </c>
      <c r="C4" s="58" t="s">
        <v>26</v>
      </c>
      <c r="D4" s="58" t="s">
        <v>34</v>
      </c>
      <c r="E4" s="58"/>
      <c r="F4" s="64" t="s">
        <v>3</v>
      </c>
      <c r="G4" s="62" t="s">
        <v>25</v>
      </c>
      <c r="H4" s="62" t="s">
        <v>35</v>
      </c>
      <c r="I4" s="62" t="s">
        <v>27</v>
      </c>
      <c r="J4" s="62" t="s">
        <v>34</v>
      </c>
      <c r="K4" s="62" t="s">
        <v>36</v>
      </c>
      <c r="L4" s="62" t="s">
        <v>37</v>
      </c>
      <c r="M4" s="62" t="s">
        <v>38</v>
      </c>
      <c r="N4" s="62" t="s">
        <v>39</v>
      </c>
      <c r="O4" s="62" t="s">
        <v>40</v>
      </c>
      <c r="P4" s="62" t="s">
        <v>41</v>
      </c>
      <c r="Q4" s="62" t="s">
        <v>42</v>
      </c>
      <c r="R4" s="62" t="s">
        <v>43</v>
      </c>
      <c r="S4" s="62" t="s">
        <v>44</v>
      </c>
      <c r="T4" s="62" t="s">
        <v>45</v>
      </c>
      <c r="U4" s="62" t="s">
        <v>46</v>
      </c>
      <c r="V4" s="62" t="s">
        <v>47</v>
      </c>
      <c r="W4" s="62" t="s">
        <v>48</v>
      </c>
      <c r="X4" s="62" t="s">
        <v>49</v>
      </c>
      <c r="Y4" s="62" t="s">
        <v>50</v>
      </c>
    </row>
    <row r="5" spans="1:25">
      <c r="A5" s="53"/>
      <c r="B5" s="54"/>
      <c r="C5" s="54"/>
      <c r="D5" s="54"/>
      <c r="E5" s="54"/>
      <c r="F5" s="65" t="s">
        <v>4</v>
      </c>
      <c r="G5" s="55"/>
      <c r="H5" s="55"/>
      <c r="I5" s="55"/>
      <c r="J5" s="55"/>
      <c r="K5" s="55"/>
      <c r="L5" s="55"/>
      <c r="M5" s="55"/>
      <c r="N5" s="55"/>
      <c r="O5" s="55"/>
      <c r="P5" s="55"/>
      <c r="Q5" s="55"/>
      <c r="R5" s="55"/>
      <c r="S5" s="55"/>
      <c r="T5" s="55"/>
      <c r="U5" s="55"/>
      <c r="V5" s="55"/>
      <c r="W5" s="55"/>
      <c r="X5" s="55"/>
      <c r="Y5" s="55"/>
    </row>
    <row r="6" spans="1:25">
      <c r="A6" s="50"/>
      <c r="B6" s="51"/>
      <c r="C6" s="51"/>
      <c r="D6" s="51"/>
      <c r="E6" s="52"/>
    </row>
    <row r="7" spans="1:25">
      <c r="A7" s="53"/>
      <c r="B7" s="54"/>
      <c r="C7" s="54"/>
      <c r="D7" s="54"/>
      <c r="E7" s="55"/>
    </row>
    <row r="8" spans="1:25">
      <c r="A8" s="50"/>
      <c r="B8" s="51"/>
      <c r="C8" s="51"/>
      <c r="D8" s="51"/>
      <c r="E8" s="52"/>
      <c r="F8" s="42"/>
    </row>
    <row r="9" spans="1:25">
      <c r="A9" s="53"/>
      <c r="B9" s="54"/>
      <c r="C9" s="54"/>
      <c r="D9" s="54"/>
      <c r="E9" s="55"/>
    </row>
    <row r="10" spans="1:25">
      <c r="A10" s="50"/>
      <c r="B10" s="51"/>
      <c r="C10" s="51"/>
      <c r="D10" s="51"/>
      <c r="E10" s="52"/>
      <c r="F10">
        <f>INDEX(PAR[T_air_norm],1)</f>
        <v>20</v>
      </c>
    </row>
    <row r="11" spans="1:25">
      <c r="A11" s="53"/>
      <c r="B11" s="54"/>
      <c r="C11" s="54"/>
      <c r="D11" s="54"/>
      <c r="E11" s="55"/>
    </row>
    <row r="12" spans="1:25">
      <c r="A12" s="50"/>
      <c r="B12" s="51"/>
      <c r="C12" s="51"/>
      <c r="D12" s="51"/>
      <c r="E12" s="52"/>
    </row>
    <row r="13" spans="1:25">
      <c r="A13" s="53"/>
      <c r="B13" s="54"/>
      <c r="C13" s="54"/>
      <c r="D13" s="54"/>
      <c r="E13" s="55"/>
    </row>
    <row r="14" spans="1:25">
      <c r="A14" s="50"/>
      <c r="B14" s="51"/>
      <c r="C14" s="51"/>
      <c r="D14" s="51"/>
      <c r="E14" s="52"/>
    </row>
    <row r="15" spans="1:25">
      <c r="A15" s="53"/>
      <c r="B15" s="54"/>
      <c r="C15" s="54"/>
      <c r="D15" s="54"/>
      <c r="E15" s="55"/>
    </row>
    <row r="16" spans="1:25">
      <c r="A16" s="50"/>
      <c r="B16" s="51"/>
      <c r="C16" s="51"/>
      <c r="D16" s="51"/>
      <c r="E16" s="52"/>
    </row>
    <row r="17" spans="1:5">
      <c r="A17" s="53"/>
      <c r="B17" s="54"/>
      <c r="C17" s="54"/>
      <c r="D17" s="54"/>
      <c r="E17" s="55"/>
    </row>
    <row r="18" spans="1:5">
      <c r="A18" s="50"/>
      <c r="B18" s="51"/>
      <c r="C18" s="51"/>
      <c r="D18" s="51"/>
      <c r="E18" s="52"/>
    </row>
    <row r="19" spans="1:5">
      <c r="A19" s="53"/>
      <c r="B19" s="54"/>
      <c r="C19" s="54"/>
      <c r="D19" s="54"/>
      <c r="E19" s="55"/>
    </row>
    <row r="20" spans="1:5">
      <c r="A20" s="50"/>
      <c r="B20" s="51"/>
      <c r="C20" s="51"/>
      <c r="D20" s="51"/>
      <c r="E20" s="52"/>
    </row>
    <row r="21" spans="1:5">
      <c r="A21" s="53"/>
      <c r="B21" s="54"/>
      <c r="C21" s="54"/>
      <c r="D21" s="54"/>
      <c r="E21" s="55"/>
    </row>
    <row r="22" spans="1:5">
      <c r="A22" s="50"/>
      <c r="B22" s="51"/>
      <c r="C22" s="51"/>
      <c r="D22" s="51"/>
      <c r="E22" s="52"/>
    </row>
    <row r="23" spans="1:5">
      <c r="A23" s="53"/>
      <c r="B23" s="54"/>
      <c r="C23" s="54"/>
      <c r="D23" s="54"/>
      <c r="E23" s="55"/>
    </row>
    <row r="24" spans="1:5">
      <c r="A24" s="50"/>
      <c r="B24" s="51"/>
      <c r="C24" s="51"/>
      <c r="D24" s="51"/>
      <c r="E24" s="52"/>
    </row>
    <row r="25" spans="1:5">
      <c r="A25" s="53"/>
      <c r="B25" s="54"/>
      <c r="C25" s="54"/>
      <c r="D25" s="54"/>
      <c r="E25" s="55"/>
    </row>
    <row r="26" spans="1:5">
      <c r="A26" s="50"/>
      <c r="B26" s="51"/>
      <c r="C26" s="51"/>
      <c r="D26" s="51"/>
      <c r="E26" s="52"/>
    </row>
    <row r="27" spans="1:5">
      <c r="A27" s="53"/>
      <c r="B27" s="54"/>
      <c r="C27" s="54"/>
      <c r="D27" s="54"/>
      <c r="E27" s="55"/>
    </row>
    <row r="28" spans="1:5">
      <c r="A28" s="50"/>
      <c r="B28" s="51"/>
      <c r="C28" s="51"/>
      <c r="D28" s="51"/>
      <c r="E28" s="52"/>
    </row>
    <row r="29" spans="1:5">
      <c r="A29" s="53"/>
      <c r="B29" s="54"/>
      <c r="C29" s="54"/>
      <c r="D29" s="54"/>
      <c r="E29" s="55"/>
    </row>
    <row r="30" spans="1:5">
      <c r="A30" s="50"/>
      <c r="B30" s="51"/>
      <c r="C30" s="51"/>
      <c r="D30" s="51"/>
      <c r="E30" s="52"/>
    </row>
    <row r="31" spans="1:5">
      <c r="A31" s="53"/>
      <c r="B31" s="54"/>
      <c r="C31" s="54"/>
      <c r="D31" s="54"/>
      <c r="E31" s="55"/>
    </row>
    <row r="32" spans="1:5">
      <c r="A32" s="50"/>
      <c r="B32" s="51"/>
      <c r="C32" s="51"/>
      <c r="D32" s="51"/>
      <c r="E32" s="52"/>
    </row>
    <row r="33" spans="1:5">
      <c r="A33" s="53"/>
      <c r="B33" s="54"/>
      <c r="C33" s="54"/>
      <c r="D33" s="54"/>
      <c r="E33" s="55"/>
    </row>
    <row r="34" spans="1:5">
      <c r="A34" s="50"/>
      <c r="B34" s="51"/>
      <c r="C34" s="51"/>
      <c r="D34" s="51"/>
      <c r="E34" s="52"/>
    </row>
    <row r="35" spans="1:5">
      <c r="A35" s="53"/>
      <c r="B35" s="54"/>
      <c r="C35" s="54"/>
      <c r="D35" s="54"/>
      <c r="E35" s="55"/>
    </row>
    <row r="36" spans="1:5">
      <c r="A36" s="50"/>
      <c r="B36" s="51"/>
      <c r="C36" s="51"/>
      <c r="D36" s="51"/>
      <c r="E36" s="52"/>
    </row>
    <row r="37" spans="1:5">
      <c r="A37" s="53"/>
      <c r="B37" s="54"/>
      <c r="C37" s="54"/>
      <c r="D37" s="54"/>
      <c r="E37" s="55"/>
    </row>
    <row r="38" spans="1:5">
      <c r="A38" s="50"/>
      <c r="B38" s="51"/>
      <c r="C38" s="51"/>
      <c r="D38" s="51"/>
      <c r="E38" s="52"/>
    </row>
    <row r="39" spans="1:5">
      <c r="A39" s="53"/>
      <c r="B39" s="54"/>
      <c r="C39" s="54"/>
      <c r="D39" s="54"/>
      <c r="E39" s="55"/>
    </row>
    <row r="40" spans="1:5">
      <c r="A40" s="50"/>
      <c r="B40" s="51"/>
      <c r="C40" s="51"/>
      <c r="D40" s="51"/>
      <c r="E40" s="52"/>
    </row>
    <row r="41" spans="1:5">
      <c r="A41" s="53"/>
      <c r="B41" s="54"/>
      <c r="C41" s="54"/>
      <c r="D41" s="54"/>
      <c r="E41" s="55"/>
    </row>
    <row r="42" spans="1:5">
      <c r="A42" s="50"/>
      <c r="B42" s="51"/>
      <c r="C42" s="51"/>
      <c r="D42" s="51"/>
      <c r="E42" s="52"/>
    </row>
    <row r="43" spans="1:5">
      <c r="A43" s="53"/>
      <c r="B43" s="54"/>
      <c r="C43" s="54"/>
      <c r="D43" s="54"/>
      <c r="E43" s="55"/>
    </row>
    <row r="44" spans="1:5">
      <c r="A44" s="50"/>
      <c r="B44" s="51"/>
      <c r="C44" s="51"/>
      <c r="D44" s="51"/>
      <c r="E44" s="52"/>
    </row>
    <row r="45" spans="1:5">
      <c r="A45" s="53"/>
      <c r="B45" s="54"/>
      <c r="C45" s="54"/>
      <c r="D45" s="54"/>
      <c r="E45" s="55"/>
    </row>
    <row r="46" spans="1:5">
      <c r="A46" s="50"/>
      <c r="B46" s="51"/>
      <c r="C46" s="51"/>
      <c r="D46" s="51"/>
      <c r="E46" s="52"/>
    </row>
    <row r="47" spans="1:5">
      <c r="A47" s="53"/>
      <c r="B47" s="54"/>
      <c r="C47" s="54"/>
      <c r="D47" s="54"/>
      <c r="E47" s="55"/>
    </row>
    <row r="48" spans="1:5">
      <c r="A48" s="50"/>
      <c r="B48" s="51"/>
      <c r="C48" s="51"/>
      <c r="D48" s="51"/>
      <c r="E48" s="52"/>
    </row>
    <row r="49" spans="1:5">
      <c r="A49" s="53"/>
      <c r="B49" s="54"/>
      <c r="C49" s="54"/>
      <c r="D49" s="54"/>
      <c r="E49" s="55"/>
    </row>
    <row r="50" spans="1:5">
      <c r="A50" s="50"/>
      <c r="B50" s="51"/>
      <c r="C50" s="51"/>
      <c r="D50" s="51"/>
      <c r="E50" s="52"/>
    </row>
    <row r="51" spans="1:5">
      <c r="A51" s="53"/>
      <c r="B51" s="54"/>
      <c r="C51" s="54"/>
      <c r="D51" s="54"/>
      <c r="E51" s="55"/>
    </row>
    <row r="52" spans="1:5">
      <c r="A52" s="50"/>
      <c r="B52" s="51"/>
      <c r="C52" s="51"/>
      <c r="D52" s="51"/>
      <c r="E52" s="52"/>
    </row>
    <row r="53" spans="1:5">
      <c r="A53" s="53"/>
      <c r="B53" s="54"/>
      <c r="C53" s="54"/>
      <c r="D53" s="54"/>
      <c r="E53" s="55"/>
    </row>
    <row r="54" spans="1:5">
      <c r="A54" s="50"/>
      <c r="B54" s="51"/>
      <c r="C54" s="51"/>
      <c r="D54" s="51"/>
      <c r="E54" s="52"/>
    </row>
    <row r="55" spans="1:5">
      <c r="A55" s="53"/>
      <c r="B55" s="54"/>
      <c r="C55" s="54"/>
      <c r="D55" s="54"/>
      <c r="E55" s="55"/>
    </row>
    <row r="56" spans="1:5">
      <c r="A56" s="50"/>
      <c r="B56" s="51"/>
      <c r="C56" s="51"/>
      <c r="D56" s="51"/>
      <c r="E56" s="52"/>
    </row>
    <row r="57" spans="1:5">
      <c r="A57" s="53"/>
      <c r="B57" s="54"/>
      <c r="C57" s="54"/>
      <c r="D57" s="54"/>
      <c r="E57" s="55"/>
    </row>
    <row r="58" spans="1:5">
      <c r="A58" s="50"/>
      <c r="B58" s="51"/>
      <c r="C58" s="51"/>
      <c r="D58" s="51"/>
      <c r="E58" s="52"/>
    </row>
    <row r="59" spans="1:5">
      <c r="A59" s="53"/>
      <c r="B59" s="54"/>
      <c r="C59" s="54"/>
      <c r="D59" s="54"/>
      <c r="E59" s="55"/>
    </row>
    <row r="60" spans="1:5">
      <c r="A60" s="50"/>
      <c r="B60" s="51"/>
      <c r="C60" s="51"/>
      <c r="D60" s="51"/>
      <c r="E60" s="52"/>
    </row>
    <row r="61" spans="1:5">
      <c r="A61" s="53"/>
      <c r="B61" s="54"/>
      <c r="C61" s="54"/>
      <c r="D61" s="54"/>
      <c r="E61" s="55"/>
    </row>
    <row r="62" spans="1:5">
      <c r="A62" s="50"/>
      <c r="B62" s="51"/>
      <c r="C62" s="51"/>
      <c r="D62" s="51"/>
      <c r="E62" s="52"/>
    </row>
    <row r="63" spans="1:5">
      <c r="A63" s="53"/>
      <c r="B63" s="54"/>
      <c r="C63" s="54"/>
      <c r="D63" s="54"/>
      <c r="E63" s="55"/>
    </row>
    <row r="64" spans="1:5">
      <c r="A64" s="50"/>
      <c r="B64" s="51"/>
      <c r="C64" s="51"/>
      <c r="D64" s="51"/>
      <c r="E64" s="52"/>
    </row>
    <row r="65" spans="1:5">
      <c r="A65" s="53"/>
      <c r="B65" s="54"/>
      <c r="C65" s="54"/>
      <c r="D65" s="54"/>
      <c r="E65" s="55"/>
    </row>
    <row r="66" spans="1:5">
      <c r="A66" s="50"/>
      <c r="B66" s="51"/>
      <c r="C66" s="51"/>
      <c r="D66" s="51"/>
      <c r="E66" s="52"/>
    </row>
    <row r="67" spans="1:5">
      <c r="A67" s="53"/>
      <c r="B67" s="54"/>
      <c r="C67" s="54"/>
      <c r="D67" s="54"/>
      <c r="E67" s="55"/>
    </row>
    <row r="68" spans="1:5">
      <c r="A68" s="50"/>
      <c r="B68" s="51"/>
      <c r="C68" s="51"/>
      <c r="D68" s="51"/>
      <c r="E68" s="52"/>
    </row>
    <row r="69" spans="1:5">
      <c r="A69" s="53"/>
      <c r="B69" s="54"/>
      <c r="C69" s="54"/>
      <c r="D69" s="54"/>
      <c r="E69" s="55"/>
    </row>
    <row r="70" spans="1:5">
      <c r="A70" s="50"/>
      <c r="B70" s="51"/>
      <c r="C70" s="51"/>
      <c r="D70" s="51"/>
      <c r="E70" s="52"/>
    </row>
    <row r="71" spans="1:5">
      <c r="A71" s="53"/>
      <c r="B71" s="54"/>
      <c r="C71" s="54"/>
      <c r="D71" s="54"/>
      <c r="E71" s="55"/>
    </row>
    <row r="72" spans="1:5">
      <c r="A72" s="50"/>
      <c r="B72" s="51"/>
      <c r="C72" s="51"/>
      <c r="D72" s="51"/>
      <c r="E72" s="52"/>
    </row>
    <row r="73" spans="1:5">
      <c r="A73" s="53"/>
      <c r="B73" s="54"/>
      <c r="C73" s="54"/>
      <c r="D73" s="54"/>
      <c r="E73" s="55"/>
    </row>
    <row r="74" spans="1:5">
      <c r="A74" s="50"/>
      <c r="B74" s="51"/>
      <c r="C74" s="51"/>
      <c r="D74" s="51"/>
      <c r="E74" s="52"/>
    </row>
    <row r="75" spans="1:5">
      <c r="A75" s="53"/>
      <c r="B75" s="54"/>
      <c r="C75" s="54"/>
      <c r="D75" s="54"/>
      <c r="E75" s="55"/>
    </row>
    <row r="76" spans="1:5">
      <c r="A76" s="50"/>
      <c r="B76" s="51"/>
      <c r="C76" s="51"/>
      <c r="D76" s="51"/>
      <c r="E76" s="52"/>
    </row>
    <row r="77" spans="1:5">
      <c r="A77" s="53"/>
      <c r="B77" s="54"/>
      <c r="C77" s="54"/>
      <c r="D77" s="54"/>
      <c r="E77" s="55"/>
    </row>
    <row r="78" spans="1:5">
      <c r="A78" s="50"/>
      <c r="B78" s="51"/>
      <c r="C78" s="51"/>
      <c r="D78" s="51"/>
      <c r="E78" s="52"/>
    </row>
    <row r="79" spans="1:5">
      <c r="A79" s="53"/>
      <c r="B79" s="54"/>
      <c r="C79" s="54"/>
      <c r="D79" s="54"/>
      <c r="E79" s="55"/>
    </row>
    <row r="80" spans="1:5">
      <c r="A80" s="50"/>
      <c r="B80" s="51"/>
      <c r="C80" s="51"/>
      <c r="D80" s="51"/>
      <c r="E80" s="52"/>
    </row>
    <row r="81" spans="1:5">
      <c r="A81" s="53"/>
      <c r="B81" s="54"/>
      <c r="C81" s="54"/>
      <c r="D81" s="54"/>
      <c r="E81" s="55"/>
    </row>
    <row r="82" spans="1:5">
      <c r="A82" s="50"/>
      <c r="B82" s="51"/>
      <c r="C82" s="51"/>
      <c r="D82" s="51"/>
      <c r="E82" s="52"/>
    </row>
    <row r="83" spans="1:5">
      <c r="A83" s="53"/>
      <c r="B83" s="54"/>
      <c r="C83" s="54"/>
      <c r="D83" s="54"/>
      <c r="E83" s="55"/>
    </row>
    <row r="84" spans="1:5">
      <c r="A84" s="50"/>
      <c r="B84" s="51"/>
      <c r="C84" s="51"/>
      <c r="D84" s="51"/>
      <c r="E84" s="52"/>
    </row>
    <row r="85" spans="1:5">
      <c r="A85" s="53"/>
      <c r="B85" s="54"/>
      <c r="C85" s="54"/>
      <c r="D85" s="54"/>
      <c r="E85" s="55"/>
    </row>
    <row r="86" spans="1:5">
      <c r="A86" s="50"/>
      <c r="B86" s="51"/>
      <c r="C86" s="51"/>
      <c r="D86" s="51"/>
      <c r="E86" s="52"/>
    </row>
    <row r="87" spans="1:5">
      <c r="A87" s="53"/>
      <c r="B87" s="54"/>
      <c r="C87" s="54"/>
      <c r="D87" s="54"/>
      <c r="E87" s="55"/>
    </row>
    <row r="88" spans="1:5">
      <c r="A88" s="50"/>
      <c r="B88" s="51"/>
      <c r="C88" s="51"/>
      <c r="D88" s="51"/>
      <c r="E88" s="52"/>
    </row>
    <row r="89" spans="1:5">
      <c r="A89" s="53"/>
      <c r="B89" s="54"/>
      <c r="C89" s="54"/>
      <c r="D89" s="54"/>
      <c r="E89" s="55"/>
    </row>
    <row r="90" spans="1:5">
      <c r="A90" s="50"/>
      <c r="B90" s="51"/>
      <c r="C90" s="51"/>
      <c r="D90" s="51"/>
      <c r="E90" s="52"/>
    </row>
    <row r="91" spans="1:5">
      <c r="A91" s="53"/>
      <c r="B91" s="54"/>
      <c r="C91" s="54"/>
      <c r="D91" s="54"/>
      <c r="E91" s="55"/>
    </row>
    <row r="92" spans="1:5">
      <c r="A92" s="50"/>
      <c r="B92" s="51"/>
      <c r="C92" s="51"/>
      <c r="D92" s="51"/>
      <c r="E92" s="52"/>
    </row>
    <row r="93" spans="1:5">
      <c r="A93" s="53"/>
      <c r="B93" s="54"/>
      <c r="C93" s="54"/>
      <c r="D93" s="54"/>
      <c r="E93" s="55"/>
    </row>
    <row r="94" spans="1:5">
      <c r="A94" s="50"/>
      <c r="B94" s="51"/>
      <c r="C94" s="51"/>
      <c r="D94" s="51"/>
      <c r="E94" s="52"/>
    </row>
    <row r="95" spans="1:5">
      <c r="A95" s="53"/>
      <c r="B95" s="54"/>
      <c r="C95" s="54"/>
      <c r="D95" s="54"/>
      <c r="E95" s="55"/>
    </row>
    <row r="96" spans="1:5">
      <c r="A96" s="50"/>
      <c r="B96" s="51"/>
      <c r="C96" s="51"/>
      <c r="D96" s="51"/>
      <c r="E96" s="52"/>
    </row>
    <row r="97" spans="1:5">
      <c r="A97" s="53"/>
      <c r="B97" s="54"/>
      <c r="C97" s="54"/>
      <c r="D97" s="54"/>
      <c r="E97" s="55"/>
    </row>
    <row r="98" spans="1:5">
      <c r="A98" s="50"/>
      <c r="B98" s="51"/>
      <c r="C98" s="51"/>
      <c r="D98" s="51"/>
      <c r="E98" s="52"/>
    </row>
    <row r="99" spans="1:5">
      <c r="A99" s="53"/>
      <c r="B99" s="54"/>
      <c r="C99" s="54"/>
      <c r="D99" s="54"/>
      <c r="E99" s="55"/>
    </row>
    <row r="100" spans="1:5">
      <c r="A100" s="47"/>
      <c r="B100" s="45"/>
      <c r="C100" s="45"/>
      <c r="D100" s="45"/>
      <c r="E100" s="46"/>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EE83-FCBE-47B8-8531-853F18553949}">
  <sheetPr>
    <tabColor rgb="FFFF0000"/>
  </sheetPr>
  <dimension ref="A2:D82"/>
  <sheetViews>
    <sheetView workbookViewId="0">
      <pane xSplit="1" ySplit="5" topLeftCell="B36" activePane="bottomRight" state="frozen"/>
      <selection pane="bottomRight" activeCell="B51" sqref="B51"/>
      <selection pane="bottomLeft" activeCell="A6" sqref="A6"/>
      <selection pane="topRight" activeCell="B1" sqref="B1"/>
    </sheetView>
  </sheetViews>
  <sheetFormatPr defaultColWidth="11.42578125" defaultRowHeight="15"/>
  <cols>
    <col min="1" max="1" width="20.5703125" customWidth="1"/>
    <col min="3" max="3" width="27.85546875" bestFit="1" customWidth="1"/>
  </cols>
  <sheetData>
    <row r="2" spans="1:4">
      <c r="A2" t="s">
        <v>51</v>
      </c>
    </row>
    <row r="3" spans="1:4">
      <c r="A3" t="s">
        <v>52</v>
      </c>
    </row>
    <row r="5" spans="1:4">
      <c r="B5" s="6" t="s">
        <v>53</v>
      </c>
      <c r="C5" s="6" t="s">
        <v>0</v>
      </c>
      <c r="D5" s="6" t="s">
        <v>54</v>
      </c>
    </row>
    <row r="6" spans="1:4">
      <c r="A6" s="6" t="s">
        <v>55</v>
      </c>
      <c r="B6" t="s">
        <v>56</v>
      </c>
      <c r="C6" t="s">
        <v>57</v>
      </c>
      <c r="D6" t="s">
        <v>58</v>
      </c>
    </row>
    <row r="7" spans="1:4">
      <c r="B7" t="s">
        <v>59</v>
      </c>
      <c r="C7" t="s">
        <v>60</v>
      </c>
    </row>
    <row r="8" spans="1:4">
      <c r="B8" t="s">
        <v>61</v>
      </c>
      <c r="C8" t="s">
        <v>62</v>
      </c>
    </row>
    <row r="9" spans="1:4">
      <c r="B9" t="s">
        <v>63</v>
      </c>
      <c r="C9" t="s">
        <v>64</v>
      </c>
      <c r="D9" t="s">
        <v>65</v>
      </c>
    </row>
    <row r="10" spans="1:4">
      <c r="B10" t="s">
        <v>66</v>
      </c>
      <c r="C10" t="s">
        <v>67</v>
      </c>
    </row>
    <row r="11" spans="1:4">
      <c r="B11" t="s">
        <v>68</v>
      </c>
      <c r="C11" t="s">
        <v>69</v>
      </c>
      <c r="D11" t="s">
        <v>24</v>
      </c>
    </row>
    <row r="12" spans="1:4">
      <c r="B12" t="s">
        <v>70</v>
      </c>
      <c r="C12" t="s">
        <v>71</v>
      </c>
      <c r="D12" t="s">
        <v>33</v>
      </c>
    </row>
    <row r="13" spans="1:4">
      <c r="B13" t="s">
        <v>72</v>
      </c>
      <c r="C13" t="s">
        <v>73</v>
      </c>
    </row>
    <row r="14" spans="1:4">
      <c r="B14" t="s">
        <v>74</v>
      </c>
      <c r="C14" t="s">
        <v>75</v>
      </c>
    </row>
    <row r="15" spans="1:4">
      <c r="B15" t="s">
        <v>76</v>
      </c>
      <c r="C15" t="s">
        <v>77</v>
      </c>
      <c r="D15" t="s">
        <v>78</v>
      </c>
    </row>
    <row r="16" spans="1:4">
      <c r="B16" t="s">
        <v>79</v>
      </c>
      <c r="C16" t="s">
        <v>80</v>
      </c>
    </row>
    <row r="17" spans="2:4">
      <c r="B17" t="s">
        <v>81</v>
      </c>
      <c r="C17" t="s">
        <v>82</v>
      </c>
      <c r="D17" t="s">
        <v>31</v>
      </c>
    </row>
    <row r="18" spans="2:4">
      <c r="B18" t="s">
        <v>83</v>
      </c>
      <c r="C18" t="s">
        <v>84</v>
      </c>
    </row>
    <row r="19" spans="2:4">
      <c r="B19" t="s">
        <v>85</v>
      </c>
      <c r="C19" t="s">
        <v>86</v>
      </c>
      <c r="D19" t="s">
        <v>87</v>
      </c>
    </row>
    <row r="20" spans="2:4">
      <c r="B20" t="s">
        <v>88</v>
      </c>
      <c r="C20" t="s">
        <v>89</v>
      </c>
    </row>
    <row r="21" spans="2:4">
      <c r="B21" t="s">
        <v>90</v>
      </c>
      <c r="C21" t="s">
        <v>91</v>
      </c>
    </row>
    <row r="22" spans="2:4">
      <c r="B22" t="s">
        <v>92</v>
      </c>
      <c r="C22" t="s">
        <v>93</v>
      </c>
      <c r="D22" t="s">
        <v>26</v>
      </c>
    </row>
    <row r="23" spans="2:4">
      <c r="B23" t="s">
        <v>94</v>
      </c>
      <c r="C23" t="s">
        <v>95</v>
      </c>
      <c r="D23" t="s">
        <v>96</v>
      </c>
    </row>
    <row r="24" spans="2:4">
      <c r="B24" t="s">
        <v>97</v>
      </c>
      <c r="C24" t="s">
        <v>98</v>
      </c>
    </row>
    <row r="25" spans="2:4">
      <c r="B25" t="s">
        <v>99</v>
      </c>
      <c r="C25" t="s">
        <v>100</v>
      </c>
    </row>
    <row r="26" spans="2:4">
      <c r="B26" t="s">
        <v>101</v>
      </c>
      <c r="C26" t="s">
        <v>102</v>
      </c>
    </row>
    <row r="27" spans="2:4">
      <c r="B27" t="s">
        <v>103</v>
      </c>
      <c r="C27" t="s">
        <v>104</v>
      </c>
      <c r="D27" t="s">
        <v>28</v>
      </c>
    </row>
    <row r="28" spans="2:4">
      <c r="B28" t="s">
        <v>105</v>
      </c>
      <c r="C28" t="s">
        <v>106</v>
      </c>
      <c r="D28" t="s">
        <v>107</v>
      </c>
    </row>
    <row r="29" spans="2:4">
      <c r="B29" t="s">
        <v>108</v>
      </c>
      <c r="C29" t="s">
        <v>109</v>
      </c>
      <c r="D29" t="s">
        <v>110</v>
      </c>
    </row>
    <row r="30" spans="2:4">
      <c r="B30" t="s">
        <v>111</v>
      </c>
      <c r="C30" t="s">
        <v>112</v>
      </c>
      <c r="D30" t="s">
        <v>113</v>
      </c>
    </row>
    <row r="36" spans="1:3" s="44" customFormat="1">
      <c r="A36" s="43" t="s">
        <v>114</v>
      </c>
      <c r="B36" s="44" t="s">
        <v>115</v>
      </c>
      <c r="C36" s="44" t="s">
        <v>116</v>
      </c>
    </row>
    <row r="37" spans="1:3">
      <c r="B37" t="s">
        <v>117</v>
      </c>
      <c r="C37" t="s">
        <v>118</v>
      </c>
    </row>
    <row r="38" spans="1:3">
      <c r="B38" t="s">
        <v>119</v>
      </c>
      <c r="C38" t="s">
        <v>120</v>
      </c>
    </row>
    <row r="39" spans="1:3">
      <c r="B39" t="s">
        <v>121</v>
      </c>
      <c r="C39" t="s">
        <v>122</v>
      </c>
    </row>
    <row r="40" spans="1:3">
      <c r="B40" t="s">
        <v>123</v>
      </c>
      <c r="C40" t="s">
        <v>124</v>
      </c>
    </row>
    <row r="41" spans="1:3">
      <c r="B41" t="s">
        <v>125</v>
      </c>
      <c r="C41" t="s">
        <v>126</v>
      </c>
    </row>
    <row r="42" spans="1:3">
      <c r="B42" t="s">
        <v>127</v>
      </c>
      <c r="C42" t="s">
        <v>128</v>
      </c>
    </row>
    <row r="43" spans="1:3">
      <c r="B43" t="s">
        <v>129</v>
      </c>
      <c r="C43" t="s">
        <v>130</v>
      </c>
    </row>
    <row r="44" spans="1:3">
      <c r="B44" t="s">
        <v>131</v>
      </c>
      <c r="C44" t="s">
        <v>132</v>
      </c>
    </row>
    <row r="45" spans="1:3">
      <c r="B45" t="s">
        <v>133</v>
      </c>
      <c r="C45" t="s">
        <v>134</v>
      </c>
    </row>
    <row r="46" spans="1:3">
      <c r="B46" t="s">
        <v>135</v>
      </c>
      <c r="C46" t="s">
        <v>136</v>
      </c>
    </row>
    <row r="47" spans="1:3">
      <c r="B47" t="s">
        <v>137</v>
      </c>
      <c r="C47" t="s">
        <v>138</v>
      </c>
    </row>
    <row r="48" spans="1:3">
      <c r="B48" t="s">
        <v>139</v>
      </c>
      <c r="C48" t="s">
        <v>140</v>
      </c>
    </row>
    <row r="49" spans="1:3">
      <c r="B49" t="s">
        <v>141</v>
      </c>
      <c r="C49" t="s">
        <v>142</v>
      </c>
    </row>
    <row r="50" spans="1:3" s="44" customFormat="1">
      <c r="A50" s="43" t="s">
        <v>143</v>
      </c>
      <c r="B50" s="44" t="s">
        <v>144</v>
      </c>
      <c r="C50" s="44" t="s">
        <v>145</v>
      </c>
    </row>
    <row r="51" spans="1:3">
      <c r="B51" t="s">
        <v>146</v>
      </c>
      <c r="C51" t="s">
        <v>147</v>
      </c>
    </row>
    <row r="52" spans="1:3">
      <c r="B52" t="s">
        <v>148</v>
      </c>
      <c r="C52" t="s">
        <v>149</v>
      </c>
    </row>
    <row r="53" spans="1:3">
      <c r="B53" t="s">
        <v>150</v>
      </c>
      <c r="C53" t="s">
        <v>151</v>
      </c>
    </row>
    <row r="54" spans="1:3">
      <c r="B54" t="s">
        <v>152</v>
      </c>
      <c r="C54" t="s">
        <v>153</v>
      </c>
    </row>
    <row r="55" spans="1:3">
      <c r="B55" t="s">
        <v>154</v>
      </c>
      <c r="C55" t="s">
        <v>155</v>
      </c>
    </row>
    <row r="56" spans="1:3">
      <c r="B56" t="s">
        <v>156</v>
      </c>
      <c r="C56" t="s">
        <v>157</v>
      </c>
    </row>
    <row r="57" spans="1:3">
      <c r="B57" t="s">
        <v>158</v>
      </c>
      <c r="C57" t="s">
        <v>159</v>
      </c>
    </row>
    <row r="58" spans="1:3">
      <c r="B58" t="s">
        <v>160</v>
      </c>
      <c r="C58" t="s">
        <v>161</v>
      </c>
    </row>
    <row r="59" spans="1:3">
      <c r="B59" t="s">
        <v>162</v>
      </c>
      <c r="C59" t="s">
        <v>163</v>
      </c>
    </row>
    <row r="60" spans="1:3">
      <c r="B60" t="s">
        <v>164</v>
      </c>
      <c r="C60" t="s">
        <v>165</v>
      </c>
    </row>
    <row r="61" spans="1:3">
      <c r="B61" t="s">
        <v>166</v>
      </c>
      <c r="C61" t="s">
        <v>167</v>
      </c>
    </row>
    <row r="62" spans="1:3">
      <c r="B62" t="s">
        <v>168</v>
      </c>
      <c r="C62" t="s">
        <v>169</v>
      </c>
    </row>
    <row r="63" spans="1:3">
      <c r="B63" t="s">
        <v>170</v>
      </c>
      <c r="C63" t="s">
        <v>171</v>
      </c>
    </row>
    <row r="64" spans="1:3">
      <c r="B64" t="s">
        <v>172</v>
      </c>
      <c r="C64" t="s">
        <v>173</v>
      </c>
    </row>
    <row r="65" spans="2:3">
      <c r="B65" t="s">
        <v>174</v>
      </c>
      <c r="C65" t="s">
        <v>175</v>
      </c>
    </row>
    <row r="66" spans="2:3">
      <c r="B66" t="s">
        <v>176</v>
      </c>
      <c r="C66" t="s">
        <v>177</v>
      </c>
    </row>
    <row r="67" spans="2:3">
      <c r="B67" t="s">
        <v>178</v>
      </c>
      <c r="C67" t="s">
        <v>179</v>
      </c>
    </row>
    <row r="68" spans="2:3">
      <c r="B68" t="s">
        <v>180</v>
      </c>
      <c r="C68" t="s">
        <v>181</v>
      </c>
    </row>
    <row r="69" spans="2:3">
      <c r="B69" t="s">
        <v>182</v>
      </c>
      <c r="C69" t="s">
        <v>183</v>
      </c>
    </row>
    <row r="70" spans="2:3">
      <c r="B70" t="s">
        <v>184</v>
      </c>
      <c r="C70" t="s">
        <v>185</v>
      </c>
    </row>
    <row r="71" spans="2:3">
      <c r="B71" t="s">
        <v>186</v>
      </c>
      <c r="C71" t="s">
        <v>187</v>
      </c>
    </row>
    <row r="72" spans="2:3">
      <c r="B72" t="s">
        <v>188</v>
      </c>
      <c r="C72" t="s">
        <v>189</v>
      </c>
    </row>
    <row r="73" spans="2:3">
      <c r="B73" t="s">
        <v>190</v>
      </c>
      <c r="C73" t="s">
        <v>191</v>
      </c>
    </row>
    <row r="74" spans="2:3">
      <c r="B74" s="69" t="s">
        <v>192</v>
      </c>
      <c r="C74" t="s">
        <v>193</v>
      </c>
    </row>
    <row r="75" spans="2:3">
      <c r="B75" t="s">
        <v>194</v>
      </c>
      <c r="C75" t="s">
        <v>195</v>
      </c>
    </row>
    <row r="76" spans="2:3">
      <c r="B76" t="s">
        <v>196</v>
      </c>
      <c r="C76" t="s">
        <v>197</v>
      </c>
    </row>
    <row r="77" spans="2:3">
      <c r="B77" t="s">
        <v>198</v>
      </c>
      <c r="C77" t="s">
        <v>199</v>
      </c>
    </row>
    <row r="78" spans="2:3">
      <c r="B78" t="s">
        <v>200</v>
      </c>
      <c r="C78" t="s">
        <v>201</v>
      </c>
    </row>
    <row r="79" spans="2:3">
      <c r="B79" t="s">
        <v>202</v>
      </c>
      <c r="C79" t="s">
        <v>203</v>
      </c>
    </row>
    <row r="80" spans="2:3">
      <c r="B80" t="s">
        <v>204</v>
      </c>
      <c r="C80" t="s">
        <v>205</v>
      </c>
    </row>
    <row r="81" spans="2:3">
      <c r="B81" t="s">
        <v>206</v>
      </c>
      <c r="C81" t="s">
        <v>207</v>
      </c>
    </row>
    <row r="82" spans="2:3">
      <c r="B82" t="s">
        <v>208</v>
      </c>
      <c r="C82" t="s">
        <v>209</v>
      </c>
    </row>
  </sheetData>
  <sortState xmlns:xlrd2="http://schemas.microsoft.com/office/spreadsheetml/2017/richdata2" ref="B6:D29">
    <sortCondition ref="B6:B29"/>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3EC5-4E1A-4B1D-BF09-CB0D75EBD18A}">
  <sheetPr>
    <tabColor theme="7"/>
  </sheetPr>
  <dimension ref="A1:W27"/>
  <sheetViews>
    <sheetView topLeftCell="F1" zoomScaleNormal="100" workbookViewId="0">
      <pane ySplit="1" topLeftCell="A2" activePane="bottomLeft" state="frozen"/>
      <selection pane="bottomLeft" activeCell="P18" sqref="P18"/>
    </sheetView>
  </sheetViews>
  <sheetFormatPr defaultColWidth="11.42578125" defaultRowHeight="15"/>
  <cols>
    <col min="1" max="1" width="16.5703125" customWidth="1"/>
    <col min="2" max="3" width="11.42578125" customWidth="1"/>
    <col min="4" max="4" width="17.85546875" customWidth="1"/>
    <col min="5" max="5" width="69.85546875" customWidth="1"/>
    <col min="6" max="6" width="28.5703125" customWidth="1"/>
    <col min="7" max="7" width="18.28515625" customWidth="1"/>
    <col min="8" max="8" width="15.5703125" customWidth="1"/>
    <col min="9" max="9" width="7.140625" customWidth="1"/>
    <col min="10" max="10" width="8.42578125" customWidth="1"/>
    <col min="11" max="11" width="10" customWidth="1"/>
    <col min="12" max="12" width="17" customWidth="1"/>
    <col min="13" max="13" width="8.7109375" customWidth="1"/>
    <col min="14" max="14" width="9" customWidth="1"/>
    <col min="15" max="15" width="12.42578125" customWidth="1"/>
    <col min="16" max="16" width="26.42578125" customWidth="1"/>
    <col min="17" max="17" width="5.28515625" bestFit="1" customWidth="1"/>
    <col min="18" max="19" width="13.28515625" customWidth="1"/>
    <col min="20" max="22" width="11.42578125" customWidth="1"/>
  </cols>
  <sheetData>
    <row r="1" spans="1:23" ht="15.75" thickBot="1">
      <c r="A1" s="71" t="s">
        <v>0</v>
      </c>
      <c r="B1" s="71" t="s">
        <v>210</v>
      </c>
      <c r="C1" s="71" t="s">
        <v>211</v>
      </c>
      <c r="D1" s="71" t="s">
        <v>212</v>
      </c>
      <c r="E1" s="71" t="s">
        <v>213</v>
      </c>
      <c r="F1" s="71" t="s">
        <v>214</v>
      </c>
      <c r="G1" s="71" t="s">
        <v>215</v>
      </c>
      <c r="H1" s="71" t="s">
        <v>216</v>
      </c>
      <c r="I1" s="71" t="s">
        <v>54</v>
      </c>
      <c r="J1" s="71" t="s">
        <v>217</v>
      </c>
      <c r="K1" s="71" t="s">
        <v>218</v>
      </c>
      <c r="L1" s="71" t="s">
        <v>219</v>
      </c>
      <c r="M1" s="71" t="s">
        <v>220</v>
      </c>
      <c r="N1" s="71" t="s">
        <v>221</v>
      </c>
      <c r="O1" s="71" t="s">
        <v>222</v>
      </c>
      <c r="P1" s="71" t="s">
        <v>223</v>
      </c>
      <c r="Q1" s="71" t="s">
        <v>61</v>
      </c>
      <c r="R1" s="71" t="s">
        <v>224</v>
      </c>
      <c r="S1" s="71" t="s">
        <v>111</v>
      </c>
      <c r="T1" s="71" t="s">
        <v>225</v>
      </c>
      <c r="U1" s="71" t="s">
        <v>226</v>
      </c>
      <c r="V1" s="6"/>
    </row>
    <row r="2" spans="1:23" ht="15" customHeight="1" thickBot="1">
      <c r="A2" s="4" t="s">
        <v>227</v>
      </c>
      <c r="B2" t="s">
        <v>115</v>
      </c>
      <c r="D2" t="s">
        <v>228</v>
      </c>
      <c r="E2" t="s">
        <v>229</v>
      </c>
      <c r="G2" t="s">
        <v>230</v>
      </c>
      <c r="J2" t="s">
        <v>231</v>
      </c>
      <c r="K2">
        <v>1</v>
      </c>
      <c r="P2" s="5"/>
    </row>
    <row r="3" spans="1:23" ht="15" customHeight="1" thickBot="1">
      <c r="A3" s="4" t="s">
        <v>232</v>
      </c>
      <c r="B3" t="s">
        <v>115</v>
      </c>
      <c r="D3" t="s">
        <v>233</v>
      </c>
      <c r="E3" t="s">
        <v>234</v>
      </c>
      <c r="F3" t="s">
        <v>235</v>
      </c>
      <c r="G3" t="s">
        <v>236</v>
      </c>
      <c r="J3" t="s">
        <v>237</v>
      </c>
      <c r="K3">
        <v>1</v>
      </c>
      <c r="P3" s="5"/>
    </row>
    <row r="4" spans="1:23" ht="15" customHeight="1" thickBot="1">
      <c r="A4" s="4"/>
      <c r="B4" t="s">
        <v>115</v>
      </c>
      <c r="D4" t="s">
        <v>238</v>
      </c>
      <c r="E4" t="s">
        <v>239</v>
      </c>
      <c r="F4" t="s">
        <v>240</v>
      </c>
      <c r="G4" t="s">
        <v>236</v>
      </c>
      <c r="J4" t="s">
        <v>237</v>
      </c>
      <c r="K4">
        <v>1</v>
      </c>
      <c r="P4" s="5"/>
      <c r="Q4" s="4"/>
      <c r="R4" s="4"/>
      <c r="S4" s="4"/>
      <c r="T4" s="4"/>
      <c r="U4" s="4"/>
    </row>
    <row r="5" spans="1:23" ht="15" customHeight="1" thickBot="1">
      <c r="B5" t="s">
        <v>115</v>
      </c>
      <c r="D5" t="s">
        <v>241</v>
      </c>
      <c r="E5" t="s">
        <v>185</v>
      </c>
      <c r="G5" t="s">
        <v>242</v>
      </c>
      <c r="J5" t="s">
        <v>231</v>
      </c>
      <c r="K5">
        <v>1</v>
      </c>
      <c r="P5" s="5"/>
    </row>
    <row r="6" spans="1:23" ht="15" customHeight="1" thickBot="1">
      <c r="B6" t="s">
        <v>115</v>
      </c>
      <c r="C6" t="s">
        <v>200</v>
      </c>
      <c r="E6" s="11" t="s">
        <v>243</v>
      </c>
      <c r="P6" s="113"/>
    </row>
    <row r="7" spans="1:23" ht="15" customHeight="1" thickBot="1">
      <c r="B7" t="s">
        <v>115</v>
      </c>
      <c r="C7" t="s">
        <v>200</v>
      </c>
      <c r="D7" t="s">
        <v>244</v>
      </c>
      <c r="E7" t="s">
        <v>120</v>
      </c>
      <c r="G7" t="s">
        <v>245</v>
      </c>
      <c r="K7">
        <v>0</v>
      </c>
      <c r="N7">
        <v>40</v>
      </c>
      <c r="Q7" s="5" t="s">
        <v>246</v>
      </c>
      <c r="R7" s="5" cm="1">
        <f t="array" ref="R7">IF(S7="",_xlfn.IFS(AND(RIGHT($P$5,4)&lt;="1978",$Q$7="Ja"),Daten!$M$65,AND(RIGHT($P$5,4)&gt;"1978",$Q$7="Ja"),Daten!$M$66,$Q$7="Nein",$P$5),S7)</f>
        <v>0</v>
      </c>
      <c r="S7" s="5"/>
      <c r="T7" s="34" cm="1">
        <f t="array" ref="T7">IF(Q7="Ja",IF(U7="",_xlfn.XLOOKUP(1, (UWert_Mod[Bauteil]=E7)*(UWert_Mod[Modernisierungsjahr]=R7), UWert_Mod[d_ins]),U7),0)</f>
        <v>0</v>
      </c>
      <c r="U7" s="34"/>
      <c r="W7" t="str">
        <f>""</f>
        <v/>
      </c>
    </row>
    <row r="8" spans="1:23" ht="15" customHeight="1" thickBot="1">
      <c r="B8" t="s">
        <v>115</v>
      </c>
      <c r="C8" t="s">
        <v>200</v>
      </c>
      <c r="D8" t="s">
        <v>247</v>
      </c>
      <c r="E8" t="s">
        <v>248</v>
      </c>
      <c r="G8" t="s">
        <v>245</v>
      </c>
      <c r="K8">
        <v>0</v>
      </c>
      <c r="Q8" s="5" t="s">
        <v>246</v>
      </c>
      <c r="R8" s="5" cm="1">
        <f t="array" ref="R8">IF($Q$8="Ja",_xlfn.IFS(S8&lt;&gt;"",S8,RIGHT($P$5,4)&lt;="1978",Daten!$M$66,RIGHT($P$5,4)&gt;"1978",U_Werte_IWU!$D$78),$P$5)</f>
        <v>0</v>
      </c>
      <c r="S8" s="5"/>
      <c r="T8" s="5"/>
      <c r="U8" s="5"/>
    </row>
    <row r="9" spans="1:23" ht="15" customHeight="1" thickBot="1">
      <c r="B9" t="s">
        <v>115</v>
      </c>
      <c r="C9" t="s">
        <v>200</v>
      </c>
      <c r="D9" t="s">
        <v>249</v>
      </c>
      <c r="E9" t="s">
        <v>250</v>
      </c>
      <c r="G9" t="s">
        <v>245</v>
      </c>
      <c r="K9">
        <v>0</v>
      </c>
      <c r="N9">
        <v>40</v>
      </c>
      <c r="Q9" s="5" t="s">
        <v>246</v>
      </c>
      <c r="R9" s="5" cm="1">
        <f t="array" ref="R9">IF(S9="",_xlfn.IFS(AND(RIGHT($P$5,4)&lt;="1978",$Q$9="Ja"),Daten!$M$65,AND(RIGHT($P$5,4)&gt;"1978",$Q$9="Ja"),Daten!$M$66,$Q$9="Nein",$P$5),S9)</f>
        <v>0</v>
      </c>
      <c r="S9" s="5"/>
      <c r="T9" s="34" cm="1">
        <f t="array" ref="T9">IF(Q9="Ja",IF(U9="",_xlfn.XLOOKUP(1, (UWert_Mod[Bauteil]=E9)*(UWert_Mod[Modernisierungsjahr]=R9), UWert_Mod[d_ins]),U9),0)</f>
        <v>0</v>
      </c>
      <c r="U9" s="34"/>
    </row>
    <row r="10" spans="1:23" ht="15" customHeight="1" thickBot="1">
      <c r="B10" t="s">
        <v>115</v>
      </c>
      <c r="C10" t="s">
        <v>200</v>
      </c>
      <c r="D10" t="s">
        <v>251</v>
      </c>
      <c r="E10" t="s">
        <v>252</v>
      </c>
      <c r="G10" t="s">
        <v>245</v>
      </c>
      <c r="K10">
        <v>0</v>
      </c>
      <c r="N10">
        <v>40</v>
      </c>
      <c r="Q10" s="5" t="s">
        <v>246</v>
      </c>
      <c r="R10" s="5" cm="1">
        <f t="array" ref="R10">IF(S10="",_xlfn.IFS(AND(RIGHT($P$5,4)&lt;="1978",$Q$10="Ja"),Daten!$M$77,AND(RIGHT($P$5,4)&gt;"1978",$Q$10="Ja"),Daten!$M$78,$Q$10="Nein",$P$5),S10)</f>
        <v>0</v>
      </c>
      <c r="S10" s="5"/>
      <c r="T10" s="34" cm="1">
        <f t="array" ref="T10">IF(Q10="Ja",IF(U10="",_xlfn.XLOOKUP(1, (UWert_Mod[Bauteil]=E10)*(UWert_Mod[Modernisierungsjahr]=R10), UWert_Mod[d_ins]),U10),0)</f>
        <v>0</v>
      </c>
      <c r="U10" s="34"/>
    </row>
    <row r="11" spans="1:23" ht="15" customHeight="1" thickBot="1">
      <c r="B11" t="s">
        <v>115</v>
      </c>
      <c r="C11" t="s">
        <v>200</v>
      </c>
      <c r="D11" t="s">
        <v>253</v>
      </c>
      <c r="E11" t="s">
        <v>254</v>
      </c>
      <c r="F11" t="s">
        <v>255</v>
      </c>
      <c r="G11" t="s">
        <v>245</v>
      </c>
      <c r="K11">
        <v>0</v>
      </c>
      <c r="N11">
        <v>40</v>
      </c>
      <c r="Q11" s="5" t="s">
        <v>246</v>
      </c>
      <c r="R11" s="5" cm="1">
        <f t="array" ref="R11">IF(S11="",_xlfn.IFS(AND(RIGHT($P$5,4)&lt;="1978",$Q$11="Ja"),Daten!$M$65,AND(RIGHT($P$5,4)&gt;"1978",$Q$11="Ja"),Daten!$M$66,$Q$11="Nein",$P$5),S11)</f>
        <v>0</v>
      </c>
      <c r="S11" s="5"/>
      <c r="T11" s="34" cm="1">
        <f t="array" ref="T11">IF(Q11="Ja",IF(U11="",_xlfn.XLOOKUP(1, (UWert_Mod[Bauteil]=E11)*(UWert_Mod[Modernisierungsjahr]=R11), UWert_Mod[d_ins]),U11),0)</f>
        <v>0</v>
      </c>
      <c r="U11" s="34"/>
    </row>
    <row r="12" spans="1:23" ht="15" customHeight="1">
      <c r="B12" t="s">
        <v>115</v>
      </c>
      <c r="D12" t="s">
        <v>256</v>
      </c>
      <c r="E12" t="s">
        <v>257</v>
      </c>
      <c r="F12" s="11" t="s">
        <v>258</v>
      </c>
      <c r="G12" t="s">
        <v>242</v>
      </c>
      <c r="K12">
        <v>0</v>
      </c>
      <c r="O12" t="s">
        <v>259</v>
      </c>
      <c r="P12" s="5" t="str">
        <f>$O$12</f>
        <v>Nicht bekannt</v>
      </c>
    </row>
    <row r="13" spans="1:23" ht="15" customHeight="1" thickBot="1">
      <c r="A13" s="4" t="s">
        <v>260</v>
      </c>
      <c r="B13" t="s">
        <v>115</v>
      </c>
      <c r="D13" t="s">
        <v>261</v>
      </c>
      <c r="E13" t="s">
        <v>262</v>
      </c>
      <c r="G13" t="s">
        <v>263</v>
      </c>
      <c r="K13">
        <v>1</v>
      </c>
      <c r="O13" t="s">
        <v>246</v>
      </c>
      <c r="P13" s="5" t="str">
        <f>$O$13</f>
        <v>Nein</v>
      </c>
      <c r="T13" s="42"/>
    </row>
    <row r="14" spans="1:23" ht="15" customHeight="1" thickBot="1">
      <c r="A14" s="4" t="s">
        <v>264</v>
      </c>
      <c r="B14" t="s">
        <v>115</v>
      </c>
      <c r="D14" t="s">
        <v>265</v>
      </c>
      <c r="E14" t="s">
        <v>266</v>
      </c>
      <c r="F14" t="s">
        <v>267</v>
      </c>
      <c r="G14" t="s">
        <v>236</v>
      </c>
      <c r="K14">
        <v>1</v>
      </c>
      <c r="P14" s="5"/>
    </row>
    <row r="15" spans="1:23" ht="15" customHeight="1" thickBot="1">
      <c r="B15" t="s">
        <v>115</v>
      </c>
      <c r="D15" t="s">
        <v>268</v>
      </c>
      <c r="E15" t="s">
        <v>269</v>
      </c>
      <c r="F15" t="s">
        <v>270</v>
      </c>
      <c r="G15" t="s">
        <v>271</v>
      </c>
      <c r="H15" t="s">
        <v>272</v>
      </c>
      <c r="K15">
        <v>1</v>
      </c>
      <c r="P15" s="5"/>
    </row>
    <row r="16" spans="1:23" ht="15" customHeight="1" thickBot="1">
      <c r="B16" t="s">
        <v>115</v>
      </c>
      <c r="D16" t="s">
        <v>273</v>
      </c>
      <c r="E16" s="11" t="s">
        <v>274</v>
      </c>
      <c r="F16" s="127" t="s">
        <v>275</v>
      </c>
      <c r="G16" t="s">
        <v>263</v>
      </c>
      <c r="H16" t="s">
        <v>276</v>
      </c>
      <c r="J16" t="s">
        <v>277</v>
      </c>
      <c r="K16">
        <v>1</v>
      </c>
      <c r="O16" t="s">
        <v>246</v>
      </c>
      <c r="P16" s="5" t="str">
        <f>$O$16</f>
        <v>Nein</v>
      </c>
    </row>
    <row r="17" spans="2:16" ht="15" customHeight="1" thickBot="1">
      <c r="B17" t="s">
        <v>115</v>
      </c>
      <c r="D17" t="s">
        <v>278</v>
      </c>
      <c r="E17" t="s">
        <v>279</v>
      </c>
      <c r="G17" t="s">
        <v>230</v>
      </c>
      <c r="H17" t="s">
        <v>273</v>
      </c>
      <c r="I17" t="s">
        <v>26</v>
      </c>
      <c r="J17" t="s">
        <v>231</v>
      </c>
      <c r="K17">
        <v>1</v>
      </c>
      <c r="M17">
        <v>30</v>
      </c>
      <c r="N17">
        <v>90</v>
      </c>
      <c r="P17" s="5"/>
    </row>
    <row r="18" spans="2:16" ht="15" customHeight="1" thickBot="1">
      <c r="B18" t="s">
        <v>115</v>
      </c>
      <c r="D18" t="s">
        <v>280</v>
      </c>
      <c r="E18" s="11" t="s">
        <v>281</v>
      </c>
      <c r="F18" s="127" t="s">
        <v>282</v>
      </c>
      <c r="G18" t="s">
        <v>263</v>
      </c>
      <c r="H18" t="s">
        <v>283</v>
      </c>
      <c r="K18">
        <v>1</v>
      </c>
      <c r="O18" t="s">
        <v>246</v>
      </c>
      <c r="P18" s="5" t="str">
        <f>$O$18</f>
        <v>Nein</v>
      </c>
    </row>
    <row r="19" spans="2:16" ht="15" customHeight="1" thickBot="1">
      <c r="B19" t="s">
        <v>115</v>
      </c>
      <c r="D19" t="s">
        <v>284</v>
      </c>
      <c r="E19" t="s">
        <v>285</v>
      </c>
      <c r="G19" t="s">
        <v>230</v>
      </c>
      <c r="H19" t="s">
        <v>280</v>
      </c>
      <c r="I19" t="s">
        <v>26</v>
      </c>
      <c r="J19" t="s">
        <v>231</v>
      </c>
      <c r="K19">
        <v>1</v>
      </c>
      <c r="M19">
        <v>30</v>
      </c>
      <c r="N19">
        <v>90</v>
      </c>
      <c r="P19" s="5"/>
    </row>
    <row r="20" spans="2:16" ht="15" customHeight="1" thickBot="1">
      <c r="B20" t="s">
        <v>115</v>
      </c>
      <c r="D20" t="s">
        <v>286</v>
      </c>
      <c r="E20" t="s">
        <v>287</v>
      </c>
      <c r="G20" t="s">
        <v>230</v>
      </c>
      <c r="H20" t="s">
        <v>280</v>
      </c>
      <c r="I20" t="s">
        <v>26</v>
      </c>
      <c r="J20" t="s">
        <v>231</v>
      </c>
      <c r="K20">
        <v>1</v>
      </c>
      <c r="M20">
        <v>-20</v>
      </c>
      <c r="N20">
        <v>5</v>
      </c>
      <c r="P20" s="5"/>
    </row>
    <row r="21" spans="2:16" ht="15" customHeight="1">
      <c r="B21" t="s">
        <v>115</v>
      </c>
      <c r="D21" t="s">
        <v>288</v>
      </c>
      <c r="H21" t="s">
        <v>280</v>
      </c>
      <c r="I21" t="s">
        <v>26</v>
      </c>
      <c r="J21" t="s">
        <v>231</v>
      </c>
      <c r="P21" s="70">
        <f>P20*-1.8257+43.457+P20</f>
        <v>43.457000000000001</v>
      </c>
    </row>
    <row r="22" spans="2:16" ht="15" customHeight="1">
      <c r="D22" t="s">
        <v>289</v>
      </c>
      <c r="H22" t="s">
        <v>280</v>
      </c>
      <c r="J22" t="s">
        <v>277</v>
      </c>
      <c r="P22" t="b">
        <f>IF(P16="Ja",P17&lt;=55,IF(P18="Ja",P19&lt;P21,FALSE))</f>
        <v>0</v>
      </c>
    </row>
    <row r="23" spans="2:16" ht="15" customHeight="1"/>
    <row r="24" spans="2:16" ht="15" customHeight="1"/>
    <row r="25" spans="2:16" ht="15" customHeight="1">
      <c r="B25" s="6"/>
    </row>
    <row r="26" spans="2:16" ht="15" customHeight="1">
      <c r="B26" s="6"/>
    </row>
    <row r="27" spans="2:16" ht="15" customHeight="1"/>
  </sheetData>
  <pageMargins left="0.7" right="0.7" top="0.78740157499999996" bottom="0.78740157499999996"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BBAF67C0-B08A-417A-826C-129D8EAB2C17}">
          <x14:formula1>
            <xm:f>Daten!$B$19:$B$25</xm:f>
          </x14:formula1>
          <xm:sqref>S7 S9:S11</xm:sqref>
        </x14:dataValidation>
        <x14:dataValidation type="list" allowBlank="1" showInputMessage="1" showErrorMessage="1" xr:uid="{D8144694-DE53-4DB3-9D5E-D595485C6964}">
          <x14:formula1>
            <xm:f>Daten!$E$10:$E$12</xm:f>
          </x14:formula1>
          <xm:sqref>P3</xm:sqref>
        </x14:dataValidation>
        <x14:dataValidation type="list" allowBlank="1" showInputMessage="1" showErrorMessage="1" xr:uid="{A93DE088-0DF8-4425-A84E-EC95F677B4A0}">
          <x14:formula1>
            <xm:f>Daten!$E$18:$E$29</xm:f>
          </x14:formula1>
          <xm:sqref>P5</xm:sqref>
        </x14:dataValidation>
        <x14:dataValidation type="list" allowBlank="1" showInputMessage="1" showErrorMessage="1" xr:uid="{249F9D2D-9FFB-4F7E-95DF-39B5A25CD3EF}">
          <x14:formula1>
            <xm:f>Daten!$E$31:$E$40</xm:f>
          </x14:formula1>
          <xm:sqref>P12</xm:sqref>
        </x14:dataValidation>
        <x14:dataValidation type="list" allowBlank="1" showInputMessage="1" showErrorMessage="1" xr:uid="{11190550-65A8-48C9-9812-A5B5ADC6BD10}">
          <x14:formula1>
            <xm:f>Daten!$E$66:$E$67</xm:f>
          </x14:formula1>
          <xm:sqref>P13 Q7:Q11 P16 P18</xm:sqref>
        </x14:dataValidation>
        <x14:dataValidation type="list" allowBlank="1" showInputMessage="1" showErrorMessage="1" xr:uid="{7756BE3D-B9E2-4D81-99C3-670BD2F6E2E6}">
          <x14:formula1>
            <xm:f>Daten!$E$57:$E$61</xm:f>
          </x14:formula1>
          <xm:sqref>P14</xm:sqref>
        </x14:dataValidation>
        <x14:dataValidation type="list" allowBlank="1" showInputMessage="1" showErrorMessage="1" xr:uid="{DD1E6244-88A9-4414-8F6A-CAA4AADA4A15}">
          <x14:formula1>
            <xm:f>Daten!$E$70:$E$71</xm:f>
          </x14:formula1>
          <xm:sqref>P15</xm:sqref>
        </x14:dataValidation>
        <x14:dataValidation type="list" allowBlank="1" showInputMessage="1" showErrorMessage="1" xr:uid="{0F6FD11F-8037-49EB-A66A-163BFFFF18C0}">
          <x14:formula1>
            <xm:f>Daten!$B$10:$B$13</xm:f>
          </x14:formula1>
          <xm:sqref>P4</xm:sqref>
        </x14:dataValidation>
        <x14:dataValidation type="list" allowBlank="1" showInputMessage="1" showErrorMessage="1" xr:uid="{6D3049E2-C40C-4609-B13A-5CD1FC571F51}">
          <x14:formula1>
            <xm:f>Daten!$E$17:$E$29</xm:f>
          </x14:formula1>
          <xm:sqref>S8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2E64-CE98-4370-90F3-9CC89BDCD725}">
  <sheetPr>
    <tabColor theme="7"/>
  </sheetPr>
  <dimension ref="A1:AG87"/>
  <sheetViews>
    <sheetView topLeftCell="B1" zoomScaleNormal="100" workbookViewId="0">
      <pane ySplit="1" topLeftCell="A2" activePane="bottomLeft" state="frozen"/>
      <selection pane="bottomLeft" activeCell="B2" sqref="B2"/>
      <selection activeCell="I31" sqref="I31"/>
    </sheetView>
  </sheetViews>
  <sheetFormatPr defaultColWidth="11.42578125" defaultRowHeight="15"/>
  <cols>
    <col min="1" max="1" width="3.85546875" hidden="1" customWidth="1"/>
    <col min="2" max="2" width="20.140625" customWidth="1"/>
    <col min="3" max="3" width="18.5703125" hidden="1" customWidth="1"/>
    <col min="4" max="4" width="10.42578125" customWidth="1"/>
    <col min="5" max="5" width="12.85546875" customWidth="1"/>
    <col min="6" max="6" width="25" customWidth="1"/>
    <col min="7" max="7" width="53.42578125" style="11" customWidth="1"/>
    <col min="8" max="8" width="43.42578125" customWidth="1"/>
    <col min="9" max="9" width="13.7109375" customWidth="1"/>
    <col min="10" max="10" width="16.28515625" customWidth="1"/>
    <col min="11" max="14" width="11.42578125" customWidth="1"/>
    <col min="15" max="17" width="16.5703125" customWidth="1"/>
    <col min="18" max="32" width="14.28515625" customWidth="1"/>
  </cols>
  <sheetData>
    <row r="1" spans="2:32" ht="15.75" thickBot="1">
      <c r="B1" s="71" t="s">
        <v>290</v>
      </c>
      <c r="C1" s="71" t="s">
        <v>291</v>
      </c>
      <c r="D1" s="71" t="s">
        <v>210</v>
      </c>
      <c r="E1" s="71" t="s">
        <v>211</v>
      </c>
      <c r="F1" s="71" t="s">
        <v>212</v>
      </c>
      <c r="G1" s="126" t="s">
        <v>213</v>
      </c>
      <c r="H1" s="71" t="s">
        <v>214</v>
      </c>
      <c r="I1" s="71" t="s">
        <v>215</v>
      </c>
      <c r="J1" s="71" t="s">
        <v>216</v>
      </c>
      <c r="K1" s="71" t="s">
        <v>54</v>
      </c>
      <c r="L1" s="71" t="s">
        <v>217</v>
      </c>
      <c r="M1" s="71" t="s">
        <v>218</v>
      </c>
      <c r="N1" s="71" t="s">
        <v>219</v>
      </c>
      <c r="O1" s="71" t="s">
        <v>220</v>
      </c>
      <c r="P1" s="71" t="s">
        <v>221</v>
      </c>
      <c r="Q1" s="71" t="s">
        <v>222</v>
      </c>
      <c r="R1" s="6" t="s">
        <v>292</v>
      </c>
      <c r="S1" s="6" t="s">
        <v>292</v>
      </c>
      <c r="T1" s="6" t="s">
        <v>292</v>
      </c>
      <c r="U1" s="6" t="s">
        <v>292</v>
      </c>
      <c r="V1" s="6" t="s">
        <v>292</v>
      </c>
      <c r="W1" s="6" t="s">
        <v>292</v>
      </c>
      <c r="X1" s="6" t="s">
        <v>292</v>
      </c>
      <c r="Y1" s="6" t="s">
        <v>292</v>
      </c>
      <c r="Z1" s="6" t="s">
        <v>292</v>
      </c>
      <c r="AA1" s="6" t="s">
        <v>292</v>
      </c>
      <c r="AB1" s="6" t="s">
        <v>292</v>
      </c>
      <c r="AC1" s="6" t="s">
        <v>292</v>
      </c>
      <c r="AD1" s="6" t="s">
        <v>292</v>
      </c>
      <c r="AE1" s="6" t="s">
        <v>292</v>
      </c>
      <c r="AF1" s="6" t="s">
        <v>292</v>
      </c>
    </row>
    <row r="2" spans="2:32">
      <c r="F2" t="s">
        <v>293</v>
      </c>
      <c r="I2" t="s">
        <v>294</v>
      </c>
      <c r="L2" t="s">
        <v>237</v>
      </c>
      <c r="R2" s="14">
        <v>1</v>
      </c>
      <c r="S2" s="14">
        <v>2</v>
      </c>
      <c r="T2" s="14">
        <v>3</v>
      </c>
      <c r="U2" s="14">
        <v>4</v>
      </c>
      <c r="V2" s="14">
        <v>5</v>
      </c>
      <c r="W2" s="14">
        <v>6</v>
      </c>
      <c r="X2" s="14">
        <v>7</v>
      </c>
      <c r="Y2" s="14">
        <v>8</v>
      </c>
      <c r="Z2" s="14">
        <v>9</v>
      </c>
      <c r="AA2" s="14">
        <v>10</v>
      </c>
      <c r="AB2" s="14">
        <v>11</v>
      </c>
      <c r="AC2" s="14">
        <v>12</v>
      </c>
      <c r="AD2" s="14">
        <v>13</v>
      </c>
      <c r="AE2" s="14">
        <v>14</v>
      </c>
      <c r="AF2" s="14">
        <v>15</v>
      </c>
    </row>
    <row r="3" spans="2:32">
      <c r="F3" t="s">
        <v>295</v>
      </c>
      <c r="G3" s="11" t="s">
        <v>296</v>
      </c>
      <c r="I3" t="s">
        <v>297</v>
      </c>
      <c r="L3" t="s">
        <v>237</v>
      </c>
      <c r="R3" s="144"/>
      <c r="S3" s="144"/>
      <c r="T3" s="144"/>
      <c r="U3" s="144"/>
      <c r="V3" s="144"/>
      <c r="W3" s="144"/>
      <c r="X3" s="144"/>
      <c r="Y3" s="144"/>
      <c r="Z3" s="144"/>
      <c r="AA3" s="144"/>
      <c r="AB3" s="144" t="str">
        <f>""</f>
        <v/>
      </c>
      <c r="AC3" s="144" t="str">
        <f>""</f>
        <v/>
      </c>
      <c r="AD3" s="144" t="str">
        <f>""</f>
        <v/>
      </c>
      <c r="AE3" s="144" t="str">
        <f>""</f>
        <v/>
      </c>
      <c r="AF3" s="144" t="str">
        <f>""</f>
        <v/>
      </c>
    </row>
    <row r="4" spans="2:32">
      <c r="F4" t="s">
        <v>298</v>
      </c>
      <c r="G4" s="11" t="s">
        <v>299</v>
      </c>
      <c r="H4" t="s">
        <v>300</v>
      </c>
      <c r="I4" t="s">
        <v>301</v>
      </c>
      <c r="K4" t="s">
        <v>58</v>
      </c>
      <c r="L4" t="s">
        <v>302</v>
      </c>
      <c r="M4">
        <v>1</v>
      </c>
      <c r="N4">
        <v>1</v>
      </c>
      <c r="O4" s="42">
        <v>1</v>
      </c>
      <c r="P4" s="42">
        <v>100</v>
      </c>
      <c r="Q4" s="42"/>
      <c r="R4" s="14"/>
      <c r="S4" s="14"/>
      <c r="T4" s="125"/>
      <c r="U4" s="125"/>
      <c r="V4" s="125"/>
      <c r="W4" s="125"/>
      <c r="X4" s="125"/>
      <c r="Y4" s="125"/>
      <c r="Z4" s="125"/>
      <c r="AA4" s="125"/>
      <c r="AB4" s="125"/>
      <c r="AC4" s="125"/>
      <c r="AD4" s="125"/>
      <c r="AE4" s="125"/>
      <c r="AF4" s="125"/>
    </row>
    <row r="5" spans="2:32">
      <c r="F5" t="s">
        <v>303</v>
      </c>
      <c r="G5" s="11" t="s">
        <v>304</v>
      </c>
      <c r="I5" t="s">
        <v>305</v>
      </c>
      <c r="K5" t="s">
        <v>33</v>
      </c>
      <c r="L5" t="s">
        <v>302</v>
      </c>
      <c r="M5">
        <v>1</v>
      </c>
      <c r="N5">
        <v>2</v>
      </c>
      <c r="O5" s="42">
        <v>1</v>
      </c>
      <c r="P5" s="42">
        <v>5</v>
      </c>
      <c r="Q5" s="42">
        <v>2.5</v>
      </c>
      <c r="R5" s="14"/>
      <c r="S5" s="14"/>
      <c r="T5" s="14"/>
      <c r="U5" s="14"/>
      <c r="V5" s="14"/>
      <c r="W5" s="14"/>
      <c r="X5" s="14"/>
      <c r="Y5" s="14"/>
      <c r="Z5" s="14"/>
      <c r="AA5" s="14"/>
      <c r="AB5" s="14"/>
      <c r="AC5" s="14"/>
      <c r="AD5" s="14"/>
      <c r="AE5" s="14"/>
      <c r="AF5" s="14"/>
    </row>
    <row r="6" spans="2:32" s="35" customFormat="1" ht="18.75" customHeight="1" thickBot="1">
      <c r="F6" s="35" t="s">
        <v>306</v>
      </c>
      <c r="G6" s="133" t="s">
        <v>307</v>
      </c>
      <c r="H6" s="133" t="s">
        <v>308</v>
      </c>
      <c r="I6" s="35" t="s">
        <v>305</v>
      </c>
      <c r="K6" s="35" t="s">
        <v>26</v>
      </c>
      <c r="L6" s="35" t="s">
        <v>231</v>
      </c>
      <c r="N6" s="35">
        <v>0</v>
      </c>
      <c r="O6" s="134">
        <v>10</v>
      </c>
      <c r="P6" s="134">
        <v>30</v>
      </c>
      <c r="Q6" s="134">
        <v>20</v>
      </c>
      <c r="R6" s="135"/>
      <c r="S6" s="135"/>
      <c r="T6" s="135"/>
      <c r="U6" s="135"/>
      <c r="V6" s="135"/>
      <c r="W6" s="135"/>
      <c r="X6" s="135"/>
      <c r="Y6" s="135"/>
      <c r="Z6" s="135"/>
      <c r="AA6" s="135"/>
      <c r="AB6" s="135"/>
      <c r="AC6" s="135"/>
      <c r="AD6" s="135"/>
      <c r="AE6" s="135"/>
      <c r="AF6" s="135"/>
    </row>
    <row r="7" spans="2:32">
      <c r="B7" t="s">
        <v>254</v>
      </c>
      <c r="D7" t="s">
        <v>133</v>
      </c>
      <c r="F7" t="s">
        <v>309</v>
      </c>
      <c r="G7" s="11" t="s">
        <v>310</v>
      </c>
      <c r="H7" t="s">
        <v>311</v>
      </c>
      <c r="I7" t="s">
        <v>242</v>
      </c>
      <c r="J7" t="s">
        <v>312</v>
      </c>
      <c r="L7" t="s">
        <v>237</v>
      </c>
      <c r="M7">
        <v>1</v>
      </c>
      <c r="O7" s="42"/>
      <c r="P7" s="42"/>
      <c r="Q7" s="42" t="s">
        <v>313</v>
      </c>
      <c r="R7" s="131"/>
      <c r="S7" s="131"/>
      <c r="T7" s="131"/>
      <c r="U7" s="131"/>
      <c r="V7" s="131"/>
      <c r="W7" s="131"/>
      <c r="X7" s="131"/>
      <c r="Y7" s="131"/>
      <c r="Z7" s="131"/>
      <c r="AA7" s="131"/>
      <c r="AB7" s="131"/>
      <c r="AC7" s="131"/>
      <c r="AD7" s="131"/>
      <c r="AE7" s="131"/>
      <c r="AF7" s="131"/>
    </row>
    <row r="8" spans="2:32" s="35" customFormat="1" ht="15.75" thickBot="1">
      <c r="B8" s="35" t="s">
        <v>252</v>
      </c>
      <c r="D8" s="35" t="s">
        <v>135</v>
      </c>
      <c r="F8" s="35" t="s">
        <v>314</v>
      </c>
      <c r="G8" s="133" t="s">
        <v>315</v>
      </c>
      <c r="I8" s="35" t="s">
        <v>242</v>
      </c>
      <c r="L8" s="35" t="s">
        <v>237</v>
      </c>
      <c r="M8" s="35">
        <v>1</v>
      </c>
      <c r="Q8" s="35" t="s">
        <v>313</v>
      </c>
      <c r="R8" s="135"/>
      <c r="S8" s="135"/>
      <c r="T8" s="135"/>
      <c r="U8" s="135"/>
      <c r="V8" s="135"/>
      <c r="W8" s="135"/>
      <c r="X8" s="135"/>
      <c r="Y8" s="135"/>
      <c r="Z8" s="135"/>
      <c r="AA8" s="135"/>
      <c r="AB8" s="135"/>
      <c r="AC8" s="135"/>
      <c r="AD8" s="135"/>
      <c r="AE8" s="135"/>
      <c r="AF8" s="135"/>
    </row>
    <row r="9" spans="2:32" ht="16.5" customHeight="1">
      <c r="B9" t="s">
        <v>120</v>
      </c>
      <c r="D9" t="s">
        <v>119</v>
      </c>
      <c r="F9" s="42" t="s">
        <v>316</v>
      </c>
      <c r="G9" s="11" t="s">
        <v>317</v>
      </c>
      <c r="H9" s="11" t="s">
        <v>318</v>
      </c>
      <c r="I9" t="s">
        <v>305</v>
      </c>
      <c r="K9" t="s">
        <v>33</v>
      </c>
      <c r="L9" t="s">
        <v>302</v>
      </c>
      <c r="M9">
        <v>1</v>
      </c>
      <c r="N9">
        <v>2</v>
      </c>
      <c r="O9">
        <v>0</v>
      </c>
      <c r="P9" s="42">
        <v>20</v>
      </c>
      <c r="Q9" s="42"/>
      <c r="R9" s="131"/>
      <c r="S9" s="131"/>
      <c r="T9" s="131"/>
      <c r="U9" s="131"/>
      <c r="V9" s="131"/>
      <c r="W9" s="131"/>
      <c r="X9" s="131"/>
      <c r="Y9" s="131"/>
      <c r="Z9" s="131"/>
      <c r="AA9" s="131"/>
      <c r="AB9" s="131"/>
      <c r="AC9" s="131"/>
      <c r="AD9" s="131"/>
      <c r="AE9" s="131"/>
      <c r="AF9" s="131"/>
    </row>
    <row r="10" spans="2:32">
      <c r="D10" t="s">
        <v>119</v>
      </c>
      <c r="F10" s="42" t="s">
        <v>319</v>
      </c>
      <c r="G10" s="11" t="s">
        <v>320</v>
      </c>
      <c r="I10" t="s">
        <v>242</v>
      </c>
      <c r="L10" t="s">
        <v>231</v>
      </c>
      <c r="M10">
        <v>0</v>
      </c>
      <c r="N10">
        <v>0</v>
      </c>
      <c r="O10" s="42"/>
      <c r="P10" s="42"/>
      <c r="Q10" s="42"/>
      <c r="R10" s="14"/>
      <c r="S10" s="14"/>
      <c r="T10" s="14"/>
      <c r="U10" s="14"/>
      <c r="V10" s="14"/>
      <c r="W10" s="14"/>
      <c r="X10" s="14"/>
      <c r="Y10" s="14"/>
      <c r="Z10" s="14"/>
      <c r="AA10" s="14"/>
      <c r="AB10" s="14"/>
      <c r="AC10" s="14"/>
      <c r="AD10" s="14"/>
      <c r="AE10" s="14"/>
      <c r="AF10" s="14"/>
    </row>
    <row r="11" spans="2:32" s="35" customFormat="1" ht="15.75" thickBot="1">
      <c r="B11" s="35" t="s">
        <v>120</v>
      </c>
      <c r="D11" s="35" t="s">
        <v>119</v>
      </c>
      <c r="F11" s="35" t="s">
        <v>321</v>
      </c>
      <c r="G11" s="133" t="s">
        <v>322</v>
      </c>
      <c r="H11" s="35" t="s">
        <v>323</v>
      </c>
      <c r="I11" s="35" t="s">
        <v>301</v>
      </c>
      <c r="J11" s="35" t="s">
        <v>324</v>
      </c>
      <c r="K11" s="35" t="s">
        <v>325</v>
      </c>
      <c r="L11" s="35" t="s">
        <v>302</v>
      </c>
      <c r="N11" s="35">
        <v>2</v>
      </c>
      <c r="O11" s="134">
        <v>0</v>
      </c>
      <c r="P11" s="134">
        <v>50</v>
      </c>
      <c r="Q11" s="134"/>
      <c r="R11" s="135"/>
      <c r="S11" s="135"/>
      <c r="T11" s="135"/>
      <c r="U11" s="135"/>
      <c r="V11" s="135"/>
      <c r="W11" s="135"/>
      <c r="X11" s="135"/>
      <c r="Y11" s="135"/>
      <c r="Z11" s="135"/>
      <c r="AA11" s="135"/>
      <c r="AB11" s="135"/>
      <c r="AC11" s="135"/>
      <c r="AD11" s="135"/>
      <c r="AE11" s="135"/>
      <c r="AF11" s="135"/>
    </row>
    <row r="12" spans="2:32" s="35" customFormat="1" ht="15.75" thickBot="1">
      <c r="B12" s="35" t="s">
        <v>326</v>
      </c>
      <c r="D12" s="35" t="s">
        <v>327</v>
      </c>
      <c r="F12" s="35" t="s">
        <v>328</v>
      </c>
      <c r="G12" s="133"/>
      <c r="O12" s="134"/>
      <c r="P12" s="134"/>
      <c r="Q12" s="35" t="s">
        <v>329</v>
      </c>
      <c r="R12" s="136"/>
      <c r="S12" s="136"/>
      <c r="T12" s="136"/>
      <c r="U12" s="136"/>
      <c r="V12" s="136"/>
      <c r="W12" s="136"/>
      <c r="X12" s="136"/>
      <c r="Y12" s="136"/>
      <c r="Z12" s="136"/>
      <c r="AA12" s="136"/>
      <c r="AB12" s="136"/>
      <c r="AC12" s="136"/>
      <c r="AD12" s="136"/>
      <c r="AE12" s="136"/>
      <c r="AF12" s="136"/>
    </row>
    <row r="13" spans="2:32">
      <c r="B13" t="s">
        <v>330</v>
      </c>
      <c r="D13" t="s">
        <v>119</v>
      </c>
      <c r="E13" t="s">
        <v>331</v>
      </c>
      <c r="F13" t="str">
        <f>"L_"&amp;D13&amp;"_"&amp;E13&amp;"_wid"</f>
        <v>L_wall_win1_wid</v>
      </c>
      <c r="G13" s="11" t="s">
        <v>332</v>
      </c>
      <c r="H13" t="s">
        <v>333</v>
      </c>
      <c r="I13" t="s">
        <v>301</v>
      </c>
      <c r="K13" t="s">
        <v>33</v>
      </c>
      <c r="L13" t="s">
        <v>302</v>
      </c>
      <c r="M13">
        <v>0</v>
      </c>
      <c r="N13">
        <v>0</v>
      </c>
      <c r="O13">
        <v>0.2</v>
      </c>
      <c r="P13">
        <v>4</v>
      </c>
      <c r="R13" s="131"/>
      <c r="S13" s="131"/>
      <c r="T13" s="131"/>
      <c r="U13" s="131"/>
      <c r="V13" s="131"/>
      <c r="W13" s="131"/>
      <c r="X13" s="131"/>
      <c r="Y13" s="131"/>
      <c r="Z13" s="131"/>
      <c r="AA13" s="131"/>
      <c r="AB13" s="131"/>
      <c r="AC13" s="131"/>
      <c r="AD13" s="131"/>
      <c r="AE13" s="131"/>
      <c r="AF13" s="131"/>
    </row>
    <row r="14" spans="2:32">
      <c r="B14" t="s">
        <v>330</v>
      </c>
      <c r="D14" t="s">
        <v>119</v>
      </c>
      <c r="E14" t="s">
        <v>331</v>
      </c>
      <c r="F14" t="str">
        <f>"L_"&amp;D14&amp;"_"&amp;E14&amp;"_hei"</f>
        <v>L_wall_win1_hei</v>
      </c>
      <c r="G14" s="11" t="s">
        <v>177</v>
      </c>
      <c r="I14" t="s">
        <v>301</v>
      </c>
      <c r="K14" t="s">
        <v>33</v>
      </c>
      <c r="L14" t="s">
        <v>302</v>
      </c>
      <c r="M14">
        <v>0</v>
      </c>
      <c r="N14">
        <v>0</v>
      </c>
      <c r="O14">
        <v>0.2</v>
      </c>
      <c r="P14">
        <v>2.5</v>
      </c>
      <c r="R14" s="14"/>
      <c r="S14" s="14"/>
      <c r="T14" s="14"/>
      <c r="U14" s="14"/>
      <c r="V14" s="14"/>
      <c r="W14" s="14"/>
      <c r="X14" s="14"/>
      <c r="Y14" s="14"/>
      <c r="Z14" s="14"/>
      <c r="AA14" s="14"/>
      <c r="AB14" s="14"/>
      <c r="AC14" s="14"/>
      <c r="AD14" s="14"/>
      <c r="AE14" s="14"/>
      <c r="AF14" s="14"/>
    </row>
    <row r="15" spans="2:32">
      <c r="B15" t="s">
        <v>330</v>
      </c>
      <c r="D15" t="s">
        <v>119</v>
      </c>
      <c r="E15" t="s">
        <v>331</v>
      </c>
      <c r="F15" t="str">
        <f>"YEAR_"&amp;D15&amp;"_"&amp;E15</f>
        <v>YEAR_wall_win1</v>
      </c>
      <c r="G15" s="11" t="s">
        <v>185</v>
      </c>
      <c r="I15" t="s">
        <v>242</v>
      </c>
      <c r="L15" t="s">
        <v>231</v>
      </c>
      <c r="M15">
        <v>0</v>
      </c>
      <c r="R15" s="14"/>
      <c r="S15" s="14"/>
      <c r="T15" s="14"/>
      <c r="U15" s="14"/>
      <c r="V15" s="14"/>
      <c r="W15" s="14"/>
      <c r="X15" s="14"/>
      <c r="Y15" s="14"/>
      <c r="Z15" s="14"/>
      <c r="AA15" s="14"/>
      <c r="AB15" s="14"/>
      <c r="AC15" s="14"/>
      <c r="AD15" s="14"/>
      <c r="AE15" s="14"/>
      <c r="AF15" s="14"/>
    </row>
    <row r="16" spans="2:32" s="35" customFormat="1" ht="15.75" thickBot="1">
      <c r="B16" s="35" t="s">
        <v>330</v>
      </c>
      <c r="D16" s="35" t="s">
        <v>119</v>
      </c>
      <c r="E16" s="35" t="s">
        <v>331</v>
      </c>
      <c r="F16" s="35" t="str">
        <f>"NO_"&amp;D16&amp;"_"&amp;E16</f>
        <v>NO_wall_win1</v>
      </c>
      <c r="G16" s="133" t="s">
        <v>334</v>
      </c>
      <c r="H16" s="35" t="s">
        <v>335</v>
      </c>
      <c r="I16" s="35" t="s">
        <v>301</v>
      </c>
      <c r="L16" s="35" t="s">
        <v>231</v>
      </c>
      <c r="M16" s="35">
        <v>0</v>
      </c>
      <c r="N16" s="35">
        <v>0</v>
      </c>
      <c r="O16" s="35">
        <v>0</v>
      </c>
      <c r="P16" s="35">
        <v>10</v>
      </c>
      <c r="Q16" s="35">
        <v>1</v>
      </c>
      <c r="R16" s="135"/>
      <c r="S16" s="135"/>
      <c r="T16" s="135"/>
      <c r="U16" s="135"/>
      <c r="V16" s="135"/>
      <c r="W16" s="135"/>
      <c r="X16" s="135"/>
      <c r="Y16" s="135"/>
      <c r="Z16" s="135"/>
      <c r="AA16" s="135"/>
      <c r="AB16" s="135"/>
      <c r="AC16" s="135"/>
      <c r="AD16" s="135"/>
      <c r="AE16" s="135"/>
      <c r="AF16" s="135"/>
    </row>
    <row r="17" spans="2:32">
      <c r="B17" t="s">
        <v>336</v>
      </c>
      <c r="D17" t="s">
        <v>119</v>
      </c>
      <c r="E17" t="s">
        <v>337</v>
      </c>
      <c r="F17" t="str">
        <f>"L_"&amp;D17&amp;"_"&amp;E17&amp;"_wid"</f>
        <v>L_wall_win2_wid</v>
      </c>
      <c r="G17" s="11" t="s">
        <v>332</v>
      </c>
      <c r="I17" t="s">
        <v>301</v>
      </c>
      <c r="K17" t="s">
        <v>33</v>
      </c>
      <c r="L17" t="s">
        <v>302</v>
      </c>
      <c r="M17">
        <v>1</v>
      </c>
      <c r="N17">
        <v>0</v>
      </c>
      <c r="O17">
        <v>0.2</v>
      </c>
      <c r="P17">
        <v>4</v>
      </c>
      <c r="R17" s="131"/>
      <c r="S17" s="131"/>
      <c r="T17" s="131"/>
      <c r="U17" s="131"/>
      <c r="V17" s="131"/>
      <c r="W17" s="131"/>
      <c r="X17" s="131"/>
      <c r="Y17" s="131"/>
      <c r="Z17" s="131"/>
      <c r="AA17" s="131"/>
      <c r="AB17" s="131"/>
      <c r="AC17" s="131"/>
      <c r="AD17" s="131"/>
      <c r="AE17" s="131"/>
      <c r="AF17" s="131"/>
    </row>
    <row r="18" spans="2:32">
      <c r="B18" t="s">
        <v>336</v>
      </c>
      <c r="D18" t="s">
        <v>119</v>
      </c>
      <c r="E18" t="s">
        <v>337</v>
      </c>
      <c r="F18" t="str">
        <f>"L_"&amp;D18&amp;"_"&amp;E18&amp;"_hei"</f>
        <v>L_wall_win2_hei</v>
      </c>
      <c r="G18" s="11" t="s">
        <v>177</v>
      </c>
      <c r="I18" t="s">
        <v>301</v>
      </c>
      <c r="K18" t="s">
        <v>33</v>
      </c>
      <c r="L18" t="s">
        <v>302</v>
      </c>
      <c r="M18">
        <v>1</v>
      </c>
      <c r="N18">
        <v>0</v>
      </c>
      <c r="O18">
        <v>0.2</v>
      </c>
      <c r="P18">
        <v>2.5</v>
      </c>
      <c r="R18" s="14"/>
      <c r="S18" s="14"/>
      <c r="T18" s="14"/>
      <c r="U18" s="14"/>
      <c r="V18" s="14"/>
      <c r="W18" s="14"/>
      <c r="X18" s="14"/>
      <c r="Y18" s="14"/>
      <c r="Z18" s="14"/>
      <c r="AA18" s="14"/>
      <c r="AB18" s="14"/>
      <c r="AC18" s="14"/>
      <c r="AD18" s="14"/>
      <c r="AE18" s="14"/>
      <c r="AF18" s="14"/>
    </row>
    <row r="19" spans="2:32">
      <c r="B19" t="s">
        <v>336</v>
      </c>
      <c r="D19" t="s">
        <v>119</v>
      </c>
      <c r="E19" t="s">
        <v>337</v>
      </c>
      <c r="F19" t="str">
        <f>"YEAR_"&amp;D19&amp;"_"&amp;E19</f>
        <v>YEAR_wall_win2</v>
      </c>
      <c r="G19" s="11" t="s">
        <v>185</v>
      </c>
      <c r="I19" t="s">
        <v>242</v>
      </c>
      <c r="L19" t="s">
        <v>231</v>
      </c>
      <c r="M19">
        <v>0</v>
      </c>
      <c r="R19" s="14"/>
      <c r="S19" s="14"/>
      <c r="T19" s="14"/>
      <c r="U19" s="14"/>
      <c r="V19" s="14"/>
      <c r="W19" s="14"/>
      <c r="X19" s="14"/>
      <c r="Y19" s="14"/>
      <c r="Z19" s="14"/>
      <c r="AA19" s="14"/>
      <c r="AB19" s="14"/>
      <c r="AC19" s="14"/>
      <c r="AD19" s="14"/>
      <c r="AE19" s="14"/>
      <c r="AF19" s="14"/>
    </row>
    <row r="20" spans="2:32" s="35" customFormat="1" ht="15.75" thickBot="1">
      <c r="B20" s="35" t="s">
        <v>336</v>
      </c>
      <c r="D20" s="35" t="s">
        <v>119</v>
      </c>
      <c r="E20" s="35" t="s">
        <v>337</v>
      </c>
      <c r="F20" s="35" t="str">
        <f>"NO_"&amp;D20&amp;"_"&amp;E20</f>
        <v>NO_wall_win2</v>
      </c>
      <c r="G20" s="133" t="s">
        <v>334</v>
      </c>
      <c r="H20" s="35" t="s">
        <v>335</v>
      </c>
      <c r="I20" s="35" t="s">
        <v>301</v>
      </c>
      <c r="L20" s="35" t="s">
        <v>231</v>
      </c>
      <c r="M20" s="35">
        <v>0</v>
      </c>
      <c r="N20" s="35">
        <v>0</v>
      </c>
      <c r="O20" s="35">
        <v>0</v>
      </c>
      <c r="P20" s="35">
        <v>10</v>
      </c>
      <c r="Q20" s="35">
        <v>1</v>
      </c>
      <c r="R20" s="135"/>
      <c r="S20" s="135"/>
      <c r="T20" s="135"/>
      <c r="U20" s="135"/>
      <c r="V20" s="135"/>
      <c r="W20" s="135"/>
      <c r="X20" s="135"/>
      <c r="Y20" s="135"/>
      <c r="Z20" s="135"/>
      <c r="AA20" s="135"/>
      <c r="AB20" s="135"/>
      <c r="AC20" s="135"/>
      <c r="AD20" s="135"/>
      <c r="AE20" s="135"/>
      <c r="AF20" s="135"/>
    </row>
    <row r="21" spans="2:32">
      <c r="B21" t="s">
        <v>338</v>
      </c>
      <c r="D21" t="s">
        <v>119</v>
      </c>
      <c r="E21" t="s">
        <v>339</v>
      </c>
      <c r="F21" t="str">
        <f>"L_"&amp;D21&amp;"_"&amp;E21&amp;"_wid"</f>
        <v>L_wall_win3_wid</v>
      </c>
      <c r="G21" s="11" t="s">
        <v>340</v>
      </c>
      <c r="I21" t="s">
        <v>301</v>
      </c>
      <c r="K21" t="s">
        <v>33</v>
      </c>
      <c r="L21" t="s">
        <v>302</v>
      </c>
      <c r="M21">
        <v>1</v>
      </c>
      <c r="N21">
        <v>0</v>
      </c>
      <c r="O21">
        <v>0.2</v>
      </c>
      <c r="P21">
        <v>4</v>
      </c>
      <c r="R21" s="131"/>
      <c r="S21" s="131"/>
      <c r="T21" s="131"/>
      <c r="U21" s="131"/>
      <c r="V21" s="131"/>
      <c r="W21" s="131"/>
      <c r="X21" s="131"/>
      <c r="Y21" s="131"/>
      <c r="Z21" s="131"/>
      <c r="AA21" s="131"/>
      <c r="AB21" s="131"/>
      <c r="AC21" s="131"/>
      <c r="AD21" s="131"/>
      <c r="AE21" s="131"/>
      <c r="AF21" s="131"/>
    </row>
    <row r="22" spans="2:32">
      <c r="B22" t="s">
        <v>338</v>
      </c>
      <c r="D22" t="s">
        <v>119</v>
      </c>
      <c r="E22" t="s">
        <v>339</v>
      </c>
      <c r="F22" t="str">
        <f>"L_"&amp;D22&amp;"_"&amp;E22&amp;"_hei"</f>
        <v>L_wall_win3_hei</v>
      </c>
      <c r="G22" s="11" t="s">
        <v>177</v>
      </c>
      <c r="I22" t="s">
        <v>301</v>
      </c>
      <c r="K22" t="s">
        <v>33</v>
      </c>
      <c r="L22" t="s">
        <v>302</v>
      </c>
      <c r="M22">
        <v>1</v>
      </c>
      <c r="N22">
        <v>0</v>
      </c>
      <c r="O22">
        <v>0.2</v>
      </c>
      <c r="P22">
        <v>2.5</v>
      </c>
      <c r="R22" s="14"/>
      <c r="S22" s="14"/>
      <c r="T22" s="14"/>
      <c r="U22" s="14"/>
      <c r="V22" s="14"/>
      <c r="W22" s="14"/>
      <c r="X22" s="14"/>
      <c r="Y22" s="14"/>
      <c r="Z22" s="14"/>
      <c r="AA22" s="14"/>
      <c r="AB22" s="14"/>
      <c r="AC22" s="14"/>
      <c r="AD22" s="14"/>
      <c r="AE22" s="14"/>
      <c r="AF22" s="14"/>
    </row>
    <row r="23" spans="2:32">
      <c r="B23" t="s">
        <v>338</v>
      </c>
      <c r="D23" t="s">
        <v>119</v>
      </c>
      <c r="E23" t="s">
        <v>339</v>
      </c>
      <c r="F23" t="str">
        <f>"YEAR_"&amp;D23&amp;"_"&amp;E23</f>
        <v>YEAR_wall_win3</v>
      </c>
      <c r="G23" s="11" t="s">
        <v>185</v>
      </c>
      <c r="I23" t="s">
        <v>242</v>
      </c>
      <c r="L23" t="s">
        <v>231</v>
      </c>
      <c r="M23">
        <v>0</v>
      </c>
      <c r="R23" s="14"/>
      <c r="S23" s="14"/>
      <c r="T23" s="14"/>
      <c r="U23" s="14"/>
      <c r="V23" s="14"/>
      <c r="W23" s="14"/>
      <c r="X23" s="14"/>
      <c r="Y23" s="14"/>
      <c r="Z23" s="14"/>
      <c r="AA23" s="14"/>
      <c r="AB23" s="14"/>
      <c r="AC23" s="14"/>
      <c r="AD23" s="14"/>
      <c r="AE23" s="14"/>
      <c r="AF23" s="14"/>
    </row>
    <row r="24" spans="2:32" s="35" customFormat="1" ht="15.75" thickBot="1">
      <c r="B24" s="35" t="s">
        <v>338</v>
      </c>
      <c r="D24" s="35" t="s">
        <v>119</v>
      </c>
      <c r="E24" s="35" t="s">
        <v>339</v>
      </c>
      <c r="F24" s="35" t="str">
        <f>"NO_"&amp;D24&amp;"_"&amp;E24</f>
        <v>NO_wall_win3</v>
      </c>
      <c r="G24" s="133" t="s">
        <v>334</v>
      </c>
      <c r="H24" s="35" t="s">
        <v>335</v>
      </c>
      <c r="I24" s="35" t="s">
        <v>301</v>
      </c>
      <c r="L24" s="35" t="s">
        <v>231</v>
      </c>
      <c r="M24" s="35">
        <v>0</v>
      </c>
      <c r="N24" s="35">
        <v>0</v>
      </c>
      <c r="O24" s="35">
        <v>0</v>
      </c>
      <c r="P24" s="35">
        <v>10</v>
      </c>
      <c r="Q24" s="35">
        <v>1</v>
      </c>
      <c r="R24" s="135"/>
      <c r="S24" s="135"/>
      <c r="T24" s="135"/>
      <c r="U24" s="135"/>
      <c r="V24" s="135"/>
      <c r="W24" s="135"/>
      <c r="X24" s="135"/>
      <c r="Y24" s="135"/>
      <c r="Z24" s="135"/>
      <c r="AA24" s="135"/>
      <c r="AB24" s="135"/>
      <c r="AC24" s="135"/>
      <c r="AD24" s="135"/>
      <c r="AE24" s="135"/>
      <c r="AF24" s="135"/>
    </row>
    <row r="25" spans="2:32">
      <c r="D25" t="s">
        <v>341</v>
      </c>
      <c r="F25" t="s">
        <v>342</v>
      </c>
      <c r="G25" s="11" t="s">
        <v>343</v>
      </c>
      <c r="H25" t="s">
        <v>344</v>
      </c>
      <c r="I25" t="s">
        <v>345</v>
      </c>
      <c r="L25" t="s">
        <v>277</v>
      </c>
      <c r="M25">
        <v>1</v>
      </c>
      <c r="O25" s="42"/>
      <c r="P25" s="42"/>
      <c r="Q25" s="42" t="s">
        <v>246</v>
      </c>
      <c r="R25" s="131"/>
      <c r="S25" s="131"/>
      <c r="T25" s="131"/>
      <c r="U25" s="131"/>
      <c r="V25" s="131"/>
      <c r="W25" s="131"/>
      <c r="X25" s="131"/>
      <c r="Y25" s="131"/>
      <c r="Z25" s="131"/>
      <c r="AA25" s="131"/>
      <c r="AB25" s="131"/>
      <c r="AC25" s="131"/>
      <c r="AD25" s="131"/>
      <c r="AE25" s="131"/>
      <c r="AF25" s="131"/>
    </row>
    <row r="26" spans="2:32">
      <c r="D26" t="s">
        <v>341</v>
      </c>
      <c r="F26" t="s">
        <v>346</v>
      </c>
      <c r="G26" s="11" t="s">
        <v>347</v>
      </c>
      <c r="I26" t="s">
        <v>301</v>
      </c>
      <c r="J26" t="s">
        <v>342</v>
      </c>
      <c r="K26" t="s">
        <v>33</v>
      </c>
      <c r="L26" t="s">
        <v>302</v>
      </c>
      <c r="M26">
        <v>0</v>
      </c>
      <c r="N26">
        <v>2</v>
      </c>
      <c r="O26" s="42">
        <v>1</v>
      </c>
      <c r="P26" s="42">
        <v>20</v>
      </c>
      <c r="Q26" s="42"/>
      <c r="R26" s="14"/>
      <c r="S26" s="14"/>
      <c r="T26" s="14"/>
      <c r="U26" s="14"/>
      <c r="V26" s="14"/>
      <c r="W26" s="14"/>
      <c r="X26" s="14"/>
      <c r="Y26" s="14"/>
      <c r="Z26" s="14"/>
      <c r="AA26" s="14"/>
      <c r="AB26" s="14"/>
      <c r="AC26" s="14"/>
      <c r="AD26" s="14"/>
      <c r="AE26" s="14"/>
      <c r="AF26" s="14"/>
    </row>
    <row r="27" spans="2:32" s="35" customFormat="1" ht="15.75" thickBot="1">
      <c r="D27" s="35" t="s">
        <v>341</v>
      </c>
      <c r="F27" s="35" t="s">
        <v>348</v>
      </c>
      <c r="G27" s="133" t="s">
        <v>349</v>
      </c>
      <c r="H27" s="189"/>
      <c r="I27" s="35" t="s">
        <v>301</v>
      </c>
      <c r="J27" s="35" t="s">
        <v>342</v>
      </c>
      <c r="K27" s="35" t="s">
        <v>325</v>
      </c>
      <c r="L27" s="35" t="s">
        <v>302</v>
      </c>
      <c r="M27" s="35">
        <v>0</v>
      </c>
      <c r="N27" s="35">
        <v>0</v>
      </c>
      <c r="O27" s="134">
        <v>0</v>
      </c>
      <c r="P27" s="134">
        <v>50</v>
      </c>
      <c r="Q27" s="134">
        <v>0</v>
      </c>
      <c r="R27" s="135"/>
      <c r="S27" s="135"/>
      <c r="T27" s="135"/>
      <c r="U27" s="135"/>
      <c r="V27" s="135"/>
      <c r="W27" s="135"/>
      <c r="X27" s="135"/>
      <c r="Y27" s="135"/>
      <c r="Z27" s="135"/>
      <c r="AA27" s="135"/>
      <c r="AB27" s="135"/>
      <c r="AC27" s="135"/>
      <c r="AD27" s="135"/>
      <c r="AE27" s="135"/>
      <c r="AF27" s="135"/>
    </row>
    <row r="28" spans="2:32">
      <c r="B28" t="s">
        <v>350</v>
      </c>
      <c r="D28" t="s">
        <v>131</v>
      </c>
      <c r="F28" t="s">
        <v>351</v>
      </c>
      <c r="G28" s="11" t="s">
        <v>352</v>
      </c>
      <c r="H28" t="s">
        <v>353</v>
      </c>
      <c r="I28" t="s">
        <v>354</v>
      </c>
      <c r="J28" t="s">
        <v>355</v>
      </c>
      <c r="L28" t="s">
        <v>237</v>
      </c>
      <c r="M28">
        <v>1</v>
      </c>
      <c r="O28" s="42"/>
      <c r="P28" s="42"/>
      <c r="Q28" s="42" t="s">
        <v>356</v>
      </c>
      <c r="R28" s="131"/>
      <c r="S28" s="131"/>
      <c r="T28" s="131"/>
      <c r="U28" s="131"/>
      <c r="V28" s="131"/>
      <c r="W28" s="131"/>
      <c r="X28" s="131"/>
      <c r="Y28" s="131"/>
      <c r="Z28" s="131"/>
      <c r="AA28" s="131"/>
      <c r="AB28" s="131"/>
      <c r="AC28" s="131"/>
      <c r="AD28" s="131"/>
      <c r="AE28" s="131"/>
      <c r="AF28" s="131"/>
    </row>
    <row r="29" spans="2:32">
      <c r="B29" t="s">
        <v>350</v>
      </c>
      <c r="D29" t="s">
        <v>131</v>
      </c>
      <c r="O29" s="42"/>
      <c r="P29" s="42"/>
      <c r="Q29" s="42"/>
      <c r="R29" s="14"/>
      <c r="S29" s="14"/>
      <c r="T29" s="14"/>
      <c r="U29" s="14"/>
      <c r="V29" s="14"/>
      <c r="W29" s="14"/>
      <c r="X29" s="14"/>
      <c r="Y29" s="14"/>
      <c r="Z29" s="14"/>
      <c r="AA29" s="14"/>
      <c r="AB29" s="14"/>
      <c r="AC29" s="14"/>
      <c r="AD29" s="14"/>
      <c r="AE29" s="14"/>
      <c r="AF29" s="14"/>
    </row>
    <row r="30" spans="2:32">
      <c r="B30" t="s">
        <v>350</v>
      </c>
      <c r="D30" t="s">
        <v>131</v>
      </c>
      <c r="F30" t="s">
        <v>357</v>
      </c>
      <c r="G30" s="11" t="s">
        <v>173</v>
      </c>
      <c r="I30" t="s">
        <v>301</v>
      </c>
      <c r="J30" t="s">
        <v>358</v>
      </c>
      <c r="K30" t="s">
        <v>33</v>
      </c>
      <c r="L30" t="s">
        <v>302</v>
      </c>
      <c r="M30">
        <v>0</v>
      </c>
      <c r="N30">
        <v>2</v>
      </c>
      <c r="O30" s="42">
        <v>1</v>
      </c>
      <c r="P30" s="42" t="s">
        <v>359</v>
      </c>
      <c r="Q30" s="42"/>
      <c r="R30" s="14"/>
      <c r="S30" s="14"/>
      <c r="T30" s="14"/>
      <c r="U30" s="14"/>
      <c r="V30" s="14"/>
      <c r="W30" s="14"/>
      <c r="X30" s="14"/>
      <c r="Y30" s="14"/>
      <c r="Z30" s="14"/>
      <c r="AA30" s="14"/>
      <c r="AB30" s="14"/>
      <c r="AC30" s="14"/>
      <c r="AD30" s="14"/>
      <c r="AE30" s="14"/>
      <c r="AF30" s="14"/>
    </row>
    <row r="31" spans="2:32">
      <c r="B31" t="s">
        <v>350</v>
      </c>
      <c r="D31" t="s">
        <v>131</v>
      </c>
      <c r="F31" t="s">
        <v>360</v>
      </c>
      <c r="G31" s="11" t="s">
        <v>177</v>
      </c>
      <c r="H31" s="127"/>
      <c r="I31" cm="1">
        <f t="array" ref="I31">_xlfn.IFS(
 IN_rooms!R$28="Keine",IN_rooms!R$4,
 IN_rooms!R$28="Komplex",IN_rooms!R$85,
 IN_rooms!R$28="Flachdach",0,
  TRUE,IN_rooms!R$32*IN_rooms!R$30)</f>
        <v>0</v>
      </c>
      <c r="J31" cm="1">
        <f t="array" ref="J31">_xlfn.IFS(
 IN_rooms!S$28="Keine",IN_rooms!S$4,
 IN_rooms!S$28="Komplex",IN_rooms!S$85,
 IN_rooms!S$28="Flachdach",0,
  TRUE,IN_rooms!S$32*IN_rooms!S$30)</f>
        <v>0</v>
      </c>
      <c r="K31" t="s">
        <v>33</v>
      </c>
      <c r="L31" t="s">
        <v>302</v>
      </c>
      <c r="M31">
        <v>0</v>
      </c>
      <c r="N31">
        <v>2</v>
      </c>
      <c r="O31" s="42">
        <v>1</v>
      </c>
      <c r="P31">
        <v>6</v>
      </c>
      <c r="Q31" s="42"/>
      <c r="R31" s="14"/>
      <c r="S31" s="14"/>
      <c r="T31" s="14"/>
      <c r="U31" s="14"/>
      <c r="V31" s="14"/>
      <c r="W31" s="14"/>
      <c r="X31" s="14"/>
      <c r="Y31" s="14"/>
      <c r="Z31" s="14"/>
      <c r="AA31" s="14"/>
      <c r="AB31" s="14"/>
      <c r="AC31" s="14"/>
      <c r="AD31" s="14"/>
      <c r="AE31" s="14"/>
      <c r="AF31" s="14"/>
    </row>
    <row r="32" spans="2:32" ht="30">
      <c r="D32" t="s">
        <v>133</v>
      </c>
      <c r="F32" t="str">
        <f>"L_"&amp;D32&amp;"_"&amp;E32&amp;"_wid"</f>
        <v>L_topceil__wid</v>
      </c>
      <c r="G32" s="11" t="s">
        <v>361</v>
      </c>
      <c r="H32" s="127" t="s">
        <v>362</v>
      </c>
      <c r="I32">
        <f>IF(AND(IN_build!$P$4="Flach bzw. Flachdach",IN_rooms!R28="Ja"),0,clc_load!I$31)</f>
        <v>0</v>
      </c>
      <c r="J32" t="s">
        <v>358</v>
      </c>
      <c r="K32" t="s">
        <v>33</v>
      </c>
      <c r="L32" t="s">
        <v>237</v>
      </c>
      <c r="M32">
        <v>1</v>
      </c>
      <c r="O32" s="42"/>
      <c r="P32" s="42"/>
      <c r="Q32" s="42"/>
      <c r="R32" s="140"/>
      <c r="S32" s="140"/>
      <c r="T32" s="140"/>
      <c r="U32" s="140"/>
      <c r="V32" s="140"/>
      <c r="W32" s="140"/>
      <c r="X32" s="140"/>
      <c r="Y32" s="140"/>
      <c r="Z32" s="140"/>
      <c r="AA32" s="140"/>
      <c r="AB32" s="140"/>
      <c r="AC32" s="140"/>
      <c r="AD32" s="140"/>
      <c r="AE32" s="140"/>
      <c r="AF32" s="140"/>
    </row>
    <row r="33" spans="2:33" s="35" customFormat="1" ht="15.75" thickBot="1">
      <c r="D33" s="35" t="s">
        <v>133</v>
      </c>
      <c r="F33" s="35" t="s">
        <v>363</v>
      </c>
      <c r="G33" s="133" t="s">
        <v>364</v>
      </c>
      <c r="H33" s="35" t="s">
        <v>365</v>
      </c>
      <c r="I33" s="35" t="s">
        <v>301</v>
      </c>
      <c r="J33" s="35" t="s">
        <v>366</v>
      </c>
      <c r="L33" s="35" t="s">
        <v>231</v>
      </c>
      <c r="M33" s="35">
        <v>1</v>
      </c>
      <c r="O33" s="134">
        <v>0</v>
      </c>
      <c r="P33" s="134">
        <v>2</v>
      </c>
      <c r="Q33" s="134">
        <v>1</v>
      </c>
      <c r="R33" s="139"/>
      <c r="S33" s="139"/>
      <c r="T33" s="139"/>
      <c r="U33" s="139"/>
      <c r="V33" s="139"/>
      <c r="W33" s="139"/>
      <c r="X33" s="139"/>
      <c r="Y33" s="139"/>
      <c r="Z33" s="139"/>
      <c r="AA33" s="139"/>
      <c r="AB33" s="139"/>
      <c r="AC33" s="139"/>
      <c r="AD33" s="139"/>
      <c r="AE33" s="139"/>
      <c r="AF33" s="139"/>
      <c r="AG33" s="139"/>
    </row>
    <row r="34" spans="2:33" ht="30">
      <c r="B34" t="s">
        <v>350</v>
      </c>
      <c r="D34" t="s">
        <v>131</v>
      </c>
      <c r="F34" t="s">
        <v>367</v>
      </c>
      <c r="G34" s="11" t="s">
        <v>368</v>
      </c>
      <c r="H34" t="s">
        <v>369</v>
      </c>
      <c r="I34" t="s">
        <v>301</v>
      </c>
      <c r="J34" t="s">
        <v>366</v>
      </c>
      <c r="K34" t="s">
        <v>33</v>
      </c>
      <c r="L34" t="s">
        <v>302</v>
      </c>
      <c r="M34">
        <v>1</v>
      </c>
      <c r="N34">
        <v>2</v>
      </c>
      <c r="O34" s="42"/>
      <c r="P34" s="42"/>
      <c r="Q34" s="42"/>
      <c r="R34" s="132"/>
      <c r="S34" s="132"/>
      <c r="T34" s="132"/>
      <c r="U34" s="132"/>
      <c r="V34" s="132"/>
      <c r="W34" s="132"/>
      <c r="X34" s="132"/>
      <c r="Y34" s="132"/>
      <c r="Z34" s="132"/>
      <c r="AA34" s="132"/>
      <c r="AB34" s="132"/>
      <c r="AC34" s="132"/>
      <c r="AD34" s="132"/>
      <c r="AE34" s="132"/>
      <c r="AF34" s="132"/>
    </row>
    <row r="35" spans="2:33" ht="30">
      <c r="B35" t="s">
        <v>350</v>
      </c>
      <c r="D35" t="s">
        <v>131</v>
      </c>
      <c r="F35" t="s">
        <v>370</v>
      </c>
      <c r="G35" s="11" t="s">
        <v>371</v>
      </c>
      <c r="H35" t="s">
        <v>372</v>
      </c>
      <c r="I35" t="s">
        <v>345</v>
      </c>
      <c r="J35" t="s">
        <v>373</v>
      </c>
      <c r="L35" t="s">
        <v>277</v>
      </c>
      <c r="M35">
        <v>1</v>
      </c>
      <c r="O35" s="42"/>
      <c r="P35" s="42"/>
      <c r="Q35" s="42" t="s">
        <v>374</v>
      </c>
      <c r="R35" s="14"/>
      <c r="S35" s="14"/>
      <c r="T35" s="14"/>
      <c r="U35" s="14"/>
      <c r="V35" s="14"/>
      <c r="W35" s="14"/>
      <c r="X35" s="14"/>
      <c r="Y35" s="14"/>
      <c r="Z35" s="14"/>
      <c r="AA35" s="14"/>
      <c r="AB35" s="14"/>
      <c r="AC35" s="14"/>
      <c r="AD35" s="14"/>
      <c r="AE35" s="14"/>
      <c r="AF35" s="14"/>
    </row>
    <row r="36" spans="2:33">
      <c r="B36" t="s">
        <v>350</v>
      </c>
      <c r="D36" t="s">
        <v>327</v>
      </c>
      <c r="F36" t="s">
        <v>375</v>
      </c>
      <c r="G36" t="s">
        <v>376</v>
      </c>
      <c r="I36" t="s">
        <v>345</v>
      </c>
      <c r="L36" t="s">
        <v>277</v>
      </c>
      <c r="M36">
        <v>1</v>
      </c>
      <c r="O36" s="42"/>
      <c r="P36" s="42"/>
      <c r="Q36" s="42"/>
      <c r="R36" s="125" t="str">
        <f>IF(R$35="Nein","Ja","Nein")</f>
        <v>Nein</v>
      </c>
      <c r="S36" s="125" t="str">
        <f t="shared" ref="S36:AF36" si="0">IF(S$35="Nein","Ja","Nein")</f>
        <v>Nein</v>
      </c>
      <c r="T36" s="125" t="str">
        <f t="shared" si="0"/>
        <v>Nein</v>
      </c>
      <c r="U36" s="125" t="str">
        <f t="shared" si="0"/>
        <v>Nein</v>
      </c>
      <c r="V36" s="125" t="str">
        <f t="shared" si="0"/>
        <v>Nein</v>
      </c>
      <c r="W36" s="125" t="str">
        <f t="shared" si="0"/>
        <v>Nein</v>
      </c>
      <c r="X36" s="125" t="str">
        <f t="shared" si="0"/>
        <v>Nein</v>
      </c>
      <c r="Y36" s="125" t="str">
        <f t="shared" si="0"/>
        <v>Nein</v>
      </c>
      <c r="Z36" s="125" t="str">
        <f t="shared" si="0"/>
        <v>Nein</v>
      </c>
      <c r="AA36" s="125" t="str">
        <f t="shared" si="0"/>
        <v>Nein</v>
      </c>
      <c r="AB36" s="125" t="str">
        <f t="shared" si="0"/>
        <v>Nein</v>
      </c>
      <c r="AC36" s="125" t="str">
        <f t="shared" si="0"/>
        <v>Nein</v>
      </c>
      <c r="AD36" s="125" t="str">
        <f t="shared" si="0"/>
        <v>Nein</v>
      </c>
      <c r="AE36" s="125" t="str">
        <f t="shared" si="0"/>
        <v>Nein</v>
      </c>
      <c r="AF36" s="125" t="str">
        <f t="shared" si="0"/>
        <v>Nein</v>
      </c>
    </row>
    <row r="37" spans="2:33">
      <c r="B37" t="s">
        <v>350</v>
      </c>
      <c r="D37" t="s">
        <v>327</v>
      </c>
      <c r="F37" s="56" t="s">
        <v>377</v>
      </c>
      <c r="G37" t="s">
        <v>378</v>
      </c>
      <c r="I37" t="s">
        <v>301</v>
      </c>
      <c r="K37" t="s">
        <v>33</v>
      </c>
      <c r="L37" t="s">
        <v>302</v>
      </c>
      <c r="M37">
        <v>0</v>
      </c>
      <c r="N37">
        <v>2</v>
      </c>
      <c r="O37" s="42">
        <v>0</v>
      </c>
      <c r="P37">
        <v>6</v>
      </c>
      <c r="Q37" s="42"/>
      <c r="R37" s="125">
        <f>IF(R$35="Ja",0,R$34)</f>
        <v>0</v>
      </c>
      <c r="S37" s="125">
        <f t="shared" ref="S37:AF37" si="1">IF(S$35="Ja",0,S$34)</f>
        <v>0</v>
      </c>
      <c r="T37" s="125">
        <f t="shared" si="1"/>
        <v>0</v>
      </c>
      <c r="U37" s="125">
        <f t="shared" si="1"/>
        <v>0</v>
      </c>
      <c r="V37" s="125">
        <f t="shared" si="1"/>
        <v>0</v>
      </c>
      <c r="W37" s="125">
        <f t="shared" si="1"/>
        <v>0</v>
      </c>
      <c r="X37" s="125">
        <f t="shared" si="1"/>
        <v>0</v>
      </c>
      <c r="Y37" s="125">
        <f t="shared" si="1"/>
        <v>0</v>
      </c>
      <c r="Z37" s="125">
        <f t="shared" si="1"/>
        <v>0</v>
      </c>
      <c r="AA37" s="125">
        <f t="shared" si="1"/>
        <v>0</v>
      </c>
      <c r="AB37" s="125">
        <f t="shared" si="1"/>
        <v>0</v>
      </c>
      <c r="AC37" s="125">
        <f t="shared" si="1"/>
        <v>0</v>
      </c>
      <c r="AD37" s="125">
        <f t="shared" si="1"/>
        <v>0</v>
      </c>
      <c r="AE37" s="125">
        <f t="shared" si="1"/>
        <v>0</v>
      </c>
      <c r="AF37" s="125">
        <f t="shared" si="1"/>
        <v>0</v>
      </c>
    </row>
    <row r="38" spans="2:33">
      <c r="B38" t="s">
        <v>350</v>
      </c>
      <c r="D38" t="s">
        <v>327</v>
      </c>
      <c r="F38" t="s">
        <v>379</v>
      </c>
      <c r="G38" t="s">
        <v>380</v>
      </c>
      <c r="H38" t="s">
        <v>381</v>
      </c>
      <c r="I38" t="s">
        <v>345</v>
      </c>
      <c r="L38" t="s">
        <v>277</v>
      </c>
      <c r="M38">
        <v>1</v>
      </c>
      <c r="O38" s="42"/>
      <c r="P38" s="42"/>
      <c r="Q38" s="42"/>
      <c r="R38" s="125" t="str">
        <f>IF(R$35="Nein","Nein","Ja")</f>
        <v>Ja</v>
      </c>
      <c r="S38" s="125" t="str">
        <f t="shared" ref="S38:AF38" si="2">IF(S$35="Nein","Nein","Ja")</f>
        <v>Ja</v>
      </c>
      <c r="T38" s="125" t="str">
        <f t="shared" si="2"/>
        <v>Ja</v>
      </c>
      <c r="U38" s="125" t="str">
        <f t="shared" si="2"/>
        <v>Ja</v>
      </c>
      <c r="V38" s="125" t="str">
        <f t="shared" si="2"/>
        <v>Ja</v>
      </c>
      <c r="W38" s="125" t="str">
        <f t="shared" si="2"/>
        <v>Ja</v>
      </c>
      <c r="X38" s="125" t="str">
        <f t="shared" si="2"/>
        <v>Ja</v>
      </c>
      <c r="Y38" s="125" t="str">
        <f t="shared" si="2"/>
        <v>Ja</v>
      </c>
      <c r="Z38" s="125" t="str">
        <f t="shared" si="2"/>
        <v>Ja</v>
      </c>
      <c r="AA38" s="125" t="str">
        <f t="shared" si="2"/>
        <v>Ja</v>
      </c>
      <c r="AB38" s="125" t="str">
        <f t="shared" si="2"/>
        <v>Ja</v>
      </c>
      <c r="AC38" s="125" t="str">
        <f t="shared" si="2"/>
        <v>Ja</v>
      </c>
      <c r="AD38" s="125" t="str">
        <f t="shared" si="2"/>
        <v>Ja</v>
      </c>
      <c r="AE38" s="125" t="str">
        <f t="shared" si="2"/>
        <v>Ja</v>
      </c>
      <c r="AF38" s="125" t="str">
        <f t="shared" si="2"/>
        <v>Ja</v>
      </c>
    </row>
    <row r="39" spans="2:33" s="35" customFormat="1" ht="15.75" thickBot="1">
      <c r="B39" s="35" t="s">
        <v>350</v>
      </c>
      <c r="D39" s="35" t="s">
        <v>327</v>
      </c>
      <c r="F39" s="137" t="s">
        <v>382</v>
      </c>
      <c r="G39" s="35" t="s">
        <v>383</v>
      </c>
      <c r="H39" s="35" t="s">
        <v>384</v>
      </c>
      <c r="I39" s="35" t="s">
        <v>301</v>
      </c>
      <c r="K39" s="35" t="s">
        <v>33</v>
      </c>
      <c r="L39" s="35" t="s">
        <v>302</v>
      </c>
      <c r="M39" s="35">
        <v>0</v>
      </c>
      <c r="N39" s="35">
        <v>2</v>
      </c>
      <c r="O39" s="134">
        <v>0</v>
      </c>
      <c r="P39" s="134">
        <v>3</v>
      </c>
      <c r="Q39" s="134"/>
      <c r="R39" s="138">
        <f>IF(R$35="Nein",0,R$34)</f>
        <v>0</v>
      </c>
      <c r="S39" s="138">
        <f t="shared" ref="S39:AF39" si="3">IF(S$35="Nein",0,S$34)</f>
        <v>0</v>
      </c>
      <c r="T39" s="138">
        <f t="shared" si="3"/>
        <v>0</v>
      </c>
      <c r="U39" s="138">
        <f t="shared" si="3"/>
        <v>0</v>
      </c>
      <c r="V39" s="138">
        <f t="shared" si="3"/>
        <v>0</v>
      </c>
      <c r="W39" s="138">
        <f t="shared" si="3"/>
        <v>0</v>
      </c>
      <c r="X39" s="138">
        <f t="shared" si="3"/>
        <v>0</v>
      </c>
      <c r="Y39" s="138">
        <f t="shared" si="3"/>
        <v>0</v>
      </c>
      <c r="Z39" s="138">
        <f t="shared" si="3"/>
        <v>0</v>
      </c>
      <c r="AA39" s="138">
        <f t="shared" si="3"/>
        <v>0</v>
      </c>
      <c r="AB39" s="138">
        <f t="shared" si="3"/>
        <v>0</v>
      </c>
      <c r="AC39" s="138">
        <f t="shared" si="3"/>
        <v>0</v>
      </c>
      <c r="AD39" s="138">
        <f t="shared" si="3"/>
        <v>0</v>
      </c>
      <c r="AE39" s="138">
        <f t="shared" si="3"/>
        <v>0</v>
      </c>
      <c r="AF39" s="138">
        <f t="shared" si="3"/>
        <v>0</v>
      </c>
    </row>
    <row r="40" spans="2:33" s="35" customFormat="1" ht="15.75" thickBot="1">
      <c r="B40" s="35" t="s">
        <v>385</v>
      </c>
      <c r="D40" s="35" t="s">
        <v>131</v>
      </c>
      <c r="E40" s="35" t="s">
        <v>386</v>
      </c>
      <c r="F40" s="137" t="s">
        <v>387</v>
      </c>
      <c r="G40" s="133" t="s">
        <v>388</v>
      </c>
      <c r="I40" s="35" t="s">
        <v>345</v>
      </c>
      <c r="L40" s="35" t="s">
        <v>277</v>
      </c>
      <c r="M40" s="35">
        <v>1</v>
      </c>
      <c r="O40" s="134"/>
      <c r="P40" s="134"/>
      <c r="Q40" s="134"/>
      <c r="R40" s="139"/>
      <c r="S40" s="139"/>
      <c r="T40" s="139"/>
      <c r="U40" s="139"/>
      <c r="V40" s="139"/>
      <c r="W40" s="139"/>
      <c r="X40" s="139"/>
      <c r="Y40" s="139"/>
      <c r="Z40" s="139"/>
      <c r="AA40" s="139"/>
      <c r="AB40" s="139"/>
      <c r="AC40" s="139"/>
      <c r="AD40" s="139"/>
      <c r="AE40" s="139"/>
      <c r="AF40" s="139"/>
    </row>
    <row r="41" spans="2:33">
      <c r="B41" t="s">
        <v>389</v>
      </c>
      <c r="D41" t="s">
        <v>131</v>
      </c>
      <c r="E41" t="s">
        <v>331</v>
      </c>
      <c r="F41" t="s">
        <v>390</v>
      </c>
      <c r="G41" s="11" t="s">
        <v>391</v>
      </c>
      <c r="H41" t="s">
        <v>392</v>
      </c>
      <c r="J41" t="s">
        <v>351</v>
      </c>
      <c r="K41" t="s">
        <v>33</v>
      </c>
      <c r="L41" t="s">
        <v>231</v>
      </c>
      <c r="M41">
        <v>0</v>
      </c>
      <c r="N41">
        <v>0</v>
      </c>
      <c r="O41">
        <v>0.5</v>
      </c>
      <c r="P41">
        <v>2</v>
      </c>
      <c r="R41" s="131"/>
      <c r="S41" s="131"/>
      <c r="T41" s="131"/>
      <c r="U41" s="131"/>
      <c r="V41" s="131"/>
      <c r="W41" s="131"/>
      <c r="X41" s="131"/>
      <c r="Y41" s="131"/>
      <c r="Z41" s="131"/>
      <c r="AA41" s="131"/>
      <c r="AB41" s="131"/>
      <c r="AC41" s="131"/>
      <c r="AD41" s="131"/>
      <c r="AE41" s="131"/>
      <c r="AF41" s="131"/>
    </row>
    <row r="42" spans="2:33">
      <c r="B42" t="s">
        <v>389</v>
      </c>
      <c r="D42" t="s">
        <v>131</v>
      </c>
      <c r="E42" t="s">
        <v>331</v>
      </c>
      <c r="F42" t="s">
        <v>393</v>
      </c>
      <c r="G42" s="11" t="s">
        <v>177</v>
      </c>
      <c r="J42" t="s">
        <v>351</v>
      </c>
      <c r="K42" t="s">
        <v>33</v>
      </c>
      <c r="L42" t="s">
        <v>231</v>
      </c>
      <c r="M42">
        <v>0</v>
      </c>
      <c r="N42">
        <v>0</v>
      </c>
      <c r="O42">
        <v>0.5</v>
      </c>
      <c r="P42">
        <v>2</v>
      </c>
      <c r="R42" s="14"/>
      <c r="S42" s="14"/>
      <c r="T42" s="14"/>
      <c r="U42" s="14"/>
      <c r="V42" s="14"/>
      <c r="W42" s="14"/>
      <c r="X42" s="14"/>
      <c r="Y42" s="14"/>
      <c r="Z42" s="14"/>
      <c r="AA42" s="14"/>
      <c r="AB42" s="14"/>
      <c r="AC42" s="14"/>
      <c r="AD42" s="14"/>
      <c r="AE42" s="14"/>
      <c r="AF42" s="14"/>
    </row>
    <row r="43" spans="2:33">
      <c r="B43" t="s">
        <v>389</v>
      </c>
      <c r="D43" t="s">
        <v>131</v>
      </c>
      <c r="E43" t="s">
        <v>331</v>
      </c>
      <c r="F43" t="s">
        <v>394</v>
      </c>
      <c r="G43" s="11" t="s">
        <v>185</v>
      </c>
      <c r="J43" t="s">
        <v>351</v>
      </c>
      <c r="L43" t="s">
        <v>231</v>
      </c>
      <c r="M43">
        <v>0</v>
      </c>
      <c r="N43">
        <v>0</v>
      </c>
      <c r="O43">
        <v>1800</v>
      </c>
      <c r="P43">
        <v>2045</v>
      </c>
      <c r="R43" s="14"/>
      <c r="S43" s="14"/>
      <c r="T43" s="14"/>
      <c r="U43" s="14"/>
      <c r="V43" s="14"/>
      <c r="W43" s="14"/>
      <c r="X43" s="14"/>
      <c r="Y43" s="14"/>
      <c r="Z43" s="14"/>
      <c r="AA43" s="14"/>
      <c r="AB43" s="14"/>
      <c r="AC43" s="14"/>
      <c r="AD43" s="14"/>
      <c r="AE43" s="14"/>
      <c r="AF43" s="14"/>
    </row>
    <row r="44" spans="2:33" s="35" customFormat="1" ht="15.75" thickBot="1">
      <c r="B44" s="35" t="s">
        <v>389</v>
      </c>
      <c r="D44" s="35" t="s">
        <v>131</v>
      </c>
      <c r="E44" s="35" t="s">
        <v>331</v>
      </c>
      <c r="F44" s="35" t="s">
        <v>395</v>
      </c>
      <c r="G44" s="133" t="s">
        <v>334</v>
      </c>
      <c r="H44" s="35" t="s">
        <v>396</v>
      </c>
      <c r="I44" s="35" t="s">
        <v>301</v>
      </c>
      <c r="J44" s="35" t="s">
        <v>351</v>
      </c>
      <c r="L44" s="35" t="s">
        <v>237</v>
      </c>
      <c r="M44" s="35">
        <v>0</v>
      </c>
      <c r="O44" s="35">
        <v>0</v>
      </c>
      <c r="P44" s="35">
        <v>10</v>
      </c>
      <c r="Q44" s="35">
        <v>1</v>
      </c>
      <c r="R44" s="135"/>
      <c r="S44" s="135"/>
      <c r="T44" s="135"/>
      <c r="U44" s="135"/>
      <c r="V44" s="135"/>
      <c r="W44" s="135"/>
      <c r="X44" s="135"/>
      <c r="Y44" s="135"/>
      <c r="Z44" s="135"/>
      <c r="AA44" s="135"/>
      <c r="AB44" s="135"/>
      <c r="AC44" s="135"/>
      <c r="AD44" s="135"/>
      <c r="AE44" s="135"/>
      <c r="AF44" s="135"/>
    </row>
    <row r="45" spans="2:33">
      <c r="B45" t="s">
        <v>397</v>
      </c>
      <c r="D45" t="s">
        <v>131</v>
      </c>
      <c r="E45" t="s">
        <v>337</v>
      </c>
      <c r="F45" t="s">
        <v>398</v>
      </c>
      <c r="G45" s="11" t="s">
        <v>391</v>
      </c>
      <c r="J45" t="s">
        <v>351</v>
      </c>
      <c r="K45" t="s">
        <v>33</v>
      </c>
      <c r="L45" t="s">
        <v>231</v>
      </c>
      <c r="M45">
        <v>0</v>
      </c>
      <c r="N45">
        <v>0</v>
      </c>
      <c r="O45">
        <v>0.5</v>
      </c>
      <c r="P45">
        <v>2</v>
      </c>
      <c r="R45" s="131"/>
      <c r="S45" s="131"/>
      <c r="T45" s="131"/>
      <c r="U45" s="131"/>
      <c r="V45" s="131"/>
      <c r="W45" s="131"/>
      <c r="X45" s="131"/>
      <c r="Y45" s="131"/>
      <c r="Z45" s="131"/>
      <c r="AA45" s="131"/>
      <c r="AB45" s="131"/>
      <c r="AC45" s="131"/>
      <c r="AD45" s="131"/>
      <c r="AE45" s="131"/>
      <c r="AF45" s="131"/>
    </row>
    <row r="46" spans="2:33">
      <c r="B46" t="s">
        <v>397</v>
      </c>
      <c r="D46" t="s">
        <v>131</v>
      </c>
      <c r="E46" t="s">
        <v>337</v>
      </c>
      <c r="F46" t="s">
        <v>399</v>
      </c>
      <c r="G46" s="11" t="s">
        <v>177</v>
      </c>
      <c r="J46" t="s">
        <v>351</v>
      </c>
      <c r="K46" t="s">
        <v>33</v>
      </c>
      <c r="L46" t="s">
        <v>231</v>
      </c>
      <c r="M46">
        <v>0</v>
      </c>
      <c r="N46">
        <v>0</v>
      </c>
      <c r="O46">
        <v>0.5</v>
      </c>
      <c r="P46">
        <v>2</v>
      </c>
      <c r="R46" s="14"/>
      <c r="S46" s="14"/>
      <c r="T46" s="14"/>
      <c r="U46" s="14"/>
      <c r="V46" s="14"/>
      <c r="W46" s="14"/>
      <c r="X46" s="14"/>
      <c r="Y46" s="14"/>
      <c r="Z46" s="14"/>
      <c r="AA46" s="14"/>
      <c r="AB46" s="14"/>
      <c r="AC46" s="14"/>
      <c r="AD46" s="14"/>
      <c r="AE46" s="14"/>
      <c r="AF46" s="14"/>
    </row>
    <row r="47" spans="2:33">
      <c r="B47" t="s">
        <v>397</v>
      </c>
      <c r="D47" t="s">
        <v>131</v>
      </c>
      <c r="E47" t="s">
        <v>337</v>
      </c>
      <c r="F47" t="s">
        <v>400</v>
      </c>
      <c r="G47" s="11" t="s">
        <v>185</v>
      </c>
      <c r="J47" t="s">
        <v>351</v>
      </c>
      <c r="L47" t="s">
        <v>231</v>
      </c>
      <c r="M47">
        <v>0</v>
      </c>
      <c r="N47">
        <v>0</v>
      </c>
      <c r="O47">
        <v>1800</v>
      </c>
      <c r="P47">
        <v>2045</v>
      </c>
      <c r="R47" s="14"/>
      <c r="S47" s="14"/>
      <c r="T47" s="14"/>
      <c r="U47" s="14"/>
      <c r="V47" s="14"/>
      <c r="W47" s="14"/>
      <c r="X47" s="14"/>
      <c r="Y47" s="14"/>
      <c r="Z47" s="14"/>
      <c r="AA47" s="14"/>
      <c r="AB47" s="14"/>
      <c r="AC47" s="14"/>
      <c r="AD47" s="14"/>
      <c r="AE47" s="14"/>
      <c r="AF47" s="14"/>
    </row>
    <row r="48" spans="2:33" s="35" customFormat="1" ht="15.75" thickBot="1">
      <c r="B48" s="35" t="s">
        <v>397</v>
      </c>
      <c r="D48" s="35" t="s">
        <v>131</v>
      </c>
      <c r="E48" s="35" t="s">
        <v>337</v>
      </c>
      <c r="F48" s="35" t="s">
        <v>401</v>
      </c>
      <c r="G48" s="133" t="s">
        <v>334</v>
      </c>
      <c r="H48" s="35" t="s">
        <v>396</v>
      </c>
      <c r="J48" s="35" t="s">
        <v>351</v>
      </c>
      <c r="L48" s="35" t="s">
        <v>237</v>
      </c>
      <c r="M48" s="35">
        <v>0</v>
      </c>
      <c r="O48" s="35">
        <v>0</v>
      </c>
      <c r="P48" s="35">
        <v>10</v>
      </c>
      <c r="Q48" s="35">
        <v>1</v>
      </c>
      <c r="R48" s="135"/>
      <c r="S48" s="135"/>
      <c r="T48" s="135"/>
      <c r="U48" s="135"/>
      <c r="V48" s="135"/>
      <c r="W48" s="135"/>
      <c r="X48" s="135"/>
      <c r="Y48" s="135"/>
      <c r="Z48" s="135"/>
      <c r="AA48" s="135"/>
      <c r="AB48" s="135"/>
      <c r="AC48" s="135"/>
      <c r="AD48" s="135"/>
      <c r="AE48" s="135"/>
      <c r="AF48" s="135"/>
    </row>
    <row r="49" spans="2:32">
      <c r="B49" t="s">
        <v>402</v>
      </c>
      <c r="D49" t="s">
        <v>403</v>
      </c>
      <c r="F49" t="s">
        <v>404</v>
      </c>
      <c r="G49" s="11" t="s">
        <v>405</v>
      </c>
      <c r="I49" t="s">
        <v>354</v>
      </c>
      <c r="L49" t="s">
        <v>237</v>
      </c>
      <c r="M49">
        <v>1</v>
      </c>
      <c r="R49" s="131"/>
      <c r="S49" s="131"/>
      <c r="T49" s="131"/>
      <c r="U49" s="131"/>
      <c r="V49" s="131"/>
      <c r="W49" s="131"/>
      <c r="X49" s="131"/>
      <c r="Y49" s="131"/>
      <c r="Z49" s="131"/>
      <c r="AA49" s="131"/>
      <c r="AB49" s="131"/>
      <c r="AC49" s="131"/>
      <c r="AD49" s="131"/>
      <c r="AE49" s="131"/>
      <c r="AF49" s="131"/>
    </row>
    <row r="50" spans="2:32">
      <c r="B50" t="s">
        <v>402</v>
      </c>
      <c r="D50" t="s">
        <v>403</v>
      </c>
      <c r="F50" t="s">
        <v>406</v>
      </c>
      <c r="G50" s="11" t="s">
        <v>407</v>
      </c>
      <c r="I50" t="s">
        <v>354</v>
      </c>
      <c r="L50" t="s">
        <v>237</v>
      </c>
      <c r="M50">
        <v>1</v>
      </c>
      <c r="R50" s="14"/>
      <c r="S50" s="14"/>
      <c r="T50" s="14"/>
      <c r="U50" s="14"/>
      <c r="V50" s="14"/>
      <c r="W50" s="14"/>
      <c r="X50" s="14"/>
      <c r="Y50" s="14"/>
      <c r="Z50" s="14"/>
      <c r="AA50" s="14"/>
      <c r="AB50" s="14"/>
      <c r="AC50" s="14"/>
      <c r="AD50" s="14"/>
      <c r="AE50" s="14"/>
      <c r="AF50" s="14"/>
    </row>
    <row r="51" spans="2:32" ht="15.75" thickBot="1">
      <c r="B51" t="s">
        <v>402</v>
      </c>
      <c r="D51" t="s">
        <v>403</v>
      </c>
      <c r="F51" t="s">
        <v>408</v>
      </c>
      <c r="G51" s="11" t="s">
        <v>177</v>
      </c>
      <c r="I51" t="s">
        <v>301</v>
      </c>
      <c r="K51" t="s">
        <v>409</v>
      </c>
      <c r="L51" t="s">
        <v>231</v>
      </c>
      <c r="M51">
        <v>1</v>
      </c>
      <c r="N51">
        <v>0</v>
      </c>
      <c r="O51">
        <v>200</v>
      </c>
      <c r="P51">
        <v>2500</v>
      </c>
      <c r="R51" s="14"/>
      <c r="S51" s="14"/>
      <c r="T51" s="14"/>
      <c r="U51" s="14"/>
      <c r="V51" s="14"/>
      <c r="W51" s="14"/>
      <c r="X51" s="14"/>
      <c r="Y51" s="14"/>
      <c r="Z51" s="14"/>
      <c r="AA51" s="14"/>
      <c r="AB51" s="14"/>
      <c r="AC51" s="14"/>
      <c r="AD51" s="14"/>
      <c r="AE51" s="14"/>
      <c r="AF51" s="14"/>
    </row>
    <row r="52" spans="2:32" ht="15.75" thickBot="1">
      <c r="B52" t="s">
        <v>402</v>
      </c>
      <c r="D52" t="s">
        <v>403</v>
      </c>
      <c r="F52" t="s">
        <v>410</v>
      </c>
      <c r="G52" s="11" t="s">
        <v>175</v>
      </c>
      <c r="I52" t="s">
        <v>301</v>
      </c>
      <c r="K52" t="s">
        <v>409</v>
      </c>
      <c r="L52" t="s">
        <v>231</v>
      </c>
      <c r="M52">
        <v>1</v>
      </c>
      <c r="N52">
        <v>0</v>
      </c>
      <c r="O52">
        <v>100</v>
      </c>
      <c r="P52">
        <v>3000</v>
      </c>
      <c r="Q52" s="130"/>
      <c r="R52" s="14"/>
      <c r="S52" s="14"/>
      <c r="T52" s="14"/>
      <c r="U52" s="14"/>
      <c r="V52" s="14"/>
      <c r="W52" s="14"/>
      <c r="X52" s="14"/>
      <c r="Y52" s="14"/>
      <c r="Z52" s="14"/>
      <c r="AA52" s="14"/>
      <c r="AB52" s="14"/>
      <c r="AC52" s="14"/>
      <c r="AD52" s="14"/>
      <c r="AE52" s="14"/>
      <c r="AF52" s="14"/>
    </row>
    <row r="53" spans="2:32">
      <c r="B53" t="s">
        <v>402</v>
      </c>
      <c r="D53" t="s">
        <v>403</v>
      </c>
      <c r="F53" t="s">
        <v>411</v>
      </c>
      <c r="G53" s="11" t="s">
        <v>412</v>
      </c>
      <c r="I53" t="s">
        <v>301</v>
      </c>
      <c r="K53" t="s">
        <v>409</v>
      </c>
      <c r="L53" t="s">
        <v>231</v>
      </c>
      <c r="M53">
        <v>1</v>
      </c>
      <c r="N53">
        <v>0</v>
      </c>
      <c r="O53">
        <v>40</v>
      </c>
      <c r="P53">
        <v>300</v>
      </c>
      <c r="R53" s="14"/>
      <c r="S53" s="14"/>
      <c r="T53" s="14"/>
      <c r="U53" s="14"/>
      <c r="V53" s="14"/>
      <c r="W53" s="14"/>
      <c r="X53" s="14"/>
      <c r="Y53" s="14"/>
      <c r="Z53" s="14"/>
      <c r="AA53" s="14"/>
      <c r="AB53" s="14"/>
      <c r="AC53" s="14"/>
      <c r="AD53" s="14"/>
      <c r="AE53" s="14"/>
      <c r="AF53" s="14"/>
    </row>
    <row r="54" spans="2:32">
      <c r="B54" t="s">
        <v>402</v>
      </c>
      <c r="D54" t="s">
        <v>403</v>
      </c>
      <c r="F54" t="s">
        <v>413</v>
      </c>
      <c r="G54" s="11" t="s">
        <v>414</v>
      </c>
      <c r="I54" t="s">
        <v>301</v>
      </c>
      <c r="J54" t="s">
        <v>415</v>
      </c>
      <c r="L54" t="s">
        <v>231</v>
      </c>
      <c r="M54">
        <v>0</v>
      </c>
      <c r="N54">
        <v>0</v>
      </c>
      <c r="O54">
        <v>1</v>
      </c>
      <c r="P54">
        <v>100</v>
      </c>
      <c r="R54" s="14"/>
      <c r="S54" s="14"/>
      <c r="T54" s="14"/>
      <c r="U54" s="14"/>
      <c r="V54" s="14"/>
      <c r="W54" s="14"/>
      <c r="X54" s="14"/>
      <c r="Y54" s="14"/>
      <c r="Z54" s="14"/>
      <c r="AA54" s="14"/>
      <c r="AB54" s="14"/>
      <c r="AC54" s="14"/>
      <c r="AD54" s="14"/>
      <c r="AE54" s="14"/>
      <c r="AF54" s="14"/>
    </row>
    <row r="55" spans="2:32" s="35" customFormat="1" ht="15.75" thickBot="1">
      <c r="B55" s="35" t="s">
        <v>402</v>
      </c>
      <c r="D55" s="35" t="s">
        <v>403</v>
      </c>
      <c r="F55" s="35" t="s">
        <v>416</v>
      </c>
      <c r="G55" s="133" t="s">
        <v>334</v>
      </c>
      <c r="H55" s="35" t="s">
        <v>417</v>
      </c>
      <c r="I55" s="35" t="s">
        <v>301</v>
      </c>
      <c r="L55" s="35" t="s">
        <v>231</v>
      </c>
      <c r="M55" s="35">
        <v>0</v>
      </c>
      <c r="N55" s="35">
        <v>0</v>
      </c>
      <c r="O55" s="35">
        <v>0</v>
      </c>
      <c r="P55" s="35">
        <v>5</v>
      </c>
      <c r="Q55" s="35">
        <v>1</v>
      </c>
      <c r="R55" s="135"/>
      <c r="S55" s="135"/>
      <c r="T55" s="135"/>
      <c r="U55" s="135"/>
      <c r="V55" s="135"/>
      <c r="W55" s="135"/>
      <c r="X55" s="135"/>
      <c r="Y55" s="135"/>
      <c r="Z55" s="135"/>
      <c r="AA55" s="135"/>
      <c r="AB55" s="135"/>
      <c r="AC55" s="135"/>
      <c r="AD55" s="135"/>
      <c r="AE55" s="135"/>
      <c r="AF55" s="135"/>
    </row>
    <row r="56" spans="2:32">
      <c r="B56" t="s">
        <v>418</v>
      </c>
      <c r="D56" t="s">
        <v>419</v>
      </c>
      <c r="F56" t="s">
        <v>420</v>
      </c>
      <c r="G56" s="11" t="s">
        <v>405</v>
      </c>
      <c r="I56" t="s">
        <v>354</v>
      </c>
      <c r="L56" t="s">
        <v>237</v>
      </c>
      <c r="M56">
        <v>0</v>
      </c>
      <c r="R56" s="131"/>
      <c r="S56" s="131"/>
      <c r="T56" s="131"/>
      <c r="U56" s="131"/>
      <c r="V56" s="131"/>
      <c r="W56" s="131"/>
      <c r="X56" s="131"/>
      <c r="Y56" s="131"/>
      <c r="Z56" s="131"/>
      <c r="AA56" s="131"/>
      <c r="AB56" s="131"/>
      <c r="AC56" s="131"/>
      <c r="AD56" s="131"/>
      <c r="AE56" s="131"/>
      <c r="AF56" s="131"/>
    </row>
    <row r="57" spans="2:32">
      <c r="B57" t="s">
        <v>418</v>
      </c>
      <c r="D57" t="s">
        <v>419</v>
      </c>
      <c r="F57" t="s">
        <v>421</v>
      </c>
      <c r="G57" s="11" t="s">
        <v>407</v>
      </c>
      <c r="I57" t="s">
        <v>354</v>
      </c>
      <c r="L57" t="s">
        <v>237</v>
      </c>
      <c r="M57">
        <v>0</v>
      </c>
      <c r="R57" s="14"/>
      <c r="S57" s="14"/>
      <c r="T57" s="14"/>
      <c r="U57" s="14"/>
      <c r="V57" s="14"/>
      <c r="W57" s="14"/>
      <c r="X57" s="14"/>
      <c r="Y57" s="14"/>
      <c r="Z57" s="14"/>
      <c r="AA57" s="14"/>
      <c r="AB57" s="14"/>
      <c r="AC57" s="14"/>
      <c r="AD57" s="14"/>
      <c r="AE57" s="14"/>
      <c r="AF57" s="14"/>
    </row>
    <row r="58" spans="2:32">
      <c r="B58" t="s">
        <v>418</v>
      </c>
      <c r="D58" t="s">
        <v>419</v>
      </c>
      <c r="F58" t="s">
        <v>422</v>
      </c>
      <c r="G58" s="11" t="s">
        <v>177</v>
      </c>
      <c r="I58" t="s">
        <v>301</v>
      </c>
      <c r="K58" t="s">
        <v>409</v>
      </c>
      <c r="L58" t="s">
        <v>231</v>
      </c>
      <c r="M58">
        <v>0</v>
      </c>
      <c r="N58">
        <v>0</v>
      </c>
      <c r="O58">
        <v>200</v>
      </c>
      <c r="P58">
        <v>2500</v>
      </c>
      <c r="R58" s="14"/>
      <c r="S58" s="14"/>
      <c r="T58" s="14"/>
      <c r="U58" s="14"/>
      <c r="V58" s="14"/>
      <c r="W58" s="14"/>
      <c r="X58" s="14"/>
      <c r="Y58" s="14"/>
      <c r="Z58" s="14"/>
      <c r="AA58" s="14"/>
      <c r="AB58" s="14"/>
      <c r="AC58" s="14"/>
      <c r="AD58" s="14"/>
      <c r="AE58" s="14"/>
      <c r="AF58" s="14"/>
    </row>
    <row r="59" spans="2:32">
      <c r="B59" t="s">
        <v>418</v>
      </c>
      <c r="D59" t="s">
        <v>419</v>
      </c>
      <c r="F59" t="s">
        <v>423</v>
      </c>
      <c r="G59" s="11" t="s">
        <v>175</v>
      </c>
      <c r="I59" t="s">
        <v>301</v>
      </c>
      <c r="K59" t="s">
        <v>409</v>
      </c>
      <c r="L59" t="s">
        <v>231</v>
      </c>
      <c r="M59">
        <v>1</v>
      </c>
      <c r="N59">
        <v>0</v>
      </c>
      <c r="O59">
        <v>100</v>
      </c>
      <c r="P59">
        <v>3000</v>
      </c>
      <c r="R59" s="14"/>
      <c r="S59" s="14"/>
      <c r="T59" s="14"/>
      <c r="U59" s="14"/>
      <c r="V59" s="14"/>
      <c r="W59" s="14"/>
      <c r="X59" s="14"/>
      <c r="Y59" s="14"/>
      <c r="Z59" s="14"/>
      <c r="AA59" s="14"/>
      <c r="AB59" s="14"/>
      <c r="AC59" s="14"/>
      <c r="AD59" s="14"/>
      <c r="AE59" s="14"/>
      <c r="AF59" s="14"/>
    </row>
    <row r="60" spans="2:32">
      <c r="B60" t="s">
        <v>418</v>
      </c>
      <c r="D60" t="s">
        <v>419</v>
      </c>
      <c r="F60" t="s">
        <v>424</v>
      </c>
      <c r="G60" s="11" t="s">
        <v>412</v>
      </c>
      <c r="I60" t="s">
        <v>301</v>
      </c>
      <c r="K60" t="s">
        <v>409</v>
      </c>
      <c r="L60" t="s">
        <v>231</v>
      </c>
      <c r="M60">
        <v>0</v>
      </c>
      <c r="N60">
        <v>0</v>
      </c>
      <c r="O60">
        <v>40</v>
      </c>
      <c r="P60">
        <v>300</v>
      </c>
      <c r="R60" s="14"/>
      <c r="S60" s="14"/>
      <c r="T60" s="14"/>
      <c r="U60" s="14"/>
      <c r="V60" s="14"/>
      <c r="W60" s="14"/>
      <c r="X60" s="14"/>
      <c r="Y60" s="14"/>
      <c r="Z60" s="14"/>
      <c r="AA60" s="14"/>
      <c r="AB60" s="14"/>
      <c r="AC60" s="14"/>
      <c r="AD60" s="14"/>
      <c r="AE60" s="14"/>
      <c r="AF60" s="14"/>
    </row>
    <row r="61" spans="2:32">
      <c r="B61" t="s">
        <v>418</v>
      </c>
      <c r="D61" t="s">
        <v>419</v>
      </c>
      <c r="F61" t="s">
        <v>425</v>
      </c>
      <c r="G61" s="11" t="s">
        <v>414</v>
      </c>
      <c r="I61" t="s">
        <v>301</v>
      </c>
      <c r="J61" t="s">
        <v>426</v>
      </c>
      <c r="L61" t="s">
        <v>231</v>
      </c>
      <c r="M61">
        <v>0</v>
      </c>
      <c r="N61">
        <v>0</v>
      </c>
      <c r="O61">
        <v>1</v>
      </c>
      <c r="P61">
        <v>100</v>
      </c>
      <c r="R61" s="14"/>
      <c r="S61" s="14"/>
      <c r="T61" s="14"/>
      <c r="U61" s="14"/>
      <c r="V61" s="14"/>
      <c r="W61" s="14"/>
      <c r="X61" s="14"/>
      <c r="Y61" s="14"/>
      <c r="Z61" s="14"/>
      <c r="AA61" s="14"/>
      <c r="AB61" s="14"/>
      <c r="AC61" s="14"/>
      <c r="AD61" s="14"/>
      <c r="AE61" s="14"/>
      <c r="AF61" s="14"/>
    </row>
    <row r="62" spans="2:32" s="35" customFormat="1" ht="15.75" thickBot="1">
      <c r="B62" s="35" t="s">
        <v>418</v>
      </c>
      <c r="D62" s="35" t="s">
        <v>419</v>
      </c>
      <c r="F62" s="35" t="s">
        <v>427</v>
      </c>
      <c r="G62" s="133" t="s">
        <v>334</v>
      </c>
      <c r="H62" s="35" t="s">
        <v>417</v>
      </c>
      <c r="I62" s="35" t="s">
        <v>301</v>
      </c>
      <c r="L62" s="35" t="s">
        <v>231</v>
      </c>
      <c r="M62" s="35">
        <v>0</v>
      </c>
      <c r="N62" s="35">
        <v>0</v>
      </c>
      <c r="O62" s="35">
        <v>0</v>
      </c>
      <c r="P62" s="35">
        <v>5</v>
      </c>
      <c r="Q62" s="35">
        <v>1</v>
      </c>
      <c r="R62" s="135"/>
      <c r="S62" s="135"/>
      <c r="T62" s="135"/>
      <c r="U62" s="135"/>
      <c r="V62" s="135"/>
      <c r="W62" s="135"/>
      <c r="X62" s="135"/>
      <c r="Y62" s="135"/>
      <c r="Z62" s="135"/>
      <c r="AA62" s="135"/>
      <c r="AB62" s="135"/>
      <c r="AC62" s="135"/>
      <c r="AD62" s="135"/>
      <c r="AE62" s="135"/>
      <c r="AF62" s="135"/>
    </row>
    <row r="63" spans="2:32">
      <c r="B63" t="s">
        <v>428</v>
      </c>
      <c r="D63" t="s">
        <v>429</v>
      </c>
      <c r="F63" t="s">
        <v>430</v>
      </c>
      <c r="G63" s="11" t="s">
        <v>405</v>
      </c>
      <c r="I63" t="s">
        <v>354</v>
      </c>
      <c r="L63" t="s">
        <v>237</v>
      </c>
      <c r="M63">
        <v>0</v>
      </c>
      <c r="R63" s="131"/>
      <c r="S63" s="131"/>
      <c r="T63" s="131"/>
      <c r="U63" s="131"/>
      <c r="V63" s="131"/>
      <c r="W63" s="131"/>
      <c r="X63" s="131"/>
      <c r="Y63" s="131"/>
      <c r="Z63" s="131"/>
      <c r="AA63" s="131"/>
      <c r="AB63" s="131"/>
      <c r="AC63" s="131"/>
      <c r="AD63" s="131"/>
      <c r="AE63" s="131"/>
      <c r="AF63" s="131"/>
    </row>
    <row r="64" spans="2:32">
      <c r="B64" t="s">
        <v>428</v>
      </c>
      <c r="D64" t="s">
        <v>429</v>
      </c>
      <c r="F64" t="s">
        <v>431</v>
      </c>
      <c r="G64" s="11" t="s">
        <v>407</v>
      </c>
      <c r="I64" t="s">
        <v>354</v>
      </c>
      <c r="L64" t="s">
        <v>237</v>
      </c>
      <c r="M64">
        <v>0</v>
      </c>
      <c r="R64" s="14"/>
      <c r="S64" s="14"/>
      <c r="T64" s="14"/>
      <c r="U64" s="14"/>
      <c r="V64" s="14"/>
      <c r="W64" s="14"/>
      <c r="X64" s="14"/>
      <c r="Y64" s="14"/>
      <c r="Z64" s="14"/>
      <c r="AA64" s="14"/>
      <c r="AB64" s="14"/>
      <c r="AC64" s="14"/>
      <c r="AD64" s="14"/>
      <c r="AE64" s="14"/>
      <c r="AF64" s="14"/>
    </row>
    <row r="65" spans="1:32">
      <c r="B65" t="s">
        <v>428</v>
      </c>
      <c r="D65" t="s">
        <v>429</v>
      </c>
      <c r="F65" t="s">
        <v>432</v>
      </c>
      <c r="G65" s="11" t="s">
        <v>177</v>
      </c>
      <c r="I65" t="s">
        <v>301</v>
      </c>
      <c r="K65" t="s">
        <v>409</v>
      </c>
      <c r="L65" t="s">
        <v>231</v>
      </c>
      <c r="M65">
        <v>0</v>
      </c>
      <c r="N65">
        <v>0</v>
      </c>
      <c r="O65">
        <v>200</v>
      </c>
      <c r="P65">
        <v>2500</v>
      </c>
      <c r="R65" s="14"/>
      <c r="S65" s="14"/>
      <c r="T65" s="14"/>
      <c r="U65" s="14"/>
      <c r="V65" s="14"/>
      <c r="W65" s="14"/>
      <c r="X65" s="14"/>
      <c r="Y65" s="14"/>
      <c r="Z65" s="14"/>
      <c r="AA65" s="14"/>
      <c r="AB65" s="14"/>
      <c r="AC65" s="14"/>
      <c r="AD65" s="14"/>
      <c r="AE65" s="14"/>
      <c r="AF65" s="14"/>
    </row>
    <row r="66" spans="1:32">
      <c r="B66" t="s">
        <v>428</v>
      </c>
      <c r="D66" t="s">
        <v>429</v>
      </c>
      <c r="F66" t="s">
        <v>433</v>
      </c>
      <c r="G66" s="11" t="s">
        <v>175</v>
      </c>
      <c r="I66" t="s">
        <v>301</v>
      </c>
      <c r="K66" t="s">
        <v>409</v>
      </c>
      <c r="L66" t="s">
        <v>231</v>
      </c>
      <c r="M66">
        <v>1</v>
      </c>
      <c r="N66">
        <v>0</v>
      </c>
      <c r="O66">
        <v>100</v>
      </c>
      <c r="P66">
        <v>3000</v>
      </c>
      <c r="R66" s="14"/>
      <c r="S66" s="14"/>
      <c r="T66" s="14"/>
      <c r="U66" s="14"/>
      <c r="V66" s="14"/>
      <c r="W66" s="14"/>
      <c r="X66" s="14"/>
      <c r="Y66" s="14"/>
      <c r="Z66" s="14"/>
      <c r="AA66" s="14"/>
      <c r="AB66" s="14"/>
      <c r="AC66" s="14"/>
      <c r="AD66" s="14"/>
      <c r="AE66" s="14"/>
      <c r="AF66" s="14"/>
    </row>
    <row r="67" spans="1:32">
      <c r="B67" t="s">
        <v>428</v>
      </c>
      <c r="D67" t="s">
        <v>429</v>
      </c>
      <c r="F67" t="s">
        <v>434</v>
      </c>
      <c r="G67" s="11" t="s">
        <v>412</v>
      </c>
      <c r="I67" t="s">
        <v>301</v>
      </c>
      <c r="K67" t="s">
        <v>409</v>
      </c>
      <c r="L67" t="s">
        <v>231</v>
      </c>
      <c r="M67">
        <v>0</v>
      </c>
      <c r="N67">
        <v>0</v>
      </c>
      <c r="O67">
        <v>40</v>
      </c>
      <c r="P67">
        <v>300</v>
      </c>
      <c r="R67" s="14"/>
      <c r="S67" s="14"/>
      <c r="T67" s="14"/>
      <c r="U67" s="14"/>
      <c r="V67" s="14"/>
      <c r="W67" s="14"/>
      <c r="X67" s="14"/>
      <c r="Y67" s="14"/>
      <c r="Z67" s="14"/>
      <c r="AA67" s="14"/>
      <c r="AB67" s="14"/>
      <c r="AC67" s="14"/>
      <c r="AD67" s="14"/>
      <c r="AE67" s="14"/>
      <c r="AF67" s="14"/>
    </row>
    <row r="68" spans="1:32">
      <c r="B68" t="s">
        <v>428</v>
      </c>
      <c r="D68" t="s">
        <v>429</v>
      </c>
      <c r="F68" t="s">
        <v>435</v>
      </c>
      <c r="G68" s="11" t="s">
        <v>414</v>
      </c>
      <c r="I68" t="s">
        <v>301</v>
      </c>
      <c r="J68" t="s">
        <v>436</v>
      </c>
      <c r="L68" t="s">
        <v>231</v>
      </c>
      <c r="M68">
        <v>0</v>
      </c>
      <c r="N68">
        <v>0</v>
      </c>
      <c r="O68">
        <v>1</v>
      </c>
      <c r="P68">
        <v>100</v>
      </c>
      <c r="R68" s="14"/>
      <c r="S68" s="14"/>
      <c r="T68" s="14"/>
      <c r="U68" s="14"/>
      <c r="V68" s="14"/>
      <c r="W68" s="14"/>
      <c r="X68" s="14"/>
      <c r="Y68" s="14"/>
      <c r="Z68" s="14"/>
      <c r="AA68" s="14"/>
      <c r="AB68" s="14"/>
      <c r="AC68" s="14"/>
      <c r="AD68" s="14"/>
      <c r="AE68" s="14"/>
      <c r="AF68" s="14"/>
    </row>
    <row r="69" spans="1:32" s="35" customFormat="1" ht="15.75" thickBot="1">
      <c r="B69" s="35" t="s">
        <v>428</v>
      </c>
      <c r="D69" s="35" t="s">
        <v>429</v>
      </c>
      <c r="F69" s="35" t="s">
        <v>437</v>
      </c>
      <c r="G69" s="133" t="s">
        <v>334</v>
      </c>
      <c r="H69" s="35" t="s">
        <v>417</v>
      </c>
      <c r="I69" s="35" t="s">
        <v>301</v>
      </c>
      <c r="L69" s="35" t="s">
        <v>231</v>
      </c>
      <c r="M69" s="35">
        <v>0</v>
      </c>
      <c r="N69" s="35">
        <v>0</v>
      </c>
      <c r="O69" s="35">
        <v>0</v>
      </c>
      <c r="P69" s="35">
        <v>5</v>
      </c>
      <c r="Q69" s="35">
        <v>1</v>
      </c>
      <c r="R69" s="135"/>
      <c r="S69" s="135"/>
      <c r="T69" s="135"/>
      <c r="U69" s="135"/>
      <c r="V69" s="135"/>
      <c r="W69" s="135"/>
      <c r="X69" s="135"/>
      <c r="Y69" s="135"/>
      <c r="Z69" s="135"/>
      <c r="AA69" s="135"/>
      <c r="AB69" s="135"/>
      <c r="AC69" s="135"/>
      <c r="AD69" s="135"/>
      <c r="AE69" s="135"/>
      <c r="AF69" s="135"/>
    </row>
    <row r="72" spans="1:32" ht="15.75" thickBot="1">
      <c r="D72" s="6" t="s">
        <v>438</v>
      </c>
      <c r="G72" s="149" t="s">
        <v>439</v>
      </c>
    </row>
    <row r="73" spans="1:32">
      <c r="A73" s="150"/>
      <c r="B73" s="150"/>
      <c r="C73" s="150"/>
      <c r="D73" s="151" t="s">
        <v>327</v>
      </c>
      <c r="E73" s="150"/>
      <c r="F73" s="150" t="s">
        <v>440</v>
      </c>
      <c r="G73" s="151" t="s">
        <v>320</v>
      </c>
      <c r="H73" s="150"/>
      <c r="I73" s="150"/>
      <c r="J73" s="150"/>
      <c r="K73" s="150"/>
      <c r="L73" s="150" t="s">
        <v>231</v>
      </c>
      <c r="M73" s="150"/>
      <c r="N73" s="150"/>
      <c r="O73" s="150"/>
      <c r="P73" s="150"/>
      <c r="Q73" s="150"/>
      <c r="R73" s="157">
        <f>IF(OR(R$10=Daten!$B$19,R$10=""),IF(IN_build!$Q$7="Ja",IN_build!$R$7,IN_build!$P$5),IF(OR(R$10&lt;IN_build!$P$5,R$10=Daten!$B$20),IN_build!$P$5,R$10))</f>
        <v>0</v>
      </c>
      <c r="S73" s="157">
        <f>IF(OR(S$10=Daten!$B$19,S$10=""),IF(IN_build!$Q$7="Ja",IN_build!$R$7,IN_build!$P$5),IF(OR(S$10&lt;IN_build!$P$5,S$10=Daten!$B$20),IN_build!$P$5,S$10))</f>
        <v>0</v>
      </c>
      <c r="T73" s="157">
        <f>IF(OR(T$10=Daten!$B$19,T$10=""),IF(IN_build!$Q$7="Ja",IN_build!$R$7,IN_build!$P$5),IF(OR(T$10&lt;IN_build!$P$5,T$10=Daten!$B$20),IN_build!$P$5,T$10))</f>
        <v>0</v>
      </c>
      <c r="U73" s="157">
        <f>IF(OR(U$10=Daten!$B$19,U$10=""),IF(IN_build!$Q$7="Ja",IN_build!$R$7,IN_build!$P$5),IF(OR(U$10&lt;IN_build!$P$5,U$10=Daten!$B$20),IN_build!$P$5,U$10))</f>
        <v>0</v>
      </c>
      <c r="V73" s="157">
        <f>IF(OR(V$10=Daten!$B$19,V$10=""),IF(IN_build!$Q$7="Ja",IN_build!$R$7,IN_build!$P$5),IF(OR(V$10&lt;IN_build!$P$5,V$10=Daten!$B$20),IN_build!$P$5,V$10))</f>
        <v>0</v>
      </c>
      <c r="W73" s="157">
        <f>IF(OR(W$10=Daten!$B$19,W$10=""),IF(IN_build!$Q$7="Ja",IN_build!$R$7,IN_build!$P$5),IF(OR(W$10&lt;IN_build!$P$5,W$10=Daten!$B$20),IN_build!$P$5,W$10))</f>
        <v>0</v>
      </c>
      <c r="X73" s="157">
        <f>IF(OR(X$10=Daten!$B$19,X$10=""),IF(IN_build!$Q$7="Ja",IN_build!$R$7,IN_build!$P$5),IF(OR(X$10&lt;IN_build!$P$5,X$10=Daten!$B$20),IN_build!$P$5,X$10))</f>
        <v>0</v>
      </c>
      <c r="Y73" s="157">
        <f>IF(OR(Y$10=Daten!$B$19,Y$10=""),IF(IN_build!$Q$7="Ja",IN_build!$R$7,IN_build!$P$5),IF(OR(Y$10&lt;IN_build!$P$5,Y$10=Daten!$B$20),IN_build!$P$5,Y$10))</f>
        <v>0</v>
      </c>
      <c r="Z73" s="157">
        <f>IF(OR(Z$10=Daten!$B$19,Z$10=""),IF(IN_build!$Q$7="Ja",IN_build!$R$7,IN_build!$P$5),IF(OR(Z$10&lt;IN_build!$P$5,Z$10=Daten!$B$20),IN_build!$P$5,Z$10))</f>
        <v>0</v>
      </c>
      <c r="AA73" s="157">
        <f>IF(OR(AA$10=Daten!$B$19,AA$10=""),IF(IN_build!$Q$7="Ja",IN_build!$R$7,IN_build!$P$5),IF(OR(AA$10&lt;IN_build!$P$5,AA$10=Daten!$B$20),IN_build!$P$5,AA$10))</f>
        <v>0</v>
      </c>
      <c r="AB73" s="157">
        <f>IF(OR(AB$10=Daten!$B$19,AB$10=""),IF(IN_build!$Q$7="Ja",IN_build!$R$7,IN_build!$P$5),IF(OR(AB$10&lt;IN_build!$P$5,AB$10=Daten!$B$20),IN_build!$P$5,AB$10))</f>
        <v>0</v>
      </c>
      <c r="AC73" s="157">
        <f>IF(OR(AC$10=Daten!$B$19,AC$10=""),IF(IN_build!$Q$7="Ja",IN_build!$R$7,IN_build!$P$5),IF(OR(AC$10&lt;IN_build!$P$5,AC$10=Daten!$B$20),IN_build!$P$5,AC$10))</f>
        <v>0</v>
      </c>
      <c r="AD73" s="157">
        <f>IF(OR(AD$10=Daten!$B$19,AD$10=""),IF(IN_build!$Q$7="Ja",IN_build!$R$7,IN_build!$P$5),IF(OR(AD$10&lt;IN_build!$P$5,AD$10=Daten!$B$20),IN_build!$P$5,AD$10))</f>
        <v>0</v>
      </c>
      <c r="AE73" s="157">
        <f>IF(OR(AE$10=Daten!$B$19,AE$10=""),IF(IN_build!$Q$7="Ja",IN_build!$R$7,IN_build!$P$5),IF(OR(AE$10&lt;IN_build!$P$5,AE$10=Daten!$B$20),IN_build!$P$5,AE$10))</f>
        <v>0</v>
      </c>
      <c r="AF73" s="157">
        <f>IF(OR(AF$10=Daten!$B$19,AF$10=""),IF(IN_build!$Q$7="Ja",IN_build!$R$7,IN_build!$P$5),IF(OR(AF$10&lt;IN_build!$P$5,AF$10=Daten!$B$20),IN_build!$P$5,AF$10))</f>
        <v>0</v>
      </c>
    </row>
    <row r="74" spans="1:32">
      <c r="A74" s="73"/>
      <c r="B74" s="73"/>
      <c r="C74" s="158"/>
      <c r="D74" s="159" t="s">
        <v>327</v>
      </c>
      <c r="E74" s="73"/>
      <c r="F74" s="158" t="s">
        <v>441</v>
      </c>
      <c r="G74" s="159" t="s">
        <v>442</v>
      </c>
      <c r="H74" s="73"/>
      <c r="I74" s="73"/>
      <c r="J74" s="73"/>
      <c r="K74" s="73" t="s">
        <v>325</v>
      </c>
      <c r="L74" s="73" t="s">
        <v>302</v>
      </c>
      <c r="M74" s="73"/>
      <c r="N74" s="73"/>
      <c r="O74" s="158"/>
      <c r="P74" s="158"/>
      <c r="Q74" s="73"/>
      <c r="R74" s="160" cm="1">
        <f t="array" aca="1" ref="R74" ca="1">IF(R10&gt;0,
IF(R73=IN_build!$P$5,0,_xlfn.XLOOKUP(1,
(INDIRECT("UWert_Mod[Bauteil]")="Außenwand")*
(INDIRECT("UWert_Mod[Modernisierungsjahr]")=R73),
INDIRECT("UWert_Mod[d_ins]")
)),IN_build!$T$7)</f>
        <v>0</v>
      </c>
      <c r="S74" s="160" cm="1">
        <f t="array" aca="1" ref="S74" ca="1">IF(S10&gt;0,
IF(S73=IN_build!$P$5,0,_xlfn.XLOOKUP(1,
(INDIRECT("UWert_Mod[Bauteil]")="Außenwand")*
(INDIRECT("UWert_Mod[Modernisierungsjahr]")=S73),
INDIRECT("UWert_Mod[d_ins]")
)),IN_build!$T$7)</f>
        <v>0</v>
      </c>
      <c r="T74" s="160" cm="1">
        <f t="array" aca="1" ref="T74" ca="1">IF(T10&gt;0,
IF(T73=IN_build!$P$5,0,_xlfn.XLOOKUP(1,
(INDIRECT("UWert_Mod[Bauteil]")="Außenwand")*
(INDIRECT("UWert_Mod[Modernisierungsjahr]")=T73),
INDIRECT("UWert_Mod[d_ins]")
)),IN_build!$T$7)</f>
        <v>0</v>
      </c>
      <c r="U74" s="160" cm="1">
        <f t="array" aca="1" ref="U74" ca="1">IF(U10&gt;0,
IF(U73=IN_build!$P$5,0,_xlfn.XLOOKUP(1,
(INDIRECT("UWert_Mod[Bauteil]")="Außenwand")*
(INDIRECT("UWert_Mod[Modernisierungsjahr]")=U73),
INDIRECT("UWert_Mod[d_ins]")
)),IN_build!$T$7)</f>
        <v>0</v>
      </c>
      <c r="V74" s="160" cm="1">
        <f t="array" aca="1" ref="V74" ca="1">IF(V10&gt;0,
IF(V73=IN_build!$P$5,0,_xlfn.XLOOKUP(1,
(INDIRECT("UWert_Mod[Bauteil]")="Außenwand")*
(INDIRECT("UWert_Mod[Modernisierungsjahr]")=V73),
INDIRECT("UWert_Mod[d_ins]")
)),IN_build!$T$7)</f>
        <v>0</v>
      </c>
      <c r="W74" s="160" cm="1">
        <f t="array" aca="1" ref="W74" ca="1">IF(W10&gt;0,
IF(W73=IN_build!$P$5,0,_xlfn.XLOOKUP(1,
(INDIRECT("UWert_Mod[Bauteil]")="Außenwand")*
(INDIRECT("UWert_Mod[Modernisierungsjahr]")=W73),
INDIRECT("UWert_Mod[d_ins]")
)),IN_build!$T$7)</f>
        <v>0</v>
      </c>
      <c r="X74" s="160" cm="1">
        <f t="array" aca="1" ref="X74" ca="1">IF(X10&gt;0,
IF(X73=IN_build!$P$5,0,_xlfn.XLOOKUP(1,
(INDIRECT("UWert_Mod[Bauteil]")="Außenwand")*
(INDIRECT("UWert_Mod[Modernisierungsjahr]")=X73),
INDIRECT("UWert_Mod[d_ins]")
)),IN_build!$T$7)</f>
        <v>0</v>
      </c>
      <c r="Y74" s="160" cm="1">
        <f t="array" aca="1" ref="Y74" ca="1">IF(Y10&gt;0,
IF(Y73=IN_build!$P$5,0,_xlfn.XLOOKUP(1,
(INDIRECT("UWert_Mod[Bauteil]")="Außenwand")*
(INDIRECT("UWert_Mod[Modernisierungsjahr]")=Y73),
INDIRECT("UWert_Mod[d_ins]")
)),IN_build!$T$7)</f>
        <v>0</v>
      </c>
      <c r="Z74" s="160" cm="1">
        <f t="array" aca="1" ref="Z74" ca="1">IF(Z10&gt;0,
IF(Z73=IN_build!$P$5,0,_xlfn.XLOOKUP(1,
(INDIRECT("UWert_Mod[Bauteil]")="Außenwand")*
(INDIRECT("UWert_Mod[Modernisierungsjahr]")=Z73),
INDIRECT("UWert_Mod[d_ins]")
)),IN_build!$T$7)</f>
        <v>0</v>
      </c>
      <c r="AA74" s="160" cm="1">
        <f t="array" aca="1" ref="AA74" ca="1">IF(AA10&gt;0,
IF(AA73=IN_build!$P$5,0,_xlfn.XLOOKUP(1,
(INDIRECT("UWert_Mod[Bauteil]")="Außenwand")*
(INDIRECT("UWert_Mod[Modernisierungsjahr]")=AA73),
INDIRECT("UWert_Mod[d_ins]")
)),IN_build!$T$7)</f>
        <v>0</v>
      </c>
      <c r="AB74" s="160" cm="1">
        <f t="array" aca="1" ref="AB74" ca="1">IF(AB10&gt;0,
IF(AB73=IN_build!$P$5,0,_xlfn.XLOOKUP(1,
(INDIRECT("UWert_Mod[Bauteil]")="Außenwand")*
(INDIRECT("UWert_Mod[Modernisierungsjahr]")=AB73),
INDIRECT("UWert_Mod[d_ins]")
)),IN_build!$T$7)</f>
        <v>0</v>
      </c>
      <c r="AC74" s="160" cm="1">
        <f t="array" aca="1" ref="AC74" ca="1">IF(AC10&gt;0,
IF(AC73=IN_build!$P$5,0,_xlfn.XLOOKUP(1,
(INDIRECT("UWert_Mod[Bauteil]")="Außenwand")*
(INDIRECT("UWert_Mod[Modernisierungsjahr]")=AC73),
INDIRECT("UWert_Mod[d_ins]")
)),IN_build!$T$7)</f>
        <v>0</v>
      </c>
      <c r="AD74" s="160" cm="1">
        <f t="array" aca="1" ref="AD74" ca="1">IF(AD10&gt;0,
IF(AD73=IN_build!$P$5,0,_xlfn.XLOOKUP(1,
(INDIRECT("UWert_Mod[Bauteil]")="Außenwand")*
(INDIRECT("UWert_Mod[Modernisierungsjahr]")=AD73),
INDIRECT("UWert_Mod[d_ins]")
)),IN_build!$T$7)</f>
        <v>0</v>
      </c>
      <c r="AE74" s="160" cm="1">
        <f t="array" aca="1" ref="AE74" ca="1">IF(AE10&gt;0,
IF(AE73=IN_build!$P$5,0,_xlfn.XLOOKUP(1,
(INDIRECT("UWert_Mod[Bauteil]")="Außenwand")*
(INDIRECT("UWert_Mod[Modernisierungsjahr]")=AE73),
INDIRECT("UWert_Mod[d_ins]")
)),IN_build!$T$7)</f>
        <v>0</v>
      </c>
      <c r="AF74" s="160" cm="1">
        <f t="array" aca="1" ref="AF74" ca="1">IF(AF10&gt;0,
IF(AF73=IN_build!$P$5,0,_xlfn.XLOOKUP(1,
(INDIRECT("UWert_Mod[Bauteil]")="Außenwand")*
(INDIRECT("UWert_Mod[Modernisierungsjahr]")=AF73),
INDIRECT("UWert_Mod[d_ins]")
)),IN_build!$T$7)</f>
        <v>0</v>
      </c>
    </row>
    <row r="75" spans="1:32" ht="15.75" thickBot="1">
      <c r="A75" s="152"/>
      <c r="B75" s="152"/>
      <c r="C75" s="152"/>
      <c r="D75" s="153" t="s">
        <v>327</v>
      </c>
      <c r="E75" s="152"/>
      <c r="F75" s="152" t="s">
        <v>443</v>
      </c>
      <c r="G75" s="153" t="s">
        <v>444</v>
      </c>
      <c r="H75" s="152"/>
      <c r="I75" s="152"/>
      <c r="J75" s="152"/>
      <c r="K75" s="152" t="s">
        <v>325</v>
      </c>
      <c r="L75" s="152" t="s">
        <v>302</v>
      </c>
      <c r="M75" s="152"/>
      <c r="N75" s="152"/>
      <c r="O75" s="154"/>
      <c r="P75" s="154"/>
      <c r="Q75" s="152"/>
      <c r="R75" s="141">
        <f ca="1">IF(R$11&lt;=0,R$74,R$11)</f>
        <v>0</v>
      </c>
      <c r="S75" s="170">
        <f t="shared" ref="S75:AF75" ca="1" si="4">IF(S$11&lt;=0,S$74,S$11)</f>
        <v>0</v>
      </c>
      <c r="T75" s="141">
        <f t="shared" ca="1" si="4"/>
        <v>0</v>
      </c>
      <c r="U75" s="141">
        <f t="shared" ca="1" si="4"/>
        <v>0</v>
      </c>
      <c r="V75" s="141">
        <f t="shared" ca="1" si="4"/>
        <v>0</v>
      </c>
      <c r="W75" s="141">
        <f t="shared" ca="1" si="4"/>
        <v>0</v>
      </c>
      <c r="X75" s="141">
        <f t="shared" ca="1" si="4"/>
        <v>0</v>
      </c>
      <c r="Y75" s="141">
        <f t="shared" ca="1" si="4"/>
        <v>0</v>
      </c>
      <c r="Z75" s="141">
        <f t="shared" ca="1" si="4"/>
        <v>0</v>
      </c>
      <c r="AA75" s="141">
        <f t="shared" ca="1" si="4"/>
        <v>0</v>
      </c>
      <c r="AB75" s="141">
        <f t="shared" ca="1" si="4"/>
        <v>0</v>
      </c>
      <c r="AC75" s="141">
        <f t="shared" ca="1" si="4"/>
        <v>0</v>
      </c>
      <c r="AD75" s="141">
        <f t="shared" ca="1" si="4"/>
        <v>0</v>
      </c>
      <c r="AE75" s="141">
        <f t="shared" ca="1" si="4"/>
        <v>0</v>
      </c>
      <c r="AF75" s="141">
        <f t="shared" ca="1" si="4"/>
        <v>0</v>
      </c>
    </row>
    <row r="76" spans="1:32">
      <c r="D76" s="11" t="s">
        <v>119</v>
      </c>
      <c r="E76" t="s">
        <v>331</v>
      </c>
      <c r="F76" t="str">
        <f>"YEAR_"&amp;D76&amp;"_"&amp;E76&amp;"_eff"</f>
        <v>YEAR_wall_win1_eff</v>
      </c>
      <c r="G76" s="11" t="s">
        <v>445</v>
      </c>
      <c r="R76" s="14">
        <f>IF(OR(R$15=Daten!$E$17,R$15=""),IN_build!$R$8,IF(OR(R$15=Daten!$E$18,R$15&lt;IN_build!$P$5),IN_build!$P$5,R$15))</f>
        <v>0</v>
      </c>
      <c r="S76" s="14">
        <f>IF(OR(S$15=Daten!$E$17,S$15=""),IN_build!$R$8,IF(OR(S$15=Daten!$E$18,S$15&lt;IN_build!$P$5),IN_build!$P$5,S$15))</f>
        <v>0</v>
      </c>
      <c r="T76" s="14">
        <f>IF(OR(T$15=Daten!$E$17,T$15=""),IN_build!$R$8,IF(OR(T$15=Daten!$E$18,T$15&lt;IN_build!$P$5),IN_build!$P$5,T$15))</f>
        <v>0</v>
      </c>
      <c r="U76" s="14">
        <f>IF(OR(U$15=Daten!$E$17,U$15=""),IN_build!$R$8,IF(OR(U$15=Daten!$E$18,U$15&lt;IN_build!$P$5),IN_build!$P$5,U$15))</f>
        <v>0</v>
      </c>
      <c r="V76" s="14">
        <f>IF(OR(V$15=Daten!$E$17,V$15=""),IN_build!$R$8,IF(OR(V$15=Daten!$E$18,V$15&lt;IN_build!$P$5),IN_build!$P$5,V$15))</f>
        <v>0</v>
      </c>
      <c r="W76" s="14">
        <f>IF(OR(W$15=Daten!$E$17,W$15=""),IN_build!$R$8,IF(OR(W$15=Daten!$E$18,W$15&lt;IN_build!$P$5),IN_build!$P$5,W$15))</f>
        <v>0</v>
      </c>
      <c r="X76" s="14">
        <f>IF(OR(X$15=Daten!$E$17,X$15=""),IN_build!$R$8,IF(OR(X$15=Daten!$E$18,X$15&lt;IN_build!$P$5),IN_build!$P$5,X$15))</f>
        <v>0</v>
      </c>
      <c r="Y76" s="14">
        <f>IF(OR(Y$15=Daten!$E$17,Y$15=""),IN_build!$R$8,IF(OR(Y$15=Daten!$E$18,Y$15&lt;IN_build!$P$5),IN_build!$P$5,Y$15))</f>
        <v>0</v>
      </c>
      <c r="Z76" s="14">
        <f>IF(OR(Z$15=Daten!$E$17,Z$15=""),IN_build!$R$8,IF(OR(Z$15=Daten!$E$18,Z$15&lt;IN_build!$P$5),IN_build!$P$5,Z$15))</f>
        <v>0</v>
      </c>
      <c r="AA76" s="14">
        <f>IF(OR(AA$15=Daten!$E$17,AA$15=""),IN_build!$R$8,IF(OR(AA$15=Daten!$E$18,AA$15&lt;IN_build!$P$5),IN_build!$P$5,AA$15))</f>
        <v>0</v>
      </c>
      <c r="AB76" s="14">
        <f>IF(OR(AB$15=Daten!$E$17,AB$15=""),IN_build!$R$8,IF(OR(AB$15=Daten!$E$18,AB$15&lt;IN_build!$P$5),IN_build!$P$5,AB$15))</f>
        <v>0</v>
      </c>
      <c r="AC76" s="14">
        <f>IF(OR(AC$15=Daten!$E$17,AC$15=""),IN_build!$R$8,IF(OR(AC$15=Daten!$E$18,AC$15&lt;IN_build!$P$5),IN_build!$P$5,AC$15))</f>
        <v>0</v>
      </c>
      <c r="AD76" s="14">
        <f>IF(OR(AD$15=Daten!$E$17,AD$15=""),IN_build!$R$8,IF(OR(AD$15=Daten!$E$18,AD$15&lt;IN_build!$P$5),IN_build!$P$5,AD$15))</f>
        <v>0</v>
      </c>
      <c r="AE76" s="14">
        <f>IF(OR(AE$15=Daten!$E$17,AE$15=""),IN_build!$R$8,IF(OR(AE$15=Daten!$E$18,AE$15&lt;IN_build!$P$5),IN_build!$P$5,AE$15))</f>
        <v>0</v>
      </c>
      <c r="AF76" s="14">
        <f>IF(OR(AF$15=Daten!$E$17,AF$15=""),IN_build!$R$8,IF(OR(AF$15=Daten!$E$18,AF$15&lt;IN_build!$P$5),IN_build!$P$5,AF$15))</f>
        <v>0</v>
      </c>
    </row>
    <row r="77" spans="1:32">
      <c r="D77" s="11" t="s">
        <v>119</v>
      </c>
      <c r="E77" t="s">
        <v>337</v>
      </c>
      <c r="F77" t="str">
        <f>"YEAR_"&amp;D77&amp;"_"&amp;E77&amp;"_eff"</f>
        <v>YEAR_wall_win2_eff</v>
      </c>
      <c r="G77" s="11" t="s">
        <v>445</v>
      </c>
      <c r="R77" s="14">
        <f>IF(OR(R$19=Daten!$E$17,R$19=""),IN_build!$R$8,IF(OR(R$19=Daten!$E$18,R$19&lt;IN_build!$P$5),IN_build!$P$5,R$19))</f>
        <v>0</v>
      </c>
      <c r="S77" s="14">
        <f>IF(OR(S$19=Daten!$E$17,S$19=""),IN_build!$R$8,IF(OR(S$19=Daten!$E$18,S$19&lt;IN_build!$P$5),IN_build!$P$5,S$19))</f>
        <v>0</v>
      </c>
      <c r="T77" s="14">
        <f>IF(OR(T$19=Daten!$E$17,T$19=""),IN_build!$R$8,IF(OR(T$19=Daten!$E$18,T$19&lt;IN_build!$P$5),IN_build!$P$5,T$19))</f>
        <v>0</v>
      </c>
      <c r="U77" s="14">
        <f>IF(OR(U$19=Daten!$E$17,U$19=""),IN_build!$R$8,IF(OR(U$19=Daten!$E$18,U$19&lt;IN_build!$P$5),IN_build!$P$5,U$19))</f>
        <v>0</v>
      </c>
      <c r="V77" s="14">
        <f>IF(OR(V$19=Daten!$E$17,V$19=""),IN_build!$R$8,IF(OR(V$19=Daten!$E$18,V$19&lt;IN_build!$P$5),IN_build!$P$5,V$19))</f>
        <v>0</v>
      </c>
      <c r="W77" s="14">
        <f>IF(OR(W$19=Daten!$E$17,W$19=""),IN_build!$R$8,IF(OR(W$19=Daten!$E$18,W$19&lt;IN_build!$P$5),IN_build!$P$5,W$19))</f>
        <v>0</v>
      </c>
      <c r="X77" s="14">
        <f>IF(OR(X$19=Daten!$E$17,X$19=""),IN_build!$R$8,IF(OR(X$19=Daten!$E$18,X$19&lt;IN_build!$P$5),IN_build!$P$5,X$19))</f>
        <v>0</v>
      </c>
      <c r="Y77" s="14">
        <f>IF(OR(Y$19=Daten!$E$17,Y$19=""),IN_build!$R$8,IF(OR(Y$19=Daten!$E$18,Y$19&lt;IN_build!$P$5),IN_build!$P$5,Y$19))</f>
        <v>0</v>
      </c>
      <c r="Z77" s="14">
        <f>IF(OR(Z$19=Daten!$E$17,Z$19=""),IN_build!$R$8,IF(OR(Z$19=Daten!$E$18,Z$19&lt;IN_build!$P$5),IN_build!$P$5,Z$19))</f>
        <v>0</v>
      </c>
      <c r="AA77" s="14">
        <f>IF(OR(AA$19=Daten!$E$17,AA$19=""),IN_build!$R$8,IF(OR(AA$19=Daten!$E$18,AA$19&lt;IN_build!$P$5),IN_build!$P$5,AA$19))</f>
        <v>0</v>
      </c>
      <c r="AB77" s="14">
        <f>IF(OR(AB$19=Daten!$E$17,AB$19=""),IN_build!$R$8,IF(OR(AB$19=Daten!$E$18,AB$19&lt;IN_build!$P$5),IN_build!$P$5,AB$19))</f>
        <v>0</v>
      </c>
      <c r="AC77" s="14">
        <f>IF(OR(AC$19=Daten!$E$17,AC$19=""),IN_build!$R$8,IF(OR(AC$19=Daten!$E$18,AC$19&lt;IN_build!$P$5),IN_build!$P$5,AC$19))</f>
        <v>0</v>
      </c>
      <c r="AD77" s="14">
        <f>IF(OR(AD$19=Daten!$E$17,AD$19=""),IN_build!$R$8,IF(OR(AD$19=Daten!$E$18,AD$19&lt;IN_build!$P$5),IN_build!$P$5,AD$19))</f>
        <v>0</v>
      </c>
      <c r="AE77" s="14">
        <f>IF(OR(AE$19=Daten!$E$17,AE$19=""),IN_build!$R$8,IF(OR(AE$19=Daten!$E$18,AE$19&lt;IN_build!$P$5),IN_build!$P$5,AE$19))</f>
        <v>0</v>
      </c>
      <c r="AF77" s="14">
        <f>IF(OR(AF$19=Daten!$E$17,AF$19=""),IN_build!$R$8,IF(OR(AF$19=Daten!$E$18,AF$19&lt;IN_build!$P$5),IN_build!$P$5,AF$19))</f>
        <v>0</v>
      </c>
    </row>
    <row r="78" spans="1:32" ht="15.75" thickBot="1">
      <c r="D78" s="11" t="s">
        <v>119</v>
      </c>
      <c r="E78" t="s">
        <v>339</v>
      </c>
      <c r="F78" t="str">
        <f>"YEAR_"&amp;D78&amp;"_"&amp;E78&amp;"_eff"</f>
        <v>YEAR_wall_win3_eff</v>
      </c>
      <c r="G78" s="11" t="s">
        <v>445</v>
      </c>
      <c r="R78" s="155">
        <f>IF(OR(R$23=Daten!$E$17,R$23=""),IN_build!$R$8,IF(OR(R$23=Daten!$E$18,R$23&lt;IN_build!$P$5),IN_build!$P$5,R$23))</f>
        <v>0</v>
      </c>
      <c r="S78" s="155">
        <f>IF(OR(S$23=Daten!$E$17,S$23=""),IN_build!$R$8,IF(OR(S$23=Daten!$E$18,S$23&lt;IN_build!$P$5),IN_build!$P$5,S$23))</f>
        <v>0</v>
      </c>
      <c r="T78" s="155">
        <f>IF(OR(T$23=Daten!$E$17,T$23=""),IN_build!$R$8,IF(OR(T$23=Daten!$E$18,T$23&lt;IN_build!$P$5),IN_build!$P$5,T$23))</f>
        <v>0</v>
      </c>
      <c r="U78" s="155">
        <f>IF(OR(U$23=Daten!$E$17,U$23=""),IN_build!$R$8,IF(OR(U$23=Daten!$E$18,U$23&lt;IN_build!$P$5),IN_build!$P$5,U$23))</f>
        <v>0</v>
      </c>
      <c r="V78" s="155">
        <f>IF(OR(V$23=Daten!$E$17,V$23=""),IN_build!$R$8,IF(OR(V$23=Daten!$E$18,V$23&lt;IN_build!$P$5),IN_build!$P$5,V$23))</f>
        <v>0</v>
      </c>
      <c r="W78" s="155">
        <f>IF(OR(W$23=Daten!$E$17,W$23=""),IN_build!$R$8,IF(OR(W$23=Daten!$E$18,W$23&lt;IN_build!$P$5),IN_build!$P$5,W$23))</f>
        <v>0</v>
      </c>
      <c r="X78" s="155">
        <f>IF(OR(X$23=Daten!$E$17,X$23=""),IN_build!$R$8,IF(OR(X$23=Daten!$E$18,X$23&lt;IN_build!$P$5),IN_build!$P$5,X$23))</f>
        <v>0</v>
      </c>
      <c r="Y78" s="155">
        <f>IF(OR(Y$23=Daten!$E$17,Y$23=""),IN_build!$R$8,IF(OR(Y$23=Daten!$E$18,Y$23&lt;IN_build!$P$5),IN_build!$P$5,Y$23))</f>
        <v>0</v>
      </c>
      <c r="Z78" s="155">
        <f>IF(OR(Z$23=Daten!$E$17,Z$23=""),IN_build!$R$8,IF(OR(Z$23=Daten!$E$18,Z$23&lt;IN_build!$P$5),IN_build!$P$5,Z$23))</f>
        <v>0</v>
      </c>
      <c r="AA78" s="155">
        <f>IF(OR(AA$23=Daten!$E$17,AA$23=""),IN_build!$R$8,IF(OR(AA$23=Daten!$E$18,AA$23&lt;IN_build!$P$5),IN_build!$P$5,AA$23))</f>
        <v>0</v>
      </c>
      <c r="AB78" s="155">
        <f>IF(OR(AB$23=Daten!$E$17,AB$23=""),IN_build!$R$8,IF(OR(AB$23=Daten!$E$18,AB$23&lt;IN_build!$P$5),IN_build!$P$5,AB$23))</f>
        <v>0</v>
      </c>
      <c r="AC78" s="155">
        <f>IF(OR(AC$23=Daten!$E$17,AC$23=""),IN_build!$R$8,IF(OR(AC$23=Daten!$E$18,AC$23&lt;IN_build!$P$5),IN_build!$P$5,AC$23))</f>
        <v>0</v>
      </c>
      <c r="AD78" s="155">
        <f>IF(OR(AD$23=Daten!$E$17,AD$23=""),IN_build!$R$8,IF(OR(AD$23=Daten!$E$18,AD$23&lt;IN_build!$P$5),IN_build!$P$5,AD$23))</f>
        <v>0</v>
      </c>
      <c r="AE78" s="155">
        <f>IF(OR(AE$23=Daten!$E$17,AE$23=""),IN_build!$R$8,IF(OR(AE$23=Daten!$E$18,AE$23&lt;IN_build!$P$5),IN_build!$P$5,AE$23))</f>
        <v>0</v>
      </c>
      <c r="AF78" s="155">
        <f>IF(OR(AF$23=Daten!$E$17,AF$23=""),IN_build!$R$8,IF(OR(AF$23=Daten!$E$18,AF$23&lt;IN_build!$P$5),IN_build!$P$5,AF$23))</f>
        <v>0</v>
      </c>
    </row>
    <row r="79" spans="1:32">
      <c r="A79" s="113"/>
      <c r="B79" s="113"/>
      <c r="C79" s="113"/>
      <c r="D79" s="156" t="s">
        <v>131</v>
      </c>
      <c r="E79" s="113" t="s">
        <v>331</v>
      </c>
      <c r="F79" s="113" t="s">
        <v>446</v>
      </c>
      <c r="G79" s="156" t="s">
        <v>445</v>
      </c>
      <c r="H79" s="113"/>
      <c r="I79" s="113"/>
      <c r="J79" s="113"/>
      <c r="K79" s="113"/>
      <c r="L79" s="113"/>
      <c r="M79" s="113"/>
      <c r="N79" s="113"/>
      <c r="O79" s="113"/>
      <c r="P79" s="113"/>
      <c r="Q79" s="113"/>
      <c r="R79" s="157">
        <f>IF(OR(R$43=Daten!$E$17,R$43=""),IF(IN_build!$R$8&gt;=IN_build!$R$9,IN_build!$R$8,IN_build!$R$9),IF(OR(R$43=Daten!$E$18,R$43&lt;IN_build!$P$5),IN_build!$P$5,R$43))</f>
        <v>0</v>
      </c>
      <c r="S79" s="157">
        <f>IF(OR(S$43=Daten!$E$17,S$43=""),IF(IN_build!$R$8&gt;=IN_build!$R$9,IN_build!$R$8,IN_build!$R$9),IF(OR(S$43=Daten!$E$18,S$43&lt;IN_build!$P$5),IN_build!$P$5,S$43))</f>
        <v>0</v>
      </c>
      <c r="T79" s="157">
        <f>IF(OR(T$43=Daten!$E$17,T$43=""),IF(IN_build!$R$8&gt;=IN_build!$R$9,IN_build!$R$8,IN_build!$R$9),IF(OR(T$43=Daten!$E$18,T$43&lt;IN_build!$P$5),IN_build!$P$5,T$43))</f>
        <v>0</v>
      </c>
      <c r="U79" s="157">
        <f>IF(OR(U$43=Daten!$E$17,U$43=""),IF(IN_build!$R$8&gt;=IN_build!$R$9,IN_build!$R$8,IN_build!$R$9),IF(OR(U$43=Daten!$E$18,U$43&lt;IN_build!$P$5),IN_build!$P$5,U$43))</f>
        <v>0</v>
      </c>
      <c r="V79" s="157">
        <f>IF(OR(V$43=Daten!$E$17,V$43=""),IF(IN_build!$R$8&gt;=IN_build!$R$9,IN_build!$R$8,IN_build!$R$9),IF(OR(V$43=Daten!$E$18,V$43&lt;IN_build!$P$5),IN_build!$P$5,V$43))</f>
        <v>0</v>
      </c>
      <c r="W79" s="157">
        <f>IF(OR(W$43=Daten!$E$17,W$43=""),IF(IN_build!$R$8&gt;=IN_build!$R$9,IN_build!$R$8,IN_build!$R$9),IF(OR(W$43=Daten!$E$18,W$43&lt;IN_build!$P$5),IN_build!$P$5,W$43))</f>
        <v>0</v>
      </c>
      <c r="X79" s="157">
        <f>IF(OR(X$43=Daten!$E$17,X$43=""),IF(IN_build!$R$8&gt;=IN_build!$R$9,IN_build!$R$8,IN_build!$R$9),IF(OR(X$43=Daten!$E$18,X$43&lt;IN_build!$P$5),IN_build!$P$5,X$43))</f>
        <v>0</v>
      </c>
      <c r="Y79" s="157">
        <f>IF(OR(Y$43=Daten!$E$17,Y$43=""),IF(IN_build!$R$8&gt;=IN_build!$R$9,IN_build!$R$8,IN_build!$R$9),IF(OR(Y$43=Daten!$E$18,Y$43&lt;IN_build!$P$5),IN_build!$P$5,Y$43))</f>
        <v>0</v>
      </c>
      <c r="Z79" s="157">
        <f>IF(OR(Z$43=Daten!$E$17,Z$43=""),IF(IN_build!$R$8&gt;=IN_build!$R$9,IN_build!$R$8,IN_build!$R$9),IF(OR(Z$43=Daten!$E$18,Z$43&lt;IN_build!$P$5),IN_build!$P$5,Z$43))</f>
        <v>0</v>
      </c>
      <c r="AA79" s="157">
        <f>IF(OR(AA$43=Daten!$E$17,AA$43=""),IF(IN_build!$R$8&gt;=IN_build!$R$9,IN_build!$R$8,IN_build!$R$9),IF(OR(AA$43=Daten!$E$18,AA$43&lt;IN_build!$P$5),IN_build!$P$5,AA$43))</f>
        <v>0</v>
      </c>
      <c r="AB79" s="157">
        <f>IF(OR(AB$43=Daten!$E$17,AB$43=""),IF(IN_build!$R$8&gt;=IN_build!$R$9,IN_build!$R$8,IN_build!$R$9),IF(OR(AB$43=Daten!$E$18,AB$43&lt;IN_build!$P$5),IN_build!$P$5,AB$43))</f>
        <v>0</v>
      </c>
      <c r="AC79" s="157">
        <f>IF(OR(AC$43=Daten!$E$17,AC$43=""),IF(IN_build!$R$8&gt;=IN_build!$R$9,IN_build!$R$8,IN_build!$R$9),IF(OR(AC$43=Daten!$E$18,AC$43&lt;IN_build!$P$5),IN_build!$P$5,AC$43))</f>
        <v>0</v>
      </c>
      <c r="AD79" s="157">
        <f>IF(OR(AD$43=Daten!$E$17,AD$43=""),IF(IN_build!$R$8&gt;=IN_build!$R$9,IN_build!$R$8,IN_build!$R$9),IF(OR(AD$43=Daten!$E$18,AD$43&lt;IN_build!$P$5),IN_build!$P$5,AD$43))</f>
        <v>0</v>
      </c>
      <c r="AE79" s="157">
        <f>IF(OR(AE$43=Daten!$E$17,AE$43=""),IF(IN_build!$R$8&gt;=IN_build!$R$9,IN_build!$R$8,IN_build!$R$9),IF(OR(AE$43=Daten!$E$18,AE$43&lt;IN_build!$P$5),IN_build!$P$5,AE$43))</f>
        <v>0</v>
      </c>
      <c r="AF79" s="157">
        <f>IF(OR(AF$43=Daten!$E$17,AF$43=""),IF(IN_build!$R$8&gt;=IN_build!$R$9,IN_build!$R$8,IN_build!$R$9),IF(OR(AF$43=Daten!$E$18,AF$43&lt;IN_build!$P$5),IN_build!$P$5,AF$43))</f>
        <v>0</v>
      </c>
    </row>
    <row r="80" spans="1:32" ht="15.75" thickBot="1">
      <c r="A80" s="35"/>
      <c r="B80" s="35"/>
      <c r="C80" s="35"/>
      <c r="D80" s="133" t="s">
        <v>131</v>
      </c>
      <c r="E80" s="35" t="s">
        <v>337</v>
      </c>
      <c r="F80" s="35" t="s">
        <v>446</v>
      </c>
      <c r="G80" s="133" t="s">
        <v>445</v>
      </c>
      <c r="H80" s="35"/>
      <c r="I80" s="35"/>
      <c r="J80" s="35"/>
      <c r="K80" s="35"/>
      <c r="L80" s="35"/>
      <c r="M80" s="35"/>
      <c r="N80" s="35"/>
      <c r="O80" s="35"/>
      <c r="P80" s="35"/>
      <c r="Q80" s="35"/>
      <c r="R80" s="135">
        <f>IF(OR(R$47=Daten!$E$17,R$47=""),IF(IN_build!$R$8&gt;=IN_build!$R$9,IN_build!$R$8,IN_build!$R$9),IF(OR(R$47=Daten!$E$18,R$47&lt;IN_build!$P$5),IN_build!$P$5,R$47))</f>
        <v>0</v>
      </c>
      <c r="S80" s="135">
        <f>IF(OR(S$47=Daten!$E$17,S$47=""),IF(IN_build!$R$8&gt;=IN_build!$R$9,IN_build!$R$8,IN_build!$R$9),IF(OR(S$47=Daten!$E$18,S$47&lt;IN_build!$P$5),IN_build!$P$5,S$47))</f>
        <v>0</v>
      </c>
      <c r="T80" s="135">
        <f>IF(OR(T$47=Daten!$E$17,T$47=""),IF(IN_build!$R$8&gt;=IN_build!$R$9,IN_build!$R$8,IN_build!$R$9),IF(OR(T$47=Daten!$E$18,T$47&lt;IN_build!$P$5),IN_build!$P$5,T$47))</f>
        <v>0</v>
      </c>
      <c r="U80" s="135">
        <f>IF(OR(U$47=Daten!$E$17,U$47=""),IF(IN_build!$R$8&gt;=IN_build!$R$9,IN_build!$R$8,IN_build!$R$9),IF(OR(U$47=Daten!$E$18,U$47&lt;IN_build!$P$5),IN_build!$P$5,U$47))</f>
        <v>0</v>
      </c>
      <c r="V80" s="135">
        <f>IF(OR(V$47=Daten!$E$17,V$47=""),IF(IN_build!$R$8&gt;=IN_build!$R$9,IN_build!$R$8,IN_build!$R$9),IF(OR(V$47=Daten!$E$18,V$47&lt;IN_build!$P$5),IN_build!$P$5,V$47))</f>
        <v>0</v>
      </c>
      <c r="W80" s="135">
        <f>IF(OR(W$47=Daten!$E$17,W$47=""),IF(IN_build!$R$8&gt;=IN_build!$R$9,IN_build!$R$8,IN_build!$R$9),IF(OR(W$47=Daten!$E$18,W$47&lt;IN_build!$P$5),IN_build!$P$5,W$47))</f>
        <v>0</v>
      </c>
      <c r="X80" s="135">
        <f>IF(OR(X$47=Daten!$E$17,X$47=""),IF(IN_build!$R$8&gt;=IN_build!$R$9,IN_build!$R$8,IN_build!$R$9),IF(OR(X$47=Daten!$E$18,X$47&lt;IN_build!$P$5),IN_build!$P$5,X$47))</f>
        <v>0</v>
      </c>
      <c r="Y80" s="135">
        <f>IF(OR(Y$47=Daten!$E$17,Y$47=""),IF(IN_build!$R$8&gt;=IN_build!$R$9,IN_build!$R$8,IN_build!$R$9),IF(OR(Y$47=Daten!$E$18,Y$47&lt;IN_build!$P$5),IN_build!$P$5,Y$47))</f>
        <v>0</v>
      </c>
      <c r="Z80" s="135">
        <f>IF(OR(Z$47=Daten!$E$17,Z$47=""),IF(IN_build!$R$8&gt;=IN_build!$R$9,IN_build!$R$8,IN_build!$R$9),IF(OR(Z$47=Daten!$E$18,Z$47&lt;IN_build!$P$5),IN_build!$P$5,Z$47))</f>
        <v>0</v>
      </c>
      <c r="AA80" s="135">
        <f>IF(OR(AA$47=Daten!$E$17,AA$47=""),IF(IN_build!$R$8&gt;=IN_build!$R$9,IN_build!$R$8,IN_build!$R$9),IF(OR(AA$47=Daten!$E$18,AA$47&lt;IN_build!$P$5),IN_build!$P$5,AA$47))</f>
        <v>0</v>
      </c>
      <c r="AB80" s="135">
        <f>IF(OR(AB$47=Daten!$E$17,AB$47=""),IF(IN_build!$R$8&gt;=IN_build!$R$9,IN_build!$R$8,IN_build!$R$9),IF(OR(AB$47=Daten!$E$18,AB$47&lt;IN_build!$P$5),IN_build!$P$5,AB$47))</f>
        <v>0</v>
      </c>
      <c r="AC80" s="135">
        <f>IF(OR(AC$47=Daten!$E$17,AC$47=""),IF(IN_build!$R$8&gt;=IN_build!$R$9,IN_build!$R$8,IN_build!$R$9),IF(OR(AC$47=Daten!$E$18,AC$47&lt;IN_build!$P$5),IN_build!$P$5,AC$47))</f>
        <v>0</v>
      </c>
      <c r="AD80" s="135">
        <f>IF(OR(AD$47=Daten!$E$17,AD$47=""),IF(IN_build!$R$8&gt;=IN_build!$R$9,IN_build!$R$8,IN_build!$R$9),IF(OR(AD$47=Daten!$E$18,AD$47&lt;IN_build!$P$5),IN_build!$P$5,AD$47))</f>
        <v>0</v>
      </c>
      <c r="AE80" s="135">
        <f>IF(OR(AE$47=Daten!$E$17,AE$47=""),IF(IN_build!$R$8&gt;=IN_build!$R$9,IN_build!$R$8,IN_build!$R$9),IF(OR(AE$47=Daten!$E$18,AE$47&lt;IN_build!$P$5),IN_build!$P$5,AE$47))</f>
        <v>0</v>
      </c>
      <c r="AF80" s="135">
        <f>IF(OR(AF$47=Daten!$E$17,AF$47=""),IF(IN_build!$R$8&gt;=IN_build!$R$9,IN_build!$R$8,IN_build!$R$9),IF(OR(AF$47=Daten!$E$18,AF$47&lt;IN_build!$P$5),IN_build!$P$5,AF$47))</f>
        <v>0</v>
      </c>
    </row>
    <row r="83" spans="2:32" s="35" customFormat="1" ht="15.75" thickBot="1">
      <c r="G83" s="126" t="s">
        <v>447</v>
      </c>
    </row>
    <row r="84" spans="2:32">
      <c r="B84" t="s">
        <v>350</v>
      </c>
      <c r="D84" t="s">
        <v>131</v>
      </c>
      <c r="F84" t="s">
        <v>448</v>
      </c>
      <c r="G84" s="11" t="s">
        <v>449</v>
      </c>
      <c r="H84" t="s">
        <v>450</v>
      </c>
      <c r="I84" t="s">
        <v>301</v>
      </c>
      <c r="J84" t="s">
        <v>451</v>
      </c>
      <c r="L84" t="s">
        <v>302</v>
      </c>
      <c r="M84">
        <v>1</v>
      </c>
      <c r="O84" s="42"/>
      <c r="P84" s="42"/>
      <c r="Q84" s="42"/>
      <c r="R84" s="131"/>
      <c r="S84" s="131"/>
      <c r="T84" s="131"/>
      <c r="U84" s="131"/>
      <c r="V84" s="131"/>
      <c r="W84" s="131"/>
      <c r="X84" s="131"/>
      <c r="Y84" s="131"/>
      <c r="Z84" s="131"/>
      <c r="AA84" s="131"/>
      <c r="AB84" s="131"/>
      <c r="AC84" s="131"/>
      <c r="AD84" s="131"/>
      <c r="AE84" s="131"/>
      <c r="AF84" s="131"/>
    </row>
    <row r="85" spans="2:32" s="73" customFormat="1">
      <c r="D85" s="73" t="s">
        <v>131</v>
      </c>
      <c r="F85" s="73" t="s">
        <v>452</v>
      </c>
      <c r="G85" s="159" t="s">
        <v>453</v>
      </c>
      <c r="H85" s="73" t="s">
        <v>454</v>
      </c>
      <c r="I85" s="73" t="s">
        <v>301</v>
      </c>
      <c r="J85" s="73" t="s">
        <v>451</v>
      </c>
      <c r="L85" s="73" t="s">
        <v>302</v>
      </c>
      <c r="M85" s="73">
        <v>1</v>
      </c>
    </row>
    <row r="87" spans="2:32">
      <c r="R87" s="42"/>
      <c r="S87" s="42"/>
    </row>
  </sheetData>
  <autoFilter ref="B1:Y69" xr:uid="{20892E64-CE98-4370-90F3-9CC89BDCD725}"/>
  <phoneticPr fontId="10" type="noConversion"/>
  <conditionalFormatting sqref="A73:A80">
    <cfRule type="expression" dxfId="87" priority="1">
      <formula>C73="x"</formula>
    </cfRule>
  </conditionalFormatting>
  <conditionalFormatting sqref="B1:B1048576">
    <cfRule type="expression" dxfId="86" priority="52">
      <formula>#REF!="x"</formula>
    </cfRule>
  </conditionalFormatting>
  <conditionalFormatting sqref="C1:C1048576">
    <cfRule type="expression" dxfId="85" priority="54">
      <formula>D1="x"</formula>
    </cfRule>
  </conditionalFormatting>
  <conditionalFormatting sqref="D1:D1048576 G40 H49 F49:G54 I49:I69 F56:G61 F63:G68">
    <cfRule type="expression" dxfId="84" priority="31">
      <formula>F1="x"</formula>
    </cfRule>
  </conditionalFormatting>
  <dataValidations count="3">
    <dataValidation type="list" allowBlank="1" showInputMessage="1" showErrorMessage="1" sqref="R56:AF56 R63:AF63 R49:AF49" xr:uid="{AF929C2E-EA0C-4678-A7A7-858ABD13B526}">
      <formula1>INDIRECT("Heizkörpertypen")</formula1>
    </dataValidation>
    <dataValidation type="list" allowBlank="1" showInputMessage="1" showErrorMessage="1" sqref="R57:AF58 R64:AF65 R50:AF51" xr:uid="{04D8E457-F3A4-4AC8-9BF5-760C2FC0B03D}">
      <formula1>INDIRECT(R49)</formula1>
    </dataValidation>
    <dataValidation type="list" allowBlank="1" showInputMessage="1" showErrorMessage="1" sqref="R60:AF60 R67:AF67 R53:AF53" xr:uid="{DB209949-E7A4-4A11-9562-52CDA26BBBF3}">
      <formula1>INDIRECT(R50&amp;"_t")</formula1>
    </dataValidation>
  </dataValidations>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4E2BE67D-AC1F-41C1-AC51-5D99CA30DB21}">
          <x14:formula1>
            <xm:f>Daten!$E$66:$E$67</xm:f>
          </x14:formula1>
          <xm:sqref>R40:AF40 R25:AF25 R35:AF35</xm:sqref>
        </x14:dataValidation>
        <x14:dataValidation type="list" allowBlank="1" showInputMessage="1" showErrorMessage="1" xr:uid="{671CF81A-480E-4E70-8466-A72E6666D078}">
          <x14:formula1>
            <xm:f>Daten!$E$17:$E$29</xm:f>
          </x14:formula1>
          <xm:sqref>R23:AF23 R47:AF47 R15:AF15 R19:AF19 R43:AF43</xm:sqref>
        </x14:dataValidation>
        <x14:dataValidation type="list" allowBlank="1" showInputMessage="1" showErrorMessage="1" xr:uid="{30EB2995-59BE-4DA8-B811-D512D719A8C9}">
          <x14:formula1>
            <xm:f>Daten!$E$106:$E$109</xm:f>
          </x14:formula1>
          <xm:sqref>R12:AF12 R8:AF8</xm:sqref>
        </x14:dataValidation>
        <x14:dataValidation type="list" allowBlank="1" showInputMessage="1" showErrorMessage="1" xr:uid="{1447E077-0B2C-4CE5-9AF0-B2791E1AE97C}">
          <x14:formula1>
            <xm:f>Daten!$E$106:$E$108</xm:f>
          </x14:formula1>
          <xm:sqref>R7:AF7</xm:sqref>
        </x14:dataValidation>
        <x14:dataValidation type="list" allowBlank="1" showInputMessage="1" showErrorMessage="1" xr:uid="{E68015B9-36E3-4185-8346-9FA43E577404}">
          <x14:formula1>
            <xm:f>Daten!$B$19:$B$25</xm:f>
          </x14:formula1>
          <xm:sqref>R10:AF10</xm:sqref>
        </x14:dataValidation>
        <x14:dataValidation type="list" allowBlank="1" showInputMessage="1" showErrorMessage="1" xr:uid="{14344A16-0097-4A81-801A-DA38D222504F}">
          <x14:formula1>
            <xm:f>Daten!$B$29:$B$33</xm:f>
          </x14:formula1>
          <xm:sqref>R28:AF28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AE0D-41F1-417C-913C-795186D59B2F}">
  <sheetPr>
    <tabColor rgb="FFA2C5D3"/>
  </sheetPr>
  <dimension ref="A1:W76"/>
  <sheetViews>
    <sheetView tabSelected="1" zoomScale="115" zoomScaleNormal="115" workbookViewId="0">
      <pane ySplit="1" topLeftCell="A2" activePane="bottomLeft" state="frozen"/>
      <selection pane="bottomLeft" activeCell="A2" sqref="A2"/>
      <selection activeCell="H32" sqref="B30:H32"/>
    </sheetView>
  </sheetViews>
  <sheetFormatPr defaultColWidth="11.42578125" defaultRowHeight="15"/>
  <cols>
    <col min="1" max="1" width="15.42578125" customWidth="1"/>
    <col min="2" max="2" width="42.28515625" bestFit="1" customWidth="1"/>
    <col min="3" max="4" width="14.140625" customWidth="1"/>
    <col min="5" max="5" width="23.28515625" bestFit="1" customWidth="1"/>
    <col min="6" max="6" width="9.5703125" customWidth="1"/>
    <col min="7" max="8" width="14.140625" hidden="1" customWidth="1"/>
    <col min="9" max="19" width="11.42578125" customWidth="1"/>
  </cols>
  <sheetData>
    <row r="1" spans="1:23" ht="15.75" thickBot="1">
      <c r="A1" s="71" t="s">
        <v>455</v>
      </c>
      <c r="B1" s="71" t="s">
        <v>0</v>
      </c>
      <c r="C1" s="71" t="s">
        <v>210</v>
      </c>
      <c r="D1" s="71" t="s">
        <v>211</v>
      </c>
      <c r="E1" s="71" t="s">
        <v>212</v>
      </c>
      <c r="F1" s="71" t="s">
        <v>2</v>
      </c>
      <c r="G1" s="71" t="s">
        <v>456</v>
      </c>
      <c r="H1" s="71" t="s">
        <v>457</v>
      </c>
      <c r="I1" s="71" t="s">
        <v>292</v>
      </c>
    </row>
    <row r="2" spans="1:23" s="11" customFormat="1">
      <c r="C2" t="s">
        <v>458</v>
      </c>
      <c r="D2"/>
      <c r="E2" t="s">
        <v>293</v>
      </c>
      <c r="I2" s="11">
        <f>IN_rooms!R2</f>
        <v>1</v>
      </c>
      <c r="J2" s="11">
        <f>IN_rooms!S2</f>
        <v>2</v>
      </c>
      <c r="K2" s="11">
        <f>IN_rooms!T2</f>
        <v>3</v>
      </c>
      <c r="L2" s="11">
        <f>IN_rooms!U2</f>
        <v>4</v>
      </c>
      <c r="M2" s="11">
        <f>IN_rooms!V2</f>
        <v>5</v>
      </c>
      <c r="N2" s="11">
        <f>IN_rooms!W2</f>
        <v>6</v>
      </c>
      <c r="O2" s="11">
        <f>IN_rooms!X2</f>
        <v>7</v>
      </c>
      <c r="P2" s="11">
        <f>IN_rooms!Y2</f>
        <v>8</v>
      </c>
      <c r="Q2" s="11">
        <f>IN_rooms!Z2</f>
        <v>9</v>
      </c>
      <c r="R2" s="11">
        <f>IN_rooms!AA2</f>
        <v>10</v>
      </c>
      <c r="S2" s="11">
        <f>IN_rooms!AB2</f>
        <v>11</v>
      </c>
      <c r="T2" s="11">
        <f>IN_rooms!AC2</f>
        <v>12</v>
      </c>
      <c r="U2" s="11">
        <f>IN_rooms!AD2</f>
        <v>13</v>
      </c>
      <c r="V2" s="11">
        <f>IN_rooms!AE2</f>
        <v>14</v>
      </c>
      <c r="W2" s="11">
        <f>IN_rooms!AF2</f>
        <v>15</v>
      </c>
    </row>
    <row r="3" spans="1:23">
      <c r="B3" t="s">
        <v>232</v>
      </c>
      <c r="E3" t="s">
        <v>233</v>
      </c>
      <c r="I3">
        <f>IN_build!$P$3</f>
        <v>0</v>
      </c>
      <c r="J3">
        <f>IN_build!$P$3</f>
        <v>0</v>
      </c>
      <c r="K3">
        <f>IN_build!$P$3</f>
        <v>0</v>
      </c>
      <c r="L3">
        <f>IN_build!$P$3</f>
        <v>0</v>
      </c>
      <c r="M3">
        <f>IN_build!$P$3</f>
        <v>0</v>
      </c>
      <c r="N3">
        <f>IN_build!$P$3</f>
        <v>0</v>
      </c>
      <c r="O3">
        <f>IN_build!$P$3</f>
        <v>0</v>
      </c>
      <c r="P3">
        <f>IN_build!$P$3</f>
        <v>0</v>
      </c>
      <c r="Q3">
        <f>IN_build!$P$3</f>
        <v>0</v>
      </c>
      <c r="R3">
        <f>IN_build!$P$3</f>
        <v>0</v>
      </c>
      <c r="S3">
        <f>IN_build!$P$3</f>
        <v>0</v>
      </c>
      <c r="T3">
        <f>IN_build!$P$3</f>
        <v>0</v>
      </c>
      <c r="U3">
        <f>IN_build!$P$3</f>
        <v>0</v>
      </c>
      <c r="V3">
        <f>IN_build!$P$3</f>
        <v>0</v>
      </c>
      <c r="W3">
        <f>IN_build!$P$3</f>
        <v>0</v>
      </c>
    </row>
    <row r="4" spans="1:23" ht="15.75" thickBot="1">
      <c r="B4" t="s">
        <v>185</v>
      </c>
      <c r="E4" t="s">
        <v>241</v>
      </c>
      <c r="I4">
        <f>IN_build!$P$5</f>
        <v>0</v>
      </c>
      <c r="J4">
        <f>IN_build!$P$5</f>
        <v>0</v>
      </c>
      <c r="K4">
        <f>IN_build!$P$5</f>
        <v>0</v>
      </c>
      <c r="L4">
        <f>IN_build!$P$5</f>
        <v>0</v>
      </c>
      <c r="M4">
        <f>IN_build!$P$5</f>
        <v>0</v>
      </c>
      <c r="N4">
        <f>IN_build!$P$5</f>
        <v>0</v>
      </c>
      <c r="O4">
        <f>IN_build!$P$5</f>
        <v>0</v>
      </c>
      <c r="P4">
        <f>IN_build!$P$5</f>
        <v>0</v>
      </c>
      <c r="Q4">
        <f>IN_build!$P$5</f>
        <v>0</v>
      </c>
      <c r="R4">
        <f>IN_build!$P$5</f>
        <v>0</v>
      </c>
      <c r="S4">
        <f>IN_build!$P$5</f>
        <v>0</v>
      </c>
      <c r="T4">
        <f>IN_build!$P$5</f>
        <v>0</v>
      </c>
      <c r="U4">
        <f>IN_build!$P$5</f>
        <v>0</v>
      </c>
      <c r="V4">
        <f>IN_build!$P$5</f>
        <v>0</v>
      </c>
      <c r="W4">
        <f>IN_build!$P$5</f>
        <v>0</v>
      </c>
    </row>
    <row r="5" spans="1:23" ht="15.75" thickBot="1">
      <c r="B5" t="s">
        <v>459</v>
      </c>
      <c r="E5" t="s">
        <v>295</v>
      </c>
      <c r="I5" s="36">
        <f>IN_rooms!R3</f>
        <v>0</v>
      </c>
      <c r="J5" s="5">
        <f>IN_rooms!S3</f>
        <v>0</v>
      </c>
      <c r="K5" s="36">
        <f>IN_rooms!T3</f>
        <v>0</v>
      </c>
      <c r="L5" s="5">
        <f>IN_rooms!U3</f>
        <v>0</v>
      </c>
      <c r="M5" s="5">
        <f>IN_rooms!V3</f>
        <v>0</v>
      </c>
      <c r="N5" s="5">
        <f>IN_rooms!W3</f>
        <v>0</v>
      </c>
      <c r="O5" s="5">
        <f>IN_rooms!X3</f>
        <v>0</v>
      </c>
      <c r="P5" s="5">
        <f>IN_rooms!Y3</f>
        <v>0</v>
      </c>
      <c r="Q5" s="5">
        <f>IN_rooms!Z3</f>
        <v>0</v>
      </c>
      <c r="R5" s="5">
        <f>IN_rooms!AA3</f>
        <v>0</v>
      </c>
      <c r="S5" s="5" t="str">
        <f>IN_rooms!AB3</f>
        <v/>
      </c>
      <c r="T5" s="5" t="str">
        <f>IN_rooms!AC3</f>
        <v/>
      </c>
      <c r="U5" s="5" t="str">
        <f>IN_rooms!AD3</f>
        <v/>
      </c>
      <c r="V5" s="5" t="str">
        <f>IN_rooms!AE3</f>
        <v/>
      </c>
      <c r="W5" s="5" t="str">
        <f>IN_rooms!AF3</f>
        <v/>
      </c>
    </row>
    <row r="6" spans="1:23" ht="15.75" thickBot="1">
      <c r="A6" t="s">
        <v>460</v>
      </c>
      <c r="B6" t="s">
        <v>461</v>
      </c>
      <c r="E6" t="s">
        <v>462</v>
      </c>
      <c r="F6" t="s">
        <v>107</v>
      </c>
      <c r="I6" s="36">
        <f>IF(I$26&gt;0,HLOOKUP("f_Vroom_roof",PAR!$F$1:$Y$5,2,FALSE)*IN_rooms!R$4*IN_rooms!R$5+I$25,IN_rooms!R$4*IN_rooms!R$5)</f>
        <v>0</v>
      </c>
      <c r="J6" s="36">
        <f>IF(J$26&gt;0,HLOOKUP("f_Vroom_roof",PAR!$F$1:$Y$5,2,FALSE)*IN_rooms!S$4*IN_rooms!S$5+J$25,IN_rooms!S$4*IN_rooms!S$5)</f>
        <v>0</v>
      </c>
      <c r="K6" s="36">
        <f>IF(K$26&gt;0,HLOOKUP("f_Vroom_roof",PAR!$F$1:$Y$5,2,FALSE)*IN_rooms!T$4*IN_rooms!T$5+K$25,IN_rooms!T$4*IN_rooms!T$5)</f>
        <v>0</v>
      </c>
      <c r="L6" s="36">
        <f>IF(L$26&gt;0,HLOOKUP("f_Vroom_roof",PAR!$F$1:$Y$5,2,FALSE)*IN_rooms!U$4*IN_rooms!U$5+L$25,IN_rooms!U$4*IN_rooms!U$5)</f>
        <v>0</v>
      </c>
      <c r="M6" s="36">
        <f>IF(M$26&gt;0,HLOOKUP("f_Vroom_roof",PAR!$F$1:$Y$5,2,FALSE)*IN_rooms!V$4*IN_rooms!V$5+M$25,IN_rooms!V$4*IN_rooms!V$5)</f>
        <v>0</v>
      </c>
      <c r="N6" s="36">
        <f>IF(N$26&gt;0,HLOOKUP("f_Vroom_roof",PAR!$F$1:$Y$5,2,FALSE)*IN_rooms!W$4*IN_rooms!W$5+N$25,IN_rooms!W$4*IN_rooms!W$5)</f>
        <v>0</v>
      </c>
      <c r="O6" s="36">
        <f>IF(O$26&gt;0,HLOOKUP("f_Vroom_roof",PAR!$F$1:$Y$5,2,FALSE)*IN_rooms!X$4*IN_rooms!X$5+O$25,IN_rooms!X$4*IN_rooms!X$5)</f>
        <v>0</v>
      </c>
      <c r="P6" s="36">
        <f>IF(P$26&gt;0,HLOOKUP("f_Vroom_roof",PAR!$F$1:$Y$5,2,FALSE)*IN_rooms!Y$4*IN_rooms!Y$5+P$25,IN_rooms!Y$4*IN_rooms!Y$5)</f>
        <v>0</v>
      </c>
      <c r="Q6" s="36">
        <f>IF(Q$26&gt;0,HLOOKUP("f_Vroom_roof",PAR!$F$1:$Y$5,2,FALSE)*IN_rooms!Z$4*IN_rooms!Z$5+Q$25,IN_rooms!Z$4*IN_rooms!Z$5)</f>
        <v>0</v>
      </c>
      <c r="R6" s="36">
        <f>IF(R$26&gt;0,HLOOKUP("f_Vroom_roof",PAR!$F$1:$Y$5,2,FALSE)*IN_rooms!AA$4*IN_rooms!AA$5+R$25,IN_rooms!AA$4*IN_rooms!AA$5)</f>
        <v>0</v>
      </c>
      <c r="S6" s="36">
        <f>IF(S$26&gt;0,HLOOKUP("f_Vroom_roof",PAR!$F$1:$Y$5,2,FALSE)*IN_rooms!AB$4*IN_rooms!AB$5+S$25,IN_rooms!AB$4*IN_rooms!AB$5)</f>
        <v>0</v>
      </c>
      <c r="T6" s="36">
        <f>IF(T$26&gt;0,HLOOKUP("f_Vroom_roof",PAR!$F$1:$Y$5,2,FALSE)*IN_rooms!AC$4*IN_rooms!AC$5+T$25,IN_rooms!AC$4*IN_rooms!AC$5)</f>
        <v>0</v>
      </c>
      <c r="U6" s="36">
        <f>IF(U$26&gt;0,HLOOKUP("f_Vroom_roof",PAR!$F$1:$Y$5,2,FALSE)*IN_rooms!AD$4*IN_rooms!AD$5+U$25,IN_rooms!AD$4*IN_rooms!AD$5)</f>
        <v>0</v>
      </c>
      <c r="V6" s="36">
        <f>IF(V$26&gt;0,HLOOKUP("f_Vroom_roof",PAR!$F$1:$Y$5,2,FALSE)*IN_rooms!AE$4*IN_rooms!AE$5+V$25,IN_rooms!AE$4*IN_rooms!AE$5)</f>
        <v>0</v>
      </c>
      <c r="W6" s="36">
        <f>IF(W$26&gt;0,HLOOKUP("f_Vroom_roof",PAR!$F$1:$Y$5,2,FALSE)*IN_rooms!AF$4*IN_rooms!AF$5+W$25,IN_rooms!AF$4*IN_rooms!AF$5)</f>
        <v>0</v>
      </c>
    </row>
    <row r="7" spans="1:23" ht="15.75" thickBot="1">
      <c r="A7" t="s">
        <v>460</v>
      </c>
      <c r="B7" t="s">
        <v>463</v>
      </c>
      <c r="E7" t="s">
        <v>464</v>
      </c>
      <c r="F7" t="s">
        <v>65</v>
      </c>
      <c r="I7" s="36">
        <f>0.5</f>
        <v>0.5</v>
      </c>
      <c r="J7" s="5">
        <f t="shared" ref="J7:W7" si="0">0.5</f>
        <v>0.5</v>
      </c>
      <c r="K7" s="36">
        <f t="shared" si="0"/>
        <v>0.5</v>
      </c>
      <c r="L7" s="5">
        <f t="shared" si="0"/>
        <v>0.5</v>
      </c>
      <c r="M7" s="5">
        <f t="shared" si="0"/>
        <v>0.5</v>
      </c>
      <c r="N7" s="5">
        <f t="shared" si="0"/>
        <v>0.5</v>
      </c>
      <c r="O7" s="5">
        <f t="shared" si="0"/>
        <v>0.5</v>
      </c>
      <c r="P7" s="5">
        <f t="shared" si="0"/>
        <v>0.5</v>
      </c>
      <c r="Q7" s="5">
        <f t="shared" si="0"/>
        <v>0.5</v>
      </c>
      <c r="R7" s="5">
        <f t="shared" si="0"/>
        <v>0.5</v>
      </c>
      <c r="S7" s="5">
        <f t="shared" si="0"/>
        <v>0.5</v>
      </c>
      <c r="T7" s="5">
        <f t="shared" si="0"/>
        <v>0.5</v>
      </c>
      <c r="U7" s="5">
        <f t="shared" si="0"/>
        <v>0.5</v>
      </c>
      <c r="V7" s="5">
        <f t="shared" si="0"/>
        <v>0.5</v>
      </c>
      <c r="W7" s="5">
        <f t="shared" si="0"/>
        <v>0.5</v>
      </c>
    </row>
    <row r="8" spans="1:23" ht="15.75" thickBot="1">
      <c r="B8" t="s">
        <v>465</v>
      </c>
      <c r="E8" t="s">
        <v>466</v>
      </c>
      <c r="F8" t="s">
        <v>24</v>
      </c>
      <c r="I8" s="36" t="e">
        <f ca="1">IF(AND(I$16&lt;=U_GEG_A.7!$C$10,
I$28&lt;=AVERAGE(U_GEG_A.7!$C$21:$C$22,
I$34&lt;=U_GEG_A.7!$C$21,I$39&lt;=U_GEG_A.7!$C$25),
I$45&lt;=U_GEG_A.7!$C$11,
I$63&lt;=U_GEG_A.7!$C$12,
I$69&lt;=U_GEG_A.7!$C$12),
0.05,0.1)</f>
        <v>#NUM!</v>
      </c>
      <c r="J8" s="5" t="e">
        <f ca="1">IF(AND(J$16&lt;=U_GEG_A.7!$C$10,
J$28&lt;=AVERAGE(U_GEG_A.7!$C$21:$C$22,
J$34&lt;=U_GEG_A.7!$C$21,J$39&lt;=U_GEG_A.7!$C$25),
J$45&lt;=U_GEG_A.7!$C$11,
J$63&lt;=U_GEG_A.7!$C$12,
J$69&lt;=U_GEG_A.7!$C$12),
0.05,0.1)</f>
        <v>#NUM!</v>
      </c>
      <c r="K8" s="36" t="e">
        <f ca="1">IF(AND(K$16&lt;=U_GEG_A.7!$C$10,
K$28&lt;=AVERAGE(U_GEG_A.7!$C$21:$C$22,
K$34&lt;=U_GEG_A.7!$C$21,K$39&lt;=U_GEG_A.7!$C$25),
K$45&lt;=U_GEG_A.7!$C$11,
K$63&lt;=U_GEG_A.7!$C$12,
K$69&lt;=U_GEG_A.7!$C$12),
0.05,0.1)</f>
        <v>#NUM!</v>
      </c>
      <c r="L8" s="5" t="e">
        <f ca="1">IF(AND(L$16&lt;=U_GEG_A.7!$C$10,
L$28&lt;=AVERAGE(U_GEG_A.7!$C$21:$C$22,
L$34&lt;=U_GEG_A.7!$C$21,L$39&lt;=U_GEG_A.7!$C$25),
L$45&lt;=U_GEG_A.7!$C$11,
L$63&lt;=U_GEG_A.7!$C$12,
L$69&lt;=U_GEG_A.7!$C$12),
0.05,0.1)</f>
        <v>#NUM!</v>
      </c>
      <c r="M8" s="5" t="e">
        <f ca="1">IF(AND(M$16&lt;=U_GEG_A.7!$C$10,
M$28&lt;=AVERAGE(U_GEG_A.7!$C$21:$C$22,
M$34&lt;=U_GEG_A.7!$C$21,M$39&lt;=U_GEG_A.7!$C$25),
M$45&lt;=U_GEG_A.7!$C$11,
M$63&lt;=U_GEG_A.7!$C$12,
M$69&lt;=U_GEG_A.7!$C$12),
0.05,0.1)</f>
        <v>#NUM!</v>
      </c>
      <c r="N8" s="5" t="e">
        <f ca="1">IF(AND(N$16&lt;=U_GEG_A.7!$C$10,
N$28&lt;=AVERAGE(U_GEG_A.7!$C$21:$C$22,
N$34&lt;=U_GEG_A.7!$C$21,N$39&lt;=U_GEG_A.7!$C$25),
N$45&lt;=U_GEG_A.7!$C$11,
N$63&lt;=U_GEG_A.7!$C$12,
N$69&lt;=U_GEG_A.7!$C$12),
0.05,0.1)</f>
        <v>#NUM!</v>
      </c>
      <c r="O8" s="5" t="e">
        <f ca="1">IF(AND(O$16&lt;=U_GEG_A.7!$C$10,
O$28&lt;=AVERAGE(U_GEG_A.7!$C$21:$C$22,
O$34&lt;=U_GEG_A.7!$C$21,O$39&lt;=U_GEG_A.7!$C$25),
O$45&lt;=U_GEG_A.7!$C$11,
O$63&lt;=U_GEG_A.7!$C$12,
O$69&lt;=U_GEG_A.7!$C$12),
0.05,0.1)</f>
        <v>#NUM!</v>
      </c>
      <c r="P8" s="5" t="e">
        <f ca="1">IF(AND(P$16&lt;=U_GEG_A.7!$C$10,
P$28&lt;=AVERAGE(U_GEG_A.7!$C$21:$C$22,
P$34&lt;=U_GEG_A.7!$C$21,P$39&lt;=U_GEG_A.7!$C$25),
P$45&lt;=U_GEG_A.7!$C$11,
P$63&lt;=U_GEG_A.7!$C$12,
P$69&lt;=U_GEG_A.7!$C$12),
0.05,0.1)</f>
        <v>#NUM!</v>
      </c>
      <c r="Q8" s="5" t="e">
        <f ca="1">IF(AND(Q$16&lt;=U_GEG_A.7!$C$10,
Q$28&lt;=AVERAGE(U_GEG_A.7!$C$21:$C$22,
Q$34&lt;=U_GEG_A.7!$C$21,Q$39&lt;=U_GEG_A.7!$C$25),
Q$45&lt;=U_GEG_A.7!$C$11,
Q$63&lt;=U_GEG_A.7!$C$12,
Q$69&lt;=U_GEG_A.7!$C$12),
0.05,0.1)</f>
        <v>#NUM!</v>
      </c>
      <c r="R8" s="5" t="e">
        <f ca="1">IF(AND(R$16&lt;=U_GEG_A.7!$C$10,
R$28&lt;=AVERAGE(U_GEG_A.7!$C$21:$C$22,
R$34&lt;=U_GEG_A.7!$C$21,R$39&lt;=U_GEG_A.7!$C$25),
R$45&lt;=U_GEG_A.7!$C$11,
R$63&lt;=U_GEG_A.7!$C$12,
R$69&lt;=U_GEG_A.7!$C$12),
0.05,0.1)</f>
        <v>#NUM!</v>
      </c>
      <c r="S8" s="5" t="e">
        <f ca="1">IF(AND(S$16&lt;=U_GEG_A.7!$C$10,
S$28&lt;=AVERAGE(U_GEG_A.7!$C$21:$C$22,
S$34&lt;=U_GEG_A.7!$C$21,S$39&lt;=U_GEG_A.7!$C$25),
S$45&lt;=U_GEG_A.7!$C$11,
S$63&lt;=U_GEG_A.7!$C$12,
S$69&lt;=U_GEG_A.7!$C$12),
0.05,0.1)</f>
        <v>#NUM!</v>
      </c>
      <c r="T8" s="5" t="e">
        <f ca="1">IF(AND(T$16&lt;=U_GEG_A.7!$C$10,
T$28&lt;=AVERAGE(U_GEG_A.7!$C$21:$C$22,
T$34&lt;=U_GEG_A.7!$C$21,T$39&lt;=U_GEG_A.7!$C$25),
T$45&lt;=U_GEG_A.7!$C$11,
T$63&lt;=U_GEG_A.7!$C$12,
T$69&lt;=U_GEG_A.7!$C$12),
0.05,0.1)</f>
        <v>#NUM!</v>
      </c>
      <c r="U8" s="5" t="e">
        <f ca="1">IF(AND(U$16&lt;=U_GEG_A.7!$C$10,
U$28&lt;=AVERAGE(U_GEG_A.7!$C$21:$C$22,
U$34&lt;=U_GEG_A.7!$C$21,U$39&lt;=U_GEG_A.7!$C$25),
U$45&lt;=U_GEG_A.7!$C$11,
U$63&lt;=U_GEG_A.7!$C$12,
U$69&lt;=U_GEG_A.7!$C$12),
0.05,0.1)</f>
        <v>#NUM!</v>
      </c>
      <c r="V8" s="5" t="e">
        <f ca="1">IF(AND(V$16&lt;=U_GEG_A.7!$C$10,
V$28&lt;=AVERAGE(U_GEG_A.7!$C$21:$C$22,
V$34&lt;=U_GEG_A.7!$C$21,V$39&lt;=U_GEG_A.7!$C$25),
V$45&lt;=U_GEG_A.7!$C$11,
V$63&lt;=U_GEG_A.7!$C$12,
V$69&lt;=U_GEG_A.7!$C$12),
0.05,0.1)</f>
        <v>#NUM!</v>
      </c>
      <c r="W8" s="5" t="e">
        <f ca="1">IF(AND(W$16&lt;=U_GEG_A.7!$C$10,
W$28&lt;=AVERAGE(U_GEG_A.7!$C$21:$C$22,
W$34&lt;=U_GEG_A.7!$C$21,W$39&lt;=U_GEG_A.7!$C$25),
W$45&lt;=U_GEG_A.7!$C$11,
W$63&lt;=U_GEG_A.7!$C$12,
W$69&lt;=U_GEG_A.7!$C$12),
0.05,0.1)</f>
        <v>#NUM!</v>
      </c>
    </row>
    <row r="9" spans="1:23" ht="15.75" thickBot="1">
      <c r="B9" t="s">
        <v>467</v>
      </c>
      <c r="E9" t="s">
        <v>468</v>
      </c>
      <c r="F9" t="s">
        <v>469</v>
      </c>
      <c r="I9" s="36">
        <f>0.34</f>
        <v>0.34</v>
      </c>
      <c r="J9" s="5">
        <f t="shared" ref="J9:W9" si="1">0.34</f>
        <v>0.34</v>
      </c>
      <c r="K9" s="36">
        <f t="shared" si="1"/>
        <v>0.34</v>
      </c>
      <c r="L9" s="5">
        <f t="shared" si="1"/>
        <v>0.34</v>
      </c>
      <c r="M9" s="5">
        <f t="shared" si="1"/>
        <v>0.34</v>
      </c>
      <c r="N9" s="5">
        <f t="shared" si="1"/>
        <v>0.34</v>
      </c>
      <c r="O9" s="5">
        <f t="shared" si="1"/>
        <v>0.34</v>
      </c>
      <c r="P9" s="5">
        <f t="shared" si="1"/>
        <v>0.34</v>
      </c>
      <c r="Q9" s="5">
        <f t="shared" si="1"/>
        <v>0.34</v>
      </c>
      <c r="R9" s="5">
        <f t="shared" si="1"/>
        <v>0.34</v>
      </c>
      <c r="S9" s="5">
        <f t="shared" si="1"/>
        <v>0.34</v>
      </c>
      <c r="T9" s="5">
        <f t="shared" si="1"/>
        <v>0.34</v>
      </c>
      <c r="U9" s="5">
        <f t="shared" si="1"/>
        <v>0.34</v>
      </c>
      <c r="V9" s="5">
        <f t="shared" si="1"/>
        <v>0.34</v>
      </c>
      <c r="W9" s="5">
        <f t="shared" si="1"/>
        <v>0.34</v>
      </c>
    </row>
    <row r="10" spans="1:23" ht="15.75" thickBot="1">
      <c r="B10" t="s">
        <v>470</v>
      </c>
      <c r="E10" t="s">
        <v>471</v>
      </c>
      <c r="F10" t="s">
        <v>26</v>
      </c>
      <c r="I10" s="36">
        <f>IF(IN_rooms!R$6&lt;&gt;20,IN_rooms!R$6,20)</f>
        <v>0</v>
      </c>
      <c r="J10" s="5">
        <f>IF(IN_rooms!S$6&lt;&gt;20,IN_rooms!S$6,20)</f>
        <v>0</v>
      </c>
      <c r="K10" s="36">
        <f>IF(IN_rooms!T$6&lt;&gt;20,IN_rooms!T$6,20)</f>
        <v>0</v>
      </c>
      <c r="L10" s="5">
        <f>IF(IN_rooms!U$6&lt;&gt;20,IN_rooms!U$6,20)</f>
        <v>0</v>
      </c>
      <c r="M10" s="5">
        <f>IF(IN_rooms!V$6&lt;&gt;20,IN_rooms!V$6,20)</f>
        <v>0</v>
      </c>
      <c r="N10" s="5">
        <f>IF(IN_rooms!W$6&lt;&gt;20,IN_rooms!W$6,20)</f>
        <v>0</v>
      </c>
      <c r="O10" s="5">
        <f>IF(IN_rooms!X$6&lt;&gt;20,IN_rooms!X$6,20)</f>
        <v>0</v>
      </c>
      <c r="P10" s="5">
        <f>IF(IN_rooms!Y$6&lt;&gt;20,IN_rooms!Y$6,20)</f>
        <v>0</v>
      </c>
      <c r="Q10" s="5">
        <f>IF(IN_rooms!Z$6&lt;&gt;20,IN_rooms!Z$6,20)</f>
        <v>0</v>
      </c>
      <c r="R10" s="5">
        <f>IF(IN_rooms!AA$6&lt;&gt;20,IN_rooms!AA$6,20)</f>
        <v>0</v>
      </c>
      <c r="S10" s="5">
        <f>IF(IN_rooms!AB$6&lt;&gt;20,IN_rooms!AB$6,20)</f>
        <v>0</v>
      </c>
      <c r="T10" s="5">
        <f>IF(IN_rooms!AC$6&lt;&gt;20,IN_rooms!AC$6,20)</f>
        <v>0</v>
      </c>
      <c r="U10" s="5">
        <f>IF(IN_rooms!AD$6&lt;&gt;20,IN_rooms!AD$6,20)</f>
        <v>0</v>
      </c>
      <c r="V10" s="5">
        <f>IF(IN_rooms!AE$6&lt;&gt;20,IN_rooms!AE$6,20)</f>
        <v>0</v>
      </c>
      <c r="W10" s="5">
        <f>IF(IN_rooms!AF$6&lt;&gt;20,IN_rooms!AF$6,20)</f>
        <v>0</v>
      </c>
    </row>
    <row r="11" spans="1:23" ht="15.75" thickBot="1">
      <c r="A11" t="s">
        <v>460</v>
      </c>
      <c r="B11" t="s">
        <v>472</v>
      </c>
      <c r="E11" t="s">
        <v>473</v>
      </c>
      <c r="F11" t="s">
        <v>110</v>
      </c>
      <c r="I11" s="36">
        <f t="shared" ref="I11:W11" si="2">I$7*I$6</f>
        <v>0</v>
      </c>
      <c r="J11" s="5">
        <f t="shared" si="2"/>
        <v>0</v>
      </c>
      <c r="K11" s="36">
        <f t="shared" si="2"/>
        <v>0</v>
      </c>
      <c r="L11" s="5">
        <f t="shared" si="2"/>
        <v>0</v>
      </c>
      <c r="M11" s="5">
        <f t="shared" si="2"/>
        <v>0</v>
      </c>
      <c r="N11" s="5">
        <f t="shared" si="2"/>
        <v>0</v>
      </c>
      <c r="O11" s="5">
        <f t="shared" si="2"/>
        <v>0</v>
      </c>
      <c r="P11" s="5">
        <f t="shared" si="2"/>
        <v>0</v>
      </c>
      <c r="Q11" s="5">
        <f t="shared" si="2"/>
        <v>0</v>
      </c>
      <c r="R11" s="5">
        <f t="shared" si="2"/>
        <v>0</v>
      </c>
      <c r="S11" s="5">
        <f t="shared" si="2"/>
        <v>0</v>
      </c>
      <c r="T11" s="5">
        <f t="shared" si="2"/>
        <v>0</v>
      </c>
      <c r="U11" s="5">
        <f t="shared" si="2"/>
        <v>0</v>
      </c>
      <c r="V11" s="5">
        <f t="shared" si="2"/>
        <v>0</v>
      </c>
      <c r="W11" s="5">
        <f t="shared" si="2"/>
        <v>0</v>
      </c>
    </row>
    <row r="12" spans="1:23" ht="15.75" thickBot="1">
      <c r="A12" t="s">
        <v>460</v>
      </c>
      <c r="B12" t="s">
        <v>474</v>
      </c>
      <c r="E12" t="s">
        <v>475</v>
      </c>
      <c r="F12" t="s">
        <v>31</v>
      </c>
      <c r="I12" s="28">
        <f>I$9*I$11*(I$10-Normaußentemperatur_12831!$B$6)</f>
        <v>0</v>
      </c>
      <c r="J12" s="30">
        <f>J$9*J$11*(J$10-Normaußentemperatur_12831!$B$6)</f>
        <v>0</v>
      </c>
      <c r="K12" s="28">
        <f>K$9*K$11*(K$10-Normaußentemperatur_12831!$B$6)</f>
        <v>0</v>
      </c>
      <c r="L12" s="30">
        <f>L$9*L$11*(L$10-Normaußentemperatur_12831!$B$6)</f>
        <v>0</v>
      </c>
      <c r="M12" s="30">
        <f>M$9*M$11*(M$10-Normaußentemperatur_12831!$B$6)</f>
        <v>0</v>
      </c>
      <c r="N12" s="30">
        <f>N$9*N$11*(N$10-Normaußentemperatur_12831!$B$6)</f>
        <v>0</v>
      </c>
      <c r="O12" s="30">
        <f>O$9*O$11*(O$10-Normaußentemperatur_12831!$B$6)</f>
        <v>0</v>
      </c>
      <c r="P12" s="30">
        <f>P$9*P$11*(P$10-Normaußentemperatur_12831!$B$6)</f>
        <v>0</v>
      </c>
      <c r="Q12" s="30">
        <f>Q$9*Q$11*(Q$10-Normaußentemperatur_12831!$B$6)</f>
        <v>0</v>
      </c>
      <c r="R12" s="30">
        <f>R$9*R$11*(R$10-Normaußentemperatur_12831!$B$6)</f>
        <v>0</v>
      </c>
      <c r="S12" s="30">
        <f>S$9*S$11*(S$10-Normaußentemperatur_12831!$B$6)</f>
        <v>0</v>
      </c>
      <c r="T12" s="30">
        <f>T$9*T$11*(T$10-Normaußentemperatur_12831!$B$6)</f>
        <v>0</v>
      </c>
      <c r="U12" s="30">
        <f>U$9*U$11*(U$10-Normaußentemperatur_12831!$B$6)</f>
        <v>0</v>
      </c>
      <c r="V12" s="30">
        <f>V$9*V$11*(V$10-Normaußentemperatur_12831!$B$6)</f>
        <v>0</v>
      </c>
      <c r="W12" s="30">
        <f>W$9*W$11*(W$10-Normaußentemperatur_12831!$B$6)</f>
        <v>0</v>
      </c>
    </row>
    <row r="13" spans="1:23" ht="15.75" thickBot="1">
      <c r="A13" t="s">
        <v>460</v>
      </c>
      <c r="B13" t="s">
        <v>476</v>
      </c>
      <c r="E13" t="s">
        <v>477</v>
      </c>
      <c r="F13" t="s">
        <v>30</v>
      </c>
      <c r="I13" s="165" t="e">
        <f t="shared" ref="I13:W13" ca="1" si="3">I$12/I$72</f>
        <v>#NUM!</v>
      </c>
      <c r="J13" s="128" t="e">
        <f t="shared" ca="1" si="3"/>
        <v>#NUM!</v>
      </c>
      <c r="K13" s="161" t="e">
        <f t="shared" ca="1" si="3"/>
        <v>#NUM!</v>
      </c>
      <c r="L13" s="128" t="e">
        <f t="shared" ca="1" si="3"/>
        <v>#NUM!</v>
      </c>
      <c r="M13" s="128" t="e">
        <f t="shared" ca="1" si="3"/>
        <v>#NUM!</v>
      </c>
      <c r="N13" s="128" t="e">
        <f t="shared" ca="1" si="3"/>
        <v>#NUM!</v>
      </c>
      <c r="O13" s="128" t="e">
        <f t="shared" ca="1" si="3"/>
        <v>#NUM!</v>
      </c>
      <c r="P13" s="128" t="e">
        <f t="shared" ca="1" si="3"/>
        <v>#NUM!</v>
      </c>
      <c r="Q13" s="128" t="e">
        <f t="shared" ca="1" si="3"/>
        <v>#NUM!</v>
      </c>
      <c r="R13" s="128" t="e">
        <f t="shared" ca="1" si="3"/>
        <v>#NUM!</v>
      </c>
      <c r="S13" s="128" t="e">
        <f t="shared" ca="1" si="3"/>
        <v>#NUM!</v>
      </c>
      <c r="T13" s="128" t="e">
        <f t="shared" ca="1" si="3"/>
        <v>#NUM!</v>
      </c>
      <c r="U13" s="128" t="e">
        <f t="shared" ca="1" si="3"/>
        <v>#NUM!</v>
      </c>
      <c r="V13" s="128" t="e">
        <f t="shared" ca="1" si="3"/>
        <v>#NUM!</v>
      </c>
      <c r="W13" s="128" t="e">
        <f t="shared" ca="1" si="3"/>
        <v>#NUM!</v>
      </c>
    </row>
    <row r="14" spans="1:23" ht="15.75" thickBot="1">
      <c r="A14" t="s">
        <v>120</v>
      </c>
      <c r="B14" t="s">
        <v>478</v>
      </c>
      <c r="C14" t="s">
        <v>119</v>
      </c>
      <c r="E14" t="s">
        <v>479</v>
      </c>
      <c r="F14" t="s">
        <v>58</v>
      </c>
      <c r="I14" s="28" cm="1">
        <f t="array" ref="I14">IF(
OR(IN_rooms!R$28="Keine",IN_rooms!R$28="Flachdach",IN_rooms!R$31=0,IN_rooms!R$30=0,IN_build!$P$4="Flach bzw. Flachdach"),
((IN_rooms!R$9+HLOOKUP("f_A_wall_wid",PAR!$F$1:$Y$5,2,FALSE))*(IN_rooms!R$5+HLOOKUP("f_A_wall_hei",PAR!$F$1:$Y$5,2,FALSE))-(I$42+I$48+I$54))*(IN_rooms!R$9&gt;0),
_xlfn.LET(
_xlpm.komplex,IN_rooms!R$28="Komplex",
_xlpm.b_ceil,IN_rooms!R$32,
_xlpm.L_wall,(IN_rooms!R$9+HLOOKUP("f_A_wall_wid",PAR!$F$1:$Y$5,2,FALSE))*(IN_rooms!R$9&gt;0),
_xlpm.n_giebel,IF(_xlpm.L_wall=0,0,IN_rooms!R33),
_xlpm.h_knee,IN_rooms!R$34,
_xlpm.h_roof,IN_rooms!R$31,
_xlpm.is_jamb,IN_rooms!R$35="Ja",
_xlpm.h_room,IN_rooms!R$5+HLOOKUP("f_A_wall_hei",PAR!$F$1:$Y$5,2,FALSE),
_xlpm.alpha,_xlfn.IFS(
IN_build!$P$4="geneigt",25,
IN_build!$P$4="steil",40,
IN_build!$P$4="sehr steil",55),
_xlpm.A_win,(I$42+I$48+I$54),
_xlpm.A_knee,MAX(0,IF(_xlpm.is_jamb,0,IF(_xlpm.komplex,I$26*(_xlpm.h_knee*SIN(_xlpm.alpha*PI()/180))/(_xlpm.h_room-_xlpm.h_knee),_xlpm.h_knee*IN_rooms!R$30))),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_xlpm.giebel_1_slop_1,AND(IN_rooms!R$28="Eine",_xlpm.n_giebel=1),
_xlpm.giebel_2_slop_1,AND(IN_rooms!R$28="Eine",_xlpm.n_giebel=2),
_xlpm.giebel_1_slop_2,AND(IN_rooms!R$28="Zwei (symmetrisch)",_xlpm.n_giebel=1),
_xlpm.giebel_2_slop_2,AND(IN_rooms!R$28="Zwei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J14" s="28" cm="1">
        <f t="array" ref="J14">IF(
OR(IN_rooms!S$28="Keine",IN_rooms!S$28="Flachdach",IN_rooms!S$31=0,IN_rooms!S$30=0,IN_build!$P$4="Flach bzw. Flachdach"),
((IN_rooms!S$9+HLOOKUP("f_A_wall_wid",PAR!$F$1:$Y$5,2,FALSE))*(IN_rooms!S$5+HLOOKUP("f_A_wall_hei",PAR!$F$1:$Y$5,2,FALSE))-(J$42+J$48+J$54))*(IN_rooms!S$9&gt;0),
_xlfn.LET(
_xlpm.komplex,IN_rooms!S$28="Komplex",
_xlpm.b_ceil,IN_rooms!S$32,
_xlpm.L_wall,(IN_rooms!S$9+HLOOKUP("f_A_wall_wid",PAR!$F$1:$Y$5,2,FALSE))*(IN_rooms!S$9&gt;0),
_xlpm.n_giebel,IF(_xlpm.L_wall=0,0,IN_rooms!S33),
_xlpm.h_knee,IN_rooms!S$34,
_xlpm.h_roof,IN_rooms!S$31,
_xlpm.is_jamb,IN_rooms!S$35="Ja",
_xlpm.h_room,IN_rooms!S$5+HLOOKUP("f_A_wall_hei",PAR!$F$1:$Y$5,2,FALSE),
_xlpm.alpha,_xlfn.IFS(
IN_build!$P$4="geneigt",25,
IN_build!$P$4="steil",40,
IN_build!$P$4="sehr steil",55),
_xlpm.A_win,(J$42+J$48+J$54),
_xlpm.A_knee,MAX(0,IF(_xlpm.is_jamb,0,IF(_xlpm.komplex,J$26*(_xlpm.h_knee*SIN(_xlpm.alpha*PI()/180))/(_xlpm.h_room-_xlpm.h_knee),_xlpm.h_knee*IN_rooms!S$30))),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_xlpm.giebel_1_slop_1,AND(IN_rooms!S$28="Eine",_xlpm.n_giebel=1),
_xlpm.giebel_2_slop_1,AND(IN_rooms!S$28="Eine",_xlpm.n_giebel=2),
_xlpm.giebel_1_slop_2,AND(IN_rooms!S$28="Zwei (symmetrisch)",_xlpm.n_giebel=1),
_xlpm.giebel_2_slop_2,AND(IN_rooms!S$28="Zwei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K14" s="28" cm="1">
        <f t="array" ref="K14">IF(
OR(IN_rooms!T$28="Keine",IN_rooms!T$28="Flachdach",IN_rooms!T$31=0,IN_rooms!T$30=0,IN_build!$P$4="Flach bzw. Flachdach"),
((IN_rooms!T$9+HLOOKUP("f_A_wall_wid",PAR!$F$1:$Y$5,2,FALSE))*(IN_rooms!T$5+HLOOKUP("f_A_wall_hei",PAR!$F$1:$Y$5,2,FALSE))-(K$42+K$48+K$54))*(IN_rooms!T$9&gt;0),
_xlfn.LET(
_xlpm.komplex,IN_rooms!T$28="Komplex",
_xlpm.b_ceil,IN_rooms!T$32,
_xlpm.L_wall,(IN_rooms!T$9+HLOOKUP("f_A_wall_wid",PAR!$F$1:$Y$5,2,FALSE))*(IN_rooms!T$9&gt;0),
_xlpm.n_giebel,IF(_xlpm.L_wall=0,0,IN_rooms!T33),
_xlpm.h_knee,IN_rooms!T$34,
_xlpm.h_roof,IN_rooms!T$31,
_xlpm.is_jamb,IN_rooms!T$35="Ja",
_xlpm.h_room,IN_rooms!T$5+HLOOKUP("f_A_wall_hei",PAR!$F$1:$Y$5,2,FALSE),
_xlpm.alpha,_xlfn.IFS(
IN_build!$P$4="geneigt",25,
IN_build!$P$4="steil",40,
IN_build!$P$4="sehr steil",55),
_xlpm.A_win,(K$42+K$48+K$54),
_xlpm.A_knee,MAX(0,IF(_xlpm.is_jamb,0,IF(_xlpm.komplex,K$26*(_xlpm.h_knee*SIN(_xlpm.alpha*PI()/180))/(_xlpm.h_room-_xlpm.h_knee),_xlpm.h_knee*IN_rooms!T$30))),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_xlpm.giebel_1_slop_1,AND(IN_rooms!T$28="Eine",_xlpm.n_giebel=1),
_xlpm.giebel_2_slop_1,AND(IN_rooms!T$28="Eine",_xlpm.n_giebel=2),
_xlpm.giebel_1_slop_2,AND(IN_rooms!T$28="Zwei (symmetrisch)",_xlpm.n_giebel=1),
_xlpm.giebel_2_slop_2,AND(IN_rooms!T$28="Zwei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L14" s="28" cm="1">
        <f t="array" ref="L14">IF(
OR(IN_rooms!U$28="Keine",IN_rooms!U$28="Flachdach",IN_rooms!U$31=0,IN_rooms!U$30=0,IN_build!$P$4="Flach bzw. Flachdach"),
((IN_rooms!U$9+HLOOKUP("f_A_wall_wid",PAR!$F$1:$Y$5,2,FALSE))*(IN_rooms!U$5+HLOOKUP("f_A_wall_hei",PAR!$F$1:$Y$5,2,FALSE))-(L$42+L$48+L$54))*(IN_rooms!U$9&gt;0),
_xlfn.LET(
_xlpm.komplex,IN_rooms!U$28="Komplex",
_xlpm.b_ceil,IN_rooms!U$32,
_xlpm.L_wall,(IN_rooms!U$9+HLOOKUP("f_A_wall_wid",PAR!$F$1:$Y$5,2,FALSE))*(IN_rooms!U$9&gt;0),
_xlpm.n_giebel,IF(_xlpm.L_wall=0,0,IN_rooms!U33),
_xlpm.h_knee,IN_rooms!U$34,
_xlpm.h_roof,IN_rooms!U$31,
_xlpm.is_jamb,IN_rooms!U$35="Ja",
_xlpm.h_room,IN_rooms!U$5+HLOOKUP("f_A_wall_hei",PAR!$F$1:$Y$5,2,FALSE),
_xlpm.alpha,_xlfn.IFS(
IN_build!$P$4="geneigt",25,
IN_build!$P$4="steil",40,
IN_build!$P$4="sehr steil",55),
_xlpm.A_win,(L$42+L$48+L$54),
_xlpm.A_knee,MAX(0,IF(_xlpm.is_jamb,0,IF(_xlpm.komplex,L$26*(_xlpm.h_knee*SIN(_xlpm.alpha*PI()/180))/(_xlpm.h_room-_xlpm.h_knee),_xlpm.h_knee*IN_rooms!U$30))),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_xlpm.giebel_1_slop_1,AND(IN_rooms!U$28="Eine",_xlpm.n_giebel=1),
_xlpm.giebel_2_slop_1,AND(IN_rooms!U$28="Eine",_xlpm.n_giebel=2),
_xlpm.giebel_1_slop_2,AND(IN_rooms!U$28="Zwei (symmetrisch)",_xlpm.n_giebel=1),
_xlpm.giebel_2_slop_2,AND(IN_rooms!U$28="Zwei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M14" s="28" cm="1">
        <f t="array" ref="M14">IF(
OR(IN_rooms!V$28="Keine",IN_rooms!V$28="Flachdach",IN_rooms!V$31=0,IN_rooms!V$30=0,IN_build!$P$4="Flach bzw. Flachdach"),
((IN_rooms!V$9+HLOOKUP("f_A_wall_wid",PAR!$F$1:$Y$5,2,FALSE))*(IN_rooms!V$5+HLOOKUP("f_A_wall_hei",PAR!$F$1:$Y$5,2,FALSE))-(M$42+M$48+M$54))*(IN_rooms!V$9&gt;0),
_xlfn.LET(
_xlpm.komplex,IN_rooms!V$28="Komplex",
_xlpm.b_ceil,IN_rooms!V$32,
_xlpm.L_wall,(IN_rooms!V$9+HLOOKUP("f_A_wall_wid",PAR!$F$1:$Y$5,2,FALSE))*(IN_rooms!V$9&gt;0),
_xlpm.n_giebel,IF(_xlpm.L_wall=0,0,IN_rooms!V33),
_xlpm.h_knee,IN_rooms!V$34,
_xlpm.h_roof,IN_rooms!V$31,
_xlpm.is_jamb,IN_rooms!V$35="Ja",
_xlpm.h_room,IN_rooms!V$5+HLOOKUP("f_A_wall_hei",PAR!$F$1:$Y$5,2,FALSE),
_xlpm.alpha,_xlfn.IFS(
IN_build!$P$4="geneigt",25,
IN_build!$P$4="steil",40,
IN_build!$P$4="sehr steil",55),
_xlpm.A_win,(M$42+M$48+M$54),
_xlpm.A_knee,MAX(0,IF(_xlpm.is_jamb,0,IF(_xlpm.komplex,M$26*(_xlpm.h_knee*SIN(_xlpm.alpha*PI()/180))/(_xlpm.h_room-_xlpm.h_knee),_xlpm.h_knee*IN_rooms!V$30))),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_xlpm.giebel_1_slop_1,AND(IN_rooms!V$28="Eine",_xlpm.n_giebel=1),
_xlpm.giebel_2_slop_1,AND(IN_rooms!V$28="Eine",_xlpm.n_giebel=2),
_xlpm.giebel_1_slop_2,AND(IN_rooms!V$28="Zwei (symmetrisch)",_xlpm.n_giebel=1),
_xlpm.giebel_2_slop_2,AND(IN_rooms!V$28="Zwei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N14" s="28" cm="1">
        <f t="array" ref="N14">IF(
OR(IN_rooms!W$28="Keine",IN_rooms!W$28="Flachdach",IN_rooms!W$31=0,IN_rooms!W$30=0,IN_build!$P$4="Flach bzw. Flachdach"),
((IN_rooms!W$9+HLOOKUP("f_A_wall_wid",PAR!$F$1:$Y$5,2,FALSE))*(IN_rooms!W$5+HLOOKUP("f_A_wall_hei",PAR!$F$1:$Y$5,2,FALSE))-(N$42+N$48+N$54))*(IN_rooms!W$9&gt;0),
_xlfn.LET(
_xlpm.komplex,IN_rooms!W$28="Komplex",
_xlpm.b_ceil,IN_rooms!W$32,
_xlpm.L_wall,(IN_rooms!W$9+HLOOKUP("f_A_wall_wid",PAR!$F$1:$Y$5,2,FALSE))*(IN_rooms!W$9&gt;0),
_xlpm.n_giebel,IF(_xlpm.L_wall=0,0,IN_rooms!W33),
_xlpm.h_knee,IN_rooms!W$34,
_xlpm.h_roof,IN_rooms!W$31,
_xlpm.is_jamb,IN_rooms!W$35="Ja",
_xlpm.h_room,IN_rooms!W$5+HLOOKUP("f_A_wall_hei",PAR!$F$1:$Y$5,2,FALSE),
_xlpm.alpha,_xlfn.IFS(
IN_build!$P$4="geneigt",25,
IN_build!$P$4="steil",40,
IN_build!$P$4="sehr steil",55),
_xlpm.A_win,(N$42+N$48+N$54),
_xlpm.A_knee,MAX(0,IF(_xlpm.is_jamb,0,IF(_xlpm.komplex,N$26*(_xlpm.h_knee*SIN(_xlpm.alpha*PI()/180))/(_xlpm.h_room-_xlpm.h_knee),_xlpm.h_knee*IN_rooms!W$30))),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_xlpm.giebel_1_slop_1,AND(IN_rooms!W$28="Eine",_xlpm.n_giebel=1),
_xlpm.giebel_2_slop_1,AND(IN_rooms!W$28="Eine",_xlpm.n_giebel=2),
_xlpm.giebel_1_slop_2,AND(IN_rooms!W$28="Zwei (symmetrisch)",_xlpm.n_giebel=1),
_xlpm.giebel_2_slop_2,AND(IN_rooms!W$28="Zwei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O14" s="28" cm="1">
        <f t="array" ref="O14">IF(
OR(IN_rooms!X$28="Keine",IN_rooms!X$28="Flachdach",IN_rooms!X$31=0,IN_rooms!X$30=0,IN_build!$P$4="Flach bzw. Flachdach"),
((IN_rooms!X$9+HLOOKUP("f_A_wall_wid",PAR!$F$1:$Y$5,2,FALSE))*(IN_rooms!X$5+HLOOKUP("f_A_wall_hei",PAR!$F$1:$Y$5,2,FALSE))-(O$42+O$48+O$54))*(IN_rooms!X$9&gt;0),
_xlfn.LET(
_xlpm.komplex,IN_rooms!X$28="Komplex",
_xlpm.b_ceil,IN_rooms!X$32,
_xlpm.L_wall,(IN_rooms!X$9+HLOOKUP("f_A_wall_wid",PAR!$F$1:$Y$5,2,FALSE))*(IN_rooms!X$9&gt;0),
_xlpm.n_giebel,IF(_xlpm.L_wall=0,0,IN_rooms!X33),
_xlpm.h_knee,IN_rooms!X$34,
_xlpm.h_roof,IN_rooms!X$31,
_xlpm.is_jamb,IN_rooms!X$35="Ja",
_xlpm.h_room,IN_rooms!X$5+HLOOKUP("f_A_wall_hei",PAR!$F$1:$Y$5,2,FALSE),
_xlpm.alpha,_xlfn.IFS(
IN_build!$P$4="geneigt",25,
IN_build!$P$4="steil",40,
IN_build!$P$4="sehr steil",55),
_xlpm.A_win,(O$42+O$48+O$54),
_xlpm.A_knee,MAX(0,IF(_xlpm.is_jamb,0,IF(_xlpm.komplex,O$26*(_xlpm.h_knee*SIN(_xlpm.alpha*PI()/180))/(_xlpm.h_room-_xlpm.h_knee),_xlpm.h_knee*IN_rooms!X$30))),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_xlpm.giebel_1_slop_1,AND(IN_rooms!X$28="Eine",_xlpm.n_giebel=1),
_xlpm.giebel_2_slop_1,AND(IN_rooms!X$28="Eine",_xlpm.n_giebel=2),
_xlpm.giebel_1_slop_2,AND(IN_rooms!X$28="Zwei (symmetrisch)",_xlpm.n_giebel=1),
_xlpm.giebel_2_slop_2,AND(IN_rooms!X$28="Zwei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P14" s="28" cm="1">
        <f t="array" ref="P14">IF(
OR(IN_rooms!Y$28="Keine",IN_rooms!Y$28="Flachdach",IN_rooms!Y$31=0,IN_rooms!Y$30=0,IN_build!$P$4="Flach bzw. Flachdach"),
((IN_rooms!Y$9+HLOOKUP("f_A_wall_wid",PAR!$F$1:$Y$5,2,FALSE))*(IN_rooms!Y$5+HLOOKUP("f_A_wall_hei",PAR!$F$1:$Y$5,2,FALSE))-(P$42+P$48+P$54))*(IN_rooms!Y$9&gt;0),
_xlfn.LET(
_xlpm.komplex,IN_rooms!Y$28="Komplex",
_xlpm.b_ceil,IN_rooms!Y$32,
_xlpm.L_wall,(IN_rooms!Y$9+HLOOKUP("f_A_wall_wid",PAR!$F$1:$Y$5,2,FALSE))*(IN_rooms!Y$9&gt;0),
_xlpm.n_giebel,IF(_xlpm.L_wall=0,0,IN_rooms!Y33),
_xlpm.h_knee,IN_rooms!Y$34,
_xlpm.h_roof,IN_rooms!Y$31,
_xlpm.is_jamb,IN_rooms!Y$35="Ja",
_xlpm.h_room,IN_rooms!Y$5+HLOOKUP("f_A_wall_hei",PAR!$F$1:$Y$5,2,FALSE),
_xlpm.alpha,_xlfn.IFS(
IN_build!$P$4="geneigt",25,
IN_build!$P$4="steil",40,
IN_build!$P$4="sehr steil",55),
_xlpm.A_win,(P$42+P$48+P$54),
_xlpm.A_knee,MAX(0,IF(_xlpm.is_jamb,0,IF(_xlpm.komplex,P$26*(_xlpm.h_knee*SIN(_xlpm.alpha*PI()/180))/(_xlpm.h_room-_xlpm.h_knee),_xlpm.h_knee*IN_rooms!Y$30))),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_xlpm.giebel_1_slop_1,AND(IN_rooms!Y$28="Eine",_xlpm.n_giebel=1),
_xlpm.giebel_2_slop_1,AND(IN_rooms!Y$28="Eine",_xlpm.n_giebel=2),
_xlpm.giebel_1_slop_2,AND(IN_rooms!Y$28="Zwei (symmetrisch)",_xlpm.n_giebel=1),
_xlpm.giebel_2_slop_2,AND(IN_rooms!Y$28="Zwei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Q14" s="28" cm="1">
        <f t="array" ref="Q14">IF(
OR(IN_rooms!Z$28="Keine",IN_rooms!Z$28="Flachdach",IN_rooms!Z$31=0,IN_rooms!Z$30=0,IN_build!$P$4="Flach bzw. Flachdach"),
((IN_rooms!Z$9+HLOOKUP("f_A_wall_wid",PAR!$F$1:$Y$5,2,FALSE))*(IN_rooms!Z$5+HLOOKUP("f_A_wall_hei",PAR!$F$1:$Y$5,2,FALSE))-(Q$42+Q$48+Q$54))*(IN_rooms!Z$9&gt;0),
_xlfn.LET(
_xlpm.komplex,IN_rooms!Z$28="Komplex",
_xlpm.b_ceil,IN_rooms!Z$32,
_xlpm.L_wall,(IN_rooms!Z$9+HLOOKUP("f_A_wall_wid",PAR!$F$1:$Y$5,2,FALSE))*(IN_rooms!Z$9&gt;0),
_xlpm.n_giebel,IF(_xlpm.L_wall=0,0,IN_rooms!Z33),
_xlpm.h_knee,IN_rooms!Z$34,
_xlpm.h_roof,IN_rooms!Z$31,
_xlpm.is_jamb,IN_rooms!Z$35="Ja",
_xlpm.h_room,IN_rooms!Z$5+HLOOKUP("f_A_wall_hei",PAR!$F$1:$Y$5,2,FALSE),
_xlpm.alpha,_xlfn.IFS(
IN_build!$P$4="geneigt",25,
IN_build!$P$4="steil",40,
IN_build!$P$4="sehr steil",55),
_xlpm.A_win,(Q$42+Q$48+Q$54),
_xlpm.A_knee,MAX(0,IF(_xlpm.is_jamb,0,IF(_xlpm.komplex,Q$26*(_xlpm.h_knee*SIN(_xlpm.alpha*PI()/180))/(_xlpm.h_room-_xlpm.h_knee),_xlpm.h_knee*IN_rooms!Z$30))),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_xlpm.giebel_1_slop_1,AND(IN_rooms!Z$28="Eine",_xlpm.n_giebel=1),
_xlpm.giebel_2_slop_1,AND(IN_rooms!Z$28="Eine",_xlpm.n_giebel=2),
_xlpm.giebel_1_slop_2,AND(IN_rooms!Z$28="Zwei (symmetrisch)",_xlpm.n_giebel=1),
_xlpm.giebel_2_slop_2,AND(IN_rooms!Z$28="Zwei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R14" s="28" cm="1">
        <f t="array" ref="R14">IF(
OR(IN_rooms!AA$28="Keine",IN_rooms!AA$28="Flachdach",IN_rooms!AA$31=0,IN_rooms!AA$30=0,IN_build!$P$4="Flach bzw. Flachdach"),
((IN_rooms!AA$9+HLOOKUP("f_A_wall_wid",PAR!$F$1:$Y$5,2,FALSE))*(IN_rooms!AA$5+HLOOKUP("f_A_wall_hei",PAR!$F$1:$Y$5,2,FALSE))-(R$42+R$48+R$54))*(IN_rooms!AA$9&gt;0),
_xlfn.LET(
_xlpm.komplex,IN_rooms!AA$28="Komplex",
_xlpm.b_ceil,IN_rooms!AA$32,
_xlpm.L_wall,(IN_rooms!AA$9+HLOOKUP("f_A_wall_wid",PAR!$F$1:$Y$5,2,FALSE))*(IN_rooms!AA$9&gt;0),
_xlpm.n_giebel,IF(_xlpm.L_wall=0,0,IN_rooms!AA33),
_xlpm.h_knee,IN_rooms!AA$34,
_xlpm.h_roof,IN_rooms!AA$31,
_xlpm.is_jamb,IN_rooms!AA$35="Ja",
_xlpm.h_room,IN_rooms!AA$5+HLOOKUP("f_A_wall_hei",PAR!$F$1:$Y$5,2,FALSE),
_xlpm.alpha,_xlfn.IFS(
IN_build!$P$4="geneigt",25,
IN_build!$P$4="steil",40,
IN_build!$P$4="sehr steil",55),
_xlpm.A_win,(R$42+R$48+R$54),
_xlpm.A_knee,MAX(0,IF(_xlpm.is_jamb,0,IF(_xlpm.komplex,R$26*(_xlpm.h_knee*SIN(_xlpm.alpha*PI()/180))/(_xlpm.h_room-_xlpm.h_knee),_xlpm.h_knee*IN_rooms!AA$30))),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_xlpm.giebel_1_slop_1,AND(IN_rooms!AA$28="Eine",_xlpm.n_giebel=1),
_xlpm.giebel_2_slop_1,AND(IN_rooms!AA$28="Eine",_xlpm.n_giebel=2),
_xlpm.giebel_1_slop_2,AND(IN_rooms!AA$28="Zwei (symmetrisch)",_xlpm.n_giebel=1),
_xlpm.giebel_2_slop_2,AND(IN_rooms!AA$28="Zwei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S14" s="28" cm="1">
        <f t="array" ref="S14">IF(
OR(IN_rooms!AB$28="Keine",IN_rooms!AB$28="Flachdach",IN_rooms!AB$31=0,IN_rooms!AB$30=0,IN_build!$P$4="Flach bzw. Flachdach"),
((IN_rooms!AB$9+HLOOKUP("f_A_wall_wid",PAR!$F$1:$Y$5,2,FALSE))*(IN_rooms!AB$5+HLOOKUP("f_A_wall_hei",PAR!$F$1:$Y$5,2,FALSE))-(S$42+S$48+S$54))*(IN_rooms!AB$9&gt;0),
_xlfn.LET(
_xlpm.komplex,IN_rooms!AB$28="Komplex",
_xlpm.b_ceil,IN_rooms!AB$32,
_xlpm.L_wall,(IN_rooms!AB$9+HLOOKUP("f_A_wall_wid",PAR!$F$1:$Y$5,2,FALSE))*(IN_rooms!AB$9&gt;0),
_xlpm.n_giebel,IF(_xlpm.L_wall=0,0,IN_rooms!AB33),
_xlpm.h_knee,IN_rooms!AB$34,
_xlpm.h_roof,IN_rooms!AB$31,
_xlpm.is_jamb,IN_rooms!AB$35="Ja",
_xlpm.h_room,IN_rooms!AB$5+HLOOKUP("f_A_wall_hei",PAR!$F$1:$Y$5,2,FALSE),
_xlpm.alpha,_xlfn.IFS(
IN_build!$P$4="geneigt",25,
IN_build!$P$4="steil",40,
IN_build!$P$4="sehr steil",55),
_xlpm.A_win,(S$42+S$48+S$54),
_xlpm.A_knee,MAX(0,IF(_xlpm.is_jamb,0,IF(_xlpm.komplex,S$26*(_xlpm.h_knee*SIN(_xlpm.alpha*PI()/180))/(_xlpm.h_room-_xlpm.h_knee),_xlpm.h_knee*IN_rooms!AB$30))),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_xlpm.giebel_1_slop_1,AND(IN_rooms!AB$28="Eine",_xlpm.n_giebel=1),
_xlpm.giebel_2_slop_1,AND(IN_rooms!AB$28="Eine",_xlpm.n_giebel=2),
_xlpm.giebel_1_slop_2,AND(IN_rooms!AB$28="Zwei (symmetrisch)",_xlpm.n_giebel=1),
_xlpm.giebel_2_slop_2,AND(IN_rooms!AB$28="Zwei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T14" s="28" cm="1">
        <f t="array" ref="T14">IF(
OR(IN_rooms!AC$28="Keine",IN_rooms!AC$28="Flachdach",IN_rooms!AC$31=0,IN_rooms!AC$30=0,IN_build!$P$4="Flach bzw. Flachdach"),
((IN_rooms!AC$9+HLOOKUP("f_A_wall_wid",PAR!$F$1:$Y$5,2,FALSE))*(IN_rooms!AC$5+HLOOKUP("f_A_wall_hei",PAR!$F$1:$Y$5,2,FALSE))-(T$42+T$48+T$54))*(IN_rooms!AC$9&gt;0),
_xlfn.LET(
_xlpm.komplex,IN_rooms!AC$28="Komplex",
_xlpm.b_ceil,IN_rooms!AC$32,
_xlpm.L_wall,(IN_rooms!AC$9+HLOOKUP("f_A_wall_wid",PAR!$F$1:$Y$5,2,FALSE))*(IN_rooms!AC$9&gt;0),
_xlpm.n_giebel,IF(_xlpm.L_wall=0,0,IN_rooms!AC33),
_xlpm.h_knee,IN_rooms!AC$34,
_xlpm.h_roof,IN_rooms!AC$31,
_xlpm.is_jamb,IN_rooms!AC$35="Ja",
_xlpm.h_room,IN_rooms!AC$5+HLOOKUP("f_A_wall_hei",PAR!$F$1:$Y$5,2,FALSE),
_xlpm.alpha,_xlfn.IFS(
IN_build!$P$4="geneigt",25,
IN_build!$P$4="steil",40,
IN_build!$P$4="sehr steil",55),
_xlpm.A_win,(T$42+T$48+T$54),
_xlpm.A_knee,MAX(0,IF(_xlpm.is_jamb,0,IF(_xlpm.komplex,T$26*(_xlpm.h_knee*SIN(_xlpm.alpha*PI()/180))/(_xlpm.h_room-_xlpm.h_knee),_xlpm.h_knee*IN_rooms!AC$30))),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_xlpm.giebel_1_slop_1,AND(IN_rooms!AC$28="Eine",_xlpm.n_giebel=1),
_xlpm.giebel_2_slop_1,AND(IN_rooms!AC$28="Eine",_xlpm.n_giebel=2),
_xlpm.giebel_1_slop_2,AND(IN_rooms!AC$28="Zwei (symmetrisch)",_xlpm.n_giebel=1),
_xlpm.giebel_2_slop_2,AND(IN_rooms!AC$28="Zwei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U14" s="28" cm="1">
        <f t="array" ref="U14">IF(
OR(IN_rooms!AD$28="Keine",IN_rooms!AD$28="Flachdach",IN_rooms!AD$31=0,IN_rooms!AD$30=0,IN_build!$P$4="Flach bzw. Flachdach"),
((IN_rooms!AD$9+HLOOKUP("f_A_wall_wid",PAR!$F$1:$Y$5,2,FALSE))*(IN_rooms!AD$5+HLOOKUP("f_A_wall_hei",PAR!$F$1:$Y$5,2,FALSE))-(U$42+U$48+U$54))*(IN_rooms!AD$9&gt;0),
_xlfn.LET(
_xlpm.komplex,IN_rooms!AD$28="Komplex",
_xlpm.b_ceil,IN_rooms!AD$32,
_xlpm.L_wall,(IN_rooms!AD$9+HLOOKUP("f_A_wall_wid",PAR!$F$1:$Y$5,2,FALSE))*(IN_rooms!AD$9&gt;0),
_xlpm.n_giebel,IF(_xlpm.L_wall=0,0,IN_rooms!AD33),
_xlpm.h_knee,IN_rooms!AD$34,
_xlpm.h_roof,IN_rooms!AD$31,
_xlpm.is_jamb,IN_rooms!AD$35="Ja",
_xlpm.h_room,IN_rooms!AD$5+HLOOKUP("f_A_wall_hei",PAR!$F$1:$Y$5,2,FALSE),
_xlpm.alpha,_xlfn.IFS(
IN_build!$P$4="geneigt",25,
IN_build!$P$4="steil",40,
IN_build!$P$4="sehr steil",55),
_xlpm.A_win,(U$42+U$48+U$54),
_xlpm.A_knee,MAX(0,IF(_xlpm.is_jamb,0,IF(_xlpm.komplex,U$26*(_xlpm.h_knee*SIN(_xlpm.alpha*PI()/180))/(_xlpm.h_room-_xlpm.h_knee),_xlpm.h_knee*IN_rooms!AD$30))),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_xlpm.giebel_1_slop_1,AND(IN_rooms!AD$28="Eine",_xlpm.n_giebel=1),
_xlpm.giebel_2_slop_1,AND(IN_rooms!AD$28="Eine",_xlpm.n_giebel=2),
_xlpm.giebel_1_slop_2,AND(IN_rooms!AD$28="Zwei (symmetrisch)",_xlpm.n_giebel=1),
_xlpm.giebel_2_slop_2,AND(IN_rooms!AD$28="Zwei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V14" s="28" cm="1">
        <f t="array" ref="V14">IF(
OR(IN_rooms!AE$28="Keine",IN_rooms!AE$28="Flachdach",IN_rooms!AE$31=0,IN_rooms!AE$30=0,IN_build!$P$4="Flach bzw. Flachdach"),
((IN_rooms!AE$9+HLOOKUP("f_A_wall_wid",PAR!$F$1:$Y$5,2,FALSE))*(IN_rooms!AE$5+HLOOKUP("f_A_wall_hei",PAR!$F$1:$Y$5,2,FALSE))-(V$42+V$48+V$54))*(IN_rooms!AE$9&gt;0),
_xlfn.LET(
_xlpm.komplex,IN_rooms!AE$28="Komplex",
_xlpm.b_ceil,IN_rooms!AE$32,
_xlpm.L_wall,(IN_rooms!AE$9+HLOOKUP("f_A_wall_wid",PAR!$F$1:$Y$5,2,FALSE))*(IN_rooms!AE$9&gt;0),
_xlpm.n_giebel,IF(_xlpm.L_wall=0,0,IN_rooms!AE33),
_xlpm.h_knee,IN_rooms!AE$34,
_xlpm.h_roof,IN_rooms!AE$31,
_xlpm.is_jamb,IN_rooms!AE$35="Ja",
_xlpm.h_room,IN_rooms!AE$5+HLOOKUP("f_A_wall_hei",PAR!$F$1:$Y$5,2,FALSE),
_xlpm.alpha,_xlfn.IFS(
IN_build!$P$4="geneigt",25,
IN_build!$P$4="steil",40,
IN_build!$P$4="sehr steil",55),
_xlpm.A_win,(V$42+V$48+V$54),
_xlpm.A_knee,MAX(0,IF(_xlpm.is_jamb,0,IF(_xlpm.komplex,V$26*(_xlpm.h_knee*SIN(_xlpm.alpha*PI()/180))/(_xlpm.h_room-_xlpm.h_knee),_xlpm.h_knee*IN_rooms!AE$30))),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_xlpm.giebel_1_slop_1,AND(IN_rooms!AE$28="Eine",_xlpm.n_giebel=1),
_xlpm.giebel_2_slop_1,AND(IN_rooms!AE$28="Eine",_xlpm.n_giebel=2),
_xlpm.giebel_1_slop_2,AND(IN_rooms!AE$28="Zwei (symmetrisch)",_xlpm.n_giebel=1),
_xlpm.giebel_2_slop_2,AND(IN_rooms!AE$28="Zwei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c r="W14" s="28" cm="1">
        <f t="array" ref="W14">IF(
OR(IN_rooms!AF$28="Keine",IN_rooms!AF$28="Flachdach",IN_rooms!AF$31=0,IN_rooms!AF$30=0,IN_build!$P$4="Flach bzw. Flachdach"),
((IN_rooms!AF$9+HLOOKUP("f_A_wall_wid",PAR!$F$1:$Y$5,2,FALSE))*(IN_rooms!AF$5+HLOOKUP("f_A_wall_hei",PAR!$F$1:$Y$5,2,FALSE))-(W$42+W$48+W$54))*(IN_rooms!AF$9&gt;0),
_xlfn.LET(
_xlpm.komplex,IN_rooms!AF$28="Komplex",
_xlpm.b_ceil,IN_rooms!AF$32,
_xlpm.L_wall,(IN_rooms!AF$9+HLOOKUP("f_A_wall_wid",PAR!$F$1:$Y$5,2,FALSE))*(IN_rooms!AF$9&gt;0),
_xlpm.n_giebel,IF(_xlpm.L_wall=0,0,IN_rooms!AF33),
_xlpm.h_knee,IN_rooms!AF$34,
_xlpm.h_roof,IN_rooms!AF$31,
_xlpm.is_jamb,IN_rooms!AF$35="Ja",
_xlpm.h_room,IN_rooms!AF$5+HLOOKUP("f_A_wall_hei",PAR!$F$1:$Y$5,2,FALSE),
_xlpm.alpha,_xlfn.IFS(
IN_build!$P$4="geneigt",25,
IN_build!$P$4="steil",40,
IN_build!$P$4="sehr steil",55),
_xlpm.A_win,(W$42+W$48+W$54),
_xlpm.A_knee,MAX(0,IF(_xlpm.is_jamb,0,IF(_xlpm.komplex,W$26*(_xlpm.h_knee*SIN(_xlpm.alpha*PI()/180))/(_xlpm.h_room-_xlpm.h_knee),_xlpm.h_knee*IN_rooms!AF$30))),
_xlpm.A_no_slop,_xlpm.L_wall*_xlpm.h_room,
_xlpm.A_big_rect,_xlpm.h_room*_xlpm.b_ceil,
_xlpm.A_triangle,1/4*_xlpm.h_roof^2*SIN(2*_xlpm.alpha*PI()/180),
_xlpm.A_small_rect,_xlpm.h_knee*_xlpm.h_roof*COS(_xlpm.alpha*PI()/180),
_xlpm.A_triangle_jamb,1/2*_xlpm.h_knee^2*TAN(_xlpm.alpha*PI()/180),
_xlpm.A_slop_tot,_xlpm.A_triangle+_xlpm.A_small_rect+IF(_xlpm.is_jamb,_xlpm.A_triangle_jamb,0),
_xlpm.giebel_0,_xlpm.n_giebel=0,
_xlpm.giebel_1_slop_1,AND(IN_rooms!AF$28="Eine",_xlpm.n_giebel=1),
_xlpm.giebel_2_slop_1,AND(IN_rooms!AF$28="Eine",_xlpm.n_giebel=2),
_xlpm.giebel_1_slop_2,AND(IN_rooms!AF$28="Zwei (symmetrisch)",_xlpm.n_giebel=1),
_xlpm.giebel_2_slop_2,AND(IN_rooms!AF$28="Zwei (symmetrisch)",_xlpm.n_giebel=2),
IF(_xlpm.komplex,
MAX(MIN(_xlfn.IFS(
_xlpm.giebel_0,_xlpm.L_wall*_xlpm.h_room,
_xlpm.is_jamb,_xlpm.h_room^2/TAN(_xlpm.alpha*PI()/180),
NOT(_xlpm.is_jamb),_xlpm.L_wall * (_xlpm.h_knee + 0.5 * (_xlpm.h_room - _xlpm.h_knee)),
TRUE,_xlpm.A_no_slop),_xlpm.A_no_slop)+_xlpm.A_knee-_xlpm.A_win,0)*HLOOKUP("f_Awall_roof",PAR!$F$1:$Y$5,2,FALSE),
MAX(MIN(_xlfn.IFS(
_xlpm.giebel_0,_xlpm.A_no_slop,
_xlpm.giebel_1_slop_1,_xlpm.A_big_rect+_xlpm.A_slop_tot,
_xlpm.giebel_2_slop_1,2*(_xlpm.A_big_rect+_xlpm.A_slop_tot),
_xlpm.giebel_1_slop_2,_xlpm.A_big_rect+2*_xlpm.A_slop_tot,
_xlpm.giebel_2_slop_2,2*(_xlpm.A_big_rect+2*_xlpm.A_slop_tot),
TRUE,_xlpm.A_no_slop),_xlpm.A_no_slop)+_xlpm.A_knee-_xlpm.A_win,0)*HLOOKUP("f_Awall_roof",PAR!$F$1:$Y$5,2,FALSE)
)))</f>
        <v>0</v>
      </c>
    </row>
    <row r="15" spans="1:23" ht="15.75" thickBot="1">
      <c r="A15" t="s">
        <v>120</v>
      </c>
      <c r="B15" t="s">
        <v>480</v>
      </c>
      <c r="C15" t="s">
        <v>119</v>
      </c>
      <c r="E15" t="s">
        <v>481</v>
      </c>
      <c r="F15" t="s">
        <v>482</v>
      </c>
      <c r="I15" s="28" cm="1">
        <f t="array" ref="I15">IF(I14=0,0,_xlfn.AGGREGATE(15,6,U_Werte_IWU!$F$30:$F$297/((U_Werte_IWU!$E$30:$E$297=LEFT($A$14,9))*(U_Werte_IWU!$D$30:$D$297=clc_load!I4)*(U_Werte_IWU!$C$30:$C$297=clc_load!I3)),1))</f>
        <v>0</v>
      </c>
      <c r="J15" s="28" cm="1">
        <f t="array" ref="J15">IF(J14=0,0,_xlfn.AGGREGATE(15,6,U_Werte_IWU!$F$30:$F$297/((U_Werte_IWU!$E$30:$E$297=LEFT($A$14,9))*(U_Werte_IWU!$D$30:$D$297=clc_load!J4)*(U_Werte_IWU!$C$30:$C$297=clc_load!J3)),1))</f>
        <v>0</v>
      </c>
      <c r="K15" s="28" cm="1">
        <f t="array" ref="K15">IF(K14=0,0,_xlfn.AGGREGATE(15,6,U_Werte_IWU!$F$30:$F$297/((U_Werte_IWU!$E$30:$E$297=LEFT($A$14,9))*(U_Werte_IWU!$D$30:$D$297=clc_load!K4)*(U_Werte_IWU!$C$30:$C$297=clc_load!K3)),1))</f>
        <v>0</v>
      </c>
      <c r="L15" s="28" cm="1">
        <f t="array" ref="L15">IF(L14=0,0,_xlfn.AGGREGATE(15,6,U_Werte_IWU!$F$30:$F$297/((U_Werte_IWU!$E$30:$E$297=LEFT($A$14,9))*(U_Werte_IWU!$D$30:$D$297=clc_load!L4)*(U_Werte_IWU!$C$30:$C$297=clc_load!L3)),1))</f>
        <v>0</v>
      </c>
      <c r="M15" s="28" cm="1">
        <f t="array" ref="M15">IF(M14=0,0,_xlfn.AGGREGATE(15,6,U_Werte_IWU!$F$30:$F$297/((U_Werte_IWU!$E$30:$E$297=LEFT($A$14,9))*(U_Werte_IWU!$D$30:$D$297=clc_load!M4)*(U_Werte_IWU!$C$30:$C$297=clc_load!M3)),1))</f>
        <v>0</v>
      </c>
      <c r="N15" s="28" cm="1">
        <f t="array" ref="N15">IF(N14=0,0,_xlfn.AGGREGATE(15,6,U_Werte_IWU!$F$30:$F$297/((U_Werte_IWU!$E$30:$E$297=LEFT($A$14,9))*(U_Werte_IWU!$D$30:$D$297=clc_load!N4)*(U_Werte_IWU!$C$30:$C$297=clc_load!N3)),1))</f>
        <v>0</v>
      </c>
      <c r="O15" s="28" cm="1">
        <f t="array" ref="O15">IF(O14=0,0,_xlfn.AGGREGATE(15,6,U_Werte_IWU!$F$30:$F$297/((U_Werte_IWU!$E$30:$E$297=LEFT($A$14,9))*(U_Werte_IWU!$D$30:$D$297=clc_load!O4)*(U_Werte_IWU!$C$30:$C$297=clc_load!O3)),1))</f>
        <v>0</v>
      </c>
      <c r="P15" s="28" cm="1">
        <f t="array" ref="P15">IF(P14=0,0,_xlfn.AGGREGATE(15,6,U_Werte_IWU!$F$30:$F$297/((U_Werte_IWU!$E$30:$E$297=LEFT($A$14,9))*(U_Werte_IWU!$D$30:$D$297=clc_load!P4)*(U_Werte_IWU!$C$30:$C$297=clc_load!P3)),1))</f>
        <v>0</v>
      </c>
      <c r="Q15" s="28" cm="1">
        <f t="array" ref="Q15">IF(Q14=0,0,_xlfn.AGGREGATE(15,6,U_Werte_IWU!$F$30:$F$297/((U_Werte_IWU!$E$30:$E$297=LEFT($A$14,9))*(U_Werte_IWU!$D$30:$D$297=clc_load!Q4)*(U_Werte_IWU!$C$30:$C$297=clc_load!Q3)),1))</f>
        <v>0</v>
      </c>
      <c r="R15" s="28" cm="1">
        <f t="array" ref="R15">IF(R14=0,0,_xlfn.AGGREGATE(15,6,U_Werte_IWU!$F$30:$F$297/((U_Werte_IWU!$E$30:$E$297=LEFT($A$14,9))*(U_Werte_IWU!$D$30:$D$297=clc_load!R4)*(U_Werte_IWU!$C$30:$C$297=clc_load!R3)),1))</f>
        <v>0</v>
      </c>
      <c r="S15" s="28" cm="1">
        <f t="array" ref="S15">IF(S14=0,0,_xlfn.AGGREGATE(15,6,U_Werte_IWU!$F$30:$F$297/((U_Werte_IWU!$E$30:$E$297=LEFT($A$14,9))*(U_Werte_IWU!$D$30:$D$297=clc_load!S4)*(U_Werte_IWU!$C$30:$C$297=clc_load!S3)),1))</f>
        <v>0</v>
      </c>
      <c r="T15" s="28" cm="1">
        <f t="array" ref="T15">IF(T14=0,0,_xlfn.AGGREGATE(15,6,U_Werte_IWU!$F$30:$F$297/((U_Werte_IWU!$E$30:$E$297=LEFT($A$14,9))*(U_Werte_IWU!$D$30:$D$297=clc_load!T4)*(U_Werte_IWU!$C$30:$C$297=clc_load!T3)),1))</f>
        <v>0</v>
      </c>
      <c r="U15" s="28" cm="1">
        <f t="array" ref="U15">IF(U14=0,0,_xlfn.AGGREGATE(15,6,U_Werte_IWU!$F$30:$F$297/((U_Werte_IWU!$E$30:$E$297=LEFT($A$14,9))*(U_Werte_IWU!$D$30:$D$297=clc_load!U4)*(U_Werte_IWU!$C$30:$C$297=clc_load!U3)),1))</f>
        <v>0</v>
      </c>
      <c r="V15" s="28" cm="1">
        <f t="array" ref="V15">IF(V14=0,0,_xlfn.AGGREGATE(15,6,U_Werte_IWU!$F$30:$F$297/((U_Werte_IWU!$E$30:$E$297=LEFT($A$14,9))*(U_Werte_IWU!$D$30:$D$297=clc_load!V4)*(U_Werte_IWU!$C$30:$C$297=clc_load!V3)),1))</f>
        <v>0</v>
      </c>
      <c r="W15" s="28" cm="1">
        <f t="array" ref="W15">IF(W14=0,0,_xlfn.AGGREGATE(15,6,U_Werte_IWU!$F$30:$F$297/((U_Werte_IWU!$E$30:$E$297=LEFT($A$14,9))*(U_Werte_IWU!$D$30:$D$297=clc_load!W4)*(U_Werte_IWU!$C$30:$C$297=clc_load!W3)),1))</f>
        <v>0</v>
      </c>
    </row>
    <row r="16" spans="1:23" ht="15.75" thickBot="1">
      <c r="A16" t="s">
        <v>120</v>
      </c>
      <c r="B16" t="s">
        <v>483</v>
      </c>
      <c r="C16" t="s">
        <v>119</v>
      </c>
      <c r="E16" t="s">
        <v>484</v>
      </c>
      <c r="F16" t="s">
        <v>482</v>
      </c>
      <c r="I16" s="28" cm="1">
        <f t="array" aca="1" ref="I16" ca="1">_xlfn.LET(
_xlpm.U_no_ins, _xlfn.XLOOKUP(1,
  (INDIRECT("UWert_Mod[Bauteil]")=$A$16)*
  (INDIRECT("UWert_Mod[Modernisierungsjahr]")="1983 - 1994"),
  INDIRECT("UWert_Mod[U_no_ins]")),
_xlpm.U_IWU, I$15,
_xlpm.d_ins,IN_rooms!R$75,
IF(_xlpm.d_ins&gt;0,1/(1/_xlpm.U_no_ins+_xlpm.d_ins*0.01/INDEX(INDIRECT("PAR[lambda_ins_thick]"), 1)),_xlpm.U_IWU))</f>
        <v>0</v>
      </c>
      <c r="J16" s="28" cm="1">
        <f t="array" aca="1" ref="J16" ca="1">_xlfn.LET(
_xlpm.U_no_ins, _xlfn.XLOOKUP(1,
  (INDIRECT("UWert_Mod[Bauteil]")=$A$16)*
  (INDIRECT("UWert_Mod[Modernisierungsjahr]")="1983 - 1994"),
  INDIRECT("UWert_Mod[U_no_ins]")),
_xlpm.U_IWU, J$15,
_xlpm.d_ins,IN_rooms!S$75,
IF(_xlpm.d_ins&gt;0,1/(1/_xlpm.U_no_ins+_xlpm.d_ins*0.01/INDEX(INDIRECT("PAR[lambda_ins_thick]"), 1)),_xlpm.U_IWU))</f>
        <v>0</v>
      </c>
      <c r="K16" s="28" cm="1">
        <f t="array" aca="1" ref="K16" ca="1">_xlfn.LET(
_xlpm.U_no_ins, _xlfn.XLOOKUP(1,
  (INDIRECT("UWert_Mod[Bauteil]")=$A$16)*
  (INDIRECT("UWert_Mod[Modernisierungsjahr]")="1983 - 1994"),
  INDIRECT("UWert_Mod[U_no_ins]")),
_xlpm.U_IWU, K$15,
_xlpm.d_ins,IN_rooms!T$75,
IF(_xlpm.d_ins&gt;0,1/(1/_xlpm.U_no_ins+_xlpm.d_ins*0.01/INDEX(INDIRECT("PAR[lambda_ins_thick]"), 1)),_xlpm.U_IWU))</f>
        <v>0</v>
      </c>
      <c r="L16" s="28" cm="1">
        <f t="array" aca="1" ref="L16" ca="1">_xlfn.LET(
_xlpm.U_no_ins, _xlfn.XLOOKUP(1,
  (INDIRECT("UWert_Mod[Bauteil]")=$A$16)*
  (INDIRECT("UWert_Mod[Modernisierungsjahr]")="1983 - 1994"),
  INDIRECT("UWert_Mod[U_no_ins]")),
_xlpm.U_IWU, L$15,
_xlpm.d_ins,IN_rooms!U$75,
IF(_xlpm.d_ins&gt;0,1/(1/_xlpm.U_no_ins+_xlpm.d_ins*0.01/INDEX(INDIRECT("PAR[lambda_ins_thick]"), 1)),_xlpm.U_IWU))</f>
        <v>0</v>
      </c>
      <c r="M16" s="28" cm="1">
        <f t="array" aca="1" ref="M16" ca="1">_xlfn.LET(
_xlpm.U_no_ins, _xlfn.XLOOKUP(1,
  (INDIRECT("UWert_Mod[Bauteil]")=$A$16)*
  (INDIRECT("UWert_Mod[Modernisierungsjahr]")="1983 - 1994"),
  INDIRECT("UWert_Mod[U_no_ins]")),
_xlpm.U_IWU, M$15,
_xlpm.d_ins,IN_rooms!V$75,
IF(_xlpm.d_ins&gt;0,1/(1/_xlpm.U_no_ins+_xlpm.d_ins*0.01/INDEX(INDIRECT("PAR[lambda_ins_thick]"), 1)),_xlpm.U_IWU))</f>
        <v>0</v>
      </c>
      <c r="N16" s="28" cm="1">
        <f t="array" aca="1" ref="N16" ca="1">_xlfn.LET(
_xlpm.U_no_ins, _xlfn.XLOOKUP(1,
  (INDIRECT("UWert_Mod[Bauteil]")=$A$16)*
  (INDIRECT("UWert_Mod[Modernisierungsjahr]")="1983 - 1994"),
  INDIRECT("UWert_Mod[U_no_ins]")),
_xlpm.U_IWU, N$15,
_xlpm.d_ins,IN_rooms!W$75,
IF(_xlpm.d_ins&gt;0,1/(1/_xlpm.U_no_ins+_xlpm.d_ins*0.01/INDEX(INDIRECT("PAR[lambda_ins_thick]"), 1)),_xlpm.U_IWU))</f>
        <v>0</v>
      </c>
      <c r="O16" s="28" cm="1">
        <f t="array" aca="1" ref="O16" ca="1">_xlfn.LET(
_xlpm.U_no_ins, _xlfn.XLOOKUP(1,
  (INDIRECT("UWert_Mod[Bauteil]")=$A$16)*
  (INDIRECT("UWert_Mod[Modernisierungsjahr]")="1983 - 1994"),
  INDIRECT("UWert_Mod[U_no_ins]")),
_xlpm.U_IWU, O$15,
_xlpm.d_ins,IN_rooms!X$75,
IF(_xlpm.d_ins&gt;0,1/(1/_xlpm.U_no_ins+_xlpm.d_ins*0.01/INDEX(INDIRECT("PAR[lambda_ins_thick]"), 1)),_xlpm.U_IWU))</f>
        <v>0</v>
      </c>
      <c r="P16" s="28" cm="1">
        <f t="array" aca="1" ref="P16" ca="1">_xlfn.LET(
_xlpm.U_no_ins, _xlfn.XLOOKUP(1,
  (INDIRECT("UWert_Mod[Bauteil]")=$A$16)*
  (INDIRECT("UWert_Mod[Modernisierungsjahr]")="1983 - 1994"),
  INDIRECT("UWert_Mod[U_no_ins]")),
_xlpm.U_IWU, P$15,
_xlpm.d_ins,IN_rooms!Y$75,
IF(_xlpm.d_ins&gt;0,1/(1/_xlpm.U_no_ins+_xlpm.d_ins*0.01/INDEX(INDIRECT("PAR[lambda_ins_thick]"), 1)),_xlpm.U_IWU))</f>
        <v>0</v>
      </c>
      <c r="Q16" s="28" cm="1">
        <f t="array" aca="1" ref="Q16" ca="1">_xlfn.LET(
_xlpm.U_no_ins, _xlfn.XLOOKUP(1,
  (INDIRECT("UWert_Mod[Bauteil]")=$A$16)*
  (INDIRECT("UWert_Mod[Modernisierungsjahr]")="1983 - 1994"),
  INDIRECT("UWert_Mod[U_no_ins]")),
_xlpm.U_IWU, Q$15,
_xlpm.d_ins,IN_rooms!Z$75,
IF(_xlpm.d_ins&gt;0,1/(1/_xlpm.U_no_ins+_xlpm.d_ins*0.01/INDEX(INDIRECT("PAR[lambda_ins_thick]"), 1)),_xlpm.U_IWU))</f>
        <v>0</v>
      </c>
      <c r="R16" s="28" cm="1">
        <f t="array" aca="1" ref="R16" ca="1">_xlfn.LET(
_xlpm.U_no_ins, _xlfn.XLOOKUP(1,
  (INDIRECT("UWert_Mod[Bauteil]")=$A$16)*
  (INDIRECT("UWert_Mod[Modernisierungsjahr]")="1983 - 1994"),
  INDIRECT("UWert_Mod[U_no_ins]")),
_xlpm.U_IWU, R$15,
_xlpm.d_ins,IN_rooms!AA$75,
IF(_xlpm.d_ins&gt;0,1/(1/_xlpm.U_no_ins+_xlpm.d_ins*0.01/INDEX(INDIRECT("PAR[lambda_ins_thick]"), 1)),_xlpm.U_IWU))</f>
        <v>0</v>
      </c>
      <c r="S16" s="28" cm="1">
        <f t="array" aca="1" ref="S16" ca="1">_xlfn.LET(
_xlpm.U_no_ins, _xlfn.XLOOKUP(1,
  (INDIRECT("UWert_Mod[Bauteil]")=$A$16)*
  (INDIRECT("UWert_Mod[Modernisierungsjahr]")="1983 - 1994"),
  INDIRECT("UWert_Mod[U_no_ins]")),
_xlpm.U_IWU, S$15,
_xlpm.d_ins,IN_rooms!AB$75,
IF(_xlpm.d_ins&gt;0,1/(1/_xlpm.U_no_ins+_xlpm.d_ins*0.01/INDEX(INDIRECT("PAR[lambda_ins_thick]"), 1)),_xlpm.U_IWU))</f>
        <v>0</v>
      </c>
      <c r="T16" s="28" cm="1">
        <f t="array" aca="1" ref="T16" ca="1">_xlfn.LET(
_xlpm.U_no_ins, _xlfn.XLOOKUP(1,
  (INDIRECT("UWert_Mod[Bauteil]")=$A$16)*
  (INDIRECT("UWert_Mod[Modernisierungsjahr]")="1983 - 1994"),
  INDIRECT("UWert_Mod[U_no_ins]")),
_xlpm.U_IWU, T$15,
_xlpm.d_ins,IN_rooms!AC$75,
IF(_xlpm.d_ins&gt;0,1/(1/_xlpm.U_no_ins+_xlpm.d_ins*0.01/INDEX(INDIRECT("PAR[lambda_ins_thick]"), 1)),_xlpm.U_IWU))</f>
        <v>0</v>
      </c>
      <c r="U16" s="28" cm="1">
        <f t="array" aca="1" ref="U16" ca="1">_xlfn.LET(
_xlpm.U_no_ins, _xlfn.XLOOKUP(1,
  (INDIRECT("UWert_Mod[Bauteil]")=$A$16)*
  (INDIRECT("UWert_Mod[Modernisierungsjahr]")="1983 - 1994"),
  INDIRECT("UWert_Mod[U_no_ins]")),
_xlpm.U_IWU, U$15,
_xlpm.d_ins,IN_rooms!AD$75,
IF(_xlpm.d_ins&gt;0,1/(1/_xlpm.U_no_ins+_xlpm.d_ins*0.01/INDEX(INDIRECT("PAR[lambda_ins_thick]"), 1)),_xlpm.U_IWU))</f>
        <v>0</v>
      </c>
      <c r="V16" s="28" cm="1">
        <f t="array" aca="1" ref="V16" ca="1">_xlfn.LET(
_xlpm.U_no_ins, _xlfn.XLOOKUP(1,
  (INDIRECT("UWert_Mod[Bauteil]")=$A$16)*
  (INDIRECT("UWert_Mod[Modernisierungsjahr]")="1983 - 1994"),
  INDIRECT("UWert_Mod[U_no_ins]")),
_xlpm.U_IWU, V$15,
_xlpm.d_ins,IN_rooms!AE$75,
IF(_xlpm.d_ins&gt;0,1/(1/_xlpm.U_no_ins+_xlpm.d_ins*0.01/INDEX(INDIRECT("PAR[lambda_ins_thick]"), 1)),_xlpm.U_IWU))</f>
        <v>0</v>
      </c>
      <c r="W16" s="28" cm="1">
        <f t="array" aca="1" ref="W16" ca="1">_xlfn.LET(
_xlpm.U_no_ins, _xlfn.XLOOKUP(1,
  (INDIRECT("UWert_Mod[Bauteil]")=$A$16)*
  (INDIRECT("UWert_Mod[Modernisierungsjahr]")="1983 - 1994"),
  INDIRECT("UWert_Mod[U_no_ins]")),
_xlpm.U_IWU, W$15,
_xlpm.d_ins,IN_rooms!AF$75,
IF(_xlpm.d_ins&gt;0,1/(1/_xlpm.U_no_ins+_xlpm.d_ins*0.01/INDEX(INDIRECT("PAR[lambda_ins_thick]"), 1)),_xlpm.U_IWU))</f>
        <v>0</v>
      </c>
    </row>
    <row r="17" spans="1:23" ht="60" customHeight="1" thickBot="1">
      <c r="A17" t="s">
        <v>120</v>
      </c>
      <c r="B17" t="s">
        <v>485</v>
      </c>
      <c r="C17" t="s">
        <v>119</v>
      </c>
      <c r="E17" t="s">
        <v>486</v>
      </c>
      <c r="F17" t="s">
        <v>31</v>
      </c>
      <c r="G17" s="42"/>
      <c r="I17" s="28">
        <f>IF(I14=0,0,I14*(I16+I$8)*_xlfn.XLOOKUP(IN_rooms!R12,Daten!$E$106:$E$109,Daten!$F$106:$F$109,"FEHLER",0,1)*(I$10-Normaußentemperatur_12831!$B$6))</f>
        <v>0</v>
      </c>
      <c r="J17" s="30">
        <f>IF(J14=0,0,J14*(J16+J$8)*_xlfn.XLOOKUP(IN_rooms!S12,Daten!$E$106:$E$109,Daten!$F$106:$F$109,"FEHLER",0,1)*(J$10-Normaußentemperatur_12831!$B$6))</f>
        <v>0</v>
      </c>
      <c r="K17" s="28">
        <f>IF(K14=0,0,K14*(K16+K$8)*_xlfn.XLOOKUP(IN_rooms!T12,Daten!$E$106:$E$109,Daten!$F$106:$F$109,"FEHLER",0,1)*(K$10-Normaußentemperatur_12831!$B$6))</f>
        <v>0</v>
      </c>
      <c r="L17" s="30">
        <f>IF(L14=0,0,L14*(L16+L$8)*_xlfn.XLOOKUP(IN_rooms!U12,Daten!$E$106:$E$109,Daten!$F$106:$F$109,"FEHLER",0,1)*(L$10-Normaußentemperatur_12831!$B$6))</f>
        <v>0</v>
      </c>
      <c r="M17" s="30">
        <f>IF(M14=0,0,M14*(M16+M$8)*_xlfn.XLOOKUP(IN_rooms!V12,Daten!$E$106:$E$109,Daten!$F$106:$F$109,"FEHLER",0,1)*(M$10-Normaußentemperatur_12831!$B$6))</f>
        <v>0</v>
      </c>
      <c r="N17" s="30">
        <f>IF(N14=0,0,N14*(N16+N$8)*_xlfn.XLOOKUP(IN_rooms!W12,Daten!$E$106:$E$109,Daten!$F$106:$F$109,"FEHLER",0,1)*(N$10-Normaußentemperatur_12831!$B$6))</f>
        <v>0</v>
      </c>
      <c r="O17" s="30">
        <f>IF(O14=0,0,O14*(O16+O$8)*_xlfn.XLOOKUP(IN_rooms!X12,Daten!$E$106:$E$109,Daten!$F$106:$F$109,"FEHLER",0,1)*(O$10-Normaußentemperatur_12831!$B$6))</f>
        <v>0</v>
      </c>
      <c r="P17" s="30">
        <f>IF(P14=0,0,P14*(P16+P$8)*_xlfn.XLOOKUP(IN_rooms!Y12,Daten!$E$106:$E$109,Daten!$F$106:$F$109,"FEHLER",0,1)*(P$10-Normaußentemperatur_12831!$B$6))</f>
        <v>0</v>
      </c>
      <c r="Q17" s="30">
        <f>IF(Q14=0,0,Q14*(Q16+Q$8)*_xlfn.XLOOKUP(IN_rooms!Z12,Daten!$E$106:$E$109,Daten!$F$106:$F$109,"FEHLER",0,1)*(Q$10-Normaußentemperatur_12831!$B$6))</f>
        <v>0</v>
      </c>
      <c r="R17" s="30">
        <f>IF(R14=0,0,R14*(R16+R$8)*_xlfn.XLOOKUP(IN_rooms!AA12,Daten!$E$106:$E$109,Daten!$F$106:$F$109,"FEHLER",0,1)*(R$10-Normaußentemperatur_12831!$B$6))</f>
        <v>0</v>
      </c>
      <c r="S17" s="30">
        <f>IF(S14=0,0,S14*(S16+S$8)*_xlfn.XLOOKUP(IN_rooms!AB12,Daten!$E$106:$E$109,Daten!$F$106:$F$109,"FEHLER",0,1)*(S$10-Normaußentemperatur_12831!$B$6))</f>
        <v>0</v>
      </c>
      <c r="T17" s="30">
        <f>IF(T14=0,0,T14*(T16+T$8)*_xlfn.XLOOKUP(IN_rooms!AC12,Daten!$E$106:$E$109,Daten!$F$106:$F$109,"FEHLER",0,1)*(T$10-Normaußentemperatur_12831!$B$6))</f>
        <v>0</v>
      </c>
      <c r="U17" s="30">
        <f>IF(U14=0,0,U14*(U16+U$8)*_xlfn.XLOOKUP(IN_rooms!AD12,Daten!$E$106:$E$109,Daten!$F$106:$F$109,"FEHLER",0,1)*(U$10-Normaußentemperatur_12831!$B$6))</f>
        <v>0</v>
      </c>
      <c r="V17" s="30">
        <f>IF(V14=0,0,V14*(V16+V$8)*_xlfn.XLOOKUP(IN_rooms!AE12,Daten!$E$106:$E$109,Daten!$F$106:$F$109,"FEHLER",0,1)*(V$10-Normaußentemperatur_12831!$B$6))</f>
        <v>0</v>
      </c>
      <c r="W17" s="30">
        <f>IF(W14=0,0,W14*(W16+W$8)*_xlfn.XLOOKUP(IN_rooms!AF12,Daten!$E$106:$E$109,Daten!$F$106:$F$109,"FEHLER",0,1)*(W$10-Normaußentemperatur_12831!$B$6))</f>
        <v>0</v>
      </c>
    </row>
    <row r="18" spans="1:23" ht="15.75" thickBot="1">
      <c r="A18" t="s">
        <v>120</v>
      </c>
      <c r="B18" t="s">
        <v>476</v>
      </c>
      <c r="C18" t="s">
        <v>119</v>
      </c>
      <c r="E18" t="s">
        <v>487</v>
      </c>
      <c r="F18" t="s">
        <v>30</v>
      </c>
      <c r="I18" s="36" t="e">
        <f t="shared" ref="I18:W18" ca="1" si="4">I$17/I$72</f>
        <v>#NUM!</v>
      </c>
      <c r="J18" s="41" t="e">
        <f t="shared" ca="1" si="4"/>
        <v>#NUM!</v>
      </c>
      <c r="K18" s="36" t="e">
        <f t="shared" ca="1" si="4"/>
        <v>#NUM!</v>
      </c>
      <c r="L18" s="41" t="e">
        <f t="shared" ca="1" si="4"/>
        <v>#NUM!</v>
      </c>
      <c r="M18" s="41" t="e">
        <f t="shared" ca="1" si="4"/>
        <v>#NUM!</v>
      </c>
      <c r="N18" s="41" t="e">
        <f t="shared" ca="1" si="4"/>
        <v>#NUM!</v>
      </c>
      <c r="O18" s="41" t="e">
        <f t="shared" ca="1" si="4"/>
        <v>#NUM!</v>
      </c>
      <c r="P18" s="41" t="e">
        <f t="shared" ca="1" si="4"/>
        <v>#NUM!</v>
      </c>
      <c r="Q18" s="41" t="e">
        <f t="shared" ca="1" si="4"/>
        <v>#NUM!</v>
      </c>
      <c r="R18" s="41" t="e">
        <f t="shared" ca="1" si="4"/>
        <v>#NUM!</v>
      </c>
      <c r="S18" s="41" t="e">
        <f t="shared" ca="1" si="4"/>
        <v>#NUM!</v>
      </c>
      <c r="T18" s="41" t="e">
        <f t="shared" ca="1" si="4"/>
        <v>#NUM!</v>
      </c>
      <c r="U18" s="41" t="e">
        <f t="shared" ca="1" si="4"/>
        <v>#NUM!</v>
      </c>
      <c r="V18" s="41" t="e">
        <f t="shared" ca="1" si="4"/>
        <v>#NUM!</v>
      </c>
      <c r="W18" s="41" t="e">
        <f t="shared" ca="1" si="4"/>
        <v>#NUM!</v>
      </c>
    </row>
    <row r="19" spans="1:23" ht="15.75" thickBot="1">
      <c r="A19" t="s">
        <v>124</v>
      </c>
      <c r="B19" t="s">
        <v>478</v>
      </c>
      <c r="C19" t="s">
        <v>341</v>
      </c>
      <c r="E19" t="s">
        <v>488</v>
      </c>
      <c r="F19" t="s">
        <v>58</v>
      </c>
      <c r="I19" s="28">
        <f>IF(IN_rooms!R25="Nein",0,IN_rooms!R26*IN_rooms!R5)</f>
        <v>0</v>
      </c>
      <c r="J19" s="28">
        <f>IF(IN_rooms!S25="Nein",0,IN_rooms!S26*IN_rooms!S5)</f>
        <v>0</v>
      </c>
      <c r="K19" s="28">
        <f>IF(IN_rooms!T25="Nein",0,IN_rooms!T26*IN_rooms!T5)</f>
        <v>0</v>
      </c>
      <c r="L19" s="28">
        <f>IF(IN_rooms!U25="Nein",0,IN_rooms!U26*IN_rooms!U5)</f>
        <v>0</v>
      </c>
      <c r="M19" s="28">
        <f>IF(IN_rooms!V25="Nein",0,IN_rooms!V26*IN_rooms!V5)</f>
        <v>0</v>
      </c>
      <c r="N19" s="28">
        <f>IF(IN_rooms!W25="Nein",0,IN_rooms!W26*IN_rooms!W5)</f>
        <v>0</v>
      </c>
      <c r="O19" s="28">
        <f>IF(IN_rooms!X25="Nein",0,IN_rooms!X26*IN_rooms!X5)</f>
        <v>0</v>
      </c>
      <c r="P19" s="28">
        <f>IF(IN_rooms!Y25="Nein",0,IN_rooms!Y26*IN_rooms!Y5)</f>
        <v>0</v>
      </c>
      <c r="Q19" s="28">
        <f>IF(IN_rooms!Z25="Nein",0,IN_rooms!Z26*IN_rooms!Z5)</f>
        <v>0</v>
      </c>
      <c r="R19" s="28">
        <f>IF(IN_rooms!AA25="Nein",0,IN_rooms!AA26*IN_rooms!AA5)</f>
        <v>0</v>
      </c>
      <c r="S19" s="28">
        <f>IF(IN_rooms!AB25="Nein",0,IN_rooms!AB26*IN_rooms!AB5)</f>
        <v>0</v>
      </c>
      <c r="T19" s="28">
        <f>IF(IN_rooms!AC25="Nein",0,IN_rooms!AC26*IN_rooms!AC5)</f>
        <v>0</v>
      </c>
      <c r="U19" s="28">
        <f>IF(IN_rooms!AD25="Nein",0,IN_rooms!AD26*IN_rooms!AD5)</f>
        <v>0</v>
      </c>
      <c r="V19" s="28">
        <f>IF(IN_rooms!AE25="Nein",0,IN_rooms!AE26*IN_rooms!AE5)</f>
        <v>0</v>
      </c>
      <c r="W19" s="28">
        <f>IF(IN_rooms!AF25="Nein",0,IN_rooms!AF26*IN_rooms!AF5)</f>
        <v>0</v>
      </c>
    </row>
    <row r="20" spans="1:23" ht="18" customHeight="1" thickBot="1">
      <c r="A20" t="s">
        <v>124</v>
      </c>
      <c r="B20" t="s">
        <v>480</v>
      </c>
      <c r="C20" t="s">
        <v>341</v>
      </c>
      <c r="E20" t="s">
        <v>489</v>
      </c>
      <c r="F20" t="s">
        <v>482</v>
      </c>
      <c r="H20" s="78"/>
      <c r="I20" s="36">
        <f t="shared" ref="I20:W20" ca="1" si="5">INDEX(INDIRECT("PAR[U_inwall]"),1)</f>
        <v>2</v>
      </c>
      <c r="J20" s="5">
        <f t="shared" ca="1" si="5"/>
        <v>2</v>
      </c>
      <c r="K20" s="36">
        <f t="shared" ca="1" si="5"/>
        <v>2</v>
      </c>
      <c r="L20" s="5">
        <f t="shared" ca="1" si="5"/>
        <v>2</v>
      </c>
      <c r="M20" s="5">
        <f t="shared" ca="1" si="5"/>
        <v>2</v>
      </c>
      <c r="N20" s="5">
        <f t="shared" ca="1" si="5"/>
        <v>2</v>
      </c>
      <c r="O20" s="5">
        <f t="shared" ca="1" si="5"/>
        <v>2</v>
      </c>
      <c r="P20" s="5">
        <f t="shared" ca="1" si="5"/>
        <v>2</v>
      </c>
      <c r="Q20" s="5">
        <f t="shared" ca="1" si="5"/>
        <v>2</v>
      </c>
      <c r="R20" s="5">
        <f t="shared" ca="1" si="5"/>
        <v>2</v>
      </c>
      <c r="S20" s="5">
        <f t="shared" ca="1" si="5"/>
        <v>2</v>
      </c>
      <c r="T20" s="5">
        <f t="shared" ca="1" si="5"/>
        <v>2</v>
      </c>
      <c r="U20" s="5">
        <f t="shared" ca="1" si="5"/>
        <v>2</v>
      </c>
      <c r="V20" s="5">
        <f t="shared" ca="1" si="5"/>
        <v>2</v>
      </c>
      <c r="W20" s="5">
        <f t="shared" ca="1" si="5"/>
        <v>2</v>
      </c>
    </row>
    <row r="21" spans="1:23" ht="15.75" thickBot="1">
      <c r="A21" t="s">
        <v>124</v>
      </c>
      <c r="B21" t="s">
        <v>483</v>
      </c>
      <c r="C21" t="s">
        <v>341</v>
      </c>
      <c r="E21" t="s">
        <v>490</v>
      </c>
      <c r="F21" t="s">
        <v>482</v>
      </c>
      <c r="I21" s="28">
        <f ca="1">IF(IN_rooms!R$27&gt;0,1/(1/I$20+IN_rooms!R$27*0.01/INDEX(INDIRECT("PAR[lambda_ins_thick]"),1)),I$20)</f>
        <v>2</v>
      </c>
      <c r="J21" s="28">
        <f ca="1">IF(IN_rooms!S$27&gt;0,1/(1/J$20+IN_rooms!S$27*0.01/INDEX(INDIRECT("PAR[lambda_ins_thick]"),1)),J$20)</f>
        <v>2</v>
      </c>
      <c r="K21" s="28">
        <f ca="1">IF(IN_rooms!T$27&gt;0,1/(1/K$20+IN_rooms!T$27*0.01/INDEX(INDIRECT("PAR[lambda_ins_thick]"),1)),K$20)</f>
        <v>2</v>
      </c>
      <c r="L21" s="28">
        <f ca="1">IF(IN_rooms!U$27&gt;0,1/(1/L$20+IN_rooms!U$27*0.01/INDEX(INDIRECT("PAR[lambda_ins_thick]"),1)),L$20)</f>
        <v>2</v>
      </c>
      <c r="M21" s="28">
        <f ca="1">IF(IN_rooms!V$27&gt;0,1/(1/M$20+IN_rooms!V$27*0.01/INDEX(INDIRECT("PAR[lambda_ins_thick]"),1)),M$20)</f>
        <v>2</v>
      </c>
      <c r="N21" s="28">
        <f ca="1">IF(IN_rooms!W$27&gt;0,1/(1/N$20+IN_rooms!W$27*0.01/INDEX(INDIRECT("PAR[lambda_ins_thick]"),1)),N$20)</f>
        <v>2</v>
      </c>
      <c r="O21" s="28">
        <f ca="1">IF(IN_rooms!X$27&gt;0,1/(1/O$20+IN_rooms!X$27*0.01/INDEX(INDIRECT("PAR[lambda_ins_thick]"),1)),O$20)</f>
        <v>2</v>
      </c>
      <c r="P21" s="28">
        <f ca="1">IF(IN_rooms!Y$27&gt;0,1/(1/P$20+IN_rooms!Y$27*0.01/INDEX(INDIRECT("PAR[lambda_ins_thick]"),1)),P$20)</f>
        <v>2</v>
      </c>
      <c r="Q21" s="28">
        <f ca="1">IF(IN_rooms!Z$27&gt;0,1/(1/Q$20+IN_rooms!Z$27*0.01/INDEX(INDIRECT("PAR[lambda_ins_thick]"),1)),Q$20)</f>
        <v>2</v>
      </c>
      <c r="R21" s="28">
        <f ca="1">IF(IN_rooms!AA$27&gt;0,1/(1/R$20+IN_rooms!AA$27*0.01/INDEX(INDIRECT("PAR[lambda_ins_thick]"),1)),R$20)</f>
        <v>2</v>
      </c>
      <c r="S21" s="28">
        <f ca="1">IF(IN_rooms!AB$27&gt;0,1/(1/S$20+IN_rooms!AB$27*0.01/INDEX(INDIRECT("PAR[lambda_ins_thick]"),1)),S$20)</f>
        <v>2</v>
      </c>
      <c r="T21" s="28">
        <f ca="1">IF(IN_rooms!AC$27&gt;0,1/(1/T$20+IN_rooms!AC$27*0.01/INDEX(INDIRECT("PAR[lambda_ins_thick]"),1)),T$20)</f>
        <v>2</v>
      </c>
      <c r="U21" s="28">
        <f ca="1">IF(IN_rooms!AD$27&gt;0,1/(1/U$20+IN_rooms!AD$27*0.01/INDEX(INDIRECT("PAR[lambda_ins_thick]"),1)),U$20)</f>
        <v>2</v>
      </c>
      <c r="V21" s="28">
        <f ca="1">IF(IN_rooms!AE$27&gt;0,1/(1/V$20+IN_rooms!AE$27*0.01/INDEX(INDIRECT("PAR[lambda_ins_thick]"),1)),V$20)</f>
        <v>2</v>
      </c>
      <c r="W21" s="28">
        <f ca="1">IF(IN_rooms!AF$27&gt;0,1/(1/W$20+IN_rooms!AF$27*0.01/INDEX(INDIRECT("PAR[lambda_ins_thick]"),1)),W$20)</f>
        <v>2</v>
      </c>
    </row>
    <row r="22" spans="1:23" ht="20.25" customHeight="1" thickBot="1">
      <c r="A22" t="s">
        <v>124</v>
      </c>
      <c r="B22" t="s">
        <v>485</v>
      </c>
      <c r="C22" t="s">
        <v>341</v>
      </c>
      <c r="E22" t="s">
        <v>491</v>
      </c>
      <c r="F22" t="s">
        <v>31</v>
      </c>
      <c r="I22" s="28">
        <f>IF(I19=0,0,(I19*(I21+I$8)*0.5*(I$10-IF(IN_rooms!R$28="Ja",15,5))))</f>
        <v>0</v>
      </c>
      <c r="J22" s="30">
        <f>IF(J19=0,0,(J19*(J21+J$8)*0.5*(J$10-IF(IN_rooms!S$28="Ja",15,5))))</f>
        <v>0</v>
      </c>
      <c r="K22" s="28">
        <f>IF(K19=0,0,(K19*(K21+K$8)*0.5*(K$10-IF(IN_rooms!T$28="Ja",15,5))))</f>
        <v>0</v>
      </c>
      <c r="L22" s="30">
        <f>IF(L19=0,0,(L19*(L21+L$8)*0.5*(L$10-IF(IN_rooms!U$28="Ja",15,5))))</f>
        <v>0</v>
      </c>
      <c r="M22" s="30">
        <f>IF(M19=0,0,(M19*(M21+M$8)*0.5*(M$10-IF(IN_rooms!V$28="Ja",15,5))))</f>
        <v>0</v>
      </c>
      <c r="N22" s="30">
        <f>IF(N19=0,0,(N19*(N21+N$8)*0.5*(N$10-IF(IN_rooms!W$28="Ja",15,5))))</f>
        <v>0</v>
      </c>
      <c r="O22" s="30">
        <f>IF(O19=0,0,(O19*(O21+O$8)*0.5*(O$10-IF(IN_rooms!X$28="Ja",15,5))))</f>
        <v>0</v>
      </c>
      <c r="P22" s="30">
        <f>IF(P19=0,0,(P19*(P21+P$8)*0.5*(P$10-IF(IN_rooms!Y$28="Ja",15,5))))</f>
        <v>0</v>
      </c>
      <c r="Q22" s="30">
        <f>IF(Q19=0,0,(Q19*(Q21+Q$8)*0.5*(Q$10-IF(IN_rooms!Z$28="Ja",15,5))))</f>
        <v>0</v>
      </c>
      <c r="R22" s="30">
        <f>IF(R19=0,0,(R19*(R21+R$8)*0.5*(R$10-IF(IN_rooms!AA$28="Ja",15,5))))</f>
        <v>0</v>
      </c>
      <c r="S22" s="30">
        <f>IF(S19=0,0,(S19*(S21+S$8)*0.5*(S$10-IF(IN_rooms!AB$28="Ja",15,5))))</f>
        <v>0</v>
      </c>
      <c r="T22" s="30">
        <f>IF(T19=0,0,(T19*(T21+T$8)*0.5*(T$10-IF(IN_rooms!AC$28="Ja",15,5))))</f>
        <v>0</v>
      </c>
      <c r="U22" s="30">
        <f>IF(U19=0,0,(U19*(U21+U$8)*0.5*(U$10-IF(IN_rooms!AD$28="Ja",15,5))))</f>
        <v>0</v>
      </c>
      <c r="V22" s="30">
        <f>IF(V19=0,0,(V19*(V21+V$8)*0.5*(V$10-IF(IN_rooms!AE$28="Ja",15,5))))</f>
        <v>0</v>
      </c>
      <c r="W22" s="30">
        <f>IF(W19=0,0,(W19*(W21+W$8)*0.5*(W$10-IF(IN_rooms!AF$28="Ja",15,5))))</f>
        <v>0</v>
      </c>
    </row>
    <row r="23" spans="1:23" ht="15.75" thickBot="1">
      <c r="A23" t="s">
        <v>124</v>
      </c>
      <c r="B23" t="s">
        <v>476</v>
      </c>
      <c r="C23" t="s">
        <v>341</v>
      </c>
      <c r="E23" t="s">
        <v>492</v>
      </c>
      <c r="F23" t="s">
        <v>30</v>
      </c>
      <c r="I23" s="36">
        <f>IF(I$22=0,0,I$22/I$72)</f>
        <v>0</v>
      </c>
      <c r="J23" s="36">
        <f t="shared" ref="J23:W23" si="6">IF(J$22=0,0,J$22/J$72)</f>
        <v>0</v>
      </c>
      <c r="K23" s="36">
        <f>IF(K$22=0,0,K$22/K$72)</f>
        <v>0</v>
      </c>
      <c r="L23" s="36">
        <f t="shared" si="6"/>
        <v>0</v>
      </c>
      <c r="M23" s="36">
        <f t="shared" si="6"/>
        <v>0</v>
      </c>
      <c r="N23" s="36">
        <f t="shared" si="6"/>
        <v>0</v>
      </c>
      <c r="O23" s="36">
        <f t="shared" si="6"/>
        <v>0</v>
      </c>
      <c r="P23" s="36">
        <f t="shared" si="6"/>
        <v>0</v>
      </c>
      <c r="Q23" s="36">
        <f t="shared" si="6"/>
        <v>0</v>
      </c>
      <c r="R23" s="36">
        <f t="shared" si="6"/>
        <v>0</v>
      </c>
      <c r="S23" s="36">
        <f t="shared" si="6"/>
        <v>0</v>
      </c>
      <c r="T23" s="36">
        <f t="shared" si="6"/>
        <v>0</v>
      </c>
      <c r="U23" s="36">
        <f t="shared" si="6"/>
        <v>0</v>
      </c>
      <c r="V23" s="36">
        <f t="shared" si="6"/>
        <v>0</v>
      </c>
      <c r="W23" s="36">
        <f t="shared" si="6"/>
        <v>0</v>
      </c>
    </row>
    <row r="24" spans="1:23" ht="39" customHeight="1" thickBot="1">
      <c r="A24" t="s">
        <v>493</v>
      </c>
      <c r="B24" t="s">
        <v>494</v>
      </c>
      <c r="C24" t="s">
        <v>386</v>
      </c>
      <c r="F24" t="s">
        <v>31</v>
      </c>
      <c r="I24" s="28">
        <f>IF(I$25&lt;=0,0,1.6175*I$28^-0.28)</f>
        <v>0</v>
      </c>
      <c r="J24" s="28">
        <f t="shared" ref="J24:W24" si="7">IF(J$25&lt;=0,0,1.6175*J$28^-0.28)</f>
        <v>0</v>
      </c>
      <c r="K24" s="28">
        <f t="shared" si="7"/>
        <v>0</v>
      </c>
      <c r="L24" s="28">
        <f t="shared" si="7"/>
        <v>0</v>
      </c>
      <c r="M24" s="28">
        <f t="shared" si="7"/>
        <v>0</v>
      </c>
      <c r="N24" s="28">
        <f t="shared" si="7"/>
        <v>0</v>
      </c>
      <c r="O24" s="28">
        <f t="shared" si="7"/>
        <v>0</v>
      </c>
      <c r="P24" s="28">
        <f t="shared" si="7"/>
        <v>0</v>
      </c>
      <c r="Q24" s="28">
        <f t="shared" si="7"/>
        <v>0</v>
      </c>
      <c r="R24" s="28">
        <f t="shared" si="7"/>
        <v>0</v>
      </c>
      <c r="S24" s="28">
        <f t="shared" si="7"/>
        <v>0</v>
      </c>
      <c r="T24" s="28">
        <f t="shared" si="7"/>
        <v>0</v>
      </c>
      <c r="U24" s="28">
        <f t="shared" si="7"/>
        <v>0</v>
      </c>
      <c r="V24" s="28">
        <f t="shared" si="7"/>
        <v>0</v>
      </c>
      <c r="W24" s="28">
        <f t="shared" si="7"/>
        <v>0</v>
      </c>
    </row>
    <row r="25" spans="1:23" ht="15.75" thickBot="1">
      <c r="A25" s="77" t="s">
        <v>495</v>
      </c>
      <c r="B25" t="s">
        <v>496</v>
      </c>
      <c r="C25" t="s">
        <v>386</v>
      </c>
      <c r="F25" t="s">
        <v>107</v>
      </c>
      <c r="I25" s="28">
        <f>IF(IN_rooms!R$40="Ja",MAX(0,0.4183*I$26-1.3793,0),0)</f>
        <v>0</v>
      </c>
      <c r="J25" s="29">
        <f>IF(IN_rooms!S$40="Ja",MAX(0,0.4183*J$26-1.3793,0),0)</f>
        <v>0</v>
      </c>
      <c r="K25" s="28">
        <f>IF(IN_rooms!T$40="Ja",MAX(0,0.4183*K$26-1.3793,0),0)</f>
        <v>0</v>
      </c>
      <c r="L25" s="29">
        <f>IF(IN_rooms!U$40="Ja",MAX(0,0.4183*L$26-1.3793,0),0)</f>
        <v>0</v>
      </c>
      <c r="M25" s="29">
        <f>IF(IN_rooms!V$40="Ja",MAX(0,0.4183*M$26-1.3793,0),0)</f>
        <v>0</v>
      </c>
      <c r="N25" s="29">
        <f>IF(IN_rooms!W$40="Ja",MAX(0,0.4183*N$26-1.3793,0),0)</f>
        <v>0</v>
      </c>
      <c r="O25" s="29">
        <f>IF(IN_rooms!X$40="Ja",MAX(0,0.4183*O$26-1.3793,0),0)</f>
        <v>0</v>
      </c>
      <c r="P25" s="29">
        <f>IF(IN_rooms!Y$40="Ja",MAX(0,0.4183*P$26-1.3793,0),0)</f>
        <v>0</v>
      </c>
      <c r="Q25" s="29">
        <f>IF(IN_rooms!Z$40="Ja",MAX(0,0.4183*Q$26-1.3793,0),0)</f>
        <v>0</v>
      </c>
      <c r="R25" s="29">
        <f>IF(IN_rooms!AA$40="Ja",MAX(0,0.4183*R$26-1.3793,0),0)</f>
        <v>0</v>
      </c>
      <c r="S25" s="29">
        <f>IF(IN_rooms!AB$40="Ja",MAX(0,0.4183*S$26-1.3793,0),0)</f>
        <v>0</v>
      </c>
      <c r="T25" s="29">
        <f>IF(IN_rooms!AC$40="Ja",MAX(0,0.4183*T$26-1.3793,0),0)</f>
        <v>0</v>
      </c>
      <c r="U25" s="29">
        <f>IF(IN_rooms!AD$40="Ja",MAX(0,0.4183*U$26-1.3793,0),0)</f>
        <v>0</v>
      </c>
      <c r="V25" s="29">
        <f>IF(IN_rooms!AE$40="Ja",MAX(0,0.4183*V$26-1.3793,0),0)</f>
        <v>0</v>
      </c>
      <c r="W25" s="29">
        <f>IF(IN_rooms!AF$40="Ja",MAX(0,0.4183*W$26-1.3793,0),0)</f>
        <v>0</v>
      </c>
    </row>
    <row r="26" spans="1:23" ht="15.75" thickBot="1">
      <c r="A26" t="s">
        <v>350</v>
      </c>
      <c r="B26" t="s">
        <v>478</v>
      </c>
      <c r="C26" t="s">
        <v>131</v>
      </c>
      <c r="E26" t="s">
        <v>497</v>
      </c>
      <c r="F26" t="s">
        <v>58</v>
      </c>
      <c r="I26" s="28" cm="1">
        <f t="array" ref="I26">_xlfn.LET(
  _xlpm.L_wall,IN_rooms!R$9,
  _xlpm.n_giebel,IF(_xlpm.L_wall=0,0,IN_rooms!R33),
  _xlpm.h_knee,IN_rooms!R$34,
  _xlpm.h_roof,IN_rooms!R$31 + HLOOKUP("f_A_roof_hei",PAR!$F$1:$Y$5,2,FALSE),
  _xlpm.b_roof,IN_rooms!R$30 + MIN(2,_xlpm.n_giebel) * HLOOKUP("f_A_roof_wid",PAR!$F$1:$Y$5,2,FALSE),
  _xlpm.h_room,IN_rooms!R$5,
  _xlpm.alpha,_xlfn.IFS(
  IN_build!$P$4="geneigt",25,
  IN_build!$P$4="steil",40,
  IN_build!$P$4="sehr steil",55) * PI() / 180,
  _xlpm.is_jamb,IN_rooms!R$35="Ja",
  _xlpm.n_A_roof, IF(IN_rooms!R$28="Zwei (symmetrisch)", 2, 1),
MIN(MAX(_xlfn.IFS(
  OR(IN_rooms!R$28="Keine",IN_rooms!R$28=""),
  0,
  OR(IN_rooms!R$28="Flachdach",IN_build!$P$4="Flach bzw. Flachdach"),
    IN_rooms!R$4 + _xlpm.L_wall * HLOOKUP("f_A_roof_wid",PAR!$F$1:$Y$5,2,FALSE) - (I$60+I$66),
  IN_rooms!R$28="Komplex",
    IF(_xlpm.is_jamb,IN_rooms!R$84*(1+_xlpm.h_knee/(_xlpm.h_room*SIN(_xlpm.alpha))),IN_rooms!R$84),
  IN_rooms!R$39&gt;0,
    _xlpm.h_roof*_xlpm.b_roof
    +IN_rooms!R$39
    /SIN(_xlpm.alpha),
  OR(IN_rooms!R$39=0, IN_rooms!R$37&gt;0),
    _xlpm.h_roof*_xlpm.b_roof) * _xlpm.n_A_roof - (I$60+I$66), 0),  IN_rooms!R$4 * 2))</f>
        <v>0</v>
      </c>
      <c r="J26" s="28" cm="1">
        <f t="array" ref="J26">_xlfn.LET(
  _xlpm.L_wall,IN_rooms!S$9,
  _xlpm.n_giebel,IF(_xlpm.L_wall=0,0,IN_rooms!S33),
  _xlpm.h_knee,IN_rooms!S$34,
  _xlpm.h_roof,IN_rooms!S$31 + HLOOKUP("f_A_roof_hei",PAR!$F$1:$Y$5,2,FALSE),
  _xlpm.b_roof,IN_rooms!S$30 + MIN(2,_xlpm.n_giebel) * HLOOKUP("f_A_roof_wid",PAR!$F$1:$Y$5,2,FALSE),
  _xlpm.h_room,IN_rooms!S$5,
  _xlpm.alpha,_xlfn.IFS(
  IN_build!$P$4="geneigt",25,
  IN_build!$P$4="steil",40,
  IN_build!$P$4="sehr steil",55) * PI() / 180,
  _xlpm.is_jamb,IN_rooms!S$35="Ja",
  _xlpm.n_A_roof, IF(IN_rooms!S$28="Zwei (symmetrisch)", 2, 1),
MIN(MAX(_xlfn.IFS(
  OR(IN_rooms!S$28="Keine",IN_rooms!S$28=""),
  0,
  OR(IN_rooms!S$28="Flachdach",IN_build!$P$4="Flach bzw. Flachdach"),
    IN_rooms!S$4 + _xlpm.L_wall * HLOOKUP("f_A_roof_wid",PAR!$F$1:$Y$5,2,FALSE) - (J$60+J$66),
  IN_rooms!S$28="Komplex",
    IF(_xlpm.is_jamb,IN_rooms!S$84*(1+_xlpm.h_knee/(_xlpm.h_room*SIN(_xlpm.alpha))),IN_rooms!S$84),
  IN_rooms!S$39&gt;0,
    _xlpm.h_roof*_xlpm.b_roof
    +IN_rooms!S$39
    /SIN(_xlpm.alpha),
  OR(IN_rooms!S$39=0, IN_rooms!S$37&gt;0),
    _xlpm.h_roof*_xlpm.b_roof) * _xlpm.n_A_roof - (J$60+J$66), 0),  IN_rooms!S$4 * 2))</f>
        <v>0</v>
      </c>
      <c r="K26" s="28" cm="1">
        <f t="array" ref="K26">_xlfn.LET(
  _xlpm.L_wall,IN_rooms!T$9,
  _xlpm.n_giebel,IF(_xlpm.L_wall=0,0,IN_rooms!T33),
  _xlpm.h_knee,IN_rooms!T$34,
  _xlpm.h_roof,IN_rooms!T$31 + HLOOKUP("f_A_roof_hei",PAR!$F$1:$Y$5,2,FALSE),
  _xlpm.b_roof,IN_rooms!T$30 + MIN(2,_xlpm.n_giebel) * HLOOKUP("f_A_roof_wid",PAR!$F$1:$Y$5,2,FALSE),
  _xlpm.h_room,IN_rooms!T$5,
  _xlpm.alpha,_xlfn.IFS(
  IN_build!$P$4="geneigt",25,
  IN_build!$P$4="steil",40,
  IN_build!$P$4="sehr steil",55) * PI() / 180,
  _xlpm.is_jamb,IN_rooms!T$35="Ja",
  _xlpm.n_A_roof, IF(IN_rooms!T$28="Zwei (symmetrisch)", 2, 1),
MIN(MAX(_xlfn.IFS(
  OR(IN_rooms!T$28="Keine",IN_rooms!T$28=""),
  0,
  OR(IN_rooms!T$28="Flachdach",IN_build!$P$4="Flach bzw. Flachdach"),
    IN_rooms!T$4 + _xlpm.L_wall * HLOOKUP("f_A_roof_wid",PAR!$F$1:$Y$5,2,FALSE) - (K$60+K$66),
  IN_rooms!T$28="Komplex",
    IF(_xlpm.is_jamb,IN_rooms!T$84*(1+_xlpm.h_knee/(_xlpm.h_room*SIN(_xlpm.alpha))),IN_rooms!T$84),
  IN_rooms!T$39&gt;0,
    _xlpm.h_roof*_xlpm.b_roof
    +IN_rooms!T$39
    /SIN(_xlpm.alpha),
  OR(IN_rooms!T$39=0, IN_rooms!T$37&gt;0),
    _xlpm.h_roof*_xlpm.b_roof) * _xlpm.n_A_roof - (K$60+K$66), 0),  IN_rooms!T$4 * 2))</f>
        <v>0</v>
      </c>
      <c r="L26" s="28" cm="1">
        <f t="array" ref="L26">_xlfn.LET(
  _xlpm.L_wall,IN_rooms!U$9,
  _xlpm.n_giebel,IF(_xlpm.L_wall=0,0,IN_rooms!U33),
  _xlpm.h_knee,IN_rooms!U$34,
  _xlpm.h_roof,IN_rooms!U$31 + HLOOKUP("f_A_roof_hei",PAR!$F$1:$Y$5,2,FALSE),
  _xlpm.b_roof,IN_rooms!U$30 + MIN(2,_xlpm.n_giebel) * HLOOKUP("f_A_roof_wid",PAR!$F$1:$Y$5,2,FALSE),
  _xlpm.h_room,IN_rooms!U$5,
  _xlpm.alpha,_xlfn.IFS(
  IN_build!$P$4="geneigt",25,
  IN_build!$P$4="steil",40,
  IN_build!$P$4="sehr steil",55) * PI() / 180,
  _xlpm.is_jamb,IN_rooms!U$35="Ja",
  _xlpm.n_A_roof, IF(IN_rooms!U$28="Zwei (symmetrisch)", 2, 1),
MIN(MAX(_xlfn.IFS(
  OR(IN_rooms!U$28="Keine",IN_rooms!U$28=""),
  0,
  OR(IN_rooms!U$28="Flachdach",IN_build!$P$4="Flach bzw. Flachdach"),
    IN_rooms!U$4 + _xlpm.L_wall * HLOOKUP("f_A_roof_wid",PAR!$F$1:$Y$5,2,FALSE) - (L$60+L$66),
  IN_rooms!U$28="Komplex",
    IF(_xlpm.is_jamb,IN_rooms!U$84*(1+_xlpm.h_knee/(_xlpm.h_room*SIN(_xlpm.alpha))),IN_rooms!U$84),
  IN_rooms!U$39&gt;0,
    _xlpm.h_roof*_xlpm.b_roof
    +IN_rooms!U$39
    /SIN(_xlpm.alpha),
  OR(IN_rooms!U$39=0, IN_rooms!U$37&gt;0),
    _xlpm.h_roof*_xlpm.b_roof) * _xlpm.n_A_roof - (L$60+L$66), 0),  IN_rooms!U$4 * 2))</f>
        <v>0</v>
      </c>
      <c r="M26" s="28" cm="1">
        <f t="array" ref="M26">_xlfn.LET(
  _xlpm.L_wall,IN_rooms!V$9,
  _xlpm.n_giebel,IF(_xlpm.L_wall=0,0,IN_rooms!V33),
  _xlpm.h_knee,IN_rooms!V$34,
  _xlpm.h_roof,IN_rooms!V$31 + HLOOKUP("f_A_roof_hei",PAR!$F$1:$Y$5,2,FALSE),
  _xlpm.b_roof,IN_rooms!V$30 + MIN(2,_xlpm.n_giebel) * HLOOKUP("f_A_roof_wid",PAR!$F$1:$Y$5,2,FALSE),
  _xlpm.h_room,IN_rooms!V$5,
  _xlpm.alpha,_xlfn.IFS(
  IN_build!$P$4="geneigt",25,
  IN_build!$P$4="steil",40,
  IN_build!$P$4="sehr steil",55) * PI() / 180,
  _xlpm.is_jamb,IN_rooms!V$35="Ja",
  _xlpm.n_A_roof, IF(IN_rooms!V$28="Zwei (symmetrisch)", 2, 1),
MIN(MAX(_xlfn.IFS(
  OR(IN_rooms!V$28="Keine",IN_rooms!V$28=""),
  0,
  OR(IN_rooms!V$28="Flachdach",IN_build!$P$4="Flach bzw. Flachdach"),
    IN_rooms!V$4 + _xlpm.L_wall * HLOOKUP("f_A_roof_wid",PAR!$F$1:$Y$5,2,FALSE) - (M$60+M$66),
  IN_rooms!V$28="Komplex",
    IF(_xlpm.is_jamb,IN_rooms!V$84*(1+_xlpm.h_knee/(_xlpm.h_room*SIN(_xlpm.alpha))),IN_rooms!V$84),
  IN_rooms!V$39&gt;0,
    _xlpm.h_roof*_xlpm.b_roof
    +IN_rooms!V$39
    /SIN(_xlpm.alpha),
  OR(IN_rooms!V$39=0, IN_rooms!V$37&gt;0),
    _xlpm.h_roof*_xlpm.b_roof) * _xlpm.n_A_roof - (M$60+M$66), 0),  IN_rooms!V$4 * 2))</f>
        <v>0</v>
      </c>
      <c r="N26" s="28" cm="1">
        <f t="array" ref="N26">_xlfn.LET(
  _xlpm.L_wall,IN_rooms!W$9,
  _xlpm.n_giebel,IF(_xlpm.L_wall=0,0,IN_rooms!W33),
  _xlpm.h_knee,IN_rooms!W$34,
  _xlpm.h_roof,IN_rooms!W$31 + HLOOKUP("f_A_roof_hei",PAR!$F$1:$Y$5,2,FALSE),
  _xlpm.b_roof,IN_rooms!W$30 + MIN(2,_xlpm.n_giebel) * HLOOKUP("f_A_roof_wid",PAR!$F$1:$Y$5,2,FALSE),
  _xlpm.h_room,IN_rooms!W$5,
  _xlpm.alpha,_xlfn.IFS(
  IN_build!$P$4="geneigt",25,
  IN_build!$P$4="steil",40,
  IN_build!$P$4="sehr steil",55) * PI() / 180,
  _xlpm.is_jamb,IN_rooms!W$35="Ja",
  _xlpm.n_A_roof, IF(IN_rooms!W$28="Zwei (symmetrisch)", 2, 1),
MIN(MAX(_xlfn.IFS(
  OR(IN_rooms!W$28="Keine",IN_rooms!W$28=""),
  0,
  OR(IN_rooms!W$28="Flachdach",IN_build!$P$4="Flach bzw. Flachdach"),
    IN_rooms!W$4 + _xlpm.L_wall * HLOOKUP("f_A_roof_wid",PAR!$F$1:$Y$5,2,FALSE) - (N$60+N$66),
  IN_rooms!W$28="Komplex",
    IF(_xlpm.is_jamb,IN_rooms!W$84*(1+_xlpm.h_knee/(_xlpm.h_room*SIN(_xlpm.alpha))),IN_rooms!W$84),
  IN_rooms!W$39&gt;0,
    _xlpm.h_roof*_xlpm.b_roof
    +IN_rooms!W$39
    /SIN(_xlpm.alpha),
  OR(IN_rooms!W$39=0, IN_rooms!W$37&gt;0),
    _xlpm.h_roof*_xlpm.b_roof) * _xlpm.n_A_roof - (N$60+N$66), 0),  IN_rooms!W$4 * 2))</f>
        <v>0</v>
      </c>
      <c r="O26" s="28" cm="1">
        <f t="array" ref="O26">_xlfn.LET(
  _xlpm.L_wall,IN_rooms!X$9,
  _xlpm.n_giebel,IF(_xlpm.L_wall=0,0,IN_rooms!X33),
  _xlpm.h_knee,IN_rooms!X$34,
  _xlpm.h_roof,IN_rooms!X$31 + HLOOKUP("f_A_roof_hei",PAR!$F$1:$Y$5,2,FALSE),
  _xlpm.b_roof,IN_rooms!X$30 + MIN(2,_xlpm.n_giebel) * HLOOKUP("f_A_roof_wid",PAR!$F$1:$Y$5,2,FALSE),
  _xlpm.h_room,IN_rooms!X$5,
  _xlpm.alpha,_xlfn.IFS(
  IN_build!$P$4="geneigt",25,
  IN_build!$P$4="steil",40,
  IN_build!$P$4="sehr steil",55) * PI() / 180,
  _xlpm.is_jamb,IN_rooms!X$35="Ja",
  _xlpm.n_A_roof, IF(IN_rooms!X$28="Zwei (symmetrisch)", 2, 1),
MIN(MAX(_xlfn.IFS(
  OR(IN_rooms!X$28="Keine",IN_rooms!X$28=""),
  0,
  OR(IN_rooms!X$28="Flachdach",IN_build!$P$4="Flach bzw. Flachdach"),
    IN_rooms!X$4 + _xlpm.L_wall * HLOOKUP("f_A_roof_wid",PAR!$F$1:$Y$5,2,FALSE) - (O$60+O$66),
  IN_rooms!X$28="Komplex",
    IF(_xlpm.is_jamb,IN_rooms!X$84*(1+_xlpm.h_knee/(_xlpm.h_room*SIN(_xlpm.alpha))),IN_rooms!X$84),
  IN_rooms!X$39&gt;0,
    _xlpm.h_roof*_xlpm.b_roof
    +IN_rooms!X$39
    /SIN(_xlpm.alpha),
  OR(IN_rooms!X$39=0, IN_rooms!X$37&gt;0),
    _xlpm.h_roof*_xlpm.b_roof) * _xlpm.n_A_roof - (O$60+O$66), 0),  IN_rooms!X$4 * 2))</f>
        <v>0</v>
      </c>
      <c r="P26" s="28" cm="1">
        <f t="array" ref="P26">_xlfn.LET(
  _xlpm.L_wall,IN_rooms!Y$9,
  _xlpm.n_giebel,IF(_xlpm.L_wall=0,0,IN_rooms!Y33),
  _xlpm.h_knee,IN_rooms!Y$34,
  _xlpm.h_roof,IN_rooms!Y$31 + HLOOKUP("f_A_roof_hei",PAR!$F$1:$Y$5,2,FALSE),
  _xlpm.b_roof,IN_rooms!Y$30 + MIN(2,_xlpm.n_giebel) * HLOOKUP("f_A_roof_wid",PAR!$F$1:$Y$5,2,FALSE),
  _xlpm.h_room,IN_rooms!Y$5,
  _xlpm.alpha,_xlfn.IFS(
  IN_build!$P$4="geneigt",25,
  IN_build!$P$4="steil",40,
  IN_build!$P$4="sehr steil",55) * PI() / 180,
  _xlpm.is_jamb,IN_rooms!Y$35="Ja",
  _xlpm.n_A_roof, IF(IN_rooms!Y$28="Zwei (symmetrisch)", 2, 1),
MIN(MAX(_xlfn.IFS(
  OR(IN_rooms!Y$28="Keine",IN_rooms!Y$28=""),
  0,
  OR(IN_rooms!Y$28="Flachdach",IN_build!$P$4="Flach bzw. Flachdach"),
    IN_rooms!Y$4 + _xlpm.L_wall * HLOOKUP("f_A_roof_wid",PAR!$F$1:$Y$5,2,FALSE) - (P$60+P$66),
  IN_rooms!Y$28="Komplex",
    IF(_xlpm.is_jamb,IN_rooms!Y$84*(1+_xlpm.h_knee/(_xlpm.h_room*SIN(_xlpm.alpha))),IN_rooms!Y$84),
  IN_rooms!Y$39&gt;0,
    _xlpm.h_roof*_xlpm.b_roof
    +IN_rooms!Y$39
    /SIN(_xlpm.alpha),
  OR(IN_rooms!Y$39=0, IN_rooms!Y$37&gt;0),
    _xlpm.h_roof*_xlpm.b_roof) * _xlpm.n_A_roof - (P$60+P$66), 0),  IN_rooms!Y$4 * 2))</f>
        <v>0</v>
      </c>
      <c r="Q26" s="28" cm="1">
        <f t="array" ref="Q26">_xlfn.LET(
  _xlpm.L_wall,IN_rooms!Z$9,
  _xlpm.n_giebel,IF(_xlpm.L_wall=0,0,IN_rooms!Z33),
  _xlpm.h_knee,IN_rooms!Z$34,
  _xlpm.h_roof,IN_rooms!Z$31 + HLOOKUP("f_A_roof_hei",PAR!$F$1:$Y$5,2,FALSE),
  _xlpm.b_roof,IN_rooms!Z$30 + MIN(2,_xlpm.n_giebel) * HLOOKUP("f_A_roof_wid",PAR!$F$1:$Y$5,2,FALSE),
  _xlpm.h_room,IN_rooms!Z$5,
  _xlpm.alpha,_xlfn.IFS(
  IN_build!$P$4="geneigt",25,
  IN_build!$P$4="steil",40,
  IN_build!$P$4="sehr steil",55) * PI() / 180,
  _xlpm.is_jamb,IN_rooms!Z$35="Ja",
  _xlpm.n_A_roof, IF(IN_rooms!Z$28="Zwei (symmetrisch)", 2, 1),
MIN(MAX(_xlfn.IFS(
  OR(IN_rooms!Z$28="Keine",IN_rooms!Z$28=""),
  0,
  OR(IN_rooms!Z$28="Flachdach",IN_build!$P$4="Flach bzw. Flachdach"),
    IN_rooms!Z$4 + _xlpm.L_wall * HLOOKUP("f_A_roof_wid",PAR!$F$1:$Y$5,2,FALSE) - (Q$60+Q$66),
  IN_rooms!Z$28="Komplex",
    IF(_xlpm.is_jamb,IN_rooms!Z$84*(1+_xlpm.h_knee/(_xlpm.h_room*SIN(_xlpm.alpha))),IN_rooms!Z$84),
  IN_rooms!Z$39&gt;0,
    _xlpm.h_roof*_xlpm.b_roof
    +IN_rooms!Z$39
    /SIN(_xlpm.alpha),
  OR(IN_rooms!Z$39=0, IN_rooms!Z$37&gt;0),
    _xlpm.h_roof*_xlpm.b_roof) * _xlpm.n_A_roof - (Q$60+Q$66), 0),  IN_rooms!Z$4 * 2))</f>
        <v>0</v>
      </c>
      <c r="R26" s="28" cm="1">
        <f t="array" ref="R26">_xlfn.LET(
  _xlpm.L_wall,IN_rooms!AA$9,
  _xlpm.n_giebel,IF(_xlpm.L_wall=0,0,IN_rooms!AA33),
  _xlpm.h_knee,IN_rooms!AA$34,
  _xlpm.h_roof,IN_rooms!AA$31 + HLOOKUP("f_A_roof_hei",PAR!$F$1:$Y$5,2,FALSE),
  _xlpm.b_roof,IN_rooms!AA$30 + MIN(2,_xlpm.n_giebel) * HLOOKUP("f_A_roof_wid",PAR!$F$1:$Y$5,2,FALSE),
  _xlpm.h_room,IN_rooms!AA$5,
  _xlpm.alpha,_xlfn.IFS(
  IN_build!$P$4="geneigt",25,
  IN_build!$P$4="steil",40,
  IN_build!$P$4="sehr steil",55) * PI() / 180,
  _xlpm.is_jamb,IN_rooms!AA$35="Ja",
  _xlpm.n_A_roof, IF(IN_rooms!AA$28="Zwei (symmetrisch)", 2, 1),
MIN(MAX(_xlfn.IFS(
  OR(IN_rooms!AA$28="Keine",IN_rooms!AA$28=""),
  0,
  OR(IN_rooms!AA$28="Flachdach",IN_build!$P$4="Flach bzw. Flachdach"),
    IN_rooms!AA$4 + _xlpm.L_wall * HLOOKUP("f_A_roof_wid",PAR!$F$1:$Y$5,2,FALSE) - (R$60+R$66),
  IN_rooms!AA$28="Komplex",
    IF(_xlpm.is_jamb,IN_rooms!AA$84*(1+_xlpm.h_knee/(_xlpm.h_room*SIN(_xlpm.alpha))),IN_rooms!AA$84),
  IN_rooms!AA$39&gt;0,
    _xlpm.h_roof*_xlpm.b_roof
    +IN_rooms!AA$39
    /SIN(_xlpm.alpha),
  OR(IN_rooms!AA$39=0, IN_rooms!AA$37&gt;0),
    _xlpm.h_roof*_xlpm.b_roof) * _xlpm.n_A_roof - (R$60+R$66), 0),  IN_rooms!AA$4 * 2))</f>
        <v>0</v>
      </c>
      <c r="S26" s="28" cm="1">
        <f t="array" ref="S26">_xlfn.LET(
  _xlpm.L_wall,IN_rooms!AB$9,
  _xlpm.n_giebel,IF(_xlpm.L_wall=0,0,IN_rooms!AB33),
  _xlpm.h_knee,IN_rooms!AB$34,
  _xlpm.h_roof,IN_rooms!AB$31 + HLOOKUP("f_A_roof_hei",PAR!$F$1:$Y$5,2,FALSE),
  _xlpm.b_roof,IN_rooms!AB$30 + MIN(2,_xlpm.n_giebel) * HLOOKUP("f_A_roof_wid",PAR!$F$1:$Y$5,2,FALSE),
  _xlpm.h_room,IN_rooms!AB$5,
  _xlpm.alpha,_xlfn.IFS(
  IN_build!$P$4="geneigt",25,
  IN_build!$P$4="steil",40,
  IN_build!$P$4="sehr steil",55) * PI() / 180,
  _xlpm.is_jamb,IN_rooms!AB$35="Ja",
  _xlpm.n_A_roof, IF(IN_rooms!AB$28="Zwei (symmetrisch)", 2, 1),
MIN(MAX(_xlfn.IFS(
  OR(IN_rooms!AB$28="Keine",IN_rooms!AB$28=""),
  0,
  OR(IN_rooms!AB$28="Flachdach",IN_build!$P$4="Flach bzw. Flachdach"),
    IN_rooms!AB$4 + _xlpm.L_wall * HLOOKUP("f_A_roof_wid",PAR!$F$1:$Y$5,2,FALSE) - (S$60+S$66),
  IN_rooms!AB$28="Komplex",
    IF(_xlpm.is_jamb,IN_rooms!AB$84*(1+_xlpm.h_knee/(_xlpm.h_room*SIN(_xlpm.alpha))),IN_rooms!AB$84),
  IN_rooms!AB$39&gt;0,
    _xlpm.h_roof*_xlpm.b_roof
    +IN_rooms!AB$39
    /SIN(_xlpm.alpha),
  OR(IN_rooms!AB$39=0, IN_rooms!AB$37&gt;0),
    _xlpm.h_roof*_xlpm.b_roof) * _xlpm.n_A_roof - (S$60+S$66), 0),  IN_rooms!AB$4 * 2))</f>
        <v>0</v>
      </c>
      <c r="T26" s="28" cm="1">
        <f t="array" ref="T26">_xlfn.LET(
  _xlpm.L_wall,IN_rooms!AC$9,
  _xlpm.n_giebel,IF(_xlpm.L_wall=0,0,IN_rooms!AC33),
  _xlpm.h_knee,IN_rooms!AC$34,
  _xlpm.h_roof,IN_rooms!AC$31 + HLOOKUP("f_A_roof_hei",PAR!$F$1:$Y$5,2,FALSE),
  _xlpm.b_roof,IN_rooms!AC$30 + MIN(2,_xlpm.n_giebel) * HLOOKUP("f_A_roof_wid",PAR!$F$1:$Y$5,2,FALSE),
  _xlpm.h_room,IN_rooms!AC$5,
  _xlpm.alpha,_xlfn.IFS(
  IN_build!$P$4="geneigt",25,
  IN_build!$P$4="steil",40,
  IN_build!$P$4="sehr steil",55) * PI() / 180,
  _xlpm.is_jamb,IN_rooms!AC$35="Ja",
  _xlpm.n_A_roof, IF(IN_rooms!AC$28="Zwei (symmetrisch)", 2, 1),
MIN(MAX(_xlfn.IFS(
  OR(IN_rooms!AC$28="Keine",IN_rooms!AC$28=""),
  0,
  OR(IN_rooms!AC$28="Flachdach",IN_build!$P$4="Flach bzw. Flachdach"),
    IN_rooms!AC$4 + _xlpm.L_wall * HLOOKUP("f_A_roof_wid",PAR!$F$1:$Y$5,2,FALSE) - (T$60+T$66),
  IN_rooms!AC$28="Komplex",
    IF(_xlpm.is_jamb,IN_rooms!AC$84*(1+_xlpm.h_knee/(_xlpm.h_room*SIN(_xlpm.alpha))),IN_rooms!AC$84),
  IN_rooms!AC$39&gt;0,
    _xlpm.h_roof*_xlpm.b_roof
    +IN_rooms!AC$39
    /SIN(_xlpm.alpha),
  OR(IN_rooms!AC$39=0, IN_rooms!AC$37&gt;0),
    _xlpm.h_roof*_xlpm.b_roof) * _xlpm.n_A_roof - (T$60+T$66), 0),  IN_rooms!AC$4 * 2))</f>
        <v>0</v>
      </c>
      <c r="U26" s="28" cm="1">
        <f t="array" ref="U26">_xlfn.LET(
  _xlpm.L_wall,IN_rooms!AD$9,
  _xlpm.n_giebel,IF(_xlpm.L_wall=0,0,IN_rooms!AD33),
  _xlpm.h_knee,IN_rooms!AD$34,
  _xlpm.h_roof,IN_rooms!AD$31 + HLOOKUP("f_A_roof_hei",PAR!$F$1:$Y$5,2,FALSE),
  _xlpm.b_roof,IN_rooms!AD$30 + MIN(2,_xlpm.n_giebel) * HLOOKUP("f_A_roof_wid",PAR!$F$1:$Y$5,2,FALSE),
  _xlpm.h_room,IN_rooms!AD$5,
  _xlpm.alpha,_xlfn.IFS(
  IN_build!$P$4="geneigt",25,
  IN_build!$P$4="steil",40,
  IN_build!$P$4="sehr steil",55) * PI() / 180,
  _xlpm.is_jamb,IN_rooms!AD$35="Ja",
  _xlpm.n_A_roof, IF(IN_rooms!AD$28="Zwei (symmetrisch)", 2, 1),
MIN(MAX(_xlfn.IFS(
  OR(IN_rooms!AD$28="Keine",IN_rooms!AD$28=""),
  0,
  OR(IN_rooms!AD$28="Flachdach",IN_build!$P$4="Flach bzw. Flachdach"),
    IN_rooms!AD$4 + _xlpm.L_wall * HLOOKUP("f_A_roof_wid",PAR!$F$1:$Y$5,2,FALSE) - (U$60+U$66),
  IN_rooms!AD$28="Komplex",
    IF(_xlpm.is_jamb,IN_rooms!AD$84*(1+_xlpm.h_knee/(_xlpm.h_room*SIN(_xlpm.alpha))),IN_rooms!AD$84),
  IN_rooms!AD$39&gt;0,
    _xlpm.h_roof*_xlpm.b_roof
    +IN_rooms!AD$39
    /SIN(_xlpm.alpha),
  OR(IN_rooms!AD$39=0, IN_rooms!AD$37&gt;0),
    _xlpm.h_roof*_xlpm.b_roof) * _xlpm.n_A_roof - (U$60+U$66), 0),  IN_rooms!AD$4 * 2))</f>
        <v>0</v>
      </c>
      <c r="V26" s="28" cm="1">
        <f t="array" ref="V26">_xlfn.LET(
  _xlpm.L_wall,IN_rooms!AE$9,
  _xlpm.n_giebel,IF(_xlpm.L_wall=0,0,IN_rooms!AE33),
  _xlpm.h_knee,IN_rooms!AE$34,
  _xlpm.h_roof,IN_rooms!AE$31 + HLOOKUP("f_A_roof_hei",PAR!$F$1:$Y$5,2,FALSE),
  _xlpm.b_roof,IN_rooms!AE$30 + MIN(2,_xlpm.n_giebel) * HLOOKUP("f_A_roof_wid",PAR!$F$1:$Y$5,2,FALSE),
  _xlpm.h_room,IN_rooms!AE$5,
  _xlpm.alpha,_xlfn.IFS(
  IN_build!$P$4="geneigt",25,
  IN_build!$P$4="steil",40,
  IN_build!$P$4="sehr steil",55) * PI() / 180,
  _xlpm.is_jamb,IN_rooms!AE$35="Ja",
  _xlpm.n_A_roof, IF(IN_rooms!AE$28="Zwei (symmetrisch)", 2, 1),
MIN(MAX(_xlfn.IFS(
  OR(IN_rooms!AE$28="Keine",IN_rooms!AE$28=""),
  0,
  OR(IN_rooms!AE$28="Flachdach",IN_build!$P$4="Flach bzw. Flachdach"),
    IN_rooms!AE$4 + _xlpm.L_wall * HLOOKUP("f_A_roof_wid",PAR!$F$1:$Y$5,2,FALSE) - (V$60+V$66),
  IN_rooms!AE$28="Komplex",
    IF(_xlpm.is_jamb,IN_rooms!AE$84*(1+_xlpm.h_knee/(_xlpm.h_room*SIN(_xlpm.alpha))),IN_rooms!AE$84),
  IN_rooms!AE$39&gt;0,
    _xlpm.h_roof*_xlpm.b_roof
    +IN_rooms!AE$39
    /SIN(_xlpm.alpha),
  OR(IN_rooms!AE$39=0, IN_rooms!AE$37&gt;0),
    _xlpm.h_roof*_xlpm.b_roof) * _xlpm.n_A_roof - (V$60+V$66), 0),  IN_rooms!AE$4 * 2))</f>
        <v>0</v>
      </c>
      <c r="W26" s="28" cm="1">
        <f t="array" ref="W26">_xlfn.LET(
  _xlpm.L_wall,IN_rooms!AF$9,
  _xlpm.n_giebel,IF(_xlpm.L_wall=0,0,IN_rooms!AF33),
  _xlpm.h_knee,IN_rooms!AF$34,
  _xlpm.h_roof,IN_rooms!AF$31 + HLOOKUP("f_A_roof_hei",PAR!$F$1:$Y$5,2,FALSE),
  _xlpm.b_roof,IN_rooms!AF$30 + MIN(2,_xlpm.n_giebel) * HLOOKUP("f_A_roof_wid",PAR!$F$1:$Y$5,2,FALSE),
  _xlpm.h_room,IN_rooms!AF$5,
  _xlpm.alpha,_xlfn.IFS(
  IN_build!$P$4="geneigt",25,
  IN_build!$P$4="steil",40,
  IN_build!$P$4="sehr steil",55) * PI() / 180,
  _xlpm.is_jamb,IN_rooms!AF$35="Ja",
  _xlpm.n_A_roof, IF(IN_rooms!AF$28="Zwei (symmetrisch)", 2, 1),
MIN(MAX(_xlfn.IFS(
  OR(IN_rooms!AF$28="Keine",IN_rooms!AF$28=""),
  0,
  OR(IN_rooms!AF$28="Flachdach",IN_build!$P$4="Flach bzw. Flachdach"),
    IN_rooms!AF$4 + _xlpm.L_wall * HLOOKUP("f_A_roof_wid",PAR!$F$1:$Y$5,2,FALSE) - (W$60+W$66),
  IN_rooms!AF$28="Komplex",
    IF(_xlpm.is_jamb,IN_rooms!AF$84*(1+_xlpm.h_knee/(_xlpm.h_room*SIN(_xlpm.alpha))),IN_rooms!AF$84),
  IN_rooms!AF$39&gt;0,
    _xlpm.h_roof*_xlpm.b_roof
    +IN_rooms!AF$39
    /SIN(_xlpm.alpha),
  OR(IN_rooms!AF$39=0, IN_rooms!AF$37&gt;0),
    _xlpm.h_roof*_xlpm.b_roof) * _xlpm.n_A_roof - (W$60+W$66), 0),  IN_rooms!AF$4 * 2))</f>
        <v>0</v>
      </c>
    </row>
    <row r="27" spans="1:23" ht="15.75" thickBot="1">
      <c r="A27" t="s">
        <v>350</v>
      </c>
      <c r="B27" t="s">
        <v>480</v>
      </c>
      <c r="C27" t="s">
        <v>131</v>
      </c>
      <c r="E27" t="s">
        <v>498</v>
      </c>
      <c r="F27" t="s">
        <v>482</v>
      </c>
      <c r="I27" s="28" t="e" cm="1">
        <f t="array" ref="I27">_xlfn.AGGREGATE(15,6,U_Werte_IWU!$F$30:$F$297/((U_Werte_IWU!$E$30:$E$297=LEFT($A27,4))*(U_Werte_IWU!$D$30:$D$297=clc_load!I4)*(U_Werte_IWU!$C$30:$C$297=clc_load!I3)),1)</f>
        <v>#NUM!</v>
      </c>
      <c r="J27" s="28" t="e" cm="1">
        <f t="array" ref="J27">_xlfn.AGGREGATE(15,6,U_Werte_IWU!$F$30:$F$297/((U_Werte_IWU!$E$30:$E$297=LEFT($A27,4))*(U_Werte_IWU!$D$30:$D$297=clc_load!J4)*(U_Werte_IWU!$C$30:$C$297=clc_load!J3)),1)</f>
        <v>#NUM!</v>
      </c>
      <c r="K27" s="28" t="e" cm="1">
        <f t="array" ref="K27">_xlfn.AGGREGATE(15,6,U_Werte_IWU!$F$30:$F$297/((U_Werte_IWU!$E$30:$E$297=LEFT($A27,4))*(U_Werte_IWU!$D$30:$D$297=clc_load!K4)*(U_Werte_IWU!$C$30:$C$297=clc_load!K3)),1)</f>
        <v>#NUM!</v>
      </c>
      <c r="L27" s="28" t="e" cm="1">
        <f t="array" ref="L27">_xlfn.AGGREGATE(15,6,U_Werte_IWU!$F$30:$F$297/((U_Werte_IWU!$E$30:$E$297=LEFT($A27,4))*(U_Werte_IWU!$D$30:$D$297=clc_load!L4)*(U_Werte_IWU!$C$30:$C$297=clc_load!L3)),1)</f>
        <v>#NUM!</v>
      </c>
      <c r="M27" s="28" t="e" cm="1">
        <f t="array" ref="M27">_xlfn.AGGREGATE(15,6,U_Werte_IWU!$F$30:$F$297/((U_Werte_IWU!$E$30:$E$297=LEFT($A27,4))*(U_Werte_IWU!$D$30:$D$297=clc_load!M4)*(U_Werte_IWU!$C$30:$C$297=clc_load!M3)),1)</f>
        <v>#NUM!</v>
      </c>
      <c r="N27" s="28" t="e" cm="1">
        <f t="array" ref="N27">_xlfn.AGGREGATE(15,6,U_Werte_IWU!$F$30:$F$297/((U_Werte_IWU!$E$30:$E$297=LEFT($A27,4))*(U_Werte_IWU!$D$30:$D$297=clc_load!N4)*(U_Werte_IWU!$C$30:$C$297=clc_load!N3)),1)</f>
        <v>#NUM!</v>
      </c>
      <c r="O27" s="28" t="e" cm="1">
        <f t="array" ref="O27">_xlfn.AGGREGATE(15,6,U_Werte_IWU!$F$30:$F$297/((U_Werte_IWU!$E$30:$E$297=LEFT($A27,4))*(U_Werte_IWU!$D$30:$D$297=clc_load!O4)*(U_Werte_IWU!$C$30:$C$297=clc_load!O3)),1)</f>
        <v>#NUM!</v>
      </c>
      <c r="P27" s="28" t="e" cm="1">
        <f t="array" ref="P27">_xlfn.AGGREGATE(15,6,U_Werte_IWU!$F$30:$F$297/((U_Werte_IWU!$E$30:$E$297=LEFT($A27,4))*(U_Werte_IWU!$D$30:$D$297=clc_load!P4)*(U_Werte_IWU!$C$30:$C$297=clc_load!P3)),1)</f>
        <v>#NUM!</v>
      </c>
      <c r="Q27" s="28" t="e" cm="1">
        <f t="array" ref="Q27">_xlfn.AGGREGATE(15,6,U_Werte_IWU!$F$30:$F$297/((U_Werte_IWU!$E$30:$E$297=LEFT($A27,4))*(U_Werte_IWU!$D$30:$D$297=clc_load!Q4)*(U_Werte_IWU!$C$30:$C$297=clc_load!Q3)),1)</f>
        <v>#NUM!</v>
      </c>
      <c r="R27" s="28" t="e" cm="1">
        <f t="array" ref="R27">_xlfn.AGGREGATE(15,6,U_Werte_IWU!$F$30:$F$297/((U_Werte_IWU!$E$30:$E$297=LEFT($A27,4))*(U_Werte_IWU!$D$30:$D$297=clc_load!R4)*(U_Werte_IWU!$C$30:$C$297=clc_load!R3)),1)</f>
        <v>#NUM!</v>
      </c>
      <c r="S27" s="28" t="e" cm="1">
        <f t="array" ref="S27">_xlfn.AGGREGATE(15,6,U_Werte_IWU!$F$30:$F$297/((U_Werte_IWU!$E$30:$E$297=LEFT($A27,4))*(U_Werte_IWU!$D$30:$D$297=clc_load!S4)*(U_Werte_IWU!$C$30:$C$297=clc_load!S3)),1)</f>
        <v>#NUM!</v>
      </c>
      <c r="T27" s="28" t="e" cm="1">
        <f t="array" ref="T27">_xlfn.AGGREGATE(15,6,U_Werte_IWU!$F$30:$F$297/((U_Werte_IWU!$E$30:$E$297=LEFT($A27,4))*(U_Werte_IWU!$D$30:$D$297=clc_load!T4)*(U_Werte_IWU!$C$30:$C$297=clc_load!T3)),1)</f>
        <v>#NUM!</v>
      </c>
      <c r="U27" s="28" t="e" cm="1">
        <f t="array" ref="U27">_xlfn.AGGREGATE(15,6,U_Werte_IWU!$F$30:$F$297/((U_Werte_IWU!$E$30:$E$297=LEFT($A27,4))*(U_Werte_IWU!$D$30:$D$297=clc_load!U4)*(U_Werte_IWU!$C$30:$C$297=clc_load!U3)),1)</f>
        <v>#NUM!</v>
      </c>
      <c r="V27" s="28" t="e" cm="1">
        <f t="array" ref="V27">_xlfn.AGGREGATE(15,6,U_Werte_IWU!$F$30:$F$297/((U_Werte_IWU!$E$30:$E$297=LEFT($A27,4))*(U_Werte_IWU!$D$30:$D$297=clc_load!V4)*(U_Werte_IWU!$C$30:$C$297=clc_load!V3)),1)</f>
        <v>#NUM!</v>
      </c>
      <c r="W27" s="28" t="e" cm="1">
        <f t="array" ref="W27">_xlfn.AGGREGATE(15,6,U_Werte_IWU!$F$30:$F$297/((U_Werte_IWU!$E$30:$E$297=LEFT($A27,4))*(U_Werte_IWU!$D$30:$D$297=clc_load!W4)*(U_Werte_IWU!$C$30:$C$297=clc_load!W3)),1)</f>
        <v>#NUM!</v>
      </c>
    </row>
    <row r="28" spans="1:23" ht="15.75" thickBot="1">
      <c r="A28" t="s">
        <v>350</v>
      </c>
      <c r="B28" t="s">
        <v>483</v>
      </c>
      <c r="C28" t="s">
        <v>131</v>
      </c>
      <c r="E28" t="s">
        <v>499</v>
      </c>
      <c r="F28" t="s">
        <v>482</v>
      </c>
      <c r="I28" s="28" t="e" cm="1">
        <f t="array" aca="1" ref="I28" ca="1">_xlfn.LET(
_xlpm.U_no_ins, _xlfn.XLOOKUP(1,
  (INDIRECT("UWert_Mod[Bauteil]")="Dach")*
  (INDIRECT("UWert_Mod[Modernisierungsjahr]")="1983 - 1994"),
  INDIRECT("UWert_Mod[U_no_ins]")),
_xlpm.U_IWU, I$27,
_xlpm.d_ins,IN_build!$T$9,
IF(_xlpm.d_ins&gt;0,1/(1/_xlpm.U_no_ins+_xlpm.d_ins*0.01/INDEX(INDIRECT("PAR[lambda_ins_thick]"), 1)),_xlpm.U_IWU))</f>
        <v>#NUM!</v>
      </c>
      <c r="J28" s="28" t="e" cm="1">
        <f t="array" aca="1" ref="J28" ca="1">_xlfn.LET(
_xlpm.U_no_ins, _xlfn.XLOOKUP(1,
  (INDIRECT("UWert_Mod[Bauteil]")="Dach")*
  (INDIRECT("UWert_Mod[Modernisierungsjahr]")="1983 - 1994"),
  INDIRECT("UWert_Mod[U_no_ins]")),
_xlpm.U_IWU, J$27,
_xlpm.d_ins,IN_build!$T$9,
IF(_xlpm.d_ins&gt;0,1/(1/_xlpm.U_no_ins+_xlpm.d_ins*0.01/INDEX(INDIRECT("PAR[lambda_ins_thick]"), 1)),_xlpm.U_IWU))</f>
        <v>#NUM!</v>
      </c>
      <c r="K28" s="28" t="e" cm="1">
        <f t="array" aca="1" ref="K28" ca="1">_xlfn.LET(
_xlpm.U_no_ins, _xlfn.XLOOKUP(1,
  (INDIRECT("UWert_Mod[Bauteil]")="Dach")*
  (INDIRECT("UWert_Mod[Modernisierungsjahr]")="1983 - 1994"),
  INDIRECT("UWert_Mod[U_no_ins]")),
_xlpm.U_IWU, K$27,
_xlpm.d_ins,IN_build!$T$9,
IF(_xlpm.d_ins&gt;0,1/(1/_xlpm.U_no_ins+_xlpm.d_ins*0.01/INDEX(INDIRECT("PAR[lambda_ins_thick]"), 1)),_xlpm.U_IWU))</f>
        <v>#NUM!</v>
      </c>
      <c r="L28" s="28" t="e" cm="1">
        <f t="array" aca="1" ref="L28" ca="1">_xlfn.LET(
_xlpm.U_no_ins, _xlfn.XLOOKUP(1,
  (INDIRECT("UWert_Mod[Bauteil]")="Dach")*
  (INDIRECT("UWert_Mod[Modernisierungsjahr]")="1983 - 1994"),
  INDIRECT("UWert_Mod[U_no_ins]")),
_xlpm.U_IWU, L$27,
_xlpm.d_ins,IN_build!$T$9,
IF(_xlpm.d_ins&gt;0,1/(1/_xlpm.U_no_ins+_xlpm.d_ins*0.01/INDEX(INDIRECT("PAR[lambda_ins_thick]"), 1)),_xlpm.U_IWU))</f>
        <v>#NUM!</v>
      </c>
      <c r="M28" s="28" t="e" cm="1">
        <f t="array" aca="1" ref="M28" ca="1">_xlfn.LET(
_xlpm.U_no_ins, _xlfn.XLOOKUP(1,
  (INDIRECT("UWert_Mod[Bauteil]")="Dach")*
  (INDIRECT("UWert_Mod[Modernisierungsjahr]")="1983 - 1994"),
  INDIRECT("UWert_Mod[U_no_ins]")),
_xlpm.U_IWU, M$27,
_xlpm.d_ins,IN_build!$T$9,
IF(_xlpm.d_ins&gt;0,1/(1/_xlpm.U_no_ins+_xlpm.d_ins*0.01/INDEX(INDIRECT("PAR[lambda_ins_thick]"), 1)),_xlpm.U_IWU))</f>
        <v>#NUM!</v>
      </c>
      <c r="N28" s="28" t="e" cm="1">
        <f t="array" aca="1" ref="N28" ca="1">_xlfn.LET(
_xlpm.U_no_ins, _xlfn.XLOOKUP(1,
  (INDIRECT("UWert_Mod[Bauteil]")="Dach")*
  (INDIRECT("UWert_Mod[Modernisierungsjahr]")="1983 - 1994"),
  INDIRECT("UWert_Mod[U_no_ins]")),
_xlpm.U_IWU, N$27,
_xlpm.d_ins,IN_build!$T$9,
IF(_xlpm.d_ins&gt;0,1/(1/_xlpm.U_no_ins+_xlpm.d_ins*0.01/INDEX(INDIRECT("PAR[lambda_ins_thick]"), 1)),_xlpm.U_IWU))</f>
        <v>#NUM!</v>
      </c>
      <c r="O28" s="28" t="e" cm="1">
        <f t="array" aca="1" ref="O28" ca="1">_xlfn.LET(
_xlpm.U_no_ins, _xlfn.XLOOKUP(1,
  (INDIRECT("UWert_Mod[Bauteil]")="Dach")*
  (INDIRECT("UWert_Mod[Modernisierungsjahr]")="1983 - 1994"),
  INDIRECT("UWert_Mod[U_no_ins]")),
_xlpm.U_IWU, O$27,
_xlpm.d_ins,IN_build!$T$9,
IF(_xlpm.d_ins&gt;0,1/(1/_xlpm.U_no_ins+_xlpm.d_ins*0.01/INDEX(INDIRECT("PAR[lambda_ins_thick]"), 1)),_xlpm.U_IWU))</f>
        <v>#NUM!</v>
      </c>
      <c r="P28" s="28" t="e" cm="1">
        <f t="array" aca="1" ref="P28" ca="1">_xlfn.LET(
_xlpm.U_no_ins, _xlfn.XLOOKUP(1,
  (INDIRECT("UWert_Mod[Bauteil]")="Dach")*
  (INDIRECT("UWert_Mod[Modernisierungsjahr]")="1983 - 1994"),
  INDIRECT("UWert_Mod[U_no_ins]")),
_xlpm.U_IWU, P$27,
_xlpm.d_ins,IN_build!$T$9,
IF(_xlpm.d_ins&gt;0,1/(1/_xlpm.U_no_ins+_xlpm.d_ins*0.01/INDEX(INDIRECT("PAR[lambda_ins_thick]"), 1)),_xlpm.U_IWU))</f>
        <v>#NUM!</v>
      </c>
      <c r="Q28" s="28" t="e" cm="1">
        <f t="array" aca="1" ref="Q28" ca="1">_xlfn.LET(
_xlpm.U_no_ins, _xlfn.XLOOKUP(1,
  (INDIRECT("UWert_Mod[Bauteil]")="Dach")*
  (INDIRECT("UWert_Mod[Modernisierungsjahr]")="1983 - 1994"),
  INDIRECT("UWert_Mod[U_no_ins]")),
_xlpm.U_IWU, Q$27,
_xlpm.d_ins,IN_build!$T$9,
IF(_xlpm.d_ins&gt;0,1/(1/_xlpm.U_no_ins+_xlpm.d_ins*0.01/INDEX(INDIRECT("PAR[lambda_ins_thick]"), 1)),_xlpm.U_IWU))</f>
        <v>#NUM!</v>
      </c>
      <c r="R28" s="28" t="e" cm="1">
        <f t="array" aca="1" ref="R28" ca="1">_xlfn.LET(
_xlpm.U_no_ins, _xlfn.XLOOKUP(1,
  (INDIRECT("UWert_Mod[Bauteil]")="Dach")*
  (INDIRECT("UWert_Mod[Modernisierungsjahr]")="1983 - 1994"),
  INDIRECT("UWert_Mod[U_no_ins]")),
_xlpm.U_IWU, R$27,
_xlpm.d_ins,IN_build!$T$9,
IF(_xlpm.d_ins&gt;0,1/(1/_xlpm.U_no_ins+_xlpm.d_ins*0.01/INDEX(INDIRECT("PAR[lambda_ins_thick]"), 1)),_xlpm.U_IWU))</f>
        <v>#NUM!</v>
      </c>
      <c r="S28" s="28" t="e" cm="1">
        <f t="array" aca="1" ref="S28" ca="1">_xlfn.LET(
_xlpm.U_no_ins, _xlfn.XLOOKUP(1,
  (INDIRECT("UWert_Mod[Bauteil]")="Dach")*
  (INDIRECT("UWert_Mod[Modernisierungsjahr]")="1983 - 1994"),
  INDIRECT("UWert_Mod[U_no_ins]")),
_xlpm.U_IWU, S$27,
_xlpm.d_ins,IN_build!$T$9,
IF(_xlpm.d_ins&gt;0,1/(1/_xlpm.U_no_ins+_xlpm.d_ins*0.01/INDEX(INDIRECT("PAR[lambda_ins_thick]"), 1)),_xlpm.U_IWU))</f>
        <v>#NUM!</v>
      </c>
      <c r="T28" s="28" t="e" cm="1">
        <f t="array" aca="1" ref="T28" ca="1">_xlfn.LET(
_xlpm.U_no_ins, _xlfn.XLOOKUP(1,
  (INDIRECT("UWert_Mod[Bauteil]")="Dach")*
  (INDIRECT("UWert_Mod[Modernisierungsjahr]")="1983 - 1994"),
  INDIRECT("UWert_Mod[U_no_ins]")),
_xlpm.U_IWU, T$27,
_xlpm.d_ins,IN_build!$T$9,
IF(_xlpm.d_ins&gt;0,1/(1/_xlpm.U_no_ins+_xlpm.d_ins*0.01/INDEX(INDIRECT("PAR[lambda_ins_thick]"), 1)),_xlpm.U_IWU))</f>
        <v>#NUM!</v>
      </c>
      <c r="U28" s="28" t="e" cm="1">
        <f t="array" aca="1" ref="U28" ca="1">_xlfn.LET(
_xlpm.U_no_ins, _xlfn.XLOOKUP(1,
  (INDIRECT("UWert_Mod[Bauteil]")="Dach")*
  (INDIRECT("UWert_Mod[Modernisierungsjahr]")="1983 - 1994"),
  INDIRECT("UWert_Mod[U_no_ins]")),
_xlpm.U_IWU, U$27,
_xlpm.d_ins,IN_build!$T$9,
IF(_xlpm.d_ins&gt;0,1/(1/_xlpm.U_no_ins+_xlpm.d_ins*0.01/INDEX(INDIRECT("PAR[lambda_ins_thick]"), 1)),_xlpm.U_IWU))</f>
        <v>#NUM!</v>
      </c>
      <c r="V28" s="28" t="e" cm="1">
        <f t="array" aca="1" ref="V28" ca="1">_xlfn.LET(
_xlpm.U_no_ins, _xlfn.XLOOKUP(1,
  (INDIRECT("UWert_Mod[Bauteil]")="Dach")*
  (INDIRECT("UWert_Mod[Modernisierungsjahr]")="1983 - 1994"),
  INDIRECT("UWert_Mod[U_no_ins]")),
_xlpm.U_IWU, V$27,
_xlpm.d_ins,IN_build!$T$9,
IF(_xlpm.d_ins&gt;0,1/(1/_xlpm.U_no_ins+_xlpm.d_ins*0.01/INDEX(INDIRECT("PAR[lambda_ins_thick]"), 1)),_xlpm.U_IWU))</f>
        <v>#NUM!</v>
      </c>
      <c r="W28" s="28" t="e" cm="1">
        <f t="array" aca="1" ref="W28" ca="1">_xlfn.LET(
_xlpm.U_no_ins, _xlfn.XLOOKUP(1,
  (INDIRECT("UWert_Mod[Bauteil]")="Dach")*
  (INDIRECT("UWert_Mod[Modernisierungsjahr]")="1983 - 1994"),
  INDIRECT("UWert_Mod[U_no_ins]")),
_xlpm.U_IWU, W$27,
_xlpm.d_ins,IN_build!$T$9,
IF(_xlpm.d_ins&gt;0,1/(1/_xlpm.U_no_ins+_xlpm.d_ins*0.01/INDEX(INDIRECT("PAR[lambda_ins_thick]"), 1)),_xlpm.U_IWU))</f>
        <v>#NUM!</v>
      </c>
    </row>
    <row r="29" spans="1:23" ht="15.75" thickBot="1">
      <c r="A29" t="s">
        <v>350</v>
      </c>
      <c r="B29" t="s">
        <v>485</v>
      </c>
      <c r="C29" t="s">
        <v>131</v>
      </c>
      <c r="E29" t="s">
        <v>500</v>
      </c>
      <c r="F29" t="s">
        <v>31</v>
      </c>
      <c r="I29" s="28">
        <f>IF(I26=0,0,I26*(I28+I$8)*(I$10-Normaußentemperatur_12831!$B$6)*MAX(I$24,1))</f>
        <v>0</v>
      </c>
      <c r="J29" s="28">
        <f>IF(J26=0,0,J26*(J28+J$8)*(J$10-Normaußentemperatur_12831!$B$6)*MAX(J$24,1))</f>
        <v>0</v>
      </c>
      <c r="K29" s="28">
        <f>IF(K26=0,0,K26*(K28+K$8)*(K$10-Normaußentemperatur_12831!$B$6)*MAX(K$24,1))</f>
        <v>0</v>
      </c>
      <c r="L29" s="28">
        <f>IF(L26=0,0,L26*(L28+L$8)*(L$10-Normaußentemperatur_12831!$B$6)*MAX(L$24,1))</f>
        <v>0</v>
      </c>
      <c r="M29" s="28">
        <f>IF(M26=0,0,M26*(M28+M$8)*(M$10-Normaußentemperatur_12831!$B$6)*MAX(M$24,1))</f>
        <v>0</v>
      </c>
      <c r="N29" s="28">
        <f>IF(N26=0,0,N26*(N28+N$8)*(N$10-Normaußentemperatur_12831!$B$6)*MAX(N$24,1))</f>
        <v>0</v>
      </c>
      <c r="O29" s="28">
        <f>IF(O26=0,0,O26*(O28+O$8)*(O$10-Normaußentemperatur_12831!$B$6)*MAX(O$24,1))</f>
        <v>0</v>
      </c>
      <c r="P29" s="28">
        <f>IF(P26=0,0,P26*(P28+P$8)*(P$10-Normaußentemperatur_12831!$B$6)*MAX(P$24,1))</f>
        <v>0</v>
      </c>
      <c r="Q29" s="28">
        <f>IF(Q26=0,0,Q26*(Q28+Q$8)*(Q$10-Normaußentemperatur_12831!$B$6)*MAX(Q$24,1))</f>
        <v>0</v>
      </c>
      <c r="R29" s="28">
        <f>IF(R26=0,0,R26*(R28+R$8)*(R$10-Normaußentemperatur_12831!$B$6)*MAX(R$24,1))</f>
        <v>0</v>
      </c>
      <c r="S29" s="28">
        <f>IF(S26=0,0,S26*(S28+S$8)*(S$10-Normaußentemperatur_12831!$B$6)*MAX(S$24,1))</f>
        <v>0</v>
      </c>
      <c r="T29" s="28">
        <f>IF(T26=0,0,T26*(T28+T$8)*(T$10-Normaußentemperatur_12831!$B$6)*MAX(T$24,1))</f>
        <v>0</v>
      </c>
      <c r="U29" s="28">
        <f>IF(U26=0,0,U26*(U28+U$8)*(U$10-Normaußentemperatur_12831!$B$6)*MAX(U$24,1))</f>
        <v>0</v>
      </c>
      <c r="V29" s="28">
        <f>IF(V26=0,0,V26*(V28+V$8)*(V$10-Normaußentemperatur_12831!$B$6)*MAX(V$24,1))</f>
        <v>0</v>
      </c>
      <c r="W29" s="28">
        <f>IF(W26=0,0,W26*(W28+W$8)*(W$10-Normaußentemperatur_12831!$B$6)*MAX(W$24,1))</f>
        <v>0</v>
      </c>
    </row>
    <row r="30" spans="1:23" ht="15.75" thickBot="1">
      <c r="A30" t="s">
        <v>350</v>
      </c>
      <c r="B30" t="s">
        <v>476</v>
      </c>
      <c r="C30" t="s">
        <v>131</v>
      </c>
      <c r="E30" t="s">
        <v>501</v>
      </c>
      <c r="F30" t="s">
        <v>30</v>
      </c>
      <c r="I30" s="36" t="e">
        <f t="shared" ref="I30:W30" ca="1" si="8">I$29/I$72</f>
        <v>#NUM!</v>
      </c>
      <c r="J30" s="39" t="e">
        <f t="shared" ca="1" si="8"/>
        <v>#NUM!</v>
      </c>
      <c r="K30" s="36" t="e">
        <f t="shared" ca="1" si="8"/>
        <v>#NUM!</v>
      </c>
      <c r="L30" s="39" t="e">
        <f t="shared" ca="1" si="8"/>
        <v>#NUM!</v>
      </c>
      <c r="M30" s="39" t="e">
        <f t="shared" ca="1" si="8"/>
        <v>#NUM!</v>
      </c>
      <c r="N30" s="39" t="e">
        <f t="shared" ca="1" si="8"/>
        <v>#NUM!</v>
      </c>
      <c r="O30" s="39" t="e">
        <f t="shared" ca="1" si="8"/>
        <v>#NUM!</v>
      </c>
      <c r="P30" s="39" t="e">
        <f t="shared" ca="1" si="8"/>
        <v>#NUM!</v>
      </c>
      <c r="Q30" s="39" t="e">
        <f t="shared" ca="1" si="8"/>
        <v>#NUM!</v>
      </c>
      <c r="R30" s="39" t="e">
        <f t="shared" ca="1" si="8"/>
        <v>#NUM!</v>
      </c>
      <c r="S30" s="39" t="e">
        <f t="shared" ca="1" si="8"/>
        <v>#NUM!</v>
      </c>
      <c r="T30" s="39" t="e">
        <f t="shared" ca="1" si="8"/>
        <v>#NUM!</v>
      </c>
      <c r="U30" s="39" t="e">
        <f t="shared" ca="1" si="8"/>
        <v>#NUM!</v>
      </c>
      <c r="V30" s="39" t="e">
        <f t="shared" ca="1" si="8"/>
        <v>#NUM!</v>
      </c>
      <c r="W30" s="39" t="e">
        <f t="shared" ca="1" si="8"/>
        <v>#NUM!</v>
      </c>
    </row>
    <row r="31" spans="1:23" ht="17.25" customHeight="1" thickBot="1">
      <c r="A31" t="s">
        <v>254</v>
      </c>
      <c r="B31" t="s">
        <v>502</v>
      </c>
      <c r="C31" t="s">
        <v>133</v>
      </c>
      <c r="E31" t="s">
        <v>503</v>
      </c>
      <c r="F31" t="s">
        <v>58</v>
      </c>
      <c r="H31" s="11"/>
      <c r="I31" s="36" cm="1">
        <f t="array" ref="I31">_xlfn.IFS(
 IN_rooms!R$28="Keine",IN_rooms!R$4,
 IN_rooms!R$28="Komplex",IN_rooms!R$85,
 IN_rooms!R$28="Flachdach",0,
  TRUE,IN_rooms!R$32*IN_rooms!R$30)</f>
        <v>0</v>
      </c>
      <c r="J31" s="36" cm="1">
        <f t="array" ref="J31">_xlfn.IFS(
 IN_rooms!S$28="Keine",IN_rooms!S$4,
 IN_rooms!S$28="Komplex",IN_rooms!S$85,
 IN_rooms!S$28="Flachdach",0,
  TRUE,IN_rooms!S$32*IN_rooms!S$30)</f>
        <v>0</v>
      </c>
      <c r="K31" s="36" cm="1">
        <f t="array" ref="K31">_xlfn.IFS(
 IN_rooms!T$28="Keine",IN_rooms!T$4,
 IN_rooms!T$28="Komplex",IN_rooms!T$85,
 IN_rooms!T$28="Flachdach",0,
  TRUE,IN_rooms!T$32*IN_rooms!T$30)</f>
        <v>0</v>
      </c>
      <c r="L31" s="36" cm="1">
        <f t="array" ref="L31">_xlfn.IFS(
 IN_rooms!U$28="Keine",IN_rooms!U$4,
 IN_rooms!U$28="Komplex",IN_rooms!U$85,
 IN_rooms!U$28="Flachdach",0,
  TRUE,IN_rooms!U$32*IN_rooms!U$30)</f>
        <v>0</v>
      </c>
      <c r="M31" s="36" cm="1">
        <f t="array" ref="M31">_xlfn.IFS(
 IN_rooms!V$28="Keine",IN_rooms!V$4,
 IN_rooms!V$28="Komplex",IN_rooms!V$85,
 IN_rooms!V$28="Flachdach",0,
  TRUE,IN_rooms!V$32*IN_rooms!V$30)</f>
        <v>0</v>
      </c>
      <c r="N31" s="36" cm="1">
        <f t="array" ref="N31">_xlfn.IFS(
 IN_rooms!W$28="Keine",IN_rooms!W$4,
 IN_rooms!W$28="Komplex",IN_rooms!W$85,
 IN_rooms!W$28="Flachdach",0,
  TRUE,IN_rooms!W$32*IN_rooms!W$30)</f>
        <v>0</v>
      </c>
      <c r="O31" s="36" cm="1">
        <f t="array" ref="O31">_xlfn.IFS(
 IN_rooms!X$28="Keine",IN_rooms!X$4,
 IN_rooms!X$28="Komplex",IN_rooms!X$85,
 IN_rooms!X$28="Flachdach",0,
  TRUE,IN_rooms!X$32*IN_rooms!X$30)</f>
        <v>0</v>
      </c>
      <c r="P31" s="36" cm="1">
        <f t="array" ref="P31">_xlfn.IFS(
 IN_rooms!Y$28="Keine",IN_rooms!Y$4,
 IN_rooms!Y$28="Komplex",IN_rooms!Y$85,
 IN_rooms!Y$28="Flachdach",0,
  TRUE,IN_rooms!Y$32*IN_rooms!Y$30)</f>
        <v>0</v>
      </c>
      <c r="Q31" s="36" cm="1">
        <f t="array" ref="Q31">_xlfn.IFS(
 IN_rooms!Z$28="Keine",IN_rooms!Z$4,
 IN_rooms!Z$28="Komplex",IN_rooms!Z$85,
 IN_rooms!Z$28="Flachdach",0,
  TRUE,IN_rooms!Z$32*IN_rooms!Z$30)</f>
        <v>0</v>
      </c>
      <c r="R31" s="36" cm="1">
        <f t="array" ref="R31">_xlfn.IFS(
 IN_rooms!AA$28="Keine",IN_rooms!AA$4,
 IN_rooms!AA$28="Komplex",IN_rooms!AA$85,
 IN_rooms!AA$28="Flachdach",0,
  TRUE,IN_rooms!AA$32*IN_rooms!AA$30)</f>
        <v>0</v>
      </c>
      <c r="S31" s="36" cm="1">
        <f t="array" ref="S31">_xlfn.IFS(
 IN_rooms!AB$28="Keine",IN_rooms!AB$4,
 IN_rooms!AB$28="Komplex",IN_rooms!AB$85,
 IN_rooms!AB$28="Flachdach",0,
  TRUE,IN_rooms!AB$32*IN_rooms!AB$30)</f>
        <v>0</v>
      </c>
      <c r="T31" s="36" cm="1">
        <f t="array" ref="T31">_xlfn.IFS(
 IN_rooms!AC$28="Keine",IN_rooms!AC$4,
 IN_rooms!AC$28="Komplex",IN_rooms!AC$85,
 IN_rooms!AC$28="Flachdach",0,
  TRUE,IN_rooms!AC$32*IN_rooms!AC$30)</f>
        <v>0</v>
      </c>
      <c r="U31" s="36" cm="1">
        <f t="array" ref="U31">_xlfn.IFS(
 IN_rooms!AD$28="Keine",IN_rooms!AD$4,
 IN_rooms!AD$28="Komplex",IN_rooms!AD$85,
 IN_rooms!AD$28="Flachdach",0,
  TRUE,IN_rooms!AD$32*IN_rooms!AD$30)</f>
        <v>0</v>
      </c>
      <c r="V31" s="36" cm="1">
        <f t="array" ref="V31">_xlfn.IFS(
 IN_rooms!AE$28="Keine",IN_rooms!AE$4,
 IN_rooms!AE$28="Komplex",IN_rooms!AE$85,
 IN_rooms!AE$28="Flachdach",0,
  TRUE,IN_rooms!AE$32*IN_rooms!AE$30)</f>
        <v>0</v>
      </c>
      <c r="W31" s="36" cm="1">
        <f t="array" ref="W31">_xlfn.IFS(
 IN_rooms!AF$28="Keine",IN_rooms!AF$4,
 IN_rooms!AF$28="Komplex",IN_rooms!AF$85,
 IN_rooms!AF$28="Flachdach",0,
  TRUE,IN_rooms!AF$32*IN_rooms!AF$30)</f>
        <v>0</v>
      </c>
    </row>
    <row r="32" spans="1:23" ht="18" customHeight="1" thickBot="1">
      <c r="A32" t="s">
        <v>254</v>
      </c>
      <c r="B32" t="s">
        <v>478</v>
      </c>
      <c r="C32" t="s">
        <v>133</v>
      </c>
      <c r="E32" t="s">
        <v>504</v>
      </c>
      <c r="F32" t="s">
        <v>58</v>
      </c>
      <c r="H32" s="11"/>
      <c r="I32" s="28">
        <f>IF(IN_build!$P$4="Flach bzw. Flachdach",0,clc_load!I$31)</f>
        <v>0</v>
      </c>
      <c r="J32" s="28">
        <f>IF(IN_build!$P$4="Flach bzw. Flachdach",0,clc_load!J$31)</f>
        <v>0</v>
      </c>
      <c r="K32" s="28">
        <f>IF(IN_build!$P$4="Flach bzw. Flachdach",0,clc_load!K$31)</f>
        <v>0</v>
      </c>
      <c r="L32" s="28">
        <f>IF(IN_build!$P$4="Flach bzw. Flachdach",0,clc_load!L$31)</f>
        <v>0</v>
      </c>
      <c r="M32" s="28">
        <f>IF(IN_build!$P$4="Flach bzw. Flachdach",0,clc_load!M$31)</f>
        <v>0</v>
      </c>
      <c r="N32" s="28">
        <f>IF(IN_build!$P$4="Flach bzw. Flachdach",0,clc_load!N$31)</f>
        <v>0</v>
      </c>
      <c r="O32" s="28">
        <f>IF(IN_build!$P$4="Flach bzw. Flachdach",0,clc_load!O$31)</f>
        <v>0</v>
      </c>
      <c r="P32" s="28">
        <f>IF(IN_build!$P$4="Flach bzw. Flachdach",0,clc_load!P$31)</f>
        <v>0</v>
      </c>
      <c r="Q32" s="28">
        <f>IF(IN_build!$P$4="Flach bzw. Flachdach",0,clc_load!Q$31)</f>
        <v>0</v>
      </c>
      <c r="R32" s="28">
        <f>IF(IN_build!$P$4="Flach bzw. Flachdach",0,clc_load!R$31)</f>
        <v>0</v>
      </c>
      <c r="S32" s="28">
        <f>IF(IN_build!$P$4="Flach bzw. Flachdach",0,clc_load!S$31)</f>
        <v>0</v>
      </c>
      <c r="T32" s="28">
        <f>IF(IN_build!$P$4="Flach bzw. Flachdach",0,clc_load!T$31)</f>
        <v>0</v>
      </c>
      <c r="U32" s="28">
        <f>IF(IN_build!$P$4="Flach bzw. Flachdach",0,clc_load!U$31)</f>
        <v>0</v>
      </c>
      <c r="V32" s="28">
        <f>IF(IN_build!$P$4="Flach bzw. Flachdach",0,clc_load!V$31)</f>
        <v>0</v>
      </c>
      <c r="W32" s="28">
        <f>IF(IN_build!$P$4="Flach bzw. Flachdach",0,clc_load!W$31)</f>
        <v>0</v>
      </c>
    </row>
    <row r="33" spans="1:23" ht="15.75" thickBot="1">
      <c r="A33" t="s">
        <v>254</v>
      </c>
      <c r="B33" t="s">
        <v>480</v>
      </c>
      <c r="C33" t="s">
        <v>133</v>
      </c>
      <c r="E33" t="s">
        <v>505</v>
      </c>
      <c r="F33" t="s">
        <v>482</v>
      </c>
      <c r="I33" s="28" cm="1">
        <f t="array" ref="I33">IF(I$32=0,0,_xlfn.AGGREGATE(15,6,U_Werte_IWU!$F$30:$F$297/((U_Werte_IWU!$E$30:$E$297=LEFT($A33,5))*(U_Werte_IWU!$D$30:$D$297=clc_load!I$4)*(U_Werte_IWU!$C$30:$C$297=clc_load!I$3)),1))</f>
        <v>0</v>
      </c>
      <c r="J33" s="28" cm="1">
        <f t="array" ref="J33">IF(J$32=0,0,_xlfn.AGGREGATE(15,6,U_Werte_IWU!$F$30:$F$297/((U_Werte_IWU!$E$30:$E$297=LEFT($A33,5))*(U_Werte_IWU!$D$30:$D$297=clc_load!J$4)*(U_Werte_IWU!$C$30:$C$297=clc_load!J$3)),1))</f>
        <v>0</v>
      </c>
      <c r="K33" s="28" cm="1">
        <f t="array" ref="K33">IF(K$32=0,0,_xlfn.AGGREGATE(15,6,U_Werte_IWU!$F$30:$F$297/((U_Werte_IWU!$E$30:$E$297=LEFT($A33,5))*(U_Werte_IWU!$D$30:$D$297=clc_load!K$4)*(U_Werte_IWU!$C$30:$C$297=clc_load!K$3)),1))</f>
        <v>0</v>
      </c>
      <c r="L33" s="28" cm="1">
        <f t="array" ref="L33">IF(L$32=0,0,_xlfn.AGGREGATE(15,6,U_Werte_IWU!$F$30:$F$297/((U_Werte_IWU!$E$30:$E$297=LEFT($A33,5))*(U_Werte_IWU!$D$30:$D$297=clc_load!L$4)*(U_Werte_IWU!$C$30:$C$297=clc_load!L$3)),1))</f>
        <v>0</v>
      </c>
      <c r="M33" s="28" cm="1">
        <f t="array" ref="M33">IF(M$32=0,0,_xlfn.AGGREGATE(15,6,U_Werte_IWU!$F$30:$F$297/((U_Werte_IWU!$E$30:$E$297=LEFT($A33,5))*(U_Werte_IWU!$D$30:$D$297=clc_load!M$4)*(U_Werte_IWU!$C$30:$C$297=clc_load!M$3)),1))</f>
        <v>0</v>
      </c>
      <c r="N33" s="28" cm="1">
        <f t="array" ref="N33">IF(N$32=0,0,_xlfn.AGGREGATE(15,6,U_Werte_IWU!$F$30:$F$297/((U_Werte_IWU!$E$30:$E$297=LEFT($A33,5))*(U_Werte_IWU!$D$30:$D$297=clc_load!N$4)*(U_Werte_IWU!$C$30:$C$297=clc_load!N$3)),1))</f>
        <v>0</v>
      </c>
      <c r="O33" s="28" cm="1">
        <f t="array" ref="O33">IF(O$32=0,0,_xlfn.AGGREGATE(15,6,U_Werte_IWU!$F$30:$F$297/((U_Werte_IWU!$E$30:$E$297=LEFT($A33,5))*(U_Werte_IWU!$D$30:$D$297=clc_load!O$4)*(U_Werte_IWU!$C$30:$C$297=clc_load!O$3)),1))</f>
        <v>0</v>
      </c>
      <c r="P33" s="28" cm="1">
        <f t="array" ref="P33">IF(P$32=0,0,_xlfn.AGGREGATE(15,6,U_Werte_IWU!$F$30:$F$297/((U_Werte_IWU!$E$30:$E$297=LEFT($A33,5))*(U_Werte_IWU!$D$30:$D$297=clc_load!P$4)*(U_Werte_IWU!$C$30:$C$297=clc_load!P$3)),1))</f>
        <v>0</v>
      </c>
      <c r="Q33" s="28" cm="1">
        <f t="array" ref="Q33">IF(Q$32=0,0,_xlfn.AGGREGATE(15,6,U_Werte_IWU!$F$30:$F$297/((U_Werte_IWU!$E$30:$E$297=LEFT($A33,5))*(U_Werte_IWU!$D$30:$D$297=clc_load!Q$4)*(U_Werte_IWU!$C$30:$C$297=clc_load!Q$3)),1))</f>
        <v>0</v>
      </c>
      <c r="R33" s="28" cm="1">
        <f t="array" ref="R33">IF(R$32=0,0,_xlfn.AGGREGATE(15,6,U_Werte_IWU!$F$30:$F$297/((U_Werte_IWU!$E$30:$E$297=LEFT($A33,5))*(U_Werte_IWU!$D$30:$D$297=clc_load!R$4)*(U_Werte_IWU!$C$30:$C$297=clc_load!R$3)),1))</f>
        <v>0</v>
      </c>
      <c r="S33" s="28" cm="1">
        <f t="array" ref="S33">IF(S$32=0,0,_xlfn.AGGREGATE(15,6,U_Werte_IWU!$F$30:$F$297/((U_Werte_IWU!$E$30:$E$297=LEFT($A33,5))*(U_Werte_IWU!$D$30:$D$297=clc_load!S$4)*(U_Werte_IWU!$C$30:$C$297=clc_load!S$3)),1))</f>
        <v>0</v>
      </c>
      <c r="T33" s="28" cm="1">
        <f t="array" ref="T33">IF(T$32=0,0,_xlfn.AGGREGATE(15,6,U_Werte_IWU!$F$30:$F$297/((U_Werte_IWU!$E$30:$E$297=LEFT($A33,5))*(U_Werte_IWU!$D$30:$D$297=clc_load!T$4)*(U_Werte_IWU!$C$30:$C$297=clc_load!T$3)),1))</f>
        <v>0</v>
      </c>
      <c r="U33" s="28" cm="1">
        <f t="array" ref="U33">IF(U$32=0,0,_xlfn.AGGREGATE(15,6,U_Werte_IWU!$F$30:$F$297/((U_Werte_IWU!$E$30:$E$297=LEFT($A33,5))*(U_Werte_IWU!$D$30:$D$297=clc_load!U$4)*(U_Werte_IWU!$C$30:$C$297=clc_load!U$3)),1))</f>
        <v>0</v>
      </c>
      <c r="V33" s="28" cm="1">
        <f t="array" ref="V33">IF(V$32=0,0,_xlfn.AGGREGATE(15,6,U_Werte_IWU!$F$30:$F$297/((U_Werte_IWU!$E$30:$E$297=LEFT($A33,5))*(U_Werte_IWU!$D$30:$D$297=clc_load!V$4)*(U_Werte_IWU!$C$30:$C$297=clc_load!V$3)),1))</f>
        <v>0</v>
      </c>
      <c r="W33" s="28" cm="1">
        <f t="array" ref="W33">IF(W$32=0,0,_xlfn.AGGREGATE(15,6,U_Werte_IWU!$F$30:$F$297/((U_Werte_IWU!$E$30:$E$297=LEFT($A33,5))*(U_Werte_IWU!$D$30:$D$297=clc_load!W$4)*(U_Werte_IWU!$C$30:$C$297=clc_load!W$3)),1))</f>
        <v>0</v>
      </c>
    </row>
    <row r="34" spans="1:23" ht="15.75" thickBot="1">
      <c r="A34" t="s">
        <v>254</v>
      </c>
      <c r="B34" t="s">
        <v>483</v>
      </c>
      <c r="C34" t="s">
        <v>133</v>
      </c>
      <c r="E34" t="s">
        <v>506</v>
      </c>
      <c r="F34" t="s">
        <v>482</v>
      </c>
      <c r="I34" s="28" cm="1">
        <f t="array" aca="1" ref="I34" ca="1">_xlfn.LET(
_xlpm.U_no_ins, _xlfn.XLOOKUP(1,
  (INDIRECT("UWert_Mod[Bauteil]")=$A$34)*
  (INDIRECT("UWert_Mod[Modernisierungsjahr]")="1983 - 1994"),
  INDIRECT("UWert_Mod[U_no_ins]")),
_xlpm.U_IWU, I$33,
_xlpm.d_ins,IN_build!$T$11,
IF(_xlpm.d_ins&gt;0,1/(1/_xlpm.U_no_ins+_xlpm.d_ins*0.01/INDEX(INDIRECT("PAR[lambda_ins_thick]"), 1)),_xlpm.U_IWU))</f>
        <v>0</v>
      </c>
      <c r="J34" s="28" cm="1">
        <f t="array" aca="1" ref="J34" ca="1">_xlfn.LET(
_xlpm.U_no_ins, _xlfn.XLOOKUP(1,
  (INDIRECT("UWert_Mod[Bauteil]")=$A$34)*
  (INDIRECT("UWert_Mod[Modernisierungsjahr]")="1983 - 1994"),
  INDIRECT("UWert_Mod[U_no_ins]")),
_xlpm.U_IWU, J$33,
_xlpm.d_ins,IN_build!$T$11,
IF(_xlpm.d_ins&gt;0,1/(1/_xlpm.U_no_ins+_xlpm.d_ins*0.01/INDEX(INDIRECT("PAR[lambda_ins_thick]"), 1)),_xlpm.U_IWU))</f>
        <v>0</v>
      </c>
      <c r="K34" s="28" cm="1">
        <f t="array" aca="1" ref="K34" ca="1">_xlfn.LET(
_xlpm.U_no_ins, _xlfn.XLOOKUP(1,
  (INDIRECT("UWert_Mod[Bauteil]")=$A$34)*
  (INDIRECT("UWert_Mod[Modernisierungsjahr]")="1983 - 1994"),
  INDIRECT("UWert_Mod[U_no_ins]")),
_xlpm.U_IWU, K$33,
_xlpm.d_ins,IN_build!$T$11,
IF(_xlpm.d_ins&gt;0,1/(1/_xlpm.U_no_ins+_xlpm.d_ins*0.01/INDEX(INDIRECT("PAR[lambda_ins_thick]"), 1)),_xlpm.U_IWU))</f>
        <v>0</v>
      </c>
      <c r="L34" s="28" cm="1">
        <f t="array" aca="1" ref="L34" ca="1">_xlfn.LET(
_xlpm.U_no_ins, _xlfn.XLOOKUP(1,
  (INDIRECT("UWert_Mod[Bauteil]")=$A$34)*
  (INDIRECT("UWert_Mod[Modernisierungsjahr]")="1983 - 1994"),
  INDIRECT("UWert_Mod[U_no_ins]")),
_xlpm.U_IWU, L$33,
_xlpm.d_ins,IN_build!$T$11,
IF(_xlpm.d_ins&gt;0,1/(1/_xlpm.U_no_ins+_xlpm.d_ins*0.01/INDEX(INDIRECT("PAR[lambda_ins_thick]"), 1)),_xlpm.U_IWU))</f>
        <v>0</v>
      </c>
      <c r="M34" s="28" cm="1">
        <f t="array" aca="1" ref="M34" ca="1">_xlfn.LET(
_xlpm.U_no_ins, _xlfn.XLOOKUP(1,
  (INDIRECT("UWert_Mod[Bauteil]")=$A$34)*
  (INDIRECT("UWert_Mod[Modernisierungsjahr]")="1983 - 1994"),
  INDIRECT("UWert_Mod[U_no_ins]")),
_xlpm.U_IWU, M$33,
_xlpm.d_ins,IN_build!$T$11,
IF(_xlpm.d_ins&gt;0,1/(1/_xlpm.U_no_ins+_xlpm.d_ins*0.01/INDEX(INDIRECT("PAR[lambda_ins_thick]"), 1)),_xlpm.U_IWU))</f>
        <v>0</v>
      </c>
      <c r="N34" s="28" cm="1">
        <f t="array" aca="1" ref="N34" ca="1">_xlfn.LET(
_xlpm.U_no_ins, _xlfn.XLOOKUP(1,
  (INDIRECT("UWert_Mod[Bauteil]")=$A$34)*
  (INDIRECT("UWert_Mod[Modernisierungsjahr]")="1983 - 1994"),
  INDIRECT("UWert_Mod[U_no_ins]")),
_xlpm.U_IWU, N$33,
_xlpm.d_ins,IN_build!$T$11,
IF(_xlpm.d_ins&gt;0,1/(1/_xlpm.U_no_ins+_xlpm.d_ins*0.01/INDEX(INDIRECT("PAR[lambda_ins_thick]"), 1)),_xlpm.U_IWU))</f>
        <v>0</v>
      </c>
      <c r="O34" s="28" cm="1">
        <f t="array" aca="1" ref="O34" ca="1">_xlfn.LET(
_xlpm.U_no_ins, _xlfn.XLOOKUP(1,
  (INDIRECT("UWert_Mod[Bauteil]")=$A$34)*
  (INDIRECT("UWert_Mod[Modernisierungsjahr]")="1983 - 1994"),
  INDIRECT("UWert_Mod[U_no_ins]")),
_xlpm.U_IWU, O$33,
_xlpm.d_ins,IN_build!$T$11,
IF(_xlpm.d_ins&gt;0,1/(1/_xlpm.U_no_ins+_xlpm.d_ins*0.01/INDEX(INDIRECT("PAR[lambda_ins_thick]"), 1)),_xlpm.U_IWU))</f>
        <v>0</v>
      </c>
      <c r="P34" s="28" cm="1">
        <f t="array" aca="1" ref="P34" ca="1">_xlfn.LET(
_xlpm.U_no_ins, _xlfn.XLOOKUP(1,
  (INDIRECT("UWert_Mod[Bauteil]")=$A$34)*
  (INDIRECT("UWert_Mod[Modernisierungsjahr]")="1983 - 1994"),
  INDIRECT("UWert_Mod[U_no_ins]")),
_xlpm.U_IWU, P$33,
_xlpm.d_ins,IN_build!$T$11,
IF(_xlpm.d_ins&gt;0,1/(1/_xlpm.U_no_ins+_xlpm.d_ins*0.01/INDEX(INDIRECT("PAR[lambda_ins_thick]"), 1)),_xlpm.U_IWU))</f>
        <v>0</v>
      </c>
      <c r="Q34" s="28" cm="1">
        <f t="array" aca="1" ref="Q34" ca="1">_xlfn.LET(
_xlpm.U_no_ins, _xlfn.XLOOKUP(1,
  (INDIRECT("UWert_Mod[Bauteil]")=$A$34)*
  (INDIRECT("UWert_Mod[Modernisierungsjahr]")="1983 - 1994"),
  INDIRECT("UWert_Mod[U_no_ins]")),
_xlpm.U_IWU, Q$33,
_xlpm.d_ins,IN_build!$T$11,
IF(_xlpm.d_ins&gt;0,1/(1/_xlpm.U_no_ins+_xlpm.d_ins*0.01/INDEX(INDIRECT("PAR[lambda_ins_thick]"), 1)),_xlpm.U_IWU))</f>
        <v>0</v>
      </c>
      <c r="R34" s="28" cm="1">
        <f t="array" aca="1" ref="R34" ca="1">_xlfn.LET(
_xlpm.U_no_ins, _xlfn.XLOOKUP(1,
  (INDIRECT("UWert_Mod[Bauteil]")=$A$34)*
  (INDIRECT("UWert_Mod[Modernisierungsjahr]")="1983 - 1994"),
  INDIRECT("UWert_Mod[U_no_ins]")),
_xlpm.U_IWU, R$33,
_xlpm.d_ins,IN_build!$T$11,
IF(_xlpm.d_ins&gt;0,1/(1/_xlpm.U_no_ins+_xlpm.d_ins*0.01/INDEX(INDIRECT("PAR[lambda_ins_thick]"), 1)),_xlpm.U_IWU))</f>
        <v>0</v>
      </c>
      <c r="S34" s="28" cm="1">
        <f t="array" aca="1" ref="S34" ca="1">_xlfn.LET(
_xlpm.U_no_ins, _xlfn.XLOOKUP(1,
  (INDIRECT("UWert_Mod[Bauteil]")=$A$34)*
  (INDIRECT("UWert_Mod[Modernisierungsjahr]")="1983 - 1994"),
  INDIRECT("UWert_Mod[U_no_ins]")),
_xlpm.U_IWU, S$33,
_xlpm.d_ins,IN_build!$T$11,
IF(_xlpm.d_ins&gt;0,1/(1/_xlpm.U_no_ins+_xlpm.d_ins*0.01/INDEX(INDIRECT("PAR[lambda_ins_thick]"), 1)),_xlpm.U_IWU))</f>
        <v>0</v>
      </c>
      <c r="T34" s="28" cm="1">
        <f t="array" aca="1" ref="T34" ca="1">_xlfn.LET(
_xlpm.U_no_ins, _xlfn.XLOOKUP(1,
  (INDIRECT("UWert_Mod[Bauteil]")=$A$34)*
  (INDIRECT("UWert_Mod[Modernisierungsjahr]")="1983 - 1994"),
  INDIRECT("UWert_Mod[U_no_ins]")),
_xlpm.U_IWU, T$33,
_xlpm.d_ins,IN_build!$T$11,
IF(_xlpm.d_ins&gt;0,1/(1/_xlpm.U_no_ins+_xlpm.d_ins*0.01/INDEX(INDIRECT("PAR[lambda_ins_thick]"), 1)),_xlpm.U_IWU))</f>
        <v>0</v>
      </c>
      <c r="U34" s="28" cm="1">
        <f t="array" aca="1" ref="U34" ca="1">_xlfn.LET(
_xlpm.U_no_ins, _xlfn.XLOOKUP(1,
  (INDIRECT("UWert_Mod[Bauteil]")=$A$34)*
  (INDIRECT("UWert_Mod[Modernisierungsjahr]")="1983 - 1994"),
  INDIRECT("UWert_Mod[U_no_ins]")),
_xlpm.U_IWU, U$33,
_xlpm.d_ins,IN_build!$T$11,
IF(_xlpm.d_ins&gt;0,1/(1/_xlpm.U_no_ins+_xlpm.d_ins*0.01/INDEX(INDIRECT("PAR[lambda_ins_thick]"), 1)),_xlpm.U_IWU))</f>
        <v>0</v>
      </c>
      <c r="V34" s="28" cm="1">
        <f t="array" aca="1" ref="V34" ca="1">_xlfn.LET(
_xlpm.U_no_ins, _xlfn.XLOOKUP(1,
  (INDIRECT("UWert_Mod[Bauteil]")=$A$34)*
  (INDIRECT("UWert_Mod[Modernisierungsjahr]")="1983 - 1994"),
  INDIRECT("UWert_Mod[U_no_ins]")),
_xlpm.U_IWU, V$33,
_xlpm.d_ins,IN_build!$T$11,
IF(_xlpm.d_ins&gt;0,1/(1/_xlpm.U_no_ins+_xlpm.d_ins*0.01/INDEX(INDIRECT("PAR[lambda_ins_thick]"), 1)),_xlpm.U_IWU))</f>
        <v>0</v>
      </c>
      <c r="W34" s="28" cm="1">
        <f t="array" aca="1" ref="W34" ca="1">_xlfn.LET(
_xlpm.U_no_ins, _xlfn.XLOOKUP(1,
  (INDIRECT("UWert_Mod[Bauteil]")=$A$34)*
  (INDIRECT("UWert_Mod[Modernisierungsjahr]")="1983 - 1994"),
  INDIRECT("UWert_Mod[U_no_ins]")),
_xlpm.U_IWU, W$33,
_xlpm.d_ins,IN_build!$T$11,
IF(_xlpm.d_ins&gt;0,1/(1/_xlpm.U_no_ins+_xlpm.d_ins*0.01/INDEX(INDIRECT("PAR[lambda_ins_thick]"), 1)),_xlpm.U_IWU))</f>
        <v>0</v>
      </c>
    </row>
    <row r="35" spans="1:23" ht="15.75" thickBot="1">
      <c r="A35" t="s">
        <v>254</v>
      </c>
      <c r="B35" t="s">
        <v>485</v>
      </c>
      <c r="C35" t="s">
        <v>133</v>
      </c>
      <c r="E35" t="s">
        <v>507</v>
      </c>
      <c r="F35" t="s">
        <v>31</v>
      </c>
      <c r="I35" s="28">
        <f>IF(OR(I$32="entfällt",I$32=0),0,(I$32*(I$34+I$8)*_xlfn.XLOOKUP(IN_rooms!R$7,Daten!$E$106:$E$109,Daten!$F$106:$F$109,"FEHLER",0,1))*(I$10-Normaußentemperatur_12831!$B$6))</f>
        <v>0</v>
      </c>
      <c r="J35" s="30">
        <f>IF(OR(J$32="entfällt",J$32=0),0,(J$32*(J$34+J$8)*_xlfn.XLOOKUP(IN_rooms!S$7,Daten!$E$106:$E$109,Daten!$F$106:$F$109,"FEHLER",0,1))*(J$10-Normaußentemperatur_12831!$B$6))</f>
        <v>0</v>
      </c>
      <c r="K35" s="28">
        <f>IF(OR(K$32="entfällt",K$32=0),0,(K$32*(K$34+K$8)*_xlfn.XLOOKUP(IN_rooms!T$7,Daten!$E$106:$E$109,Daten!$F$106:$F$109,"FEHLER",0,1))*(K$10-Normaußentemperatur_12831!$B$6))</f>
        <v>0</v>
      </c>
      <c r="L35" s="30">
        <f>IF(OR(L$32="entfällt",L$32=0),0,(L$32*(L$34+L$8)*_xlfn.XLOOKUP(IN_rooms!U$7,Daten!$E$106:$E$109,Daten!$F$106:$F$109,"FEHLER",0,1))*(L$10-Normaußentemperatur_12831!$B$6))</f>
        <v>0</v>
      </c>
      <c r="M35" s="30">
        <f>IF(OR(M$32="entfällt",M$32=0),0,(M$32*(M$34+M$8)*_xlfn.XLOOKUP(IN_rooms!V$7,Daten!$E$106:$E$109,Daten!$F$106:$F$109,"FEHLER",0,1))*(M$10-Normaußentemperatur_12831!$B$6))</f>
        <v>0</v>
      </c>
      <c r="N35" s="30">
        <f>IF(OR(N$32="entfällt",N$32=0),0,(N$32*(N$34+N$8)*_xlfn.XLOOKUP(IN_rooms!W$7,Daten!$E$106:$E$109,Daten!$F$106:$F$109,"FEHLER",0,1))*(N$10-Normaußentemperatur_12831!$B$6))</f>
        <v>0</v>
      </c>
      <c r="O35" s="30">
        <f>IF(OR(O$32="entfällt",O$32=0),0,(O$32*(O$34+O$8)*_xlfn.XLOOKUP(IN_rooms!X$7,Daten!$E$106:$E$109,Daten!$F$106:$F$109,"FEHLER",0,1))*(O$10-Normaußentemperatur_12831!$B$6))</f>
        <v>0</v>
      </c>
      <c r="P35" s="30">
        <f>IF(OR(P$32="entfällt",P$32=0),0,(P$32*(P$34+P$8)*_xlfn.XLOOKUP(IN_rooms!Y$7,Daten!$E$106:$E$109,Daten!$F$106:$F$109,"FEHLER",0,1))*(P$10-Normaußentemperatur_12831!$B$6))</f>
        <v>0</v>
      </c>
      <c r="Q35" s="30">
        <f>IF(OR(Q$32="entfällt",Q$32=0),0,(Q$32*(Q$34+Q$8)*_xlfn.XLOOKUP(IN_rooms!Z$7,Daten!$E$106:$E$109,Daten!$F$106:$F$109,"FEHLER",0,1))*(Q$10-Normaußentemperatur_12831!$B$6))</f>
        <v>0</v>
      </c>
      <c r="R35" s="30">
        <f>IF(OR(R$32="entfällt",R$32=0),0,(R$32*(R$34+R$8)*_xlfn.XLOOKUP(IN_rooms!AA$7,Daten!$E$106:$E$109,Daten!$F$106:$F$109,"FEHLER",0,1))*(R$10-Normaußentemperatur_12831!$B$6))</f>
        <v>0</v>
      </c>
      <c r="S35" s="30">
        <f>IF(OR(S$32="entfällt",S$32=0),0,(S$32*(S$34+S$8)*_xlfn.XLOOKUP(IN_rooms!AB$7,Daten!$E$106:$E$109,Daten!$F$106:$F$109,"FEHLER",0,1))*(S$10-Normaußentemperatur_12831!$B$6))</f>
        <v>0</v>
      </c>
      <c r="T35" s="30">
        <f>IF(OR(T$32="entfällt",T$32=0),0,(T$32*(T$34+T$8)*_xlfn.XLOOKUP(IN_rooms!AC$7,Daten!$E$106:$E$109,Daten!$F$106:$F$109,"FEHLER",0,1))*(T$10-Normaußentemperatur_12831!$B$6))</f>
        <v>0</v>
      </c>
      <c r="U35" s="30">
        <f>IF(OR(U$32="entfällt",U$32=0),0,(U$32*(U$34+U$8)*_xlfn.XLOOKUP(IN_rooms!AD$7,Daten!$E$106:$E$109,Daten!$F$106:$F$109,"FEHLER",0,1))*(U$10-Normaußentemperatur_12831!$B$6))</f>
        <v>0</v>
      </c>
      <c r="V35" s="30">
        <f>IF(OR(V$32="entfällt",V$32=0),0,(V$32*(V$34+V$8)*_xlfn.XLOOKUP(IN_rooms!AE$7,Daten!$E$106:$E$109,Daten!$F$106:$F$109,"FEHLER",0,1))*(V$10-Normaußentemperatur_12831!$B$6))</f>
        <v>0</v>
      </c>
      <c r="W35" s="30">
        <f>IF(OR(W$32="entfällt",W$32=0),0,(W$32*(W$34+W$8)*_xlfn.XLOOKUP(IN_rooms!AF$7,Daten!$E$106:$E$109,Daten!$F$106:$F$109,"FEHLER",0,1))*(W$10-Normaußentemperatur_12831!$B$6))</f>
        <v>0</v>
      </c>
    </row>
    <row r="36" spans="1:23" ht="15.75" thickBot="1">
      <c r="A36" t="s">
        <v>254</v>
      </c>
      <c r="B36" t="s">
        <v>476</v>
      </c>
      <c r="C36" t="s">
        <v>133</v>
      </c>
      <c r="E36" t="s">
        <v>508</v>
      </c>
      <c r="F36" t="s">
        <v>30</v>
      </c>
      <c r="I36" s="162" t="e">
        <f t="shared" ref="I36:W36" ca="1" si="9">I$35/I$72</f>
        <v>#NUM!</v>
      </c>
      <c r="J36" s="79" t="e">
        <f t="shared" ca="1" si="9"/>
        <v>#NUM!</v>
      </c>
      <c r="K36" s="162" t="e">
        <f t="shared" ca="1" si="9"/>
        <v>#NUM!</v>
      </c>
      <c r="L36" s="79" t="e">
        <f t="shared" ca="1" si="9"/>
        <v>#NUM!</v>
      </c>
      <c r="M36" s="79" t="e">
        <f t="shared" ca="1" si="9"/>
        <v>#NUM!</v>
      </c>
      <c r="N36" s="79" t="e">
        <f t="shared" ca="1" si="9"/>
        <v>#NUM!</v>
      </c>
      <c r="O36" s="79" t="e">
        <f t="shared" ca="1" si="9"/>
        <v>#NUM!</v>
      </c>
      <c r="P36" s="79" t="e">
        <f t="shared" ca="1" si="9"/>
        <v>#NUM!</v>
      </c>
      <c r="Q36" s="79" t="e">
        <f t="shared" ca="1" si="9"/>
        <v>#NUM!</v>
      </c>
      <c r="R36" s="79" t="e">
        <f t="shared" ca="1" si="9"/>
        <v>#NUM!</v>
      </c>
      <c r="S36" s="79" t="e">
        <f t="shared" ca="1" si="9"/>
        <v>#NUM!</v>
      </c>
      <c r="T36" s="79" t="e">
        <f t="shared" ca="1" si="9"/>
        <v>#NUM!</v>
      </c>
      <c r="U36" s="79" t="e">
        <f t="shared" ca="1" si="9"/>
        <v>#NUM!</v>
      </c>
      <c r="V36" s="79" t="e">
        <f t="shared" ca="1" si="9"/>
        <v>#NUM!</v>
      </c>
      <c r="W36" s="79" t="e">
        <f t="shared" ca="1" si="9"/>
        <v>#NUM!</v>
      </c>
    </row>
    <row r="37" spans="1:23" ht="15.75" thickBot="1">
      <c r="A37" t="s">
        <v>252</v>
      </c>
      <c r="B37" t="s">
        <v>478</v>
      </c>
      <c r="C37" t="s">
        <v>135</v>
      </c>
      <c r="E37" t="s">
        <v>509</v>
      </c>
      <c r="F37" t="s">
        <v>58</v>
      </c>
      <c r="G37" t="s">
        <v>510</v>
      </c>
      <c r="I37" s="28" cm="1">
        <f t="array" ref="I37">_xlfn.LET(
  _xlpm.alpha,_xlfn.IFS(
    IN_build!$P$4="geneigt",25,
    IN_build!$P$4="steil",40,
    IN_build!$P$4="sehr steil",55) * PI() / 180,
  _xlpm.A_room, IN_rooms!R$4,
  _xlpm.h_knee,IN_rooms!R$34,
  _xlpm.h_room,IN_rooms!R$5,
  IF(OR(IN_build!$P$4 = "Flach bzw. Flachdach", IN_rooms!R$39=0, IN_rooms!R$28 = "Flachdach", IN_rooms!R$28 = "Keine"),
    _xlpm.A_room,
    MIN(IF(IN_rooms!R$28 = "Komplex",
      _xlpm.A_room * (1+(_xlpm.h_knee/_xlpm.h_room)*_xlfn.COT(_xlpm.alpha)),
      _xlpm.A_room + _xlpm.h_knee/TAN(_xlpm.alpha)*IN_rooms!R$30), 1.5 * _xlpm.A_room)))</f>
        <v>0</v>
      </c>
      <c r="J37" s="28" cm="1">
        <f t="array" ref="J37">_xlfn.LET(
  _xlpm.alpha,_xlfn.IFS(
    IN_build!$P$4="geneigt",25,
    IN_build!$P$4="steil",40,
    IN_build!$P$4="sehr steil",55) * PI() / 180,
  _xlpm.A_room, IN_rooms!S$4,
  _xlpm.h_knee,IN_rooms!S$34,
  _xlpm.h_room,IN_rooms!S$5,
  IF(OR(IN_build!$P$4 = "Flach bzw. Flachdach", IN_rooms!S$39=0, IN_rooms!S$28 = "Flachdach", IN_rooms!S$28 = "Keine"),
    _xlpm.A_room,
    MIN(IF(IN_rooms!S$28 = "Komplex",
      _xlpm.A_room * (1+(_xlpm.h_knee/_xlpm.h_room)*_xlfn.COT(_xlpm.alpha)),
      _xlpm.A_room + _xlpm.h_knee/TAN(_xlpm.alpha)*IN_rooms!S$30), 1.5 * _xlpm.A_room)))</f>
        <v>0</v>
      </c>
      <c r="K37" s="28" cm="1">
        <f t="array" ref="K37">_xlfn.LET(
  _xlpm.alpha,_xlfn.IFS(
    IN_build!$P$4="geneigt",25,
    IN_build!$P$4="steil",40,
    IN_build!$P$4="sehr steil",55) * PI() / 180,
  _xlpm.A_room, IN_rooms!T$4,
  _xlpm.h_knee,IN_rooms!T$34,
  _xlpm.h_room,IN_rooms!T$5,
  IF(OR(IN_build!$P$4 = "Flach bzw. Flachdach", IN_rooms!T$39=0, IN_rooms!T$28 = "Flachdach", IN_rooms!T$28 = "Keine"),
    _xlpm.A_room,
    MIN(IF(IN_rooms!T$28 = "Komplex",
      _xlpm.A_room * (1+(_xlpm.h_knee/_xlpm.h_room)*_xlfn.COT(_xlpm.alpha)),
      _xlpm.A_room + _xlpm.h_knee/TAN(_xlpm.alpha)*IN_rooms!T$30), 1.5 * _xlpm.A_room)))</f>
        <v>0</v>
      </c>
      <c r="L37" s="28" cm="1">
        <f t="array" ref="L37">_xlfn.LET(
  _xlpm.alpha,_xlfn.IFS(
    IN_build!$P$4="geneigt",25,
    IN_build!$P$4="steil",40,
    IN_build!$P$4="sehr steil",55) * PI() / 180,
  _xlpm.A_room, IN_rooms!U$4,
  _xlpm.h_knee,IN_rooms!U$34,
  _xlpm.h_room,IN_rooms!U$5,
  IF(OR(IN_build!$P$4 = "Flach bzw. Flachdach", IN_rooms!U$39=0, IN_rooms!U$28 = "Flachdach", IN_rooms!U$28 = "Keine"),
    _xlpm.A_room,
    MIN(IF(IN_rooms!U$28 = "Komplex",
      _xlpm.A_room * (1+(_xlpm.h_knee/_xlpm.h_room)*_xlfn.COT(_xlpm.alpha)),
      _xlpm.A_room + _xlpm.h_knee/TAN(_xlpm.alpha)*IN_rooms!U$30), 1.5 * _xlpm.A_room)))</f>
        <v>0</v>
      </c>
      <c r="M37" s="28" cm="1">
        <f t="array" ref="M37">_xlfn.LET(
  _xlpm.alpha,_xlfn.IFS(
    IN_build!$P$4="geneigt",25,
    IN_build!$P$4="steil",40,
    IN_build!$P$4="sehr steil",55) * PI() / 180,
  _xlpm.A_room, IN_rooms!V$4,
  _xlpm.h_knee,IN_rooms!V$34,
  _xlpm.h_room,IN_rooms!V$5,
  IF(OR(IN_build!$P$4 = "Flach bzw. Flachdach", IN_rooms!V$39=0, IN_rooms!V$28 = "Flachdach", IN_rooms!V$28 = "Keine"),
    _xlpm.A_room,
    MIN(IF(IN_rooms!V$28 = "Komplex",
      _xlpm.A_room * (1+(_xlpm.h_knee/_xlpm.h_room)*_xlfn.COT(_xlpm.alpha)),
      _xlpm.A_room + _xlpm.h_knee/TAN(_xlpm.alpha)*IN_rooms!V$30), 1.5 * _xlpm.A_room)))</f>
        <v>0</v>
      </c>
      <c r="N37" s="28" cm="1">
        <f t="array" ref="N37">_xlfn.LET(
  _xlpm.alpha,_xlfn.IFS(
    IN_build!$P$4="geneigt",25,
    IN_build!$P$4="steil",40,
    IN_build!$P$4="sehr steil",55) * PI() / 180,
  _xlpm.A_room, IN_rooms!W$4,
  _xlpm.h_knee,IN_rooms!W$34,
  _xlpm.h_room,IN_rooms!W$5,
  IF(OR(IN_build!$P$4 = "Flach bzw. Flachdach", IN_rooms!W$39=0, IN_rooms!W$28 = "Flachdach", IN_rooms!W$28 = "Keine"),
    _xlpm.A_room,
    MIN(IF(IN_rooms!W$28 = "Komplex",
      _xlpm.A_room * (1+(_xlpm.h_knee/_xlpm.h_room)*_xlfn.COT(_xlpm.alpha)),
      _xlpm.A_room + _xlpm.h_knee/TAN(_xlpm.alpha)*IN_rooms!W$30), 1.5 * _xlpm.A_room)))</f>
        <v>0</v>
      </c>
      <c r="O37" s="28" cm="1">
        <f t="array" ref="O37">_xlfn.LET(
  _xlpm.alpha,_xlfn.IFS(
    IN_build!$P$4="geneigt",25,
    IN_build!$P$4="steil",40,
    IN_build!$P$4="sehr steil",55) * PI() / 180,
  _xlpm.A_room, IN_rooms!X$4,
  _xlpm.h_knee,IN_rooms!X$34,
  _xlpm.h_room,IN_rooms!X$5,
  IF(OR(IN_build!$P$4 = "Flach bzw. Flachdach", IN_rooms!X$39=0, IN_rooms!X$28 = "Flachdach", IN_rooms!X$28 = "Keine"),
    _xlpm.A_room,
    MIN(IF(IN_rooms!X$28 = "Komplex",
      _xlpm.A_room * (1+(_xlpm.h_knee/_xlpm.h_room)*_xlfn.COT(_xlpm.alpha)),
      _xlpm.A_room + _xlpm.h_knee/TAN(_xlpm.alpha)*IN_rooms!X$30), 1.5 * _xlpm.A_room)))</f>
        <v>0</v>
      </c>
      <c r="P37" s="28" cm="1">
        <f t="array" ref="P37">_xlfn.LET(
  _xlpm.alpha,_xlfn.IFS(
    IN_build!$P$4="geneigt",25,
    IN_build!$P$4="steil",40,
    IN_build!$P$4="sehr steil",55) * PI() / 180,
  _xlpm.A_room, IN_rooms!Y$4,
  _xlpm.h_knee,IN_rooms!Y$34,
  _xlpm.h_room,IN_rooms!Y$5,
  IF(OR(IN_build!$P$4 = "Flach bzw. Flachdach", IN_rooms!Y$39=0, IN_rooms!Y$28 = "Flachdach", IN_rooms!Y$28 = "Keine"),
    _xlpm.A_room,
    MIN(IF(IN_rooms!Y$28 = "Komplex",
      _xlpm.A_room * (1+(_xlpm.h_knee/_xlpm.h_room)*_xlfn.COT(_xlpm.alpha)),
      _xlpm.A_room + _xlpm.h_knee/TAN(_xlpm.alpha)*IN_rooms!Y$30), 1.5 * _xlpm.A_room)))</f>
        <v>0</v>
      </c>
      <c r="Q37" s="28" cm="1">
        <f t="array" ref="Q37">_xlfn.LET(
  _xlpm.alpha,_xlfn.IFS(
    IN_build!$P$4="geneigt",25,
    IN_build!$P$4="steil",40,
    IN_build!$P$4="sehr steil",55) * PI() / 180,
  _xlpm.A_room, IN_rooms!Z$4,
  _xlpm.h_knee,IN_rooms!Z$34,
  _xlpm.h_room,IN_rooms!Z$5,
  IF(OR(IN_build!$P$4 = "Flach bzw. Flachdach", IN_rooms!Z$39=0, IN_rooms!Z$28 = "Flachdach", IN_rooms!Z$28 = "Keine"),
    _xlpm.A_room,
    MIN(IF(IN_rooms!Z$28 = "Komplex",
      _xlpm.A_room * (1+(_xlpm.h_knee/_xlpm.h_room)*_xlfn.COT(_xlpm.alpha)),
      _xlpm.A_room + _xlpm.h_knee/TAN(_xlpm.alpha)*IN_rooms!Z$30), 1.5 * _xlpm.A_room)))</f>
        <v>0</v>
      </c>
      <c r="R37" s="28" cm="1">
        <f t="array" ref="R37">_xlfn.LET(
  _xlpm.alpha,_xlfn.IFS(
    IN_build!$P$4="geneigt",25,
    IN_build!$P$4="steil",40,
    IN_build!$P$4="sehr steil",55) * PI() / 180,
  _xlpm.A_room, IN_rooms!AA$4,
  _xlpm.h_knee,IN_rooms!AA$34,
  _xlpm.h_room,IN_rooms!AA$5,
  IF(OR(IN_build!$P$4 = "Flach bzw. Flachdach", IN_rooms!AA$39=0, IN_rooms!AA$28 = "Flachdach", IN_rooms!AA$28 = "Keine"),
    _xlpm.A_room,
    MIN(IF(IN_rooms!AA$28 = "Komplex",
      _xlpm.A_room * (1+(_xlpm.h_knee/_xlpm.h_room)*_xlfn.COT(_xlpm.alpha)),
      _xlpm.A_room + _xlpm.h_knee/TAN(_xlpm.alpha)*IN_rooms!AA$30), 1.5 * _xlpm.A_room)))</f>
        <v>0</v>
      </c>
      <c r="S37" s="28" cm="1">
        <f t="array" ref="S37">_xlfn.LET(
  _xlpm.alpha,_xlfn.IFS(
    IN_build!$P$4="geneigt",25,
    IN_build!$P$4="steil",40,
    IN_build!$P$4="sehr steil",55) * PI() / 180,
  _xlpm.A_room, IN_rooms!AB$4,
  _xlpm.h_knee,IN_rooms!AB$34,
  _xlpm.h_room,IN_rooms!AB$5,
  IF(OR(IN_build!$P$4 = "Flach bzw. Flachdach", IN_rooms!AB$39=0, IN_rooms!AB$28 = "Flachdach", IN_rooms!AB$28 = "Keine"),
    _xlpm.A_room,
    MIN(IF(IN_rooms!AB$28 = "Komplex",
      _xlpm.A_room * (1+(_xlpm.h_knee/_xlpm.h_room)*_xlfn.COT(_xlpm.alpha)),
      _xlpm.A_room + _xlpm.h_knee/TAN(_xlpm.alpha)*IN_rooms!AB$30), 1.5 * _xlpm.A_room)))</f>
        <v>0</v>
      </c>
      <c r="T37" s="28" cm="1">
        <f t="array" ref="T37">_xlfn.LET(
  _xlpm.alpha,_xlfn.IFS(
    IN_build!$P$4="geneigt",25,
    IN_build!$P$4="steil",40,
    IN_build!$P$4="sehr steil",55) * PI() / 180,
  _xlpm.A_room, IN_rooms!AC$4,
  _xlpm.h_knee,IN_rooms!AC$34,
  _xlpm.h_room,IN_rooms!AC$5,
  IF(OR(IN_build!$P$4 = "Flach bzw. Flachdach", IN_rooms!AC$39=0, IN_rooms!AC$28 = "Flachdach", IN_rooms!AC$28 = "Keine"),
    _xlpm.A_room,
    MIN(IF(IN_rooms!AC$28 = "Komplex",
      _xlpm.A_room * (1+(_xlpm.h_knee/_xlpm.h_room)*_xlfn.COT(_xlpm.alpha)),
      _xlpm.A_room + _xlpm.h_knee/TAN(_xlpm.alpha)*IN_rooms!AC$30), 1.5 * _xlpm.A_room)))</f>
        <v>0</v>
      </c>
      <c r="U37" s="28" cm="1">
        <f t="array" ref="U37">_xlfn.LET(
  _xlpm.alpha,_xlfn.IFS(
    IN_build!$P$4="geneigt",25,
    IN_build!$P$4="steil",40,
    IN_build!$P$4="sehr steil",55) * PI() / 180,
  _xlpm.A_room, IN_rooms!AD$4,
  _xlpm.h_knee,IN_rooms!AD$34,
  _xlpm.h_room,IN_rooms!AD$5,
  IF(OR(IN_build!$P$4 = "Flach bzw. Flachdach", IN_rooms!AD$39=0, IN_rooms!AD$28 = "Flachdach", IN_rooms!AD$28 = "Keine"),
    _xlpm.A_room,
    MIN(IF(IN_rooms!AD$28 = "Komplex",
      _xlpm.A_room * (1+(_xlpm.h_knee/_xlpm.h_room)*_xlfn.COT(_xlpm.alpha)),
      _xlpm.A_room + _xlpm.h_knee/TAN(_xlpm.alpha)*IN_rooms!AD$30), 1.5 * _xlpm.A_room)))</f>
        <v>0</v>
      </c>
      <c r="V37" s="28" cm="1">
        <f t="array" ref="V37">_xlfn.LET(
  _xlpm.alpha,_xlfn.IFS(
    IN_build!$P$4="geneigt",25,
    IN_build!$P$4="steil",40,
    IN_build!$P$4="sehr steil",55) * PI() / 180,
  _xlpm.A_room, IN_rooms!AE$4,
  _xlpm.h_knee,IN_rooms!AE$34,
  _xlpm.h_room,IN_rooms!AE$5,
  IF(OR(IN_build!$P$4 = "Flach bzw. Flachdach", IN_rooms!AE$39=0, IN_rooms!AE$28 = "Flachdach", IN_rooms!AE$28 = "Keine"),
    _xlpm.A_room,
    MIN(IF(IN_rooms!AE$28 = "Komplex",
      _xlpm.A_room * (1+(_xlpm.h_knee/_xlpm.h_room)*_xlfn.COT(_xlpm.alpha)),
      _xlpm.A_room + _xlpm.h_knee/TAN(_xlpm.alpha)*IN_rooms!AE$30), 1.5 * _xlpm.A_room)))</f>
        <v>0</v>
      </c>
      <c r="W37" s="28" cm="1">
        <f t="array" ref="W37">_xlfn.LET(
  _xlpm.alpha,_xlfn.IFS(
    IN_build!$P$4="geneigt",25,
    IN_build!$P$4="steil",40,
    IN_build!$P$4="sehr steil",55) * PI() / 180,
  _xlpm.A_room, IN_rooms!AF$4,
  _xlpm.h_knee,IN_rooms!AF$34,
  _xlpm.h_room,IN_rooms!AF$5,
  IF(OR(IN_build!$P$4 = "Flach bzw. Flachdach", IN_rooms!AF$39=0, IN_rooms!AF$28 = "Flachdach", IN_rooms!AF$28 = "Keine"),
    _xlpm.A_room,
    MIN(IF(IN_rooms!AF$28 = "Komplex",
      _xlpm.A_room * (1+(_xlpm.h_knee/_xlpm.h_room)*_xlfn.COT(_xlpm.alpha)),
      _xlpm.A_room + _xlpm.h_knee/TAN(_xlpm.alpha)*IN_rooms!AF$30), 1.5 * _xlpm.A_room)))</f>
        <v>0</v>
      </c>
    </row>
    <row r="38" spans="1:23" ht="15.75" thickBot="1">
      <c r="A38" t="s">
        <v>252</v>
      </c>
      <c r="B38" t="s">
        <v>480</v>
      </c>
      <c r="C38" t="s">
        <v>135</v>
      </c>
      <c r="E38" t="s">
        <v>511</v>
      </c>
      <c r="F38" t="s">
        <v>28</v>
      </c>
      <c r="I38" s="28" t="e" cm="1">
        <f t="array" ref="I38">_xlfn.AGGREGATE(15,6,U_Werte_IWU!$F$30:$F$297/((U_Werte_IWU!$E$30:$E$297=clc_load!$A38)*(U_Werte_IWU!$D$30:$D$297=clc_load!$I$4)*(U_Werte_IWU!$C$30:$C$297=clc_load!$I$3)),1)</f>
        <v>#NUM!</v>
      </c>
      <c r="J38" s="28" t="e" cm="1">
        <f t="array" ref="J38">_xlfn.AGGREGATE(15,6,U_Werte_IWU!$F$30:$F$297/((U_Werte_IWU!$E$30:$E$297=clc_load!$A38)*(U_Werte_IWU!$D$30:$D$297=clc_load!$I$4)*(U_Werte_IWU!$C$30:$C$297=clc_load!$I$3)),1)</f>
        <v>#NUM!</v>
      </c>
      <c r="K38" s="28" t="e" cm="1">
        <f t="array" ref="K38">_xlfn.AGGREGATE(15,6,U_Werte_IWU!$F$30:$F$297/((U_Werte_IWU!$E$30:$E$297=clc_load!$A38)*(U_Werte_IWU!$D$30:$D$297=clc_load!$I$4)*(U_Werte_IWU!$C$30:$C$297=clc_load!$I$3)),1)</f>
        <v>#NUM!</v>
      </c>
      <c r="L38" s="28" t="e" cm="1">
        <f t="array" ref="L38">_xlfn.AGGREGATE(15,6,U_Werte_IWU!$F$30:$F$297/((U_Werte_IWU!$E$30:$E$297=clc_load!$A38)*(U_Werte_IWU!$D$30:$D$297=clc_load!$I$4)*(U_Werte_IWU!$C$30:$C$297=clc_load!$I$3)),1)</f>
        <v>#NUM!</v>
      </c>
      <c r="M38" s="28" t="e" cm="1">
        <f t="array" ref="M38">_xlfn.AGGREGATE(15,6,U_Werte_IWU!$F$30:$F$297/((U_Werte_IWU!$E$30:$E$297=clc_load!$A38)*(U_Werte_IWU!$D$30:$D$297=clc_load!$I$4)*(U_Werte_IWU!$C$30:$C$297=clc_load!$I$3)),1)</f>
        <v>#NUM!</v>
      </c>
      <c r="N38" s="28" t="e" cm="1">
        <f t="array" ref="N38">_xlfn.AGGREGATE(15,6,U_Werte_IWU!$F$30:$F$297/((U_Werte_IWU!$E$30:$E$297=clc_load!$A38)*(U_Werte_IWU!$D$30:$D$297=clc_load!$I$4)*(U_Werte_IWU!$C$30:$C$297=clc_load!$I$3)),1)</f>
        <v>#NUM!</v>
      </c>
      <c r="O38" s="28" t="e" cm="1">
        <f t="array" ref="O38">_xlfn.AGGREGATE(15,6,U_Werte_IWU!$F$30:$F$297/((U_Werte_IWU!$E$30:$E$297=clc_load!$A38)*(U_Werte_IWU!$D$30:$D$297=clc_load!$I$4)*(U_Werte_IWU!$C$30:$C$297=clc_load!$I$3)),1)</f>
        <v>#NUM!</v>
      </c>
      <c r="P38" s="28" t="e" cm="1">
        <f t="array" ref="P38">_xlfn.AGGREGATE(15,6,U_Werte_IWU!$F$30:$F$297/((U_Werte_IWU!$E$30:$E$297=clc_load!$A38)*(U_Werte_IWU!$D$30:$D$297=clc_load!$I$4)*(U_Werte_IWU!$C$30:$C$297=clc_load!$I$3)),1)</f>
        <v>#NUM!</v>
      </c>
      <c r="Q38" s="28" t="e" cm="1">
        <f t="array" ref="Q38">_xlfn.AGGREGATE(15,6,U_Werte_IWU!$F$30:$F$297/((U_Werte_IWU!$E$30:$E$297=clc_load!$A38)*(U_Werte_IWU!$D$30:$D$297=clc_load!$I$4)*(U_Werte_IWU!$C$30:$C$297=clc_load!$I$3)),1)</f>
        <v>#NUM!</v>
      </c>
      <c r="R38" s="28" t="e" cm="1">
        <f t="array" ref="R38">_xlfn.AGGREGATE(15,6,U_Werte_IWU!$F$30:$F$297/((U_Werte_IWU!$E$30:$E$297=clc_load!$A38)*(U_Werte_IWU!$D$30:$D$297=clc_load!$I$4)*(U_Werte_IWU!$C$30:$C$297=clc_load!$I$3)),1)</f>
        <v>#NUM!</v>
      </c>
      <c r="S38" s="28" t="e" cm="1">
        <f t="array" ref="S38">_xlfn.AGGREGATE(15,6,U_Werte_IWU!$F$30:$F$297/((U_Werte_IWU!$E$30:$E$297=clc_load!$A38)*(U_Werte_IWU!$D$30:$D$297=clc_load!$I$4)*(U_Werte_IWU!$C$30:$C$297=clc_load!$I$3)),1)</f>
        <v>#NUM!</v>
      </c>
      <c r="T38" s="28" t="e" cm="1">
        <f t="array" ref="T38">_xlfn.AGGREGATE(15,6,U_Werte_IWU!$F$30:$F$297/((U_Werte_IWU!$E$30:$E$297=clc_load!$A38)*(U_Werte_IWU!$D$30:$D$297=clc_load!$I$4)*(U_Werte_IWU!$C$30:$C$297=clc_load!$I$3)),1)</f>
        <v>#NUM!</v>
      </c>
      <c r="U38" s="28" t="e" cm="1">
        <f t="array" ref="U38">_xlfn.AGGREGATE(15,6,U_Werte_IWU!$F$30:$F$297/((U_Werte_IWU!$E$30:$E$297=clc_load!$A38)*(U_Werte_IWU!$D$30:$D$297=clc_load!$I$4)*(U_Werte_IWU!$C$30:$C$297=clc_load!$I$3)),1)</f>
        <v>#NUM!</v>
      </c>
      <c r="V38" s="28" t="e" cm="1">
        <f t="array" ref="V38">_xlfn.AGGREGATE(15,6,U_Werte_IWU!$F$30:$F$297/((U_Werte_IWU!$E$30:$E$297=clc_load!$A38)*(U_Werte_IWU!$D$30:$D$297=clc_load!$I$4)*(U_Werte_IWU!$C$30:$C$297=clc_load!$I$3)),1)</f>
        <v>#NUM!</v>
      </c>
      <c r="W38" s="28" t="e" cm="1">
        <f t="array" ref="W38">_xlfn.AGGREGATE(15,6,U_Werte_IWU!$F$30:$F$297/((U_Werte_IWU!$E$30:$E$297=clc_load!$A38)*(U_Werte_IWU!$D$30:$D$297=clc_load!$I$4)*(U_Werte_IWU!$C$30:$C$297=clc_load!$I$3)),1)</f>
        <v>#NUM!</v>
      </c>
    </row>
    <row r="39" spans="1:23" ht="15.75" thickBot="1">
      <c r="A39" t="s">
        <v>252</v>
      </c>
      <c r="B39" t="s">
        <v>512</v>
      </c>
      <c r="C39" t="s">
        <v>135</v>
      </c>
      <c r="E39" t="s">
        <v>513</v>
      </c>
      <c r="F39" t="s">
        <v>28</v>
      </c>
      <c r="I39" s="28" t="e" cm="1">
        <f t="array" aca="1" ref="I39" ca="1">_xlfn.LET(
_xlpm.U_no_ins, _xlfn.XLOOKUP(1,
  (INDIRECT("UWert_Mod[Bauteil]")=$A$39)*
  (INDIRECT("UWert_Mod[Modernisierungsjahr]")="1983 - 1994"),
  INDIRECT("UWert_Mod[U_no_ins]")),
_xlpm.U_IWU, I$38,
_xlpm.d_ins,IN_build!$T$10,
IF(_xlpm.d_ins&gt;0,1/(1/_xlpm.U_no_ins+_xlpm.d_ins*0.01/INDEX(INDIRECT("PAR[lambda_ins_thick]"), 1)),_xlpm.U_IWU))</f>
        <v>#NUM!</v>
      </c>
      <c r="J39" s="28" t="e" cm="1">
        <f t="array" aca="1" ref="J39" ca="1">_xlfn.LET(
_xlpm.U_no_ins, _xlfn.XLOOKUP(1,
  (INDIRECT("UWert_Mod[Bauteil]")=$A$39)*
  (INDIRECT("UWert_Mod[Modernisierungsjahr]")="1983 - 1994"),
  INDIRECT("UWert_Mod[U_no_ins]")),
_xlpm.U_IWU, J$38,
_xlpm.d_ins,IN_build!$T$10,
IF(_xlpm.d_ins&gt;0,1/(1/_xlpm.U_no_ins+_xlpm.d_ins*0.01/INDEX(INDIRECT("PAR[lambda_ins_thick]"), 1)),_xlpm.U_IWU))</f>
        <v>#NUM!</v>
      </c>
      <c r="K39" s="28" t="e" cm="1">
        <f t="array" aca="1" ref="K39" ca="1">_xlfn.LET(
_xlpm.U_no_ins, _xlfn.XLOOKUP(1,
  (INDIRECT("UWert_Mod[Bauteil]")=$A$39)*
  (INDIRECT("UWert_Mod[Modernisierungsjahr]")="1983 - 1994"),
  INDIRECT("UWert_Mod[U_no_ins]")),
_xlpm.U_IWU, K$38,
_xlpm.d_ins,IN_build!$T$10,
IF(_xlpm.d_ins&gt;0,1/(1/_xlpm.U_no_ins+_xlpm.d_ins*0.01/INDEX(INDIRECT("PAR[lambda_ins_thick]"), 1)),_xlpm.U_IWU))</f>
        <v>#NUM!</v>
      </c>
      <c r="L39" s="28" t="e" cm="1">
        <f t="array" aca="1" ref="L39" ca="1">_xlfn.LET(
_xlpm.U_no_ins, _xlfn.XLOOKUP(1,
  (INDIRECT("UWert_Mod[Bauteil]")=$A$39)*
  (INDIRECT("UWert_Mod[Modernisierungsjahr]")="1983 - 1994"),
  INDIRECT("UWert_Mod[U_no_ins]")),
_xlpm.U_IWU, L$38,
_xlpm.d_ins,IN_build!$T$10,
IF(_xlpm.d_ins&gt;0,1/(1/_xlpm.U_no_ins+_xlpm.d_ins*0.01/INDEX(INDIRECT("PAR[lambda_ins_thick]"), 1)),_xlpm.U_IWU))</f>
        <v>#NUM!</v>
      </c>
      <c r="M39" s="28" t="e" cm="1">
        <f t="array" aca="1" ref="M39" ca="1">_xlfn.LET(
_xlpm.U_no_ins, _xlfn.XLOOKUP(1,
  (INDIRECT("UWert_Mod[Bauteil]")=$A$39)*
  (INDIRECT("UWert_Mod[Modernisierungsjahr]")="1983 - 1994"),
  INDIRECT("UWert_Mod[U_no_ins]")),
_xlpm.U_IWU, M$38,
_xlpm.d_ins,IN_build!$T$10,
IF(_xlpm.d_ins&gt;0,1/(1/_xlpm.U_no_ins+_xlpm.d_ins*0.01/INDEX(INDIRECT("PAR[lambda_ins_thick]"), 1)),_xlpm.U_IWU))</f>
        <v>#NUM!</v>
      </c>
      <c r="N39" s="28" t="e" cm="1">
        <f t="array" aca="1" ref="N39" ca="1">_xlfn.LET(
_xlpm.U_no_ins, _xlfn.XLOOKUP(1,
  (INDIRECT("UWert_Mod[Bauteil]")=$A$39)*
  (INDIRECT("UWert_Mod[Modernisierungsjahr]")="1983 - 1994"),
  INDIRECT("UWert_Mod[U_no_ins]")),
_xlpm.U_IWU, N$38,
_xlpm.d_ins,IN_build!$T$10,
IF(_xlpm.d_ins&gt;0,1/(1/_xlpm.U_no_ins+_xlpm.d_ins*0.01/INDEX(INDIRECT("PAR[lambda_ins_thick]"), 1)),_xlpm.U_IWU))</f>
        <v>#NUM!</v>
      </c>
      <c r="O39" s="28" t="e" cm="1">
        <f t="array" aca="1" ref="O39" ca="1">_xlfn.LET(
_xlpm.U_no_ins, _xlfn.XLOOKUP(1,
  (INDIRECT("UWert_Mod[Bauteil]")=$A$39)*
  (INDIRECT("UWert_Mod[Modernisierungsjahr]")="1983 - 1994"),
  INDIRECT("UWert_Mod[U_no_ins]")),
_xlpm.U_IWU, O$38,
_xlpm.d_ins,IN_build!$T$10,
IF(_xlpm.d_ins&gt;0,1/(1/_xlpm.U_no_ins+_xlpm.d_ins*0.01/INDEX(INDIRECT("PAR[lambda_ins_thick]"), 1)),_xlpm.U_IWU))</f>
        <v>#NUM!</v>
      </c>
      <c r="P39" s="28" t="e" cm="1">
        <f t="array" aca="1" ref="P39" ca="1">_xlfn.LET(
_xlpm.U_no_ins, _xlfn.XLOOKUP(1,
  (INDIRECT("UWert_Mod[Bauteil]")=$A$39)*
  (INDIRECT("UWert_Mod[Modernisierungsjahr]")="1983 - 1994"),
  INDIRECT("UWert_Mod[U_no_ins]")),
_xlpm.U_IWU, P$38,
_xlpm.d_ins,IN_build!$T$10,
IF(_xlpm.d_ins&gt;0,1/(1/_xlpm.U_no_ins+_xlpm.d_ins*0.01/INDEX(INDIRECT("PAR[lambda_ins_thick]"), 1)),_xlpm.U_IWU))</f>
        <v>#NUM!</v>
      </c>
      <c r="Q39" s="28" t="e" cm="1">
        <f t="array" aca="1" ref="Q39" ca="1">_xlfn.LET(
_xlpm.U_no_ins, _xlfn.XLOOKUP(1,
  (INDIRECT("UWert_Mod[Bauteil]")=$A$39)*
  (INDIRECT("UWert_Mod[Modernisierungsjahr]")="1983 - 1994"),
  INDIRECT("UWert_Mod[U_no_ins]")),
_xlpm.U_IWU, Q$38,
_xlpm.d_ins,IN_build!$T$10,
IF(_xlpm.d_ins&gt;0,1/(1/_xlpm.U_no_ins+_xlpm.d_ins*0.01/INDEX(INDIRECT("PAR[lambda_ins_thick]"), 1)),_xlpm.U_IWU))</f>
        <v>#NUM!</v>
      </c>
      <c r="R39" s="28" t="e" cm="1">
        <f t="array" aca="1" ref="R39" ca="1">_xlfn.LET(
_xlpm.U_no_ins, _xlfn.XLOOKUP(1,
  (INDIRECT("UWert_Mod[Bauteil]")=$A$39)*
  (INDIRECT("UWert_Mod[Modernisierungsjahr]")="1983 - 1994"),
  INDIRECT("UWert_Mod[U_no_ins]")),
_xlpm.U_IWU, R$38,
_xlpm.d_ins,IN_build!$T$10,
IF(_xlpm.d_ins&gt;0,1/(1/_xlpm.U_no_ins+_xlpm.d_ins*0.01/INDEX(INDIRECT("PAR[lambda_ins_thick]"), 1)),_xlpm.U_IWU))</f>
        <v>#NUM!</v>
      </c>
      <c r="S39" s="28" t="e" cm="1">
        <f t="array" aca="1" ref="S39" ca="1">_xlfn.LET(
_xlpm.U_no_ins, _xlfn.XLOOKUP(1,
  (INDIRECT("UWert_Mod[Bauteil]")=$A$39)*
  (INDIRECT("UWert_Mod[Modernisierungsjahr]")="1983 - 1994"),
  INDIRECT("UWert_Mod[U_no_ins]")),
_xlpm.U_IWU, S$38,
_xlpm.d_ins,IN_build!$T$10,
IF(_xlpm.d_ins&gt;0,1/(1/_xlpm.U_no_ins+_xlpm.d_ins*0.01/INDEX(INDIRECT("PAR[lambda_ins_thick]"), 1)),_xlpm.U_IWU))</f>
        <v>#NUM!</v>
      </c>
      <c r="T39" s="28" t="e" cm="1">
        <f t="array" aca="1" ref="T39" ca="1">_xlfn.LET(
_xlpm.U_no_ins, _xlfn.XLOOKUP(1,
  (INDIRECT("UWert_Mod[Bauteil]")=$A$39)*
  (INDIRECT("UWert_Mod[Modernisierungsjahr]")="1983 - 1994"),
  INDIRECT("UWert_Mod[U_no_ins]")),
_xlpm.U_IWU, T$38,
_xlpm.d_ins,IN_build!$T$10,
IF(_xlpm.d_ins&gt;0,1/(1/_xlpm.U_no_ins+_xlpm.d_ins*0.01/INDEX(INDIRECT("PAR[lambda_ins_thick]"), 1)),_xlpm.U_IWU))</f>
        <v>#NUM!</v>
      </c>
      <c r="U39" s="28" t="e" cm="1">
        <f t="array" aca="1" ref="U39" ca="1">_xlfn.LET(
_xlpm.U_no_ins, _xlfn.XLOOKUP(1,
  (INDIRECT("UWert_Mod[Bauteil]")=$A$39)*
  (INDIRECT("UWert_Mod[Modernisierungsjahr]")="1983 - 1994"),
  INDIRECT("UWert_Mod[U_no_ins]")),
_xlpm.U_IWU, U$38,
_xlpm.d_ins,IN_build!$T$10,
IF(_xlpm.d_ins&gt;0,1/(1/_xlpm.U_no_ins+_xlpm.d_ins*0.01/INDEX(INDIRECT("PAR[lambda_ins_thick]"), 1)),_xlpm.U_IWU))</f>
        <v>#NUM!</v>
      </c>
      <c r="V39" s="28" t="e" cm="1">
        <f t="array" aca="1" ref="V39" ca="1">_xlfn.LET(
_xlpm.U_no_ins, _xlfn.XLOOKUP(1,
  (INDIRECT("UWert_Mod[Bauteil]")=$A$39)*
  (INDIRECT("UWert_Mod[Modernisierungsjahr]")="1983 - 1994"),
  INDIRECT("UWert_Mod[U_no_ins]")),
_xlpm.U_IWU, V$38,
_xlpm.d_ins,IN_build!$T$10,
IF(_xlpm.d_ins&gt;0,1/(1/_xlpm.U_no_ins+_xlpm.d_ins*0.01/INDEX(INDIRECT("PAR[lambda_ins_thick]"), 1)),_xlpm.U_IWU))</f>
        <v>#NUM!</v>
      </c>
      <c r="W39" s="28" t="e" cm="1">
        <f t="array" aca="1" ref="W39" ca="1">_xlfn.LET(
_xlpm.U_no_ins, _xlfn.XLOOKUP(1,
  (INDIRECT("UWert_Mod[Bauteil]")=$A$39)*
  (INDIRECT("UWert_Mod[Modernisierungsjahr]")="1983 - 1994"),
  INDIRECT("UWert_Mod[U_no_ins]")),
_xlpm.U_IWU, W$38,
_xlpm.d_ins,IN_build!$T$10,
IF(_xlpm.d_ins&gt;0,1/(1/_xlpm.U_no_ins+_xlpm.d_ins*0.01/INDEX(INDIRECT("PAR[lambda_ins_thick]"), 1)),_xlpm.U_IWU))</f>
        <v>#NUM!</v>
      </c>
    </row>
    <row r="40" spans="1:23" ht="15.75" thickBot="1">
      <c r="A40" t="s">
        <v>252</v>
      </c>
      <c r="B40" t="s">
        <v>485</v>
      </c>
      <c r="C40" t="s">
        <v>135</v>
      </c>
      <c r="E40" t="s">
        <v>514</v>
      </c>
      <c r="F40" t="s">
        <v>31</v>
      </c>
      <c r="I40" s="28" t="e">
        <f ca="1">I$37*(I$38+I$8)*_xlfn.XLOOKUP(IF(IN_rooms!R8="","unbeheizt",IN_rooms!R8),Daten!$E$106:$E$109,Daten!$F$106:$F$109,"FEHLER",0,1)*(I$10-Normaußentemperatur_12831!$B$6)</f>
        <v>#NUM!</v>
      </c>
      <c r="J40" s="28" t="e">
        <f ca="1">J$37*(J$38+J$8)*_xlfn.XLOOKUP(IF(IN_rooms!S8="","unbeheizt",IN_rooms!S8),Daten!$E$106:$E$109,Daten!$F$106:$F$109,"FEHLER",0,1)*(J$10-Normaußentemperatur_12831!$B$6)</f>
        <v>#NUM!</v>
      </c>
      <c r="K40" s="28" t="e">
        <f ca="1">K$37*(K$38+K$8)*_xlfn.XLOOKUP(IF(IN_rooms!T8="","unbeheizt",IN_rooms!T8),Daten!$E$106:$E$109,Daten!$F$106:$F$109,"FEHLER",0,1)*(K$10-Normaußentemperatur_12831!$B$6)</f>
        <v>#NUM!</v>
      </c>
      <c r="L40" s="28" t="e">
        <f ca="1">L$37*(L$38+L$8)*_xlfn.XLOOKUP(IF(IN_rooms!U8="","unbeheizt",IN_rooms!U8),Daten!$E$106:$E$109,Daten!$F$106:$F$109,"FEHLER",0,1)*(L$10-Normaußentemperatur_12831!$B$6)</f>
        <v>#NUM!</v>
      </c>
      <c r="M40" s="28" t="e">
        <f ca="1">M$37*(M$38+M$8)*_xlfn.XLOOKUP(IF(IN_rooms!V8="","unbeheizt",IN_rooms!V8),Daten!$E$106:$E$109,Daten!$F$106:$F$109,"FEHLER",0,1)*(M$10-Normaußentemperatur_12831!$B$6)</f>
        <v>#NUM!</v>
      </c>
      <c r="N40" s="28" t="e">
        <f ca="1">N$37*(N$38+N$8)*_xlfn.XLOOKUP(IF(IN_rooms!W8="","unbeheizt",IN_rooms!W8),Daten!$E$106:$E$109,Daten!$F$106:$F$109,"FEHLER",0,1)*(N$10-Normaußentemperatur_12831!$B$6)</f>
        <v>#NUM!</v>
      </c>
      <c r="O40" s="28" t="e">
        <f ca="1">O$37*(O$38+O$8)*_xlfn.XLOOKUP(IF(IN_rooms!X8="","unbeheizt",IN_rooms!X8),Daten!$E$106:$E$109,Daten!$F$106:$F$109,"FEHLER",0,1)*(O$10-Normaußentemperatur_12831!$B$6)</f>
        <v>#NUM!</v>
      </c>
      <c r="P40" s="28" t="e">
        <f ca="1">P$37*(P$38+P$8)*_xlfn.XLOOKUP(IF(IN_rooms!Y8="","unbeheizt",IN_rooms!Y8),Daten!$E$106:$E$109,Daten!$F$106:$F$109,"FEHLER",0,1)*(P$10-Normaußentemperatur_12831!$B$6)</f>
        <v>#NUM!</v>
      </c>
      <c r="Q40" s="28" t="e">
        <f ca="1">Q$37*(Q$38+Q$8)*_xlfn.XLOOKUP(IF(IN_rooms!Z8="","unbeheizt",IN_rooms!Z8),Daten!$E$106:$E$109,Daten!$F$106:$F$109,"FEHLER",0,1)*(Q$10-Normaußentemperatur_12831!$B$6)</f>
        <v>#NUM!</v>
      </c>
      <c r="R40" s="28" t="e">
        <f ca="1">R$37*(R$38+R$8)*_xlfn.XLOOKUP(IF(IN_rooms!AA8="","unbeheizt",IN_rooms!AA8),Daten!$E$106:$E$109,Daten!$F$106:$F$109,"FEHLER",0,1)*(R$10-Normaußentemperatur_12831!$B$6)</f>
        <v>#NUM!</v>
      </c>
      <c r="S40" s="28" t="e">
        <f ca="1">S$37*(S$38+S$8)*_xlfn.XLOOKUP(IF(IN_rooms!AB8="","unbeheizt",IN_rooms!AB8),Daten!$E$106:$E$109,Daten!$F$106:$F$109,"FEHLER",0,1)*(S$10-Normaußentemperatur_12831!$B$6)</f>
        <v>#NUM!</v>
      </c>
      <c r="T40" s="28" t="e">
        <f ca="1">T$37*(T$38+T$8)*_xlfn.XLOOKUP(IF(IN_rooms!AC8="","unbeheizt",IN_rooms!AC8),Daten!$E$106:$E$109,Daten!$F$106:$F$109,"FEHLER",0,1)*(T$10-Normaußentemperatur_12831!$B$6)</f>
        <v>#NUM!</v>
      </c>
      <c r="U40" s="28" t="e">
        <f ca="1">U$37*(U$38+U$8)*_xlfn.XLOOKUP(IF(IN_rooms!AD8="","unbeheizt",IN_rooms!AD8),Daten!$E$106:$E$109,Daten!$F$106:$F$109,"FEHLER",0,1)*(U$10-Normaußentemperatur_12831!$B$6)</f>
        <v>#NUM!</v>
      </c>
      <c r="V40" s="28" t="e">
        <f ca="1">V$37*(V$38+V$8)*_xlfn.XLOOKUP(IF(IN_rooms!AE8="","unbeheizt",IN_rooms!AE8),Daten!$E$106:$E$109,Daten!$F$106:$F$109,"FEHLER",0,1)*(V$10-Normaußentemperatur_12831!$B$6)</f>
        <v>#NUM!</v>
      </c>
      <c r="W40" s="28" t="e">
        <f ca="1">W$37*(W$38+W$8)*_xlfn.XLOOKUP(IF(IN_rooms!AF8="","unbeheizt",IN_rooms!AF8),Daten!$E$106:$E$109,Daten!$F$106:$F$109,"FEHLER",0,1)*(W$10-Normaußentemperatur_12831!$B$6)</f>
        <v>#NUM!</v>
      </c>
    </row>
    <row r="41" spans="1:23" ht="15.75" thickBot="1">
      <c r="A41" t="s">
        <v>252</v>
      </c>
      <c r="B41" t="s">
        <v>476</v>
      </c>
      <c r="C41" t="s">
        <v>135</v>
      </c>
      <c r="E41" t="s">
        <v>515</v>
      </c>
      <c r="F41" t="s">
        <v>30</v>
      </c>
      <c r="I41" s="36" t="e">
        <f t="shared" ref="I41:W41" ca="1" si="10">I$40/I$72</f>
        <v>#NUM!</v>
      </c>
      <c r="J41" s="41" t="e">
        <f t="shared" ca="1" si="10"/>
        <v>#NUM!</v>
      </c>
      <c r="K41" s="36" t="e">
        <f t="shared" ca="1" si="10"/>
        <v>#NUM!</v>
      </c>
      <c r="L41" s="41" t="e">
        <f t="shared" ca="1" si="10"/>
        <v>#NUM!</v>
      </c>
      <c r="M41" s="41" t="e">
        <f t="shared" ca="1" si="10"/>
        <v>#NUM!</v>
      </c>
      <c r="N41" s="41" t="e">
        <f t="shared" ca="1" si="10"/>
        <v>#NUM!</v>
      </c>
      <c r="O41" s="41" t="e">
        <f t="shared" ca="1" si="10"/>
        <v>#NUM!</v>
      </c>
      <c r="P41" s="41" t="e">
        <f t="shared" ca="1" si="10"/>
        <v>#NUM!</v>
      </c>
      <c r="Q41" s="41" t="e">
        <f t="shared" ca="1" si="10"/>
        <v>#NUM!</v>
      </c>
      <c r="R41" s="41" t="e">
        <f t="shared" ca="1" si="10"/>
        <v>#NUM!</v>
      </c>
      <c r="S41" s="41" t="e">
        <f t="shared" ca="1" si="10"/>
        <v>#NUM!</v>
      </c>
      <c r="T41" s="41" t="e">
        <f t="shared" ca="1" si="10"/>
        <v>#NUM!</v>
      </c>
      <c r="U41" s="41" t="e">
        <f t="shared" ca="1" si="10"/>
        <v>#NUM!</v>
      </c>
      <c r="V41" s="41" t="e">
        <f t="shared" ca="1" si="10"/>
        <v>#NUM!</v>
      </c>
      <c r="W41" s="41" t="e">
        <f t="shared" ca="1" si="10"/>
        <v>#NUM!</v>
      </c>
    </row>
    <row r="42" spans="1:23" ht="15.75" thickBot="1">
      <c r="A42" t="s">
        <v>248</v>
      </c>
      <c r="B42" t="s">
        <v>516</v>
      </c>
      <c r="C42" t="s">
        <v>119</v>
      </c>
      <c r="D42" t="s">
        <v>331</v>
      </c>
      <c r="E42" t="s">
        <v>517</v>
      </c>
      <c r="F42" t="s">
        <v>58</v>
      </c>
      <c r="I42" s="163">
        <f>IN_rooms!R$13*IN_rooms!R$14*IN_rooms!R$16</f>
        <v>0</v>
      </c>
      <c r="J42" s="163">
        <f>IN_rooms!S$13*IN_rooms!S$14*IN_rooms!S$16</f>
        <v>0</v>
      </c>
      <c r="K42" s="163">
        <f>IN_rooms!T$13*IN_rooms!T$14*IN_rooms!T$16</f>
        <v>0</v>
      </c>
      <c r="L42" s="163">
        <f>IN_rooms!U$13*IN_rooms!U$14*IN_rooms!U$16</f>
        <v>0</v>
      </c>
      <c r="M42" s="163">
        <f>IN_rooms!V$13*IN_rooms!V$14*IN_rooms!V$16</f>
        <v>0</v>
      </c>
      <c r="N42" s="163">
        <f>IN_rooms!W$13*IN_rooms!W$14*IN_rooms!W$16</f>
        <v>0</v>
      </c>
      <c r="O42" s="163">
        <f>IN_rooms!X$13*IN_rooms!X$14*IN_rooms!X$16</f>
        <v>0</v>
      </c>
      <c r="P42" s="163">
        <f>IN_rooms!Y$13*IN_rooms!Y$14*IN_rooms!Y$16</f>
        <v>0</v>
      </c>
      <c r="Q42" s="163">
        <f>IN_rooms!Z$13*IN_rooms!Z$14*IN_rooms!Z$16</f>
        <v>0</v>
      </c>
      <c r="R42" s="163">
        <f>IN_rooms!AA$13*IN_rooms!AA$14*IN_rooms!AA$16</f>
        <v>0</v>
      </c>
      <c r="S42" s="163">
        <f>IN_rooms!AB$13*IN_rooms!AB$14*IN_rooms!AB$16</f>
        <v>0</v>
      </c>
      <c r="T42" s="163">
        <f>IN_rooms!AC$13*IN_rooms!AC$14*IN_rooms!AC$16</f>
        <v>0</v>
      </c>
      <c r="U42" s="163">
        <f>IN_rooms!AD$13*IN_rooms!AD$14*IN_rooms!AD$16</f>
        <v>0</v>
      </c>
      <c r="V42" s="163">
        <f>IN_rooms!AE$13*IN_rooms!AE$14*IN_rooms!AE$16</f>
        <v>0</v>
      </c>
      <c r="W42" s="163">
        <f>IN_rooms!AF$13*IN_rooms!AF$14*IN_rooms!AF$16</f>
        <v>0</v>
      </c>
    </row>
    <row r="43" spans="1:23" ht="15.75" thickBot="1">
      <c r="A43" t="s">
        <v>248</v>
      </c>
      <c r="B43" t="s">
        <v>480</v>
      </c>
      <c r="C43" t="s">
        <v>119</v>
      </c>
      <c r="D43" t="s">
        <v>331</v>
      </c>
      <c r="E43" t="s">
        <v>518</v>
      </c>
      <c r="F43" t="s">
        <v>482</v>
      </c>
      <c r="I43" s="28" t="e" cm="1">
        <f t="array" ref="I43">_xlfn.AGGREGATE(15,6,U_Werte_IWU!$F$30:$F$297/((U_Werte_IWU!$E$30:$E$297=clc_load!$A43)*(U_Werte_IWU!$D$30:$D$297=clc_load!$I$4)*(U_Werte_IWU!$C$30:$C$297=clc_load!$I$3)),1)</f>
        <v>#NUM!</v>
      </c>
      <c r="J43" s="28" t="e" cm="1">
        <f t="array" ref="J43">_xlfn.AGGREGATE(15,6,U_Werte_IWU!$F$30:$F$297/((U_Werte_IWU!$E$30:$E$297=clc_load!$A43)*(U_Werte_IWU!$D$30:$D$297=clc_load!$I$4)*(U_Werte_IWU!$C$30:$C$297=clc_load!$I$3)),1)</f>
        <v>#NUM!</v>
      </c>
      <c r="K43" s="28" t="e" cm="1">
        <f t="array" ref="K43">_xlfn.AGGREGATE(15,6,U_Werte_IWU!$F$30:$F$297/((U_Werte_IWU!$E$30:$E$297=clc_load!$A43)*(U_Werte_IWU!$D$30:$D$297=clc_load!$I$4)*(U_Werte_IWU!$C$30:$C$297=clc_load!$I$3)),1)</f>
        <v>#NUM!</v>
      </c>
      <c r="L43" s="28" t="e" cm="1">
        <f t="array" ref="L43">_xlfn.AGGREGATE(15,6,U_Werte_IWU!$F$30:$F$297/((U_Werte_IWU!$E$30:$E$297=clc_load!$A43)*(U_Werte_IWU!$D$30:$D$297=clc_load!$I$4)*(U_Werte_IWU!$C$30:$C$297=clc_load!$I$3)),1)</f>
        <v>#NUM!</v>
      </c>
      <c r="M43" s="28" t="e" cm="1">
        <f t="array" ref="M43">_xlfn.AGGREGATE(15,6,U_Werte_IWU!$F$30:$F$297/((U_Werte_IWU!$E$30:$E$297=clc_load!$A43)*(U_Werte_IWU!$D$30:$D$297=clc_load!$I$4)*(U_Werte_IWU!$C$30:$C$297=clc_load!$I$3)),1)</f>
        <v>#NUM!</v>
      </c>
      <c r="N43" s="28" t="e" cm="1">
        <f t="array" ref="N43">_xlfn.AGGREGATE(15,6,U_Werte_IWU!$F$30:$F$297/((U_Werte_IWU!$E$30:$E$297=clc_load!$A43)*(U_Werte_IWU!$D$30:$D$297=clc_load!$I$4)*(U_Werte_IWU!$C$30:$C$297=clc_load!$I$3)),1)</f>
        <v>#NUM!</v>
      </c>
      <c r="O43" s="28" t="e" cm="1">
        <f t="array" ref="O43">_xlfn.AGGREGATE(15,6,U_Werte_IWU!$F$30:$F$297/((U_Werte_IWU!$E$30:$E$297=clc_load!$A43)*(U_Werte_IWU!$D$30:$D$297=clc_load!$I$4)*(U_Werte_IWU!$C$30:$C$297=clc_load!$I$3)),1)</f>
        <v>#NUM!</v>
      </c>
      <c r="P43" s="28" t="e" cm="1">
        <f t="array" ref="P43">_xlfn.AGGREGATE(15,6,U_Werte_IWU!$F$30:$F$297/((U_Werte_IWU!$E$30:$E$297=clc_load!$A43)*(U_Werte_IWU!$D$30:$D$297=clc_load!$I$4)*(U_Werte_IWU!$C$30:$C$297=clc_load!$I$3)),1)</f>
        <v>#NUM!</v>
      </c>
      <c r="Q43" s="28" t="e" cm="1">
        <f t="array" ref="Q43">_xlfn.AGGREGATE(15,6,U_Werte_IWU!$F$30:$F$297/((U_Werte_IWU!$E$30:$E$297=clc_load!$A43)*(U_Werte_IWU!$D$30:$D$297=clc_load!$I$4)*(U_Werte_IWU!$C$30:$C$297=clc_load!$I$3)),1)</f>
        <v>#NUM!</v>
      </c>
      <c r="R43" s="28" t="e" cm="1">
        <f t="array" ref="R43">_xlfn.AGGREGATE(15,6,U_Werte_IWU!$F$30:$F$297/((U_Werte_IWU!$E$30:$E$297=clc_load!$A43)*(U_Werte_IWU!$D$30:$D$297=clc_load!$I$4)*(U_Werte_IWU!$C$30:$C$297=clc_load!$I$3)),1)</f>
        <v>#NUM!</v>
      </c>
      <c r="S43" s="28" t="e" cm="1">
        <f t="array" ref="S43">_xlfn.AGGREGATE(15,6,U_Werte_IWU!$F$30:$F$297/((U_Werte_IWU!$E$30:$E$297=clc_load!$A43)*(U_Werte_IWU!$D$30:$D$297=clc_load!$I$4)*(U_Werte_IWU!$C$30:$C$297=clc_load!$I$3)),1)</f>
        <v>#NUM!</v>
      </c>
      <c r="T43" s="28" t="e" cm="1">
        <f t="array" ref="T43">_xlfn.AGGREGATE(15,6,U_Werte_IWU!$F$30:$F$297/((U_Werte_IWU!$E$30:$E$297=clc_load!$A43)*(U_Werte_IWU!$D$30:$D$297=clc_load!$I$4)*(U_Werte_IWU!$C$30:$C$297=clc_load!$I$3)),1)</f>
        <v>#NUM!</v>
      </c>
      <c r="U43" s="28" t="e" cm="1">
        <f t="array" ref="U43">_xlfn.AGGREGATE(15,6,U_Werte_IWU!$F$30:$F$297/((U_Werte_IWU!$E$30:$E$297=clc_load!$A43)*(U_Werte_IWU!$D$30:$D$297=clc_load!$I$4)*(U_Werte_IWU!$C$30:$C$297=clc_load!$I$3)),1)</f>
        <v>#NUM!</v>
      </c>
      <c r="V43" s="28" t="e" cm="1">
        <f t="array" ref="V43">_xlfn.AGGREGATE(15,6,U_Werte_IWU!$F$30:$F$297/((U_Werte_IWU!$E$30:$E$297=clc_load!$A43)*(U_Werte_IWU!$D$30:$D$297=clc_load!$I$4)*(U_Werte_IWU!$C$30:$C$297=clc_load!$I$3)),1)</f>
        <v>#NUM!</v>
      </c>
      <c r="W43" s="28" t="e" cm="1">
        <f t="array" ref="W43">_xlfn.AGGREGATE(15,6,U_Werte_IWU!$F$30:$F$297/((U_Werte_IWU!$E$30:$E$297=clc_load!$A43)*(U_Werte_IWU!$D$30:$D$297=clc_load!$I$4)*(U_Werte_IWU!$C$30:$C$297=clc_load!$I$3)),1)</f>
        <v>#NUM!</v>
      </c>
    </row>
    <row r="44" spans="1:23" ht="15.75" thickBot="1">
      <c r="A44" t="s">
        <v>248</v>
      </c>
      <c r="B44" t="s">
        <v>519</v>
      </c>
      <c r="C44" t="s">
        <v>119</v>
      </c>
      <c r="D44" t="s">
        <v>331</v>
      </c>
      <c r="E44" t="s">
        <v>520</v>
      </c>
      <c r="F44" t="s">
        <v>482</v>
      </c>
      <c r="I44" s="28" t="e" cm="1">
        <f t="array" ref="I44">_xlfn.AGGREGATE(15,6,U_Werte_IWU!$F$30:$F$297/((U_Werte_IWU!$E$30:$E$297=clc_load!$A44)*(U_Werte_IWU!$D$30:$D$297=IN_rooms!R$76)*(U_Werte_IWU!$C$30:$C$297=clc_load!$I$3)),1)</f>
        <v>#NUM!</v>
      </c>
      <c r="J44" s="28" t="e" cm="1">
        <f t="array" ref="J44">_xlfn.AGGREGATE(15,6,U_Werte_IWU!$F$30:$F$297/((U_Werte_IWU!$E$30:$E$297=clc_load!$A44)*(U_Werte_IWU!$D$30:$D$297=IN_rooms!S$76)*(U_Werte_IWU!$C$30:$C$297=clc_load!$I$3)),1)</f>
        <v>#NUM!</v>
      </c>
      <c r="K44" s="28" t="e" cm="1">
        <f t="array" ref="K44">_xlfn.AGGREGATE(15,6,U_Werte_IWU!$F$30:$F$297/((U_Werte_IWU!$E$30:$E$297=clc_load!$A44)*(U_Werte_IWU!$D$30:$D$297=IN_rooms!T$76)*(U_Werte_IWU!$C$30:$C$297=clc_load!$I$3)),1)</f>
        <v>#NUM!</v>
      </c>
      <c r="L44" s="28" t="e" cm="1">
        <f t="array" ref="L44">_xlfn.AGGREGATE(15,6,U_Werte_IWU!$F$30:$F$297/((U_Werte_IWU!$E$30:$E$297=clc_load!$A44)*(U_Werte_IWU!$D$30:$D$297=IN_rooms!U$76)*(U_Werte_IWU!$C$30:$C$297=clc_load!$I$3)),1)</f>
        <v>#NUM!</v>
      </c>
      <c r="M44" s="28" t="e" cm="1">
        <f t="array" ref="M44">_xlfn.AGGREGATE(15,6,U_Werte_IWU!$F$30:$F$297/((U_Werte_IWU!$E$30:$E$297=clc_load!$A44)*(U_Werte_IWU!$D$30:$D$297=IN_rooms!V$76)*(U_Werte_IWU!$C$30:$C$297=clc_load!$I$3)),1)</f>
        <v>#NUM!</v>
      </c>
      <c r="N44" s="28" t="e" cm="1">
        <f t="array" ref="N44">_xlfn.AGGREGATE(15,6,U_Werte_IWU!$F$30:$F$297/((U_Werte_IWU!$E$30:$E$297=clc_load!$A44)*(U_Werte_IWU!$D$30:$D$297=IN_rooms!W$76)*(U_Werte_IWU!$C$30:$C$297=clc_load!$I$3)),1)</f>
        <v>#NUM!</v>
      </c>
      <c r="O44" s="28" t="e" cm="1">
        <f t="array" ref="O44">_xlfn.AGGREGATE(15,6,U_Werte_IWU!$F$30:$F$297/((U_Werte_IWU!$E$30:$E$297=clc_load!$A44)*(U_Werte_IWU!$D$30:$D$297=IN_rooms!X$76)*(U_Werte_IWU!$C$30:$C$297=clc_load!$I$3)),1)</f>
        <v>#NUM!</v>
      </c>
      <c r="P44" s="28" t="e" cm="1">
        <f t="array" ref="P44">_xlfn.AGGREGATE(15,6,U_Werte_IWU!$F$30:$F$297/((U_Werte_IWU!$E$30:$E$297=clc_load!$A44)*(U_Werte_IWU!$D$30:$D$297=IN_rooms!Y$76)*(U_Werte_IWU!$C$30:$C$297=clc_load!$I$3)),1)</f>
        <v>#NUM!</v>
      </c>
      <c r="Q44" s="28" t="e" cm="1">
        <f t="array" ref="Q44">_xlfn.AGGREGATE(15,6,U_Werte_IWU!$F$30:$F$297/((U_Werte_IWU!$E$30:$E$297=clc_load!$A44)*(U_Werte_IWU!$D$30:$D$297=IN_rooms!Z$76)*(U_Werte_IWU!$C$30:$C$297=clc_load!$I$3)),1)</f>
        <v>#NUM!</v>
      </c>
      <c r="R44" s="28" t="e" cm="1">
        <f t="array" ref="R44">_xlfn.AGGREGATE(15,6,U_Werte_IWU!$F$30:$F$297/((U_Werte_IWU!$E$30:$E$297=clc_load!$A44)*(U_Werte_IWU!$D$30:$D$297=IN_rooms!AA$76)*(U_Werte_IWU!$C$30:$C$297=clc_load!$I$3)),1)</f>
        <v>#NUM!</v>
      </c>
      <c r="S44" s="28" t="e" cm="1">
        <f t="array" ref="S44">_xlfn.AGGREGATE(15,6,U_Werte_IWU!$F$30:$F$297/((U_Werte_IWU!$E$30:$E$297=clc_load!$A44)*(U_Werte_IWU!$D$30:$D$297=IN_rooms!AB$76)*(U_Werte_IWU!$C$30:$C$297=clc_load!$I$3)),1)</f>
        <v>#NUM!</v>
      </c>
      <c r="T44" s="28" t="e" cm="1">
        <f t="array" ref="T44">_xlfn.AGGREGATE(15,6,U_Werte_IWU!$F$30:$F$297/((U_Werte_IWU!$E$30:$E$297=clc_load!$A44)*(U_Werte_IWU!$D$30:$D$297=IN_rooms!AC$76)*(U_Werte_IWU!$C$30:$C$297=clc_load!$I$3)),1)</f>
        <v>#NUM!</v>
      </c>
      <c r="U44" s="28" t="e" cm="1">
        <f t="array" ref="U44">_xlfn.AGGREGATE(15,6,U_Werte_IWU!$F$30:$F$297/((U_Werte_IWU!$E$30:$E$297=clc_load!$A44)*(U_Werte_IWU!$D$30:$D$297=IN_rooms!AD$76)*(U_Werte_IWU!$C$30:$C$297=clc_load!$I$3)),1)</f>
        <v>#NUM!</v>
      </c>
      <c r="V44" s="28" t="e" cm="1">
        <f t="array" ref="V44">_xlfn.AGGREGATE(15,6,U_Werte_IWU!$F$30:$F$297/((U_Werte_IWU!$E$30:$E$297=clc_load!$A44)*(U_Werte_IWU!$D$30:$D$297=IN_rooms!AE$76)*(U_Werte_IWU!$C$30:$C$297=clc_load!$I$3)),1)</f>
        <v>#NUM!</v>
      </c>
      <c r="W44" s="28" t="e" cm="1">
        <f t="array" ref="W44">_xlfn.AGGREGATE(15,6,U_Werte_IWU!$F$30:$F$297/((U_Werte_IWU!$E$30:$E$297=clc_load!$A44)*(U_Werte_IWU!$D$30:$D$297=IN_rooms!AF$76)*(U_Werte_IWU!$C$30:$C$297=clc_load!$I$3)),1)</f>
        <v>#NUM!</v>
      </c>
    </row>
    <row r="45" spans="1:23" ht="15.75" thickBot="1">
      <c r="A45" t="s">
        <v>248</v>
      </c>
      <c r="B45" t="s">
        <v>483</v>
      </c>
      <c r="C45" t="s">
        <v>119</v>
      </c>
      <c r="D45" t="s">
        <v>331</v>
      </c>
      <c r="E45" t="s">
        <v>521</v>
      </c>
      <c r="F45" t="s">
        <v>482</v>
      </c>
      <c r="I45" s="28" t="e">
        <f>IF(I44&gt;0,I44,MIN(I44,I43))</f>
        <v>#NUM!</v>
      </c>
      <c r="J45" s="28" t="e">
        <f t="shared" ref="J45:W45" si="11">IF(J44&gt;0,J44,MIN(J44,J43))</f>
        <v>#NUM!</v>
      </c>
      <c r="K45" s="28" t="e">
        <f t="shared" si="11"/>
        <v>#NUM!</v>
      </c>
      <c r="L45" s="28" t="e">
        <f t="shared" si="11"/>
        <v>#NUM!</v>
      </c>
      <c r="M45" s="28" t="e">
        <f t="shared" si="11"/>
        <v>#NUM!</v>
      </c>
      <c r="N45" s="28" t="e">
        <f t="shared" si="11"/>
        <v>#NUM!</v>
      </c>
      <c r="O45" s="28" t="e">
        <f t="shared" si="11"/>
        <v>#NUM!</v>
      </c>
      <c r="P45" s="28" t="e">
        <f t="shared" si="11"/>
        <v>#NUM!</v>
      </c>
      <c r="Q45" s="28" t="e">
        <f t="shared" si="11"/>
        <v>#NUM!</v>
      </c>
      <c r="R45" s="28" t="e">
        <f t="shared" si="11"/>
        <v>#NUM!</v>
      </c>
      <c r="S45" s="28" t="e">
        <f t="shared" si="11"/>
        <v>#NUM!</v>
      </c>
      <c r="T45" s="28" t="e">
        <f t="shared" si="11"/>
        <v>#NUM!</v>
      </c>
      <c r="U45" s="28" t="e">
        <f t="shared" si="11"/>
        <v>#NUM!</v>
      </c>
      <c r="V45" s="28" t="e">
        <f t="shared" si="11"/>
        <v>#NUM!</v>
      </c>
      <c r="W45" s="28" t="e">
        <f t="shared" si="11"/>
        <v>#NUM!</v>
      </c>
    </row>
    <row r="46" spans="1:23" ht="15.75" thickBot="1">
      <c r="A46" t="s">
        <v>248</v>
      </c>
      <c r="B46" t="s">
        <v>485</v>
      </c>
      <c r="C46" t="s">
        <v>119</v>
      </c>
      <c r="D46" t="s">
        <v>331</v>
      </c>
      <c r="E46" t="s">
        <v>522</v>
      </c>
      <c r="F46" t="s">
        <v>31</v>
      </c>
      <c r="I46" s="28">
        <f>IF(I$42=0,0,I$42*(I$45+I$8)*(I$10-Normaußentemperatur_12831!$B$6))</f>
        <v>0</v>
      </c>
      <c r="J46" s="30">
        <f>IF(J$42=0,0,J$42*(J$45+J$8)*(J$10-Normaußentemperatur_12831!$B$6))</f>
        <v>0</v>
      </c>
      <c r="K46" s="28">
        <f>IF(K$42=0,0,K$42*(K$45+K$8)*(K$10-Normaußentemperatur_12831!$B$6))</f>
        <v>0</v>
      </c>
      <c r="L46" s="30">
        <f>IF(L$42=0,0,L$42*(L$45+L$8)*(L$10-Normaußentemperatur_12831!$B$6))</f>
        <v>0</v>
      </c>
      <c r="M46" s="30">
        <f>IF(M$42=0,0,M$42*(M$45+M$8)*(M$10-Normaußentemperatur_12831!$B$6))</f>
        <v>0</v>
      </c>
      <c r="N46" s="30">
        <f>IF(N$42=0,0,N$42*(N$45+N$8)*(N$10-Normaußentemperatur_12831!$B$6))</f>
        <v>0</v>
      </c>
      <c r="O46" s="30">
        <f>IF(O$42=0,0,O$42*(O$45+O$8)*(O$10-Normaußentemperatur_12831!$B$6))</f>
        <v>0</v>
      </c>
      <c r="P46" s="30">
        <f>IF(P$42=0,0,P$42*(P$45+P$8)*(P$10-Normaußentemperatur_12831!$B$6))</f>
        <v>0</v>
      </c>
      <c r="Q46" s="30">
        <f>IF(Q$42=0,0,Q$42*(Q$45+Q$8)*(Q$10-Normaußentemperatur_12831!$B$6))</f>
        <v>0</v>
      </c>
      <c r="R46" s="30">
        <f>IF(R$42=0,0,R$42*(R$45+R$8)*(R$10-Normaußentemperatur_12831!$B$6))</f>
        <v>0</v>
      </c>
      <c r="S46" s="30">
        <f>IF(S$42=0,0,S$42*(S$45+S$8)*(S$10-Normaußentemperatur_12831!$B$6))</f>
        <v>0</v>
      </c>
      <c r="T46" s="30">
        <f>IF(T$42=0,0,T$42*(T$45+T$8)*(T$10-Normaußentemperatur_12831!$B$6))</f>
        <v>0</v>
      </c>
      <c r="U46" s="30">
        <f>IF(U$42=0,0,U$42*(U$45+U$8)*(U$10-Normaußentemperatur_12831!$B$6))</f>
        <v>0</v>
      </c>
      <c r="V46" s="30">
        <f>IF(V$42=0,0,V$42*(V$45+V$8)*(V$10-Normaußentemperatur_12831!$B$6))</f>
        <v>0</v>
      </c>
      <c r="W46" s="30">
        <f>IF(W$42=0,0,W$42*(W$45+W$8)*(W$10-Normaußentemperatur_12831!$B$6))</f>
        <v>0</v>
      </c>
    </row>
    <row r="47" spans="1:23" ht="15.75" thickBot="1">
      <c r="A47" t="s">
        <v>248</v>
      </c>
      <c r="B47" t="s">
        <v>476</v>
      </c>
      <c r="C47" t="s">
        <v>119</v>
      </c>
      <c r="D47" t="s">
        <v>331</v>
      </c>
      <c r="E47" t="s">
        <v>523</v>
      </c>
      <c r="F47" t="s">
        <v>30</v>
      </c>
      <c r="I47" s="36" t="e">
        <f t="shared" ref="I47:W47" ca="1" si="12">I$46/I$72</f>
        <v>#NUM!</v>
      </c>
      <c r="J47" s="41" t="e">
        <f t="shared" ca="1" si="12"/>
        <v>#NUM!</v>
      </c>
      <c r="K47" s="36" t="e">
        <f t="shared" ca="1" si="12"/>
        <v>#NUM!</v>
      </c>
      <c r="L47" s="41" t="e">
        <f t="shared" ca="1" si="12"/>
        <v>#NUM!</v>
      </c>
      <c r="M47" s="41" t="e">
        <f t="shared" ca="1" si="12"/>
        <v>#NUM!</v>
      </c>
      <c r="N47" s="41" t="e">
        <f t="shared" ca="1" si="12"/>
        <v>#NUM!</v>
      </c>
      <c r="O47" s="41" t="e">
        <f t="shared" ca="1" si="12"/>
        <v>#NUM!</v>
      </c>
      <c r="P47" s="41" t="e">
        <f t="shared" ca="1" si="12"/>
        <v>#NUM!</v>
      </c>
      <c r="Q47" s="41" t="e">
        <f t="shared" ca="1" si="12"/>
        <v>#NUM!</v>
      </c>
      <c r="R47" s="41" t="e">
        <f t="shared" ca="1" si="12"/>
        <v>#NUM!</v>
      </c>
      <c r="S47" s="41" t="e">
        <f t="shared" ca="1" si="12"/>
        <v>#NUM!</v>
      </c>
      <c r="T47" s="41" t="e">
        <f t="shared" ca="1" si="12"/>
        <v>#NUM!</v>
      </c>
      <c r="U47" s="41" t="e">
        <f t="shared" ca="1" si="12"/>
        <v>#NUM!</v>
      </c>
      <c r="V47" s="41" t="e">
        <f t="shared" ca="1" si="12"/>
        <v>#NUM!</v>
      </c>
      <c r="W47" s="41" t="e">
        <f t="shared" ca="1" si="12"/>
        <v>#NUM!</v>
      </c>
    </row>
    <row r="48" spans="1:23" ht="15.75" thickBot="1">
      <c r="A48" t="s">
        <v>248</v>
      </c>
      <c r="B48" t="s">
        <v>516</v>
      </c>
      <c r="C48" t="s">
        <v>119</v>
      </c>
      <c r="D48" t="s">
        <v>337</v>
      </c>
      <c r="E48" t="s">
        <v>524</v>
      </c>
      <c r="F48" t="s">
        <v>58</v>
      </c>
      <c r="I48" s="163">
        <f>IN_rooms!R$17*IN_rooms!R$18*IN_rooms!R$20</f>
        <v>0</v>
      </c>
      <c r="J48" s="163">
        <f>IN_rooms!S$17*IN_rooms!S$18*IN_rooms!S$20</f>
        <v>0</v>
      </c>
      <c r="K48" s="163">
        <f>IN_rooms!T$17*IN_rooms!T$18*IN_rooms!T$20</f>
        <v>0</v>
      </c>
      <c r="L48" s="163">
        <f>IN_rooms!U$17*IN_rooms!U$18*IN_rooms!U$20</f>
        <v>0</v>
      </c>
      <c r="M48" s="163">
        <f>IN_rooms!V$17*IN_rooms!V$18*IN_rooms!V$20</f>
        <v>0</v>
      </c>
      <c r="N48" s="163">
        <f>IN_rooms!W$17*IN_rooms!W$18*IN_rooms!W$20</f>
        <v>0</v>
      </c>
      <c r="O48" s="163">
        <f>IN_rooms!X$17*IN_rooms!X$18*IN_rooms!X$20</f>
        <v>0</v>
      </c>
      <c r="P48" s="163">
        <f>IN_rooms!Y$17*IN_rooms!Y$18*IN_rooms!Y$20</f>
        <v>0</v>
      </c>
      <c r="Q48" s="163">
        <f>IN_rooms!Z$17*IN_rooms!Z$18*IN_rooms!Z$20</f>
        <v>0</v>
      </c>
      <c r="R48" s="163">
        <f>IN_rooms!AA$17*IN_rooms!AA$18*IN_rooms!AA$20</f>
        <v>0</v>
      </c>
      <c r="S48" s="163">
        <f>IN_rooms!AB$17*IN_rooms!AB$18*IN_rooms!AB$20</f>
        <v>0</v>
      </c>
      <c r="T48" s="163">
        <f>IN_rooms!AC$17*IN_rooms!AC$18*IN_rooms!AC$20</f>
        <v>0</v>
      </c>
      <c r="U48" s="163">
        <f>IN_rooms!AD$17*IN_rooms!AD$18*IN_rooms!AD$20</f>
        <v>0</v>
      </c>
      <c r="V48" s="163">
        <f>IN_rooms!AE$17*IN_rooms!AE$18*IN_rooms!AE$20</f>
        <v>0</v>
      </c>
      <c r="W48" s="163">
        <f>IN_rooms!AF$17*IN_rooms!AF$18*IN_rooms!AF$20</f>
        <v>0</v>
      </c>
    </row>
    <row r="49" spans="1:23" ht="15.75" thickBot="1">
      <c r="A49" t="s">
        <v>248</v>
      </c>
      <c r="B49" t="s">
        <v>480</v>
      </c>
      <c r="C49" t="s">
        <v>119</v>
      </c>
      <c r="D49" t="s">
        <v>337</v>
      </c>
      <c r="E49" t="s">
        <v>525</v>
      </c>
      <c r="F49" t="s">
        <v>482</v>
      </c>
      <c r="I49" s="28" t="e" cm="1">
        <f t="array" ref="I49">_xlfn.AGGREGATE(15,6,U_Werte_IWU!$F$30:$F$297/((U_Werte_IWU!$E$30:$E$297=clc_load!$A49)*(U_Werte_IWU!$D$30:$D$297=clc_load!$I$4)*(U_Werte_IWU!$C$30:$C$297=clc_load!$I$3)),1)</f>
        <v>#NUM!</v>
      </c>
      <c r="J49" s="28" t="e" cm="1">
        <f t="array" ref="J49">_xlfn.AGGREGATE(15,6,U_Werte_IWU!$F$30:$F$297/((U_Werte_IWU!$E$30:$E$297=clc_load!$A49)*(U_Werte_IWU!$D$30:$D$297=clc_load!$I$4)*(U_Werte_IWU!$C$30:$C$297=clc_load!$I$3)),1)</f>
        <v>#NUM!</v>
      </c>
      <c r="K49" s="28" t="e" cm="1">
        <f t="array" ref="K49">_xlfn.AGGREGATE(15,6,U_Werte_IWU!$F$30:$F$297/((U_Werte_IWU!$E$30:$E$297=clc_load!$A49)*(U_Werte_IWU!$D$30:$D$297=clc_load!$I$4)*(U_Werte_IWU!$C$30:$C$297=clc_load!$I$3)),1)</f>
        <v>#NUM!</v>
      </c>
      <c r="L49" s="28" t="e" cm="1">
        <f t="array" ref="L49">_xlfn.AGGREGATE(15,6,U_Werte_IWU!$F$30:$F$297/((U_Werte_IWU!$E$30:$E$297=clc_load!$A49)*(U_Werte_IWU!$D$30:$D$297=clc_load!$I$4)*(U_Werte_IWU!$C$30:$C$297=clc_load!$I$3)),1)</f>
        <v>#NUM!</v>
      </c>
      <c r="M49" s="28" t="e" cm="1">
        <f t="array" ref="M49">_xlfn.AGGREGATE(15,6,U_Werte_IWU!$F$30:$F$297/((U_Werte_IWU!$E$30:$E$297=clc_load!$A49)*(U_Werte_IWU!$D$30:$D$297=clc_load!$I$4)*(U_Werte_IWU!$C$30:$C$297=clc_load!$I$3)),1)</f>
        <v>#NUM!</v>
      </c>
      <c r="N49" s="28" t="e" cm="1">
        <f t="array" ref="N49">_xlfn.AGGREGATE(15,6,U_Werte_IWU!$F$30:$F$297/((U_Werte_IWU!$E$30:$E$297=clc_load!$A49)*(U_Werte_IWU!$D$30:$D$297=clc_load!$I$4)*(U_Werte_IWU!$C$30:$C$297=clc_load!$I$3)),1)</f>
        <v>#NUM!</v>
      </c>
      <c r="O49" s="28" t="e" cm="1">
        <f t="array" ref="O49">_xlfn.AGGREGATE(15,6,U_Werte_IWU!$F$30:$F$297/((U_Werte_IWU!$E$30:$E$297=clc_load!$A49)*(U_Werte_IWU!$D$30:$D$297=clc_load!$I$4)*(U_Werte_IWU!$C$30:$C$297=clc_load!$I$3)),1)</f>
        <v>#NUM!</v>
      </c>
      <c r="P49" s="28" t="e" cm="1">
        <f t="array" ref="P49">_xlfn.AGGREGATE(15,6,U_Werte_IWU!$F$30:$F$297/((U_Werte_IWU!$E$30:$E$297=clc_load!$A49)*(U_Werte_IWU!$D$30:$D$297=clc_load!$I$4)*(U_Werte_IWU!$C$30:$C$297=clc_load!$I$3)),1)</f>
        <v>#NUM!</v>
      </c>
      <c r="Q49" s="28" t="e" cm="1">
        <f t="array" ref="Q49">_xlfn.AGGREGATE(15,6,U_Werte_IWU!$F$30:$F$297/((U_Werte_IWU!$E$30:$E$297=clc_load!$A49)*(U_Werte_IWU!$D$30:$D$297=clc_load!$I$4)*(U_Werte_IWU!$C$30:$C$297=clc_load!$I$3)),1)</f>
        <v>#NUM!</v>
      </c>
      <c r="R49" s="28" t="e" cm="1">
        <f t="array" ref="R49">_xlfn.AGGREGATE(15,6,U_Werte_IWU!$F$30:$F$297/((U_Werte_IWU!$E$30:$E$297=clc_load!$A49)*(U_Werte_IWU!$D$30:$D$297=clc_load!$I$4)*(U_Werte_IWU!$C$30:$C$297=clc_load!$I$3)),1)</f>
        <v>#NUM!</v>
      </c>
      <c r="S49" s="28" t="e" cm="1">
        <f t="array" ref="S49">_xlfn.AGGREGATE(15,6,U_Werte_IWU!$F$30:$F$297/((U_Werte_IWU!$E$30:$E$297=clc_load!$A49)*(U_Werte_IWU!$D$30:$D$297=clc_load!$I$4)*(U_Werte_IWU!$C$30:$C$297=clc_load!$I$3)),1)</f>
        <v>#NUM!</v>
      </c>
      <c r="T49" s="28" t="e" cm="1">
        <f t="array" ref="T49">_xlfn.AGGREGATE(15,6,U_Werte_IWU!$F$30:$F$297/((U_Werte_IWU!$E$30:$E$297=clc_load!$A49)*(U_Werte_IWU!$D$30:$D$297=clc_load!$I$4)*(U_Werte_IWU!$C$30:$C$297=clc_load!$I$3)),1)</f>
        <v>#NUM!</v>
      </c>
      <c r="U49" s="28" t="e" cm="1">
        <f t="array" ref="U49">_xlfn.AGGREGATE(15,6,U_Werte_IWU!$F$30:$F$297/((U_Werte_IWU!$E$30:$E$297=clc_load!$A49)*(U_Werte_IWU!$D$30:$D$297=clc_load!$I$4)*(U_Werte_IWU!$C$30:$C$297=clc_load!$I$3)),1)</f>
        <v>#NUM!</v>
      </c>
      <c r="V49" s="28" t="e" cm="1">
        <f t="array" ref="V49">_xlfn.AGGREGATE(15,6,U_Werte_IWU!$F$30:$F$297/((U_Werte_IWU!$E$30:$E$297=clc_load!$A49)*(U_Werte_IWU!$D$30:$D$297=clc_load!$I$4)*(U_Werte_IWU!$C$30:$C$297=clc_load!$I$3)),1)</f>
        <v>#NUM!</v>
      </c>
      <c r="W49" s="28" t="e" cm="1">
        <f t="array" ref="W49">_xlfn.AGGREGATE(15,6,U_Werte_IWU!$F$30:$F$297/((U_Werte_IWU!$E$30:$E$297=clc_load!$A49)*(U_Werte_IWU!$D$30:$D$297=clc_load!$I$4)*(U_Werte_IWU!$C$30:$C$297=clc_load!$I$3)),1)</f>
        <v>#NUM!</v>
      </c>
    </row>
    <row r="50" spans="1:23" ht="15.75" thickBot="1">
      <c r="A50" t="s">
        <v>248</v>
      </c>
      <c r="B50" t="s">
        <v>519</v>
      </c>
      <c r="C50" t="s">
        <v>119</v>
      </c>
      <c r="D50" t="s">
        <v>337</v>
      </c>
      <c r="E50" t="s">
        <v>526</v>
      </c>
      <c r="F50" t="s">
        <v>482</v>
      </c>
      <c r="I50" s="28" t="e" cm="1">
        <f t="array" ref="I50">_xlfn.AGGREGATE(15,6,U_Werte_IWU!$F$30:$F$297/((U_Werte_IWU!$E$30:$E$297=clc_load!$A50)*(U_Werte_IWU!$D$30:$D$297=IN_rooms!R$77)*(U_Werte_IWU!$C$30:$C$297=clc_load!$I$3)),1)</f>
        <v>#NUM!</v>
      </c>
      <c r="J50" s="28" t="e" cm="1">
        <f t="array" ref="J50">_xlfn.AGGREGATE(15,6,U_Werte_IWU!$F$30:$F$297/((U_Werte_IWU!$E$30:$E$297=clc_load!$A50)*(U_Werte_IWU!$D$30:$D$297=IN_rooms!S$77)*(U_Werte_IWU!$C$30:$C$297=clc_load!$I$3)),1)</f>
        <v>#NUM!</v>
      </c>
      <c r="K50" s="28" t="e" cm="1">
        <f t="array" ref="K50">_xlfn.AGGREGATE(15,6,U_Werte_IWU!$F$30:$F$297/((U_Werte_IWU!$E$30:$E$297=clc_load!$A50)*(U_Werte_IWU!$D$30:$D$297=IN_rooms!T$77)*(U_Werte_IWU!$C$30:$C$297=clc_load!$I$3)),1)</f>
        <v>#NUM!</v>
      </c>
      <c r="L50" s="28" t="e" cm="1">
        <f t="array" ref="L50">_xlfn.AGGREGATE(15,6,U_Werte_IWU!$F$30:$F$297/((U_Werte_IWU!$E$30:$E$297=clc_load!$A50)*(U_Werte_IWU!$D$30:$D$297=IN_rooms!U$77)*(U_Werte_IWU!$C$30:$C$297=clc_load!$I$3)),1)</f>
        <v>#NUM!</v>
      </c>
      <c r="M50" s="28" t="e" cm="1">
        <f t="array" ref="M50">_xlfn.AGGREGATE(15,6,U_Werte_IWU!$F$30:$F$297/((U_Werte_IWU!$E$30:$E$297=clc_load!$A50)*(U_Werte_IWU!$D$30:$D$297=IN_rooms!V$77)*(U_Werte_IWU!$C$30:$C$297=clc_load!$I$3)),1)</f>
        <v>#NUM!</v>
      </c>
      <c r="N50" s="28" t="e" cm="1">
        <f t="array" ref="N50">_xlfn.AGGREGATE(15,6,U_Werte_IWU!$F$30:$F$297/((U_Werte_IWU!$E$30:$E$297=clc_load!$A50)*(U_Werte_IWU!$D$30:$D$297=IN_rooms!W$77)*(U_Werte_IWU!$C$30:$C$297=clc_load!$I$3)),1)</f>
        <v>#NUM!</v>
      </c>
      <c r="O50" s="28" t="e" cm="1">
        <f t="array" ref="O50">_xlfn.AGGREGATE(15,6,U_Werte_IWU!$F$30:$F$297/((U_Werte_IWU!$E$30:$E$297=clc_load!$A50)*(U_Werte_IWU!$D$30:$D$297=IN_rooms!X$77)*(U_Werte_IWU!$C$30:$C$297=clc_load!$I$3)),1)</f>
        <v>#NUM!</v>
      </c>
      <c r="P50" s="28" t="e" cm="1">
        <f t="array" ref="P50">_xlfn.AGGREGATE(15,6,U_Werte_IWU!$F$30:$F$297/((U_Werte_IWU!$E$30:$E$297=clc_load!$A50)*(U_Werte_IWU!$D$30:$D$297=IN_rooms!Y$77)*(U_Werte_IWU!$C$30:$C$297=clc_load!$I$3)),1)</f>
        <v>#NUM!</v>
      </c>
      <c r="Q50" s="28" t="e" cm="1">
        <f t="array" ref="Q50">_xlfn.AGGREGATE(15,6,U_Werte_IWU!$F$30:$F$297/((U_Werte_IWU!$E$30:$E$297=clc_load!$A50)*(U_Werte_IWU!$D$30:$D$297=IN_rooms!Z$77)*(U_Werte_IWU!$C$30:$C$297=clc_load!$I$3)),1)</f>
        <v>#NUM!</v>
      </c>
      <c r="R50" s="28" t="e" cm="1">
        <f t="array" ref="R50">_xlfn.AGGREGATE(15,6,U_Werte_IWU!$F$30:$F$297/((U_Werte_IWU!$E$30:$E$297=clc_load!$A50)*(U_Werte_IWU!$D$30:$D$297=IN_rooms!AA$77)*(U_Werte_IWU!$C$30:$C$297=clc_load!$I$3)),1)</f>
        <v>#NUM!</v>
      </c>
      <c r="S50" s="28" t="e" cm="1">
        <f t="array" ref="S50">_xlfn.AGGREGATE(15,6,U_Werte_IWU!$F$30:$F$297/((U_Werte_IWU!$E$30:$E$297=clc_load!$A50)*(U_Werte_IWU!$D$30:$D$297=IN_rooms!AB$77)*(U_Werte_IWU!$C$30:$C$297=clc_load!$I$3)),1)</f>
        <v>#NUM!</v>
      </c>
      <c r="T50" s="28" t="e" cm="1">
        <f t="array" ref="T50">_xlfn.AGGREGATE(15,6,U_Werte_IWU!$F$30:$F$297/((U_Werte_IWU!$E$30:$E$297=clc_load!$A50)*(U_Werte_IWU!$D$30:$D$297=IN_rooms!AC$77)*(U_Werte_IWU!$C$30:$C$297=clc_load!$I$3)),1)</f>
        <v>#NUM!</v>
      </c>
      <c r="U50" s="28" t="e" cm="1">
        <f t="array" ref="U50">_xlfn.AGGREGATE(15,6,U_Werte_IWU!$F$30:$F$297/((U_Werte_IWU!$E$30:$E$297=clc_load!$A50)*(U_Werte_IWU!$D$30:$D$297=IN_rooms!AD$77)*(U_Werte_IWU!$C$30:$C$297=clc_load!$I$3)),1)</f>
        <v>#NUM!</v>
      </c>
      <c r="V50" s="28" t="e" cm="1">
        <f t="array" ref="V50">_xlfn.AGGREGATE(15,6,U_Werte_IWU!$F$30:$F$297/((U_Werte_IWU!$E$30:$E$297=clc_load!$A50)*(U_Werte_IWU!$D$30:$D$297=IN_rooms!AE$77)*(U_Werte_IWU!$C$30:$C$297=clc_load!$I$3)),1)</f>
        <v>#NUM!</v>
      </c>
      <c r="W50" s="28" t="e" cm="1">
        <f t="array" ref="W50">_xlfn.AGGREGATE(15,6,U_Werte_IWU!$F$30:$F$297/((U_Werte_IWU!$E$30:$E$297=clc_load!$A50)*(U_Werte_IWU!$D$30:$D$297=IN_rooms!AF$77)*(U_Werte_IWU!$C$30:$C$297=clc_load!$I$3)),1)</f>
        <v>#NUM!</v>
      </c>
    </row>
    <row r="51" spans="1:23" ht="15.75" thickBot="1">
      <c r="A51" t="s">
        <v>248</v>
      </c>
      <c r="B51" t="s">
        <v>483</v>
      </c>
      <c r="C51" t="s">
        <v>119</v>
      </c>
      <c r="D51" t="s">
        <v>337</v>
      </c>
      <c r="E51" t="s">
        <v>527</v>
      </c>
      <c r="F51" t="s">
        <v>482</v>
      </c>
      <c r="I51" s="28" t="e">
        <f>IF(I$50&gt;0,I$50,MIN(I$50,I$49))</f>
        <v>#NUM!</v>
      </c>
      <c r="J51" s="28" t="e">
        <f t="shared" ref="J51:W51" si="13">IF(J$50&gt;0,J$50,MIN(J$50,J$49))</f>
        <v>#NUM!</v>
      </c>
      <c r="K51" s="28" t="e">
        <f t="shared" si="13"/>
        <v>#NUM!</v>
      </c>
      <c r="L51" s="28" t="e">
        <f t="shared" si="13"/>
        <v>#NUM!</v>
      </c>
      <c r="M51" s="28" t="e">
        <f t="shared" si="13"/>
        <v>#NUM!</v>
      </c>
      <c r="N51" s="28" t="e">
        <f t="shared" si="13"/>
        <v>#NUM!</v>
      </c>
      <c r="O51" s="28" t="e">
        <f t="shared" si="13"/>
        <v>#NUM!</v>
      </c>
      <c r="P51" s="28" t="e">
        <f t="shared" si="13"/>
        <v>#NUM!</v>
      </c>
      <c r="Q51" s="28" t="e">
        <f t="shared" si="13"/>
        <v>#NUM!</v>
      </c>
      <c r="R51" s="28" t="e">
        <f t="shared" si="13"/>
        <v>#NUM!</v>
      </c>
      <c r="S51" s="28" t="e">
        <f t="shared" si="13"/>
        <v>#NUM!</v>
      </c>
      <c r="T51" s="28" t="e">
        <f t="shared" si="13"/>
        <v>#NUM!</v>
      </c>
      <c r="U51" s="28" t="e">
        <f t="shared" si="13"/>
        <v>#NUM!</v>
      </c>
      <c r="V51" s="28" t="e">
        <f t="shared" si="13"/>
        <v>#NUM!</v>
      </c>
      <c r="W51" s="28" t="e">
        <f t="shared" si="13"/>
        <v>#NUM!</v>
      </c>
    </row>
    <row r="52" spans="1:23" ht="15.75" thickBot="1">
      <c r="A52" t="s">
        <v>248</v>
      </c>
      <c r="B52" t="s">
        <v>485</v>
      </c>
      <c r="C52" t="s">
        <v>119</v>
      </c>
      <c r="D52" t="s">
        <v>337</v>
      </c>
      <c r="E52" t="s">
        <v>528</v>
      </c>
      <c r="F52" t="s">
        <v>31</v>
      </c>
      <c r="I52" s="28">
        <f>IF(I$48=0,0,I$48*(I$50+I$8)*(I$10-Normaußentemperatur_12831!$B$6))</f>
        <v>0</v>
      </c>
      <c r="J52" s="30">
        <f>IF(J$48=0,0,J$48*(J$50+J$8)*(J$10-Normaußentemperatur_12831!$B$6))</f>
        <v>0</v>
      </c>
      <c r="K52" s="28">
        <f>IF(K$48=0,0,K$48*(K$50+K$8)*(K$10-Normaußentemperatur_12831!$B$6))</f>
        <v>0</v>
      </c>
      <c r="L52" s="30">
        <f>IF(L$48=0,0,L$48*(L$50+L$8)*(L$10-Normaußentemperatur_12831!$B$6))</f>
        <v>0</v>
      </c>
      <c r="M52" s="30">
        <f>IF(M$48=0,0,M$48*(M$50+M$8)*(M$10-Normaußentemperatur_12831!$B$6))</f>
        <v>0</v>
      </c>
      <c r="N52" s="30">
        <f>IF(N$48=0,0,N$48*(N$50+N$8)*(N$10-Normaußentemperatur_12831!$B$6))</f>
        <v>0</v>
      </c>
      <c r="O52" s="30">
        <f>IF(O$48=0,0,O$48*(O$50+O$8)*(O$10-Normaußentemperatur_12831!$B$6))</f>
        <v>0</v>
      </c>
      <c r="P52" s="30">
        <f>IF(P$48=0,0,P$48*(P$50+P$8)*(P$10-Normaußentemperatur_12831!$B$6))</f>
        <v>0</v>
      </c>
      <c r="Q52" s="30">
        <f>IF(Q$48=0,0,Q$48*(Q$50+Q$8)*(Q$10-Normaußentemperatur_12831!$B$6))</f>
        <v>0</v>
      </c>
      <c r="R52" s="30">
        <f>IF(R$48=0,0,R$48*(R$50+R$8)*(R$10-Normaußentemperatur_12831!$B$6))</f>
        <v>0</v>
      </c>
      <c r="S52" s="30">
        <f>IF(S$48=0,0,S$48*(S$50+S$8)*(S$10-Normaußentemperatur_12831!$B$6))</f>
        <v>0</v>
      </c>
      <c r="T52" s="30">
        <f>IF(T$48=0,0,T$48*(T$50+T$8)*(T$10-Normaußentemperatur_12831!$B$6))</f>
        <v>0</v>
      </c>
      <c r="U52" s="30">
        <f>IF(U$48=0,0,U$48*(U$50+U$8)*(U$10-Normaußentemperatur_12831!$B$6))</f>
        <v>0</v>
      </c>
      <c r="V52" s="30">
        <f>IF(V$48=0,0,V$48*(V$50+V$8)*(V$10-Normaußentemperatur_12831!$B$6))</f>
        <v>0</v>
      </c>
      <c r="W52" s="30">
        <f>IF(W$48=0,0,W$48*(W$50+W$8)*(W$10-Normaußentemperatur_12831!$B$6))</f>
        <v>0</v>
      </c>
    </row>
    <row r="53" spans="1:23" ht="15.75" thickBot="1">
      <c r="A53" t="s">
        <v>248</v>
      </c>
      <c r="B53" t="s">
        <v>476</v>
      </c>
      <c r="C53" t="s">
        <v>119</v>
      </c>
      <c r="D53" t="s">
        <v>337</v>
      </c>
      <c r="E53" t="s">
        <v>529</v>
      </c>
      <c r="F53" t="s">
        <v>30</v>
      </c>
      <c r="I53" s="36" t="e">
        <f t="shared" ref="I53:W53" ca="1" si="14">I$52/I$72</f>
        <v>#NUM!</v>
      </c>
      <c r="J53" s="41" t="e">
        <f t="shared" ca="1" si="14"/>
        <v>#NUM!</v>
      </c>
      <c r="K53" s="36" t="e">
        <f t="shared" ca="1" si="14"/>
        <v>#NUM!</v>
      </c>
      <c r="L53" s="41" t="e">
        <f t="shared" ca="1" si="14"/>
        <v>#NUM!</v>
      </c>
      <c r="M53" s="41" t="e">
        <f t="shared" ca="1" si="14"/>
        <v>#NUM!</v>
      </c>
      <c r="N53" s="41" t="e">
        <f t="shared" ca="1" si="14"/>
        <v>#NUM!</v>
      </c>
      <c r="O53" s="41" t="e">
        <f t="shared" ca="1" si="14"/>
        <v>#NUM!</v>
      </c>
      <c r="P53" s="41" t="e">
        <f t="shared" ca="1" si="14"/>
        <v>#NUM!</v>
      </c>
      <c r="Q53" s="41" t="e">
        <f t="shared" ca="1" si="14"/>
        <v>#NUM!</v>
      </c>
      <c r="R53" s="41" t="e">
        <f t="shared" ca="1" si="14"/>
        <v>#NUM!</v>
      </c>
      <c r="S53" s="41" t="e">
        <f t="shared" ca="1" si="14"/>
        <v>#NUM!</v>
      </c>
      <c r="T53" s="41" t="e">
        <f t="shared" ca="1" si="14"/>
        <v>#NUM!</v>
      </c>
      <c r="U53" s="41" t="e">
        <f t="shared" ca="1" si="14"/>
        <v>#NUM!</v>
      </c>
      <c r="V53" s="41" t="e">
        <f t="shared" ca="1" si="14"/>
        <v>#NUM!</v>
      </c>
      <c r="W53" s="41" t="e">
        <f t="shared" ca="1" si="14"/>
        <v>#NUM!</v>
      </c>
    </row>
    <row r="54" spans="1:23" ht="15.75" thickBot="1">
      <c r="A54" t="s">
        <v>248</v>
      </c>
      <c r="B54" t="s">
        <v>516</v>
      </c>
      <c r="C54" t="s">
        <v>119</v>
      </c>
      <c r="D54" t="s">
        <v>339</v>
      </c>
      <c r="E54" t="s">
        <v>530</v>
      </c>
      <c r="F54" t="s">
        <v>58</v>
      </c>
      <c r="I54" s="163">
        <f>IN_rooms!R$21*IN_rooms!R$22*IN_rooms!R$24</f>
        <v>0</v>
      </c>
      <c r="J54" s="163">
        <f>IN_rooms!S$21*IN_rooms!S$22*IN_rooms!S$24</f>
        <v>0</v>
      </c>
      <c r="K54" s="163">
        <f>IN_rooms!T$21*IN_rooms!T$22*IN_rooms!T$24</f>
        <v>0</v>
      </c>
      <c r="L54" s="163">
        <f>IN_rooms!U$21*IN_rooms!U$22*IN_rooms!U$24</f>
        <v>0</v>
      </c>
      <c r="M54" s="163">
        <f>IN_rooms!V$21*IN_rooms!V$22*IN_rooms!V$24</f>
        <v>0</v>
      </c>
      <c r="N54" s="163">
        <f>IN_rooms!W$21*IN_rooms!W$22*IN_rooms!W$24</f>
        <v>0</v>
      </c>
      <c r="O54" s="163">
        <f>IN_rooms!X$21*IN_rooms!X$22*IN_rooms!X$24</f>
        <v>0</v>
      </c>
      <c r="P54" s="163">
        <f>IN_rooms!Y$21*IN_rooms!Y$22*IN_rooms!Y$24</f>
        <v>0</v>
      </c>
      <c r="Q54" s="163">
        <f>IN_rooms!Z$21*IN_rooms!Z$22*IN_rooms!Z$24</f>
        <v>0</v>
      </c>
      <c r="R54" s="163">
        <f>IN_rooms!AA$21*IN_rooms!AA$22*IN_rooms!AA$24</f>
        <v>0</v>
      </c>
      <c r="S54" s="163">
        <f>IN_rooms!AB$21*IN_rooms!AB$22*IN_rooms!AB$24</f>
        <v>0</v>
      </c>
      <c r="T54" s="163">
        <f>IN_rooms!AC$21*IN_rooms!AC$22*IN_rooms!AC$24</f>
        <v>0</v>
      </c>
      <c r="U54" s="163">
        <f>IN_rooms!AD$21*IN_rooms!AD$22*IN_rooms!AD$24</f>
        <v>0</v>
      </c>
      <c r="V54" s="163">
        <f>IN_rooms!AE$21*IN_rooms!AE$22*IN_rooms!AE$24</f>
        <v>0</v>
      </c>
      <c r="W54" s="163">
        <f>IN_rooms!AF$21*IN_rooms!AF$22*IN_rooms!AF$24</f>
        <v>0</v>
      </c>
    </row>
    <row r="55" spans="1:23" ht="15.75" thickBot="1">
      <c r="A55" t="s">
        <v>248</v>
      </c>
      <c r="B55" t="s">
        <v>480</v>
      </c>
      <c r="C55" t="s">
        <v>119</v>
      </c>
      <c r="D55" t="s">
        <v>339</v>
      </c>
      <c r="E55" t="s">
        <v>531</v>
      </c>
      <c r="F55" t="s">
        <v>482</v>
      </c>
      <c r="I55" s="28" t="e" cm="1">
        <f t="array" ref="I55">_xlfn.AGGREGATE(15,6,U_Werte_IWU!$F$30:$F$297/((U_Werte_IWU!$E$30:$E$297=clc_load!$A55)*(U_Werte_IWU!$D$30:$D$297=clc_load!$I$4)*(U_Werte_IWU!$C$30:$C$297=clc_load!$I$3)),1)</f>
        <v>#NUM!</v>
      </c>
      <c r="J55" s="28" t="e" cm="1">
        <f t="array" ref="J55">_xlfn.AGGREGATE(15,6,U_Werte_IWU!$F$30:$F$297/((U_Werte_IWU!$E$30:$E$297=clc_load!$A55)*(U_Werte_IWU!$D$30:$D$297=clc_load!$I$4)*(U_Werte_IWU!$C$30:$C$297=clc_load!$I$3)),1)</f>
        <v>#NUM!</v>
      </c>
      <c r="K55" s="28" t="e" cm="1">
        <f t="array" ref="K55">_xlfn.AGGREGATE(15,6,U_Werte_IWU!$F$30:$F$297/((U_Werte_IWU!$E$30:$E$297=clc_load!$A55)*(U_Werte_IWU!$D$30:$D$297=clc_load!$I$4)*(U_Werte_IWU!$C$30:$C$297=clc_load!$I$3)),1)</f>
        <v>#NUM!</v>
      </c>
      <c r="L55" s="28" t="e" cm="1">
        <f t="array" ref="L55">_xlfn.AGGREGATE(15,6,U_Werte_IWU!$F$30:$F$297/((U_Werte_IWU!$E$30:$E$297=clc_load!$A55)*(U_Werte_IWU!$D$30:$D$297=clc_load!$I$4)*(U_Werte_IWU!$C$30:$C$297=clc_load!$I$3)),1)</f>
        <v>#NUM!</v>
      </c>
      <c r="M55" s="28" t="e" cm="1">
        <f t="array" ref="M55">_xlfn.AGGREGATE(15,6,U_Werte_IWU!$F$30:$F$297/((U_Werte_IWU!$E$30:$E$297=clc_load!$A55)*(U_Werte_IWU!$D$30:$D$297=clc_load!$I$4)*(U_Werte_IWU!$C$30:$C$297=clc_load!$I$3)),1)</f>
        <v>#NUM!</v>
      </c>
      <c r="N55" s="28" t="e" cm="1">
        <f t="array" ref="N55">_xlfn.AGGREGATE(15,6,U_Werte_IWU!$F$30:$F$297/((U_Werte_IWU!$E$30:$E$297=clc_load!$A55)*(U_Werte_IWU!$D$30:$D$297=clc_load!$I$4)*(U_Werte_IWU!$C$30:$C$297=clc_load!$I$3)),1)</f>
        <v>#NUM!</v>
      </c>
      <c r="O55" s="28" t="e" cm="1">
        <f t="array" ref="O55">_xlfn.AGGREGATE(15,6,U_Werte_IWU!$F$30:$F$297/((U_Werte_IWU!$E$30:$E$297=clc_load!$A55)*(U_Werte_IWU!$D$30:$D$297=clc_load!$I$4)*(U_Werte_IWU!$C$30:$C$297=clc_load!$I$3)),1)</f>
        <v>#NUM!</v>
      </c>
      <c r="P55" s="28" t="e" cm="1">
        <f t="array" ref="P55">_xlfn.AGGREGATE(15,6,U_Werte_IWU!$F$30:$F$297/((U_Werte_IWU!$E$30:$E$297=clc_load!$A55)*(U_Werte_IWU!$D$30:$D$297=clc_load!$I$4)*(U_Werte_IWU!$C$30:$C$297=clc_load!$I$3)),1)</f>
        <v>#NUM!</v>
      </c>
      <c r="Q55" s="28" t="e" cm="1">
        <f t="array" ref="Q55">_xlfn.AGGREGATE(15,6,U_Werte_IWU!$F$30:$F$297/((U_Werte_IWU!$E$30:$E$297=clc_load!$A55)*(U_Werte_IWU!$D$30:$D$297=clc_load!$I$4)*(U_Werte_IWU!$C$30:$C$297=clc_load!$I$3)),1)</f>
        <v>#NUM!</v>
      </c>
      <c r="R55" s="28" t="e" cm="1">
        <f t="array" ref="R55">_xlfn.AGGREGATE(15,6,U_Werte_IWU!$F$30:$F$297/((U_Werte_IWU!$E$30:$E$297=clc_load!$A55)*(U_Werte_IWU!$D$30:$D$297=clc_load!$I$4)*(U_Werte_IWU!$C$30:$C$297=clc_load!$I$3)),1)</f>
        <v>#NUM!</v>
      </c>
      <c r="S55" s="28" t="e" cm="1">
        <f t="array" ref="S55">_xlfn.AGGREGATE(15,6,U_Werte_IWU!$F$30:$F$297/((U_Werte_IWU!$E$30:$E$297=clc_load!$A55)*(U_Werte_IWU!$D$30:$D$297=clc_load!$I$4)*(U_Werte_IWU!$C$30:$C$297=clc_load!$I$3)),1)</f>
        <v>#NUM!</v>
      </c>
      <c r="T55" s="28" t="e" cm="1">
        <f t="array" ref="T55">_xlfn.AGGREGATE(15,6,U_Werte_IWU!$F$30:$F$297/((U_Werte_IWU!$E$30:$E$297=clc_load!$A55)*(U_Werte_IWU!$D$30:$D$297=clc_load!$I$4)*(U_Werte_IWU!$C$30:$C$297=clc_load!$I$3)),1)</f>
        <v>#NUM!</v>
      </c>
      <c r="U55" s="28" t="e" cm="1">
        <f t="array" ref="U55">_xlfn.AGGREGATE(15,6,U_Werte_IWU!$F$30:$F$297/((U_Werte_IWU!$E$30:$E$297=clc_load!$A55)*(U_Werte_IWU!$D$30:$D$297=clc_load!$I$4)*(U_Werte_IWU!$C$30:$C$297=clc_load!$I$3)),1)</f>
        <v>#NUM!</v>
      </c>
      <c r="V55" s="28" t="e" cm="1">
        <f t="array" ref="V55">_xlfn.AGGREGATE(15,6,U_Werte_IWU!$F$30:$F$297/((U_Werte_IWU!$E$30:$E$297=clc_load!$A55)*(U_Werte_IWU!$D$30:$D$297=clc_load!$I$4)*(U_Werte_IWU!$C$30:$C$297=clc_load!$I$3)),1)</f>
        <v>#NUM!</v>
      </c>
      <c r="W55" s="28" t="e" cm="1">
        <f t="array" ref="W55">_xlfn.AGGREGATE(15,6,U_Werte_IWU!$F$30:$F$297/((U_Werte_IWU!$E$30:$E$297=clc_load!$A55)*(U_Werte_IWU!$D$30:$D$297=clc_load!$I$4)*(U_Werte_IWU!$C$30:$C$297=clc_load!$I$3)),1)</f>
        <v>#NUM!</v>
      </c>
    </row>
    <row r="56" spans="1:23" ht="15.75" thickBot="1">
      <c r="A56" t="s">
        <v>248</v>
      </c>
      <c r="B56" t="s">
        <v>519</v>
      </c>
      <c r="C56" t="s">
        <v>119</v>
      </c>
      <c r="D56" t="s">
        <v>339</v>
      </c>
      <c r="E56" t="s">
        <v>532</v>
      </c>
      <c r="F56" t="s">
        <v>482</v>
      </c>
      <c r="I56" s="28" t="e" cm="1">
        <f t="array" ref="I56">_xlfn.AGGREGATE(15,6,U_Werte_IWU!$F$30:$F$297/((U_Werte_IWU!$E$30:$E$297=clc_load!$A56)*(U_Werte_IWU!$D$30:$D$297=IN_rooms!R$78)*(U_Werte_IWU!$C$30:$C$297=clc_load!$I$3)),1)</f>
        <v>#NUM!</v>
      </c>
      <c r="J56" s="28" t="e" cm="1">
        <f t="array" ref="J56">_xlfn.AGGREGATE(15,6,U_Werte_IWU!$F$30:$F$297/((U_Werte_IWU!$E$30:$E$297=clc_load!$A56)*(U_Werte_IWU!$D$30:$D$297=IN_rooms!S$78)*(U_Werte_IWU!$C$30:$C$297=clc_load!$I$3)),1)</f>
        <v>#NUM!</v>
      </c>
      <c r="K56" s="28" t="e" cm="1">
        <f t="array" ref="K56">_xlfn.AGGREGATE(15,6,U_Werte_IWU!$F$30:$F$297/((U_Werte_IWU!$E$30:$E$297=clc_load!$A56)*(U_Werte_IWU!$D$30:$D$297=IN_rooms!T$78)*(U_Werte_IWU!$C$30:$C$297=clc_load!$I$3)),1)</f>
        <v>#NUM!</v>
      </c>
      <c r="L56" s="28" t="e" cm="1">
        <f t="array" ref="L56">_xlfn.AGGREGATE(15,6,U_Werte_IWU!$F$30:$F$297/((U_Werte_IWU!$E$30:$E$297=clc_load!$A56)*(U_Werte_IWU!$D$30:$D$297=IN_rooms!U$78)*(U_Werte_IWU!$C$30:$C$297=clc_load!$I$3)),1)</f>
        <v>#NUM!</v>
      </c>
      <c r="M56" s="28" t="e" cm="1">
        <f t="array" ref="M56">_xlfn.AGGREGATE(15,6,U_Werte_IWU!$F$30:$F$297/((U_Werte_IWU!$E$30:$E$297=clc_load!$A56)*(U_Werte_IWU!$D$30:$D$297=IN_rooms!V$78)*(U_Werte_IWU!$C$30:$C$297=clc_load!$I$3)),1)</f>
        <v>#NUM!</v>
      </c>
      <c r="N56" s="28" t="e" cm="1">
        <f t="array" ref="N56">_xlfn.AGGREGATE(15,6,U_Werte_IWU!$F$30:$F$297/((U_Werte_IWU!$E$30:$E$297=clc_load!$A56)*(U_Werte_IWU!$D$30:$D$297=IN_rooms!W$78)*(U_Werte_IWU!$C$30:$C$297=clc_load!$I$3)),1)</f>
        <v>#NUM!</v>
      </c>
      <c r="O56" s="28" t="e" cm="1">
        <f t="array" ref="O56">_xlfn.AGGREGATE(15,6,U_Werte_IWU!$F$30:$F$297/((U_Werte_IWU!$E$30:$E$297=clc_load!$A56)*(U_Werte_IWU!$D$30:$D$297=IN_rooms!X$78)*(U_Werte_IWU!$C$30:$C$297=clc_load!$I$3)),1)</f>
        <v>#NUM!</v>
      </c>
      <c r="P56" s="28" t="e" cm="1">
        <f t="array" ref="P56">_xlfn.AGGREGATE(15,6,U_Werte_IWU!$F$30:$F$297/((U_Werte_IWU!$E$30:$E$297=clc_load!$A56)*(U_Werte_IWU!$D$30:$D$297=IN_rooms!Y$78)*(U_Werte_IWU!$C$30:$C$297=clc_load!$I$3)),1)</f>
        <v>#NUM!</v>
      </c>
      <c r="Q56" s="28" t="e" cm="1">
        <f t="array" ref="Q56">_xlfn.AGGREGATE(15,6,U_Werte_IWU!$F$30:$F$297/((U_Werte_IWU!$E$30:$E$297=clc_load!$A56)*(U_Werte_IWU!$D$30:$D$297=IN_rooms!Z$78)*(U_Werte_IWU!$C$30:$C$297=clc_load!$I$3)),1)</f>
        <v>#NUM!</v>
      </c>
      <c r="R56" s="28" t="e" cm="1">
        <f t="array" ref="R56">_xlfn.AGGREGATE(15,6,U_Werte_IWU!$F$30:$F$297/((U_Werte_IWU!$E$30:$E$297=clc_load!$A56)*(U_Werte_IWU!$D$30:$D$297=IN_rooms!AA$78)*(U_Werte_IWU!$C$30:$C$297=clc_load!$I$3)),1)</f>
        <v>#NUM!</v>
      </c>
      <c r="S56" s="28" t="e" cm="1">
        <f t="array" ref="S56">_xlfn.AGGREGATE(15,6,U_Werte_IWU!$F$30:$F$297/((U_Werte_IWU!$E$30:$E$297=clc_load!$A56)*(U_Werte_IWU!$D$30:$D$297=IN_rooms!AB$78)*(U_Werte_IWU!$C$30:$C$297=clc_load!$I$3)),1)</f>
        <v>#NUM!</v>
      </c>
      <c r="T56" s="28" t="e" cm="1">
        <f t="array" ref="T56">_xlfn.AGGREGATE(15,6,U_Werte_IWU!$F$30:$F$297/((U_Werte_IWU!$E$30:$E$297=clc_load!$A56)*(U_Werte_IWU!$D$30:$D$297=IN_rooms!AC$78)*(U_Werte_IWU!$C$30:$C$297=clc_load!$I$3)),1)</f>
        <v>#NUM!</v>
      </c>
      <c r="U56" s="28" t="e" cm="1">
        <f t="array" ref="U56">_xlfn.AGGREGATE(15,6,U_Werte_IWU!$F$30:$F$297/((U_Werte_IWU!$E$30:$E$297=clc_load!$A56)*(U_Werte_IWU!$D$30:$D$297=IN_rooms!AD$78)*(U_Werte_IWU!$C$30:$C$297=clc_load!$I$3)),1)</f>
        <v>#NUM!</v>
      </c>
      <c r="V56" s="28" t="e" cm="1">
        <f t="array" ref="V56">_xlfn.AGGREGATE(15,6,U_Werte_IWU!$F$30:$F$297/((U_Werte_IWU!$E$30:$E$297=clc_load!$A56)*(U_Werte_IWU!$D$30:$D$297=IN_rooms!AE$78)*(U_Werte_IWU!$C$30:$C$297=clc_load!$I$3)),1)</f>
        <v>#NUM!</v>
      </c>
      <c r="W56" s="28" t="e" cm="1">
        <f t="array" ref="W56">_xlfn.AGGREGATE(15,6,U_Werte_IWU!$F$30:$F$297/((U_Werte_IWU!$E$30:$E$297=clc_load!$A56)*(U_Werte_IWU!$D$30:$D$297=IN_rooms!AF$78)*(U_Werte_IWU!$C$30:$C$297=clc_load!$I$3)),1)</f>
        <v>#NUM!</v>
      </c>
    </row>
    <row r="57" spans="1:23" ht="15.75" thickBot="1">
      <c r="A57" t="s">
        <v>248</v>
      </c>
      <c r="B57" t="s">
        <v>483</v>
      </c>
      <c r="C57" t="s">
        <v>119</v>
      </c>
      <c r="D57" t="s">
        <v>339</v>
      </c>
      <c r="E57" t="s">
        <v>533</v>
      </c>
      <c r="F57" t="s">
        <v>482</v>
      </c>
      <c r="I57" s="28" t="e">
        <f>IF(I$56&gt;0,I$56,MIN(I$56,I$55))</f>
        <v>#NUM!</v>
      </c>
      <c r="J57" s="28" t="e">
        <f t="shared" ref="J57:W57" si="15">IF(J$56&gt;0,J$56,MIN(J$56,J$55))</f>
        <v>#NUM!</v>
      </c>
      <c r="K57" s="28" t="e">
        <f t="shared" si="15"/>
        <v>#NUM!</v>
      </c>
      <c r="L57" s="28" t="e">
        <f t="shared" si="15"/>
        <v>#NUM!</v>
      </c>
      <c r="M57" s="28" t="e">
        <f t="shared" si="15"/>
        <v>#NUM!</v>
      </c>
      <c r="N57" s="28" t="e">
        <f t="shared" si="15"/>
        <v>#NUM!</v>
      </c>
      <c r="O57" s="28" t="e">
        <f t="shared" si="15"/>
        <v>#NUM!</v>
      </c>
      <c r="P57" s="28" t="e">
        <f t="shared" si="15"/>
        <v>#NUM!</v>
      </c>
      <c r="Q57" s="28" t="e">
        <f t="shared" si="15"/>
        <v>#NUM!</v>
      </c>
      <c r="R57" s="28" t="e">
        <f t="shared" si="15"/>
        <v>#NUM!</v>
      </c>
      <c r="S57" s="28" t="e">
        <f t="shared" si="15"/>
        <v>#NUM!</v>
      </c>
      <c r="T57" s="28" t="e">
        <f t="shared" si="15"/>
        <v>#NUM!</v>
      </c>
      <c r="U57" s="28" t="e">
        <f t="shared" si="15"/>
        <v>#NUM!</v>
      </c>
      <c r="V57" s="28" t="e">
        <f t="shared" si="15"/>
        <v>#NUM!</v>
      </c>
      <c r="W57" s="28" t="e">
        <f t="shared" si="15"/>
        <v>#NUM!</v>
      </c>
    </row>
    <row r="58" spans="1:23" ht="15.75" thickBot="1">
      <c r="A58" t="s">
        <v>248</v>
      </c>
      <c r="B58" t="s">
        <v>485</v>
      </c>
      <c r="C58" t="s">
        <v>119</v>
      </c>
      <c r="D58" t="s">
        <v>339</v>
      </c>
      <c r="E58" t="s">
        <v>534</v>
      </c>
      <c r="F58" t="s">
        <v>31</v>
      </c>
      <c r="I58" s="28">
        <f>IF(I$54=0,0,I$42*(I$57+I$8)*(I$10-Normaußentemperatur_12831!$B$6))</f>
        <v>0</v>
      </c>
      <c r="J58" s="30">
        <f>IF(J$54=0,0,J$42*(J$57+J$8)*(J$10-Normaußentemperatur_12831!$B$6))</f>
        <v>0</v>
      </c>
      <c r="K58" s="28">
        <f>IF(K$54=0,0,K$42*(K$57+K$8)*(K$10-Normaußentemperatur_12831!$B$6))</f>
        <v>0</v>
      </c>
      <c r="L58" s="30">
        <f>IF(L$54=0,0,L$42*(L$57+L$8)*(L$10-Normaußentemperatur_12831!$B$6))</f>
        <v>0</v>
      </c>
      <c r="M58" s="30">
        <f>IF(M$54=0,0,M$42*(M$57+M$8)*(M$10-Normaußentemperatur_12831!$B$6))</f>
        <v>0</v>
      </c>
      <c r="N58" s="30">
        <f>IF(N$54=0,0,N$42*(N$57+N$8)*(N$10-Normaußentemperatur_12831!$B$6))</f>
        <v>0</v>
      </c>
      <c r="O58" s="30">
        <f>IF(O$54=0,0,O$42*(O$57+O$8)*(O$10-Normaußentemperatur_12831!$B$6))</f>
        <v>0</v>
      </c>
      <c r="P58" s="30">
        <f>IF(P$54=0,0,P$42*(P$57+P$8)*(P$10-Normaußentemperatur_12831!$B$6))</f>
        <v>0</v>
      </c>
      <c r="Q58" s="30">
        <f>IF(Q$54=0,0,Q$42*(Q$57+Q$8)*(Q$10-Normaußentemperatur_12831!$B$6))</f>
        <v>0</v>
      </c>
      <c r="R58" s="30">
        <f>IF(R$54=0,0,R$42*(R$57+R$8)*(R$10-Normaußentemperatur_12831!$B$6))</f>
        <v>0</v>
      </c>
      <c r="S58" s="30">
        <f>IF(S$54=0,0,S$42*(S$57+S$8)*(S$10-Normaußentemperatur_12831!$B$6))</f>
        <v>0</v>
      </c>
      <c r="T58" s="30">
        <f>IF(T$54=0,0,T$42*(T$57+T$8)*(T$10-Normaußentemperatur_12831!$B$6))</f>
        <v>0</v>
      </c>
      <c r="U58" s="30">
        <f>IF(U$54=0,0,U$42*(U$57+U$8)*(U$10-Normaußentemperatur_12831!$B$6))</f>
        <v>0</v>
      </c>
      <c r="V58" s="30">
        <f>IF(V$54=0,0,V$42*(V$57+V$8)*(V$10-Normaußentemperatur_12831!$B$6))</f>
        <v>0</v>
      </c>
      <c r="W58" s="30">
        <f>IF(W$54=0,0,W$42*(W$57+W$8)*(W$10-Normaußentemperatur_12831!$B$6))</f>
        <v>0</v>
      </c>
    </row>
    <row r="59" spans="1:23" ht="15.75" thickBot="1">
      <c r="A59" t="s">
        <v>248</v>
      </c>
      <c r="B59" t="s">
        <v>476</v>
      </c>
      <c r="C59" t="s">
        <v>119</v>
      </c>
      <c r="D59" t="s">
        <v>339</v>
      </c>
      <c r="E59" t="s">
        <v>535</v>
      </c>
      <c r="F59" t="s">
        <v>30</v>
      </c>
      <c r="I59" s="36" t="e">
        <f t="shared" ref="I59:W59" ca="1" si="16">I$58/I$72</f>
        <v>#NUM!</v>
      </c>
      <c r="J59" s="41" t="e">
        <f t="shared" ca="1" si="16"/>
        <v>#NUM!</v>
      </c>
      <c r="K59" s="36" t="e">
        <f t="shared" ca="1" si="16"/>
        <v>#NUM!</v>
      </c>
      <c r="L59" s="41" t="e">
        <f t="shared" ca="1" si="16"/>
        <v>#NUM!</v>
      </c>
      <c r="M59" s="41" t="e">
        <f t="shared" ca="1" si="16"/>
        <v>#NUM!</v>
      </c>
      <c r="N59" s="41" t="e">
        <f t="shared" ca="1" si="16"/>
        <v>#NUM!</v>
      </c>
      <c r="O59" s="41" t="e">
        <f t="shared" ca="1" si="16"/>
        <v>#NUM!</v>
      </c>
      <c r="P59" s="41" t="e">
        <f t="shared" ca="1" si="16"/>
        <v>#NUM!</v>
      </c>
      <c r="Q59" s="41" t="e">
        <f t="shared" ca="1" si="16"/>
        <v>#NUM!</v>
      </c>
      <c r="R59" s="41" t="e">
        <f t="shared" ca="1" si="16"/>
        <v>#NUM!</v>
      </c>
      <c r="S59" s="41" t="e">
        <f t="shared" ca="1" si="16"/>
        <v>#NUM!</v>
      </c>
      <c r="T59" s="41" t="e">
        <f t="shared" ca="1" si="16"/>
        <v>#NUM!</v>
      </c>
      <c r="U59" s="41" t="e">
        <f t="shared" ca="1" si="16"/>
        <v>#NUM!</v>
      </c>
      <c r="V59" s="41" t="e">
        <f t="shared" ca="1" si="16"/>
        <v>#NUM!</v>
      </c>
      <c r="W59" s="41" t="e">
        <f t="shared" ca="1" si="16"/>
        <v>#NUM!</v>
      </c>
    </row>
    <row r="60" spans="1:23" ht="15.75" customHeight="1" thickBot="1">
      <c r="A60" t="s">
        <v>248</v>
      </c>
      <c r="B60" t="s">
        <v>516</v>
      </c>
      <c r="C60" t="s">
        <v>131</v>
      </c>
      <c r="D60" t="s">
        <v>331</v>
      </c>
      <c r="E60" t="s">
        <v>536</v>
      </c>
      <c r="F60" t="s">
        <v>58</v>
      </c>
      <c r="G60" s="12"/>
      <c r="H60" s="78"/>
      <c r="I60" s="163">
        <f>IN_rooms!R$41*IN_rooms!R$42*IN_rooms!R$44</f>
        <v>0</v>
      </c>
      <c r="J60" s="163">
        <f>IN_rooms!S$41*IN_rooms!S$42*IN_rooms!S$44</f>
        <v>0</v>
      </c>
      <c r="K60" s="163">
        <f>IN_rooms!T$41*IN_rooms!T$42*IN_rooms!T$44</f>
        <v>0</v>
      </c>
      <c r="L60" s="163">
        <f>IN_rooms!U$41*IN_rooms!U$42*IN_rooms!U$44</f>
        <v>0</v>
      </c>
      <c r="M60" s="163">
        <f>IN_rooms!V$41*IN_rooms!V$42*IN_rooms!V$44</f>
        <v>0</v>
      </c>
      <c r="N60" s="163">
        <f>IN_rooms!W$41*IN_rooms!W$42*IN_rooms!W$44</f>
        <v>0</v>
      </c>
      <c r="O60" s="163">
        <f>IN_rooms!X$41*IN_rooms!X$42*IN_rooms!X$44</f>
        <v>0</v>
      </c>
      <c r="P60" s="163">
        <f>IN_rooms!Y$41*IN_rooms!Y$42*IN_rooms!Y$44</f>
        <v>0</v>
      </c>
      <c r="Q60" s="163">
        <f>IN_rooms!Z$41*IN_rooms!Z$42*IN_rooms!Z$44</f>
        <v>0</v>
      </c>
      <c r="R60" s="163">
        <f>IN_rooms!AA$41*IN_rooms!AA$42*IN_rooms!AA$44</f>
        <v>0</v>
      </c>
      <c r="S60" s="163">
        <f>IN_rooms!AB$41*IN_rooms!AB$42*IN_rooms!AB$44</f>
        <v>0</v>
      </c>
      <c r="T60" s="163">
        <f>IN_rooms!AC$41*IN_rooms!AC$42*IN_rooms!AC$44</f>
        <v>0</v>
      </c>
      <c r="U60" s="163">
        <f>IN_rooms!AD$41*IN_rooms!AD$42*IN_rooms!AD$44</f>
        <v>0</v>
      </c>
      <c r="V60" s="163">
        <f>IN_rooms!AE$41*IN_rooms!AE$42*IN_rooms!AE$44</f>
        <v>0</v>
      </c>
      <c r="W60" s="163">
        <f>IN_rooms!AF$41*IN_rooms!AF$42*IN_rooms!AF$44</f>
        <v>0</v>
      </c>
    </row>
    <row r="61" spans="1:23" ht="15.75" thickBot="1">
      <c r="A61" t="s">
        <v>248</v>
      </c>
      <c r="B61" t="s">
        <v>480</v>
      </c>
      <c r="C61" t="s">
        <v>131</v>
      </c>
      <c r="D61" t="s">
        <v>331</v>
      </c>
      <c r="E61" t="s">
        <v>537</v>
      </c>
      <c r="F61" t="s">
        <v>482</v>
      </c>
      <c r="I61" s="28" t="e" cm="1">
        <f t="array" ref="I61">_xlfn.AGGREGATE(15,6,U_Werte_IWU!$F$30:$F$297/((U_Werte_IWU!$E$30:$E$297=clc_load!$A61)*(U_Werte_IWU!$D$30:$D$297=clc_load!$I$4)*(U_Werte_IWU!$C$30:$C$297=clc_load!$I$3)),1)</f>
        <v>#NUM!</v>
      </c>
      <c r="J61" s="28" t="e" cm="1">
        <f t="array" ref="J61">_xlfn.AGGREGATE(15,6,U_Werte_IWU!$F$30:$F$297/((U_Werte_IWU!$E$30:$E$297=clc_load!$A61)*(U_Werte_IWU!$D$30:$D$297=clc_load!$I$4)*(U_Werte_IWU!$C$30:$C$297=clc_load!$I$3)),1)</f>
        <v>#NUM!</v>
      </c>
      <c r="K61" s="28" t="e" cm="1">
        <f t="array" ref="K61">_xlfn.AGGREGATE(15,6,U_Werte_IWU!$F$30:$F$297/((U_Werte_IWU!$E$30:$E$297=clc_load!$A61)*(U_Werte_IWU!$D$30:$D$297=clc_load!$I$4)*(U_Werte_IWU!$C$30:$C$297=clc_load!$I$3)),1)</f>
        <v>#NUM!</v>
      </c>
      <c r="L61" s="28" t="e" cm="1">
        <f t="array" ref="L61">_xlfn.AGGREGATE(15,6,U_Werte_IWU!$F$30:$F$297/((U_Werte_IWU!$E$30:$E$297=clc_load!$A61)*(U_Werte_IWU!$D$30:$D$297=clc_load!$I$4)*(U_Werte_IWU!$C$30:$C$297=clc_load!$I$3)),1)</f>
        <v>#NUM!</v>
      </c>
      <c r="M61" s="28" t="e" cm="1">
        <f t="array" ref="M61">_xlfn.AGGREGATE(15,6,U_Werte_IWU!$F$30:$F$297/((U_Werte_IWU!$E$30:$E$297=clc_load!$A61)*(U_Werte_IWU!$D$30:$D$297=clc_load!$I$4)*(U_Werte_IWU!$C$30:$C$297=clc_load!$I$3)),1)</f>
        <v>#NUM!</v>
      </c>
      <c r="N61" s="28" t="e" cm="1">
        <f t="array" ref="N61">_xlfn.AGGREGATE(15,6,U_Werte_IWU!$F$30:$F$297/((U_Werte_IWU!$E$30:$E$297=clc_load!$A61)*(U_Werte_IWU!$D$30:$D$297=clc_load!$I$4)*(U_Werte_IWU!$C$30:$C$297=clc_load!$I$3)),1)</f>
        <v>#NUM!</v>
      </c>
      <c r="O61" s="28" t="e" cm="1">
        <f t="array" ref="O61">_xlfn.AGGREGATE(15,6,U_Werte_IWU!$F$30:$F$297/((U_Werte_IWU!$E$30:$E$297=clc_load!$A61)*(U_Werte_IWU!$D$30:$D$297=clc_load!$I$4)*(U_Werte_IWU!$C$30:$C$297=clc_load!$I$3)),1)</f>
        <v>#NUM!</v>
      </c>
      <c r="P61" s="28" t="e" cm="1">
        <f t="array" ref="P61">_xlfn.AGGREGATE(15,6,U_Werte_IWU!$F$30:$F$297/((U_Werte_IWU!$E$30:$E$297=clc_load!$A61)*(U_Werte_IWU!$D$30:$D$297=clc_load!$I$4)*(U_Werte_IWU!$C$30:$C$297=clc_load!$I$3)),1)</f>
        <v>#NUM!</v>
      </c>
      <c r="Q61" s="28" t="e" cm="1">
        <f t="array" ref="Q61">_xlfn.AGGREGATE(15,6,U_Werte_IWU!$F$30:$F$297/((U_Werte_IWU!$E$30:$E$297=clc_load!$A61)*(U_Werte_IWU!$D$30:$D$297=clc_load!$I$4)*(U_Werte_IWU!$C$30:$C$297=clc_load!$I$3)),1)</f>
        <v>#NUM!</v>
      </c>
      <c r="R61" s="28" t="e" cm="1">
        <f t="array" ref="R61">_xlfn.AGGREGATE(15,6,U_Werte_IWU!$F$30:$F$297/((U_Werte_IWU!$E$30:$E$297=clc_load!$A61)*(U_Werte_IWU!$D$30:$D$297=clc_load!$I$4)*(U_Werte_IWU!$C$30:$C$297=clc_load!$I$3)),1)</f>
        <v>#NUM!</v>
      </c>
      <c r="S61" s="28" t="e" cm="1">
        <f t="array" ref="S61">_xlfn.AGGREGATE(15,6,U_Werte_IWU!$F$30:$F$297/((U_Werte_IWU!$E$30:$E$297=clc_load!$A61)*(U_Werte_IWU!$D$30:$D$297=clc_load!$I$4)*(U_Werte_IWU!$C$30:$C$297=clc_load!$I$3)),1)</f>
        <v>#NUM!</v>
      </c>
      <c r="T61" s="28" t="e" cm="1">
        <f t="array" ref="T61">_xlfn.AGGREGATE(15,6,U_Werte_IWU!$F$30:$F$297/((U_Werte_IWU!$E$30:$E$297=clc_load!$A61)*(U_Werte_IWU!$D$30:$D$297=clc_load!$I$4)*(U_Werte_IWU!$C$30:$C$297=clc_load!$I$3)),1)</f>
        <v>#NUM!</v>
      </c>
      <c r="U61" s="28" t="e" cm="1">
        <f t="array" ref="U61">_xlfn.AGGREGATE(15,6,U_Werte_IWU!$F$30:$F$297/((U_Werte_IWU!$E$30:$E$297=clc_load!$A61)*(U_Werte_IWU!$D$30:$D$297=clc_load!$I$4)*(U_Werte_IWU!$C$30:$C$297=clc_load!$I$3)),1)</f>
        <v>#NUM!</v>
      </c>
      <c r="V61" s="28" t="e" cm="1">
        <f t="array" ref="V61">_xlfn.AGGREGATE(15,6,U_Werte_IWU!$F$30:$F$297/((U_Werte_IWU!$E$30:$E$297=clc_load!$A61)*(U_Werte_IWU!$D$30:$D$297=clc_load!$I$4)*(U_Werte_IWU!$C$30:$C$297=clc_load!$I$3)),1)</f>
        <v>#NUM!</v>
      </c>
      <c r="W61" s="28" t="e" cm="1">
        <f t="array" ref="W61">_xlfn.AGGREGATE(15,6,U_Werte_IWU!$F$30:$F$297/((U_Werte_IWU!$E$30:$E$297=clc_load!$A61)*(U_Werte_IWU!$D$30:$D$297=clc_load!$I$4)*(U_Werte_IWU!$C$30:$C$297=clc_load!$I$3)),1)</f>
        <v>#NUM!</v>
      </c>
    </row>
    <row r="62" spans="1:23" ht="15.75" thickBot="1">
      <c r="A62" t="s">
        <v>248</v>
      </c>
      <c r="B62" t="s">
        <v>519</v>
      </c>
      <c r="C62" t="s">
        <v>131</v>
      </c>
      <c r="D62" t="s">
        <v>331</v>
      </c>
      <c r="E62" t="s">
        <v>538</v>
      </c>
      <c r="F62" t="s">
        <v>482</v>
      </c>
      <c r="I62" s="28" t="e" cm="1">
        <f t="array" ref="I62">_xlfn.AGGREGATE(15,6,U_Werte_IWU!$F$30:$F$297/((U_Werte_IWU!$E$30:$E$297=clc_load!$A62)*(U_Werte_IWU!$D$30:$D$297=IN_rooms!R$79)*(U_Werte_IWU!$C$30:$C$297=clc_load!$I$3)),1)</f>
        <v>#NUM!</v>
      </c>
      <c r="J62" s="28" t="e" cm="1">
        <f t="array" ref="J62">_xlfn.AGGREGATE(15,6,U_Werte_IWU!$F$30:$F$297/((U_Werte_IWU!$E$30:$E$297=clc_load!$A62)*(U_Werte_IWU!$D$30:$D$297=IN_rooms!S$79)*(U_Werte_IWU!$C$30:$C$297=clc_load!$I$3)),1)</f>
        <v>#NUM!</v>
      </c>
      <c r="K62" s="28" t="e" cm="1">
        <f t="array" ref="K62">_xlfn.AGGREGATE(15,6,U_Werte_IWU!$F$30:$F$297/((U_Werte_IWU!$E$30:$E$297=clc_load!$A62)*(U_Werte_IWU!$D$30:$D$297=IN_rooms!T$79)*(U_Werte_IWU!$C$30:$C$297=clc_load!$I$3)),1)</f>
        <v>#NUM!</v>
      </c>
      <c r="L62" s="28" t="e" cm="1">
        <f t="array" ref="L62">_xlfn.AGGREGATE(15,6,U_Werte_IWU!$F$30:$F$297/((U_Werte_IWU!$E$30:$E$297=clc_load!$A62)*(U_Werte_IWU!$D$30:$D$297=IN_rooms!U$79)*(U_Werte_IWU!$C$30:$C$297=clc_load!$I$3)),1)</f>
        <v>#NUM!</v>
      </c>
      <c r="M62" s="28" t="e" cm="1">
        <f t="array" ref="M62">_xlfn.AGGREGATE(15,6,U_Werte_IWU!$F$30:$F$297/((U_Werte_IWU!$E$30:$E$297=clc_load!$A62)*(U_Werte_IWU!$D$30:$D$297=IN_rooms!V$79)*(U_Werte_IWU!$C$30:$C$297=clc_load!$I$3)),1)</f>
        <v>#NUM!</v>
      </c>
      <c r="N62" s="28" t="e" cm="1">
        <f t="array" ref="N62">_xlfn.AGGREGATE(15,6,U_Werte_IWU!$F$30:$F$297/((U_Werte_IWU!$E$30:$E$297=clc_load!$A62)*(U_Werte_IWU!$D$30:$D$297=IN_rooms!W$79)*(U_Werte_IWU!$C$30:$C$297=clc_load!$I$3)),1)</f>
        <v>#NUM!</v>
      </c>
      <c r="O62" s="28" t="e" cm="1">
        <f t="array" ref="O62">_xlfn.AGGREGATE(15,6,U_Werte_IWU!$F$30:$F$297/((U_Werte_IWU!$E$30:$E$297=clc_load!$A62)*(U_Werte_IWU!$D$30:$D$297=IN_rooms!X$79)*(U_Werte_IWU!$C$30:$C$297=clc_load!$I$3)),1)</f>
        <v>#NUM!</v>
      </c>
      <c r="P62" s="28" t="e" cm="1">
        <f t="array" ref="P62">_xlfn.AGGREGATE(15,6,U_Werte_IWU!$F$30:$F$297/((U_Werte_IWU!$E$30:$E$297=clc_load!$A62)*(U_Werte_IWU!$D$30:$D$297=IN_rooms!Y$79)*(U_Werte_IWU!$C$30:$C$297=clc_load!$I$3)),1)</f>
        <v>#NUM!</v>
      </c>
      <c r="Q62" s="28" t="e" cm="1">
        <f t="array" ref="Q62">_xlfn.AGGREGATE(15,6,U_Werte_IWU!$F$30:$F$297/((U_Werte_IWU!$E$30:$E$297=clc_load!$A62)*(U_Werte_IWU!$D$30:$D$297=IN_rooms!Z$79)*(U_Werte_IWU!$C$30:$C$297=clc_load!$I$3)),1)</f>
        <v>#NUM!</v>
      </c>
      <c r="R62" s="28" t="e" cm="1">
        <f t="array" ref="R62">_xlfn.AGGREGATE(15,6,U_Werte_IWU!$F$30:$F$297/((U_Werte_IWU!$E$30:$E$297=clc_load!$A62)*(U_Werte_IWU!$D$30:$D$297=IN_rooms!AA$79)*(U_Werte_IWU!$C$30:$C$297=clc_load!$I$3)),1)</f>
        <v>#NUM!</v>
      </c>
      <c r="S62" s="28" t="e" cm="1">
        <f t="array" ref="S62">_xlfn.AGGREGATE(15,6,U_Werte_IWU!$F$30:$F$297/((U_Werte_IWU!$E$30:$E$297=clc_load!$A62)*(U_Werte_IWU!$D$30:$D$297=IN_rooms!AB$79)*(U_Werte_IWU!$C$30:$C$297=clc_load!$I$3)),1)</f>
        <v>#NUM!</v>
      </c>
      <c r="T62" s="28" t="e" cm="1">
        <f t="array" ref="T62">_xlfn.AGGREGATE(15,6,U_Werte_IWU!$F$30:$F$297/((U_Werte_IWU!$E$30:$E$297=clc_load!$A62)*(U_Werte_IWU!$D$30:$D$297=IN_rooms!AC$79)*(U_Werte_IWU!$C$30:$C$297=clc_load!$I$3)),1)</f>
        <v>#NUM!</v>
      </c>
      <c r="U62" s="28" t="e" cm="1">
        <f t="array" ref="U62">_xlfn.AGGREGATE(15,6,U_Werte_IWU!$F$30:$F$297/((U_Werte_IWU!$E$30:$E$297=clc_load!$A62)*(U_Werte_IWU!$D$30:$D$297=IN_rooms!AD$79)*(U_Werte_IWU!$C$30:$C$297=clc_load!$I$3)),1)</f>
        <v>#NUM!</v>
      </c>
      <c r="V62" s="28" t="e" cm="1">
        <f t="array" ref="V62">_xlfn.AGGREGATE(15,6,U_Werte_IWU!$F$30:$F$297/((U_Werte_IWU!$E$30:$E$297=clc_load!$A62)*(U_Werte_IWU!$D$30:$D$297=IN_rooms!AE$79)*(U_Werte_IWU!$C$30:$C$297=clc_load!$I$3)),1)</f>
        <v>#NUM!</v>
      </c>
      <c r="W62" s="28" t="e" cm="1">
        <f t="array" ref="W62">_xlfn.AGGREGATE(15,6,U_Werte_IWU!$F$30:$F$297/((U_Werte_IWU!$E$30:$E$297=clc_load!$A62)*(U_Werte_IWU!$D$30:$D$297=IN_rooms!AF$79)*(U_Werte_IWU!$C$30:$C$297=clc_load!$I$3)),1)</f>
        <v>#NUM!</v>
      </c>
    </row>
    <row r="63" spans="1:23" ht="15.75" thickBot="1">
      <c r="A63" t="s">
        <v>248</v>
      </c>
      <c r="B63" t="s">
        <v>483</v>
      </c>
      <c r="C63" t="s">
        <v>131</v>
      </c>
      <c r="D63" t="s">
        <v>331</v>
      </c>
      <c r="E63" t="s">
        <v>539</v>
      </c>
      <c r="F63" t="s">
        <v>482</v>
      </c>
      <c r="I63" s="28" t="e">
        <f>IF(I$62&gt;0,I$62,MIN(I$62,I$61))</f>
        <v>#NUM!</v>
      </c>
      <c r="J63" s="28" t="e">
        <f t="shared" ref="J63:W63" si="17">IF(J$62&gt;0,J$62,MIN(J$62,J$61))</f>
        <v>#NUM!</v>
      </c>
      <c r="K63" s="28" t="e">
        <f t="shared" si="17"/>
        <v>#NUM!</v>
      </c>
      <c r="L63" s="28" t="e">
        <f t="shared" si="17"/>
        <v>#NUM!</v>
      </c>
      <c r="M63" s="28" t="e">
        <f t="shared" si="17"/>
        <v>#NUM!</v>
      </c>
      <c r="N63" s="28" t="e">
        <f t="shared" si="17"/>
        <v>#NUM!</v>
      </c>
      <c r="O63" s="28" t="e">
        <f t="shared" si="17"/>
        <v>#NUM!</v>
      </c>
      <c r="P63" s="28" t="e">
        <f t="shared" si="17"/>
        <v>#NUM!</v>
      </c>
      <c r="Q63" s="28" t="e">
        <f t="shared" si="17"/>
        <v>#NUM!</v>
      </c>
      <c r="R63" s="28" t="e">
        <f t="shared" si="17"/>
        <v>#NUM!</v>
      </c>
      <c r="S63" s="28" t="e">
        <f t="shared" si="17"/>
        <v>#NUM!</v>
      </c>
      <c r="T63" s="28" t="e">
        <f t="shared" si="17"/>
        <v>#NUM!</v>
      </c>
      <c r="U63" s="28" t="e">
        <f t="shared" si="17"/>
        <v>#NUM!</v>
      </c>
      <c r="V63" s="28" t="e">
        <f t="shared" si="17"/>
        <v>#NUM!</v>
      </c>
      <c r="W63" s="28" t="e">
        <f t="shared" si="17"/>
        <v>#NUM!</v>
      </c>
    </row>
    <row r="64" spans="1:23" ht="15.75" thickBot="1">
      <c r="A64" t="s">
        <v>248</v>
      </c>
      <c r="B64" t="s">
        <v>485</v>
      </c>
      <c r="C64" t="s">
        <v>131</v>
      </c>
      <c r="D64" t="s">
        <v>331</v>
      </c>
      <c r="E64" t="s">
        <v>540</v>
      </c>
      <c r="F64" t="s">
        <v>31</v>
      </c>
      <c r="I64" s="28" t="e">
        <f ca="1">I$60*(I$63+I$8)*(I$10-Normaußentemperatur_12831!$B$6)</f>
        <v>#NUM!</v>
      </c>
      <c r="J64" s="28" t="e">
        <f ca="1">J$60*(J$63+J$8)*(J$10-Normaußentemperatur_12831!$B$6)</f>
        <v>#NUM!</v>
      </c>
      <c r="K64" s="28" t="e">
        <f ca="1">K$60*(K$63+K$8)*(K$10-Normaußentemperatur_12831!$B$6)</f>
        <v>#NUM!</v>
      </c>
      <c r="L64" s="28" t="e">
        <f ca="1">L$60*(L$63+L$8)*(L$10-Normaußentemperatur_12831!$B$6)</f>
        <v>#NUM!</v>
      </c>
      <c r="M64" s="28" t="e">
        <f ca="1">M$60*(M$63+M$8)*(M$10-Normaußentemperatur_12831!$B$6)</f>
        <v>#NUM!</v>
      </c>
      <c r="N64" s="28" t="e">
        <f ca="1">N$60*(N$63+N$8)*(N$10-Normaußentemperatur_12831!$B$6)</f>
        <v>#NUM!</v>
      </c>
      <c r="O64" s="28" t="e">
        <f ca="1">O$60*(O$63+O$8)*(O$10-Normaußentemperatur_12831!$B$6)</f>
        <v>#NUM!</v>
      </c>
      <c r="P64" s="28" t="e">
        <f ca="1">P$60*(P$63+P$8)*(P$10-Normaußentemperatur_12831!$B$6)</f>
        <v>#NUM!</v>
      </c>
      <c r="Q64" s="28" t="e">
        <f ca="1">Q$60*(Q$63+Q$8)*(Q$10-Normaußentemperatur_12831!$B$6)</f>
        <v>#NUM!</v>
      </c>
      <c r="R64" s="28" t="e">
        <f ca="1">R$60*(R$63+R$8)*(R$10-Normaußentemperatur_12831!$B$6)</f>
        <v>#NUM!</v>
      </c>
      <c r="S64" s="28" t="e">
        <f ca="1">S$60*(S$63+S$8)*(S$10-Normaußentemperatur_12831!$B$6)</f>
        <v>#NUM!</v>
      </c>
      <c r="T64" s="28" t="e">
        <f ca="1">T$60*(T$63+T$8)*(T$10-Normaußentemperatur_12831!$B$6)</f>
        <v>#NUM!</v>
      </c>
      <c r="U64" s="28" t="e">
        <f ca="1">U$60*(U$63+U$8)*(U$10-Normaußentemperatur_12831!$B$6)</f>
        <v>#NUM!</v>
      </c>
      <c r="V64" s="28" t="e">
        <f ca="1">V$60*(V$63+V$8)*(V$10-Normaußentemperatur_12831!$B$6)</f>
        <v>#NUM!</v>
      </c>
      <c r="W64" s="28" t="e">
        <f ca="1">W$60*(W$63+W$8)*(W$10-Normaußentemperatur_12831!$B$6)</f>
        <v>#NUM!</v>
      </c>
    </row>
    <row r="65" spans="1:23" ht="15.75" thickBot="1">
      <c r="A65" t="s">
        <v>248</v>
      </c>
      <c r="B65" t="s">
        <v>476</v>
      </c>
      <c r="C65" t="s">
        <v>131</v>
      </c>
      <c r="D65" t="s">
        <v>331</v>
      </c>
      <c r="E65" t="s">
        <v>541</v>
      </c>
      <c r="F65" t="s">
        <v>30</v>
      </c>
      <c r="I65" s="36" t="e">
        <f t="shared" ref="I65:W65" ca="1" si="18">I$64/I$72</f>
        <v>#NUM!</v>
      </c>
      <c r="J65" s="41" t="e">
        <f t="shared" ca="1" si="18"/>
        <v>#NUM!</v>
      </c>
      <c r="K65" s="36" t="e">
        <f t="shared" ca="1" si="18"/>
        <v>#NUM!</v>
      </c>
      <c r="L65" s="41" t="e">
        <f t="shared" ca="1" si="18"/>
        <v>#NUM!</v>
      </c>
      <c r="M65" s="41" t="e">
        <f t="shared" ca="1" si="18"/>
        <v>#NUM!</v>
      </c>
      <c r="N65" s="41" t="e">
        <f t="shared" ca="1" si="18"/>
        <v>#NUM!</v>
      </c>
      <c r="O65" s="41" t="e">
        <f t="shared" ca="1" si="18"/>
        <v>#NUM!</v>
      </c>
      <c r="P65" s="41" t="e">
        <f t="shared" ca="1" si="18"/>
        <v>#NUM!</v>
      </c>
      <c r="Q65" s="41" t="e">
        <f t="shared" ca="1" si="18"/>
        <v>#NUM!</v>
      </c>
      <c r="R65" s="41" t="e">
        <f t="shared" ca="1" si="18"/>
        <v>#NUM!</v>
      </c>
      <c r="S65" s="41" t="e">
        <f t="shared" ca="1" si="18"/>
        <v>#NUM!</v>
      </c>
      <c r="T65" s="41" t="e">
        <f t="shared" ca="1" si="18"/>
        <v>#NUM!</v>
      </c>
      <c r="U65" s="41" t="e">
        <f t="shared" ca="1" si="18"/>
        <v>#NUM!</v>
      </c>
      <c r="V65" s="41" t="e">
        <f t="shared" ca="1" si="18"/>
        <v>#NUM!</v>
      </c>
      <c r="W65" s="41" t="e">
        <f t="shared" ca="1" si="18"/>
        <v>#NUM!</v>
      </c>
    </row>
    <row r="66" spans="1:23" ht="15.75" thickBot="1">
      <c r="A66" t="s">
        <v>248</v>
      </c>
      <c r="B66" t="s">
        <v>516</v>
      </c>
      <c r="C66" t="s">
        <v>131</v>
      </c>
      <c r="D66" t="s">
        <v>331</v>
      </c>
      <c r="E66" t="s">
        <v>542</v>
      </c>
      <c r="F66" t="s">
        <v>58</v>
      </c>
      <c r="I66" s="163">
        <f>IN_rooms!R$45*IN_rooms!R$46*IN_rooms!R$48</f>
        <v>0</v>
      </c>
      <c r="J66" s="163">
        <f>IN_rooms!S$45*IN_rooms!S$46*IN_rooms!S$48</f>
        <v>0</v>
      </c>
      <c r="K66" s="163">
        <f>IN_rooms!T$45*IN_rooms!T$46*IN_rooms!T$48</f>
        <v>0</v>
      </c>
      <c r="L66" s="163">
        <f>IN_rooms!U$45*IN_rooms!U$46*IN_rooms!U$48</f>
        <v>0</v>
      </c>
      <c r="M66" s="163">
        <f>IN_rooms!V$45*IN_rooms!V$46*IN_rooms!V$48</f>
        <v>0</v>
      </c>
      <c r="N66" s="163">
        <f>IN_rooms!W$45*IN_rooms!W$46*IN_rooms!W$48</f>
        <v>0</v>
      </c>
      <c r="O66" s="163">
        <f>IN_rooms!X$45*IN_rooms!X$46*IN_rooms!X$48</f>
        <v>0</v>
      </c>
      <c r="P66" s="163">
        <f>IN_rooms!Y$45*IN_rooms!Y$46*IN_rooms!Y$48</f>
        <v>0</v>
      </c>
      <c r="Q66" s="163">
        <f>IN_rooms!Z$45*IN_rooms!Z$46*IN_rooms!Z$48</f>
        <v>0</v>
      </c>
      <c r="R66" s="163">
        <f>IN_rooms!AA$45*IN_rooms!AA$46*IN_rooms!AA$48</f>
        <v>0</v>
      </c>
      <c r="S66" s="163">
        <f>IN_rooms!AB$45*IN_rooms!AB$46*IN_rooms!AB$48</f>
        <v>0</v>
      </c>
      <c r="T66" s="163">
        <f>IN_rooms!AC$45*IN_rooms!AC$46*IN_rooms!AC$48</f>
        <v>0</v>
      </c>
      <c r="U66" s="163">
        <f>IN_rooms!AD$45*IN_rooms!AD$46*IN_rooms!AD$48</f>
        <v>0</v>
      </c>
      <c r="V66" s="163">
        <f>IN_rooms!AE$45*IN_rooms!AE$46*IN_rooms!AE$48</f>
        <v>0</v>
      </c>
      <c r="W66" s="163">
        <f>IN_rooms!AF$45*IN_rooms!AF$46*IN_rooms!AF$48</f>
        <v>0</v>
      </c>
    </row>
    <row r="67" spans="1:23" ht="15.75" thickBot="1">
      <c r="A67" t="s">
        <v>248</v>
      </c>
      <c r="B67" t="s">
        <v>480</v>
      </c>
      <c r="C67" t="s">
        <v>131</v>
      </c>
      <c r="D67" t="s">
        <v>337</v>
      </c>
      <c r="E67" t="s">
        <v>543</v>
      </c>
      <c r="F67" t="s">
        <v>482</v>
      </c>
      <c r="I67" s="28" t="e" cm="1">
        <f t="array" ref="I67">_xlfn.AGGREGATE(15,6,U_Werte_IWU!$F$30:$F$297/((U_Werte_IWU!$E$30:$E$297=clc_load!$A67)*(U_Werte_IWU!$D$30:$D$297=clc_load!$I$4)*(U_Werte_IWU!$C$30:$C$297=clc_load!$I$3)),1)</f>
        <v>#NUM!</v>
      </c>
      <c r="J67" s="28" t="e" cm="1">
        <f t="array" ref="J67">_xlfn.AGGREGATE(15,6,U_Werte_IWU!$F$30:$F$297/((U_Werte_IWU!$E$30:$E$297=clc_load!$A67)*(U_Werte_IWU!$D$30:$D$297=clc_load!$I$4)*(U_Werte_IWU!$C$30:$C$297=clc_load!$I$3)),1)</f>
        <v>#NUM!</v>
      </c>
      <c r="K67" s="28" t="e" cm="1">
        <f t="array" ref="K67">_xlfn.AGGREGATE(15,6,U_Werte_IWU!$F$30:$F$297/((U_Werte_IWU!$E$30:$E$297=clc_load!$A67)*(U_Werte_IWU!$D$30:$D$297=clc_load!$I$4)*(U_Werte_IWU!$C$30:$C$297=clc_load!$I$3)),1)</f>
        <v>#NUM!</v>
      </c>
      <c r="L67" s="28" t="e" cm="1">
        <f t="array" ref="L67">_xlfn.AGGREGATE(15,6,U_Werte_IWU!$F$30:$F$297/((U_Werte_IWU!$E$30:$E$297=clc_load!$A67)*(U_Werte_IWU!$D$30:$D$297=clc_load!$I$4)*(U_Werte_IWU!$C$30:$C$297=clc_load!$I$3)),1)</f>
        <v>#NUM!</v>
      </c>
      <c r="M67" s="28" t="e" cm="1">
        <f t="array" ref="M67">_xlfn.AGGREGATE(15,6,U_Werte_IWU!$F$30:$F$297/((U_Werte_IWU!$E$30:$E$297=clc_load!$A67)*(U_Werte_IWU!$D$30:$D$297=clc_load!$I$4)*(U_Werte_IWU!$C$30:$C$297=clc_load!$I$3)),1)</f>
        <v>#NUM!</v>
      </c>
      <c r="N67" s="28" t="e" cm="1">
        <f t="array" ref="N67">_xlfn.AGGREGATE(15,6,U_Werte_IWU!$F$30:$F$297/((U_Werte_IWU!$E$30:$E$297=clc_load!$A67)*(U_Werte_IWU!$D$30:$D$297=clc_load!$I$4)*(U_Werte_IWU!$C$30:$C$297=clc_load!$I$3)),1)</f>
        <v>#NUM!</v>
      </c>
      <c r="O67" s="28" t="e" cm="1">
        <f t="array" ref="O67">_xlfn.AGGREGATE(15,6,U_Werte_IWU!$F$30:$F$297/((U_Werte_IWU!$E$30:$E$297=clc_load!$A67)*(U_Werte_IWU!$D$30:$D$297=clc_load!$I$4)*(U_Werte_IWU!$C$30:$C$297=clc_load!$I$3)),1)</f>
        <v>#NUM!</v>
      </c>
      <c r="P67" s="28" t="e" cm="1">
        <f t="array" ref="P67">_xlfn.AGGREGATE(15,6,U_Werte_IWU!$F$30:$F$297/((U_Werte_IWU!$E$30:$E$297=clc_load!$A67)*(U_Werte_IWU!$D$30:$D$297=clc_load!$I$4)*(U_Werte_IWU!$C$30:$C$297=clc_load!$I$3)),1)</f>
        <v>#NUM!</v>
      </c>
      <c r="Q67" s="28" t="e" cm="1">
        <f t="array" ref="Q67">_xlfn.AGGREGATE(15,6,U_Werte_IWU!$F$30:$F$297/((U_Werte_IWU!$E$30:$E$297=clc_load!$A67)*(U_Werte_IWU!$D$30:$D$297=clc_load!$I$4)*(U_Werte_IWU!$C$30:$C$297=clc_load!$I$3)),1)</f>
        <v>#NUM!</v>
      </c>
      <c r="R67" s="28" t="e" cm="1">
        <f t="array" ref="R67">_xlfn.AGGREGATE(15,6,U_Werte_IWU!$F$30:$F$297/((U_Werte_IWU!$E$30:$E$297=clc_load!$A67)*(U_Werte_IWU!$D$30:$D$297=clc_load!$I$4)*(U_Werte_IWU!$C$30:$C$297=clc_load!$I$3)),1)</f>
        <v>#NUM!</v>
      </c>
      <c r="S67" s="28" t="e" cm="1">
        <f t="array" ref="S67">_xlfn.AGGREGATE(15,6,U_Werte_IWU!$F$30:$F$297/((U_Werte_IWU!$E$30:$E$297=clc_load!$A67)*(U_Werte_IWU!$D$30:$D$297=clc_load!$I$4)*(U_Werte_IWU!$C$30:$C$297=clc_load!$I$3)),1)</f>
        <v>#NUM!</v>
      </c>
      <c r="T67" s="28" t="e" cm="1">
        <f t="array" ref="T67">_xlfn.AGGREGATE(15,6,U_Werte_IWU!$F$30:$F$297/((U_Werte_IWU!$E$30:$E$297=clc_load!$A67)*(U_Werte_IWU!$D$30:$D$297=clc_load!$I$4)*(U_Werte_IWU!$C$30:$C$297=clc_load!$I$3)),1)</f>
        <v>#NUM!</v>
      </c>
      <c r="U67" s="28" t="e" cm="1">
        <f t="array" ref="U67">_xlfn.AGGREGATE(15,6,U_Werte_IWU!$F$30:$F$297/((U_Werte_IWU!$E$30:$E$297=clc_load!$A67)*(U_Werte_IWU!$D$30:$D$297=clc_load!$I$4)*(U_Werte_IWU!$C$30:$C$297=clc_load!$I$3)),1)</f>
        <v>#NUM!</v>
      </c>
      <c r="V67" s="28" t="e" cm="1">
        <f t="array" ref="V67">_xlfn.AGGREGATE(15,6,U_Werte_IWU!$F$30:$F$297/((U_Werte_IWU!$E$30:$E$297=clc_load!$A67)*(U_Werte_IWU!$D$30:$D$297=clc_load!$I$4)*(U_Werte_IWU!$C$30:$C$297=clc_load!$I$3)),1)</f>
        <v>#NUM!</v>
      </c>
      <c r="W67" s="28" t="e" cm="1">
        <f t="array" ref="W67">_xlfn.AGGREGATE(15,6,U_Werte_IWU!$F$30:$F$297/((U_Werte_IWU!$E$30:$E$297=clc_load!$A67)*(U_Werte_IWU!$D$30:$D$297=clc_load!$I$4)*(U_Werte_IWU!$C$30:$C$297=clc_load!$I$3)),1)</f>
        <v>#NUM!</v>
      </c>
    </row>
    <row r="68" spans="1:23" ht="15.75" thickBot="1">
      <c r="A68" t="s">
        <v>248</v>
      </c>
      <c r="B68" t="s">
        <v>519</v>
      </c>
      <c r="C68" t="s">
        <v>131</v>
      </c>
      <c r="D68" t="s">
        <v>337</v>
      </c>
      <c r="E68" t="s">
        <v>544</v>
      </c>
      <c r="F68" t="s">
        <v>482</v>
      </c>
      <c r="I68" s="28" t="e" cm="1">
        <f t="array" ref="I68">_xlfn.AGGREGATE(15,6,U_Werte_IWU!$F$30:$F$297/((U_Werte_IWU!$E$30:$E$297=clc_load!$A68)*(U_Werte_IWU!$D$30:$D$297=IN_rooms!R$80)*(U_Werte_IWU!$C$30:$C$297=clc_load!$I$3)),1)</f>
        <v>#NUM!</v>
      </c>
      <c r="J68" s="28" t="e" cm="1">
        <f t="array" ref="J68">_xlfn.AGGREGATE(15,6,U_Werte_IWU!$F$30:$F$297/((U_Werte_IWU!$E$30:$E$297=clc_load!$A68)*(U_Werte_IWU!$D$30:$D$297=IN_rooms!S$80)*(U_Werte_IWU!$C$30:$C$297=clc_load!$I$3)),1)</f>
        <v>#NUM!</v>
      </c>
      <c r="K68" s="28" t="e" cm="1">
        <f t="array" ref="K68">_xlfn.AGGREGATE(15,6,U_Werte_IWU!$F$30:$F$297/((U_Werte_IWU!$E$30:$E$297=clc_load!$A68)*(U_Werte_IWU!$D$30:$D$297=IN_rooms!T$80)*(U_Werte_IWU!$C$30:$C$297=clc_load!$I$3)),1)</f>
        <v>#NUM!</v>
      </c>
      <c r="L68" s="28" t="e" cm="1">
        <f t="array" ref="L68">_xlfn.AGGREGATE(15,6,U_Werte_IWU!$F$30:$F$297/((U_Werte_IWU!$E$30:$E$297=clc_load!$A68)*(U_Werte_IWU!$D$30:$D$297=IN_rooms!U$80)*(U_Werte_IWU!$C$30:$C$297=clc_load!$I$3)),1)</f>
        <v>#NUM!</v>
      </c>
      <c r="M68" s="28" t="e" cm="1">
        <f t="array" ref="M68">_xlfn.AGGREGATE(15,6,U_Werte_IWU!$F$30:$F$297/((U_Werte_IWU!$E$30:$E$297=clc_load!$A68)*(U_Werte_IWU!$D$30:$D$297=IN_rooms!V$80)*(U_Werte_IWU!$C$30:$C$297=clc_load!$I$3)),1)</f>
        <v>#NUM!</v>
      </c>
      <c r="N68" s="28" t="e" cm="1">
        <f t="array" ref="N68">_xlfn.AGGREGATE(15,6,U_Werte_IWU!$F$30:$F$297/((U_Werte_IWU!$E$30:$E$297=clc_load!$A68)*(U_Werte_IWU!$D$30:$D$297=IN_rooms!W$80)*(U_Werte_IWU!$C$30:$C$297=clc_load!$I$3)),1)</f>
        <v>#NUM!</v>
      </c>
      <c r="O68" s="28" t="e" cm="1">
        <f t="array" ref="O68">_xlfn.AGGREGATE(15,6,U_Werte_IWU!$F$30:$F$297/((U_Werte_IWU!$E$30:$E$297=clc_load!$A68)*(U_Werte_IWU!$D$30:$D$297=IN_rooms!X$80)*(U_Werte_IWU!$C$30:$C$297=clc_load!$I$3)),1)</f>
        <v>#NUM!</v>
      </c>
      <c r="P68" s="28" t="e" cm="1">
        <f t="array" ref="P68">_xlfn.AGGREGATE(15,6,U_Werte_IWU!$F$30:$F$297/((U_Werte_IWU!$E$30:$E$297=clc_load!$A68)*(U_Werte_IWU!$D$30:$D$297=IN_rooms!Y$80)*(U_Werte_IWU!$C$30:$C$297=clc_load!$I$3)),1)</f>
        <v>#NUM!</v>
      </c>
      <c r="Q68" s="28" t="e" cm="1">
        <f t="array" ref="Q68">_xlfn.AGGREGATE(15,6,U_Werte_IWU!$F$30:$F$297/((U_Werte_IWU!$E$30:$E$297=clc_load!$A68)*(U_Werte_IWU!$D$30:$D$297=IN_rooms!Z$80)*(U_Werte_IWU!$C$30:$C$297=clc_load!$I$3)),1)</f>
        <v>#NUM!</v>
      </c>
      <c r="R68" s="28" t="e" cm="1">
        <f t="array" ref="R68">_xlfn.AGGREGATE(15,6,U_Werte_IWU!$F$30:$F$297/((U_Werte_IWU!$E$30:$E$297=clc_load!$A68)*(U_Werte_IWU!$D$30:$D$297=IN_rooms!AA$80)*(U_Werte_IWU!$C$30:$C$297=clc_load!$I$3)),1)</f>
        <v>#NUM!</v>
      </c>
      <c r="S68" s="28" t="e" cm="1">
        <f t="array" ref="S68">_xlfn.AGGREGATE(15,6,U_Werte_IWU!$F$30:$F$297/((U_Werte_IWU!$E$30:$E$297=clc_load!$A68)*(U_Werte_IWU!$D$30:$D$297=IN_rooms!AB$80)*(U_Werte_IWU!$C$30:$C$297=clc_load!$I$3)),1)</f>
        <v>#NUM!</v>
      </c>
      <c r="T68" s="28" t="e" cm="1">
        <f t="array" ref="T68">_xlfn.AGGREGATE(15,6,U_Werte_IWU!$F$30:$F$297/((U_Werte_IWU!$E$30:$E$297=clc_load!$A68)*(U_Werte_IWU!$D$30:$D$297=IN_rooms!AC$80)*(U_Werte_IWU!$C$30:$C$297=clc_load!$I$3)),1)</f>
        <v>#NUM!</v>
      </c>
      <c r="U68" s="28" t="e" cm="1">
        <f t="array" ref="U68">_xlfn.AGGREGATE(15,6,U_Werte_IWU!$F$30:$F$297/((U_Werte_IWU!$E$30:$E$297=clc_load!$A68)*(U_Werte_IWU!$D$30:$D$297=IN_rooms!AD$80)*(U_Werte_IWU!$C$30:$C$297=clc_load!$I$3)),1)</f>
        <v>#NUM!</v>
      </c>
      <c r="V68" s="28" t="e" cm="1">
        <f t="array" ref="V68">_xlfn.AGGREGATE(15,6,U_Werte_IWU!$F$30:$F$297/((U_Werte_IWU!$E$30:$E$297=clc_load!$A68)*(U_Werte_IWU!$D$30:$D$297=IN_rooms!AE$80)*(U_Werte_IWU!$C$30:$C$297=clc_load!$I$3)),1)</f>
        <v>#NUM!</v>
      </c>
      <c r="W68" s="28" t="e" cm="1">
        <f t="array" ref="W68">_xlfn.AGGREGATE(15,6,U_Werte_IWU!$F$30:$F$297/((U_Werte_IWU!$E$30:$E$297=clc_load!$A68)*(U_Werte_IWU!$D$30:$D$297=IN_rooms!AF$80)*(U_Werte_IWU!$C$30:$C$297=clc_load!$I$3)),1)</f>
        <v>#NUM!</v>
      </c>
    </row>
    <row r="69" spans="1:23" ht="15.75" thickBot="1">
      <c r="A69" t="s">
        <v>248</v>
      </c>
      <c r="B69" t="s">
        <v>483</v>
      </c>
      <c r="C69" t="s">
        <v>131</v>
      </c>
      <c r="D69" t="s">
        <v>337</v>
      </c>
      <c r="E69" t="s">
        <v>545</v>
      </c>
      <c r="F69" t="s">
        <v>482</v>
      </c>
      <c r="I69" s="28" t="e">
        <f>IF(I$68&gt;0,I$68,MIN(I$68,I$67))</f>
        <v>#NUM!</v>
      </c>
      <c r="J69" s="28" t="e">
        <f t="shared" ref="J69:W69" si="19">IF(J$68&gt;0,J$68,MIN(J$68,J$67))</f>
        <v>#NUM!</v>
      </c>
      <c r="K69" s="28" t="e">
        <f t="shared" si="19"/>
        <v>#NUM!</v>
      </c>
      <c r="L69" s="28" t="e">
        <f t="shared" si="19"/>
        <v>#NUM!</v>
      </c>
      <c r="M69" s="28" t="e">
        <f t="shared" si="19"/>
        <v>#NUM!</v>
      </c>
      <c r="N69" s="28" t="e">
        <f t="shared" si="19"/>
        <v>#NUM!</v>
      </c>
      <c r="O69" s="28" t="e">
        <f t="shared" si="19"/>
        <v>#NUM!</v>
      </c>
      <c r="P69" s="28" t="e">
        <f t="shared" si="19"/>
        <v>#NUM!</v>
      </c>
      <c r="Q69" s="28" t="e">
        <f t="shared" si="19"/>
        <v>#NUM!</v>
      </c>
      <c r="R69" s="28" t="e">
        <f t="shared" si="19"/>
        <v>#NUM!</v>
      </c>
      <c r="S69" s="28" t="e">
        <f t="shared" si="19"/>
        <v>#NUM!</v>
      </c>
      <c r="T69" s="28" t="e">
        <f t="shared" si="19"/>
        <v>#NUM!</v>
      </c>
      <c r="U69" s="28" t="e">
        <f t="shared" si="19"/>
        <v>#NUM!</v>
      </c>
      <c r="V69" s="28" t="e">
        <f t="shared" si="19"/>
        <v>#NUM!</v>
      </c>
      <c r="W69" s="28" t="e">
        <f t="shared" si="19"/>
        <v>#NUM!</v>
      </c>
    </row>
    <row r="70" spans="1:23" ht="15.75" thickBot="1">
      <c r="A70" t="s">
        <v>248</v>
      </c>
      <c r="B70" t="s">
        <v>485</v>
      </c>
      <c r="C70" t="s">
        <v>131</v>
      </c>
      <c r="D70" t="s">
        <v>337</v>
      </c>
      <c r="E70" t="s">
        <v>546</v>
      </c>
      <c r="F70" t="s">
        <v>31</v>
      </c>
      <c r="I70" s="28" t="e">
        <f ca="1">I$66*(I$69+I$8)*(I$10-Normaußentemperatur_12831!$B$6)</f>
        <v>#NUM!</v>
      </c>
      <c r="J70" s="28" t="e">
        <f ca="1">J$66*(J$69+J$8)*(J$10-Normaußentemperatur_12831!$B$6)</f>
        <v>#NUM!</v>
      </c>
      <c r="K70" s="28" t="e">
        <f ca="1">K$66*(K$69+K$8)*(K$10-Normaußentemperatur_12831!$B$6)</f>
        <v>#NUM!</v>
      </c>
      <c r="L70" s="28" t="e">
        <f ca="1">L$66*(L$69+L$8)*(L$10-Normaußentemperatur_12831!$B$6)</f>
        <v>#NUM!</v>
      </c>
      <c r="M70" s="28" t="e">
        <f ca="1">M$66*(M$69+M$8)*(M$10-Normaußentemperatur_12831!$B$6)</f>
        <v>#NUM!</v>
      </c>
      <c r="N70" s="28" t="e">
        <f ca="1">N$66*(N$69+N$8)*(N$10-Normaußentemperatur_12831!$B$6)</f>
        <v>#NUM!</v>
      </c>
      <c r="O70" s="28" t="e">
        <f ca="1">O$66*(O$69+O$8)*(O$10-Normaußentemperatur_12831!$B$6)</f>
        <v>#NUM!</v>
      </c>
      <c r="P70" s="28" t="e">
        <f ca="1">P$66*(P$69+P$8)*(P$10-Normaußentemperatur_12831!$B$6)</f>
        <v>#NUM!</v>
      </c>
      <c r="Q70" s="28" t="e">
        <f ca="1">Q$66*(Q$69+Q$8)*(Q$10-Normaußentemperatur_12831!$B$6)</f>
        <v>#NUM!</v>
      </c>
      <c r="R70" s="28" t="e">
        <f ca="1">R$66*(R$69+R$8)*(R$10-Normaußentemperatur_12831!$B$6)</f>
        <v>#NUM!</v>
      </c>
      <c r="S70" s="28" t="e">
        <f ca="1">S$66*(S$69+S$8)*(S$10-Normaußentemperatur_12831!$B$6)</f>
        <v>#NUM!</v>
      </c>
      <c r="T70" s="28" t="e">
        <f ca="1">T$66*(T$69+T$8)*(T$10-Normaußentemperatur_12831!$B$6)</f>
        <v>#NUM!</v>
      </c>
      <c r="U70" s="28" t="e">
        <f ca="1">U$66*(U$69+U$8)*(U$10-Normaußentemperatur_12831!$B$6)</f>
        <v>#NUM!</v>
      </c>
      <c r="V70" s="28" t="e">
        <f ca="1">V$66*(V$69+V$8)*(V$10-Normaußentemperatur_12831!$B$6)</f>
        <v>#NUM!</v>
      </c>
      <c r="W70" s="28" t="e">
        <f ca="1">W$66*(W$69+W$8)*(W$10-Normaußentemperatur_12831!$B$6)</f>
        <v>#NUM!</v>
      </c>
    </row>
    <row r="71" spans="1:23" ht="15.75" thickBot="1">
      <c r="A71" t="s">
        <v>248</v>
      </c>
      <c r="B71" t="s">
        <v>476</v>
      </c>
      <c r="C71" t="s">
        <v>131</v>
      </c>
      <c r="D71" t="s">
        <v>337</v>
      </c>
      <c r="E71" t="s">
        <v>547</v>
      </c>
      <c r="F71" t="s">
        <v>30</v>
      </c>
      <c r="I71" s="36" t="e">
        <f t="shared" ref="I71:W71" ca="1" si="20">I70/I$72</f>
        <v>#NUM!</v>
      </c>
      <c r="J71" s="41" t="e">
        <f t="shared" ca="1" si="20"/>
        <v>#NUM!</v>
      </c>
      <c r="K71" s="36" t="e">
        <f t="shared" ca="1" si="20"/>
        <v>#NUM!</v>
      </c>
      <c r="L71" s="41" t="e">
        <f t="shared" ca="1" si="20"/>
        <v>#NUM!</v>
      </c>
      <c r="M71" s="41" t="e">
        <f t="shared" ca="1" si="20"/>
        <v>#NUM!</v>
      </c>
      <c r="N71" s="41" t="e">
        <f t="shared" ca="1" si="20"/>
        <v>#NUM!</v>
      </c>
      <c r="O71" s="41" t="e">
        <f t="shared" ca="1" si="20"/>
        <v>#NUM!</v>
      </c>
      <c r="P71" s="41" t="e">
        <f t="shared" ca="1" si="20"/>
        <v>#NUM!</v>
      </c>
      <c r="Q71" s="41" t="e">
        <f t="shared" ca="1" si="20"/>
        <v>#NUM!</v>
      </c>
      <c r="R71" s="41" t="e">
        <f t="shared" ca="1" si="20"/>
        <v>#NUM!</v>
      </c>
      <c r="S71" s="41" t="e">
        <f t="shared" ca="1" si="20"/>
        <v>#NUM!</v>
      </c>
      <c r="T71" s="41" t="e">
        <f t="shared" ca="1" si="20"/>
        <v>#NUM!</v>
      </c>
      <c r="U71" s="41" t="e">
        <f t="shared" ca="1" si="20"/>
        <v>#NUM!</v>
      </c>
      <c r="V71" s="41" t="e">
        <f t="shared" ca="1" si="20"/>
        <v>#NUM!</v>
      </c>
      <c r="W71" s="41" t="e">
        <f t="shared" ca="1" si="20"/>
        <v>#NUM!</v>
      </c>
    </row>
    <row r="72" spans="1:23" ht="15.75" thickBot="1">
      <c r="A72" t="s">
        <v>548</v>
      </c>
      <c r="E72" t="s">
        <v>549</v>
      </c>
      <c r="I72" s="166" t="e">
        <f t="shared" ref="I72:W72" ca="1" si="21">SUMIF($B$3:$B$71,$B$17,I3:I71)+I12</f>
        <v>#NUM!</v>
      </c>
      <c r="J72" s="129" t="e">
        <f t="shared" ca="1" si="21"/>
        <v>#NUM!</v>
      </c>
      <c r="K72" s="163" t="e">
        <f t="shared" ca="1" si="21"/>
        <v>#NUM!</v>
      </c>
      <c r="L72" s="129" t="e">
        <f t="shared" ca="1" si="21"/>
        <v>#NUM!</v>
      </c>
      <c r="M72" s="129" t="e">
        <f t="shared" ca="1" si="21"/>
        <v>#NUM!</v>
      </c>
      <c r="N72" s="129" t="e">
        <f t="shared" ca="1" si="21"/>
        <v>#NUM!</v>
      </c>
      <c r="O72" s="129" t="e">
        <f t="shared" ca="1" si="21"/>
        <v>#NUM!</v>
      </c>
      <c r="P72" s="129" t="e">
        <f t="shared" ca="1" si="21"/>
        <v>#NUM!</v>
      </c>
      <c r="Q72" s="129" t="e">
        <f t="shared" ca="1" si="21"/>
        <v>#NUM!</v>
      </c>
      <c r="R72" s="129" t="e">
        <f t="shared" ca="1" si="21"/>
        <v>#NUM!</v>
      </c>
      <c r="S72" s="129" t="e">
        <f t="shared" ca="1" si="21"/>
        <v>#NUM!</v>
      </c>
      <c r="T72" s="129" t="e">
        <f t="shared" ca="1" si="21"/>
        <v>#NUM!</v>
      </c>
      <c r="U72" s="129" t="e">
        <f t="shared" ca="1" si="21"/>
        <v>#NUM!</v>
      </c>
      <c r="V72" s="129" t="e">
        <f t="shared" ca="1" si="21"/>
        <v>#NUM!</v>
      </c>
      <c r="W72" s="129" t="e">
        <f t="shared" ca="1" si="21"/>
        <v>#NUM!</v>
      </c>
    </row>
    <row r="73" spans="1:23" ht="15.75" thickBot="1">
      <c r="A73" t="s">
        <v>550</v>
      </c>
      <c r="E73" t="s">
        <v>551</v>
      </c>
      <c r="I73" s="166" t="e">
        <f ca="1">I$72/IN_rooms!R$4</f>
        <v>#NUM!</v>
      </c>
      <c r="J73" s="129" t="e">
        <f ca="1">J$72/IN_rooms!S$4</f>
        <v>#NUM!</v>
      </c>
      <c r="K73" s="163" t="e">
        <f ca="1">K$72/IN_rooms!T$4</f>
        <v>#NUM!</v>
      </c>
      <c r="L73" s="129" t="e">
        <f ca="1">L$72/IN_rooms!U$4</f>
        <v>#NUM!</v>
      </c>
      <c r="M73" s="129" t="e">
        <f ca="1">M$72/IN_rooms!V$4</f>
        <v>#NUM!</v>
      </c>
      <c r="N73" s="129" t="e">
        <f ca="1">N$72/IN_rooms!W$4</f>
        <v>#NUM!</v>
      </c>
      <c r="O73" s="129" t="e">
        <f ca="1">O$72/IN_rooms!X$4</f>
        <v>#NUM!</v>
      </c>
      <c r="P73" s="129" t="e">
        <f ca="1">P$72/IN_rooms!Y$4</f>
        <v>#NUM!</v>
      </c>
      <c r="Q73" s="129" t="e">
        <f ca="1">Q$72/IN_rooms!Z$4</f>
        <v>#NUM!</v>
      </c>
      <c r="R73" s="129" t="e">
        <f ca="1">R$72/IN_rooms!AA$4</f>
        <v>#NUM!</v>
      </c>
      <c r="S73" s="129" t="e">
        <f ca="1">S$72/IN_rooms!AB$4</f>
        <v>#NUM!</v>
      </c>
      <c r="T73" s="129" t="e">
        <f ca="1">T$72/IN_rooms!AC$4</f>
        <v>#NUM!</v>
      </c>
      <c r="U73" s="129" t="e">
        <f ca="1">U$72/IN_rooms!AD$4</f>
        <v>#NUM!</v>
      </c>
      <c r="V73" s="129" t="e">
        <f ca="1">V$72/IN_rooms!AE$4</f>
        <v>#NUM!</v>
      </c>
      <c r="W73" s="129" t="e">
        <f ca="1">W$72/IN_rooms!AF$4</f>
        <v>#NUM!</v>
      </c>
    </row>
    <row r="74" spans="1:23" ht="15.75" thickBot="1">
      <c r="A74" t="s">
        <v>552</v>
      </c>
      <c r="E74" t="s">
        <v>553</v>
      </c>
      <c r="I74" s="166" t="e" cm="1">
        <f t="array" aca="1" ref="I74" ca="1">_xlfn.IFS(I$73&lt;Daten!$E$112,clc_load!I$72*(1-Daten!$F$112),AND(clc_load!I$73&gt;=Daten!$E$112,clc_load!I$73&lt;Daten!$E$113),clc_load!I$72*(1-Daten!$F$113),AND(clc_load!I$73&gt;=Daten!$E$113,clc_load!I$73&lt;Daten!$E$114),clc_load!I$72*(1-Daten!$F$114),I$73&gt;=Daten!$E$114,clc_load!I$72)</f>
        <v>#NUM!</v>
      </c>
      <c r="J74" s="129" t="e" cm="1">
        <f t="array" aca="1" ref="J74" ca="1">_xlfn.IFS(J$73&lt;Daten!$E$112,clc_load!J$72*(1-Daten!$F$112),AND(clc_load!J$73&gt;=Daten!$E$112,clc_load!J$73&lt;Daten!$E$113),clc_load!J$72*(1-Daten!$F$113),AND(clc_load!J$73&gt;=Daten!$E$113,clc_load!J$73&lt;Daten!$E$114),clc_load!J$72*(1-Daten!$F$114),J$73&gt;=Daten!$E$114,clc_load!J$72)</f>
        <v>#NUM!</v>
      </c>
      <c r="K74" s="163" t="e" cm="1">
        <f t="array" aca="1" ref="K74" ca="1">_xlfn.IFS(K$73&lt;Daten!$E$112,clc_load!K$72*(1-Daten!$F$112),AND(clc_load!K$73&gt;=Daten!$E$112,clc_load!K$73&lt;Daten!$E$113),clc_load!K$72*(1-Daten!$F$113),AND(clc_load!K$73&gt;=Daten!$E$113,clc_load!K$73&lt;Daten!$E$114),clc_load!K$72*(1-Daten!$F$114),K$73&gt;=Daten!$E$114,clc_load!K$72)</f>
        <v>#NUM!</v>
      </c>
      <c r="L74" s="129" t="e" cm="1">
        <f t="array" aca="1" ref="L74" ca="1">_xlfn.IFS(L$73&lt;Daten!$E$112,clc_load!L$72*(1-Daten!$F$112),AND(clc_load!L$73&gt;=Daten!$E$112,clc_load!L$73&lt;Daten!$E$113),clc_load!L$72*(1-Daten!$F$113),AND(clc_load!L$73&gt;=Daten!$E$113,clc_load!L$73&lt;Daten!$E$114),clc_load!L$72*(1-Daten!$F$114),L$73&gt;=Daten!$E$114,clc_load!L$72)</f>
        <v>#NUM!</v>
      </c>
      <c r="M74" s="129" t="e" cm="1">
        <f t="array" aca="1" ref="M74" ca="1">_xlfn.IFS(M$73&lt;Daten!$E$112,clc_load!M$72*(1-Daten!$F$112),AND(clc_load!M$73&gt;=Daten!$E$112,clc_load!M$73&lt;Daten!$E$113),clc_load!M$72*(1-Daten!$F$113),AND(clc_load!M$73&gt;=Daten!$E$113,clc_load!M$73&lt;Daten!$E$114),clc_load!M$72*(1-Daten!$F$114),M$73&gt;=Daten!$E$114,clc_load!M$72)</f>
        <v>#NUM!</v>
      </c>
      <c r="N74" s="129" t="e" cm="1">
        <f t="array" aca="1" ref="N74" ca="1">_xlfn.IFS(N$73&lt;Daten!$E$112,clc_load!N$72*(1-Daten!$F$112),AND(clc_load!N$73&gt;=Daten!$E$112,clc_load!N$73&lt;Daten!$E$113),clc_load!N$72*(1-Daten!$F$113),AND(clc_load!N$73&gt;=Daten!$E$113,clc_load!N$73&lt;Daten!$E$114),clc_load!N$72*(1-Daten!$F$114),N$73&gt;=Daten!$E$114,clc_load!N$72)</f>
        <v>#NUM!</v>
      </c>
      <c r="O74" s="129" t="e" cm="1">
        <f t="array" aca="1" ref="O74" ca="1">_xlfn.IFS(O$73&lt;Daten!$E$112,clc_load!O$72*(1-Daten!$F$112),AND(clc_load!O$73&gt;=Daten!$E$112,clc_load!O$73&lt;Daten!$E$113),clc_load!O$72*(1-Daten!$F$113),AND(clc_load!O$73&gt;=Daten!$E$113,clc_load!O$73&lt;Daten!$E$114),clc_load!O$72*(1-Daten!$F$114),O$73&gt;=Daten!$E$114,clc_load!O$72)</f>
        <v>#NUM!</v>
      </c>
      <c r="P74" s="129" t="e" cm="1">
        <f t="array" aca="1" ref="P74" ca="1">_xlfn.IFS(P$73&lt;Daten!$E$112,clc_load!P$72*(1-Daten!$F$112),AND(clc_load!P$73&gt;=Daten!$E$112,clc_load!P$73&lt;Daten!$E$113),clc_load!P$72*(1-Daten!$F$113),AND(clc_load!P$73&gt;=Daten!$E$113,clc_load!P$73&lt;Daten!$E$114),clc_load!P$72*(1-Daten!$F$114),P$73&gt;=Daten!$E$114,clc_load!P$72)</f>
        <v>#NUM!</v>
      </c>
      <c r="Q74" s="129" t="e" cm="1">
        <f t="array" aca="1" ref="Q74" ca="1">_xlfn.IFS(Q$73&lt;Daten!$E$112,clc_load!Q$72*(1-Daten!$F$112),AND(clc_load!Q$73&gt;=Daten!$E$112,clc_load!Q$73&lt;Daten!$E$113),clc_load!Q$72*(1-Daten!$F$113),AND(clc_load!Q$73&gt;=Daten!$E$113,clc_load!Q$73&lt;Daten!$E$114),clc_load!Q$72*(1-Daten!$F$114),Q$73&gt;=Daten!$E$114,clc_load!Q$72)</f>
        <v>#NUM!</v>
      </c>
      <c r="R74" s="129" t="e" cm="1">
        <f t="array" aca="1" ref="R74" ca="1">_xlfn.IFS(R$73&lt;Daten!$E$112,clc_load!R$72*(1-Daten!$F$112),AND(clc_load!R$73&gt;=Daten!$E$112,clc_load!R$73&lt;Daten!$E$113),clc_load!R$72*(1-Daten!$F$113),AND(clc_load!R$73&gt;=Daten!$E$113,clc_load!R$73&lt;Daten!$E$114),clc_load!R$72*(1-Daten!$F$114),R$73&gt;=Daten!$E$114,clc_load!R$72)</f>
        <v>#NUM!</v>
      </c>
      <c r="S74" s="129" t="e" cm="1">
        <f t="array" aca="1" ref="S74" ca="1">_xlfn.IFS(S$73&lt;Daten!$E$112,clc_load!S$72*(1-Daten!$F$112),AND(clc_load!S$73&gt;=Daten!$E$112,clc_load!S$73&lt;Daten!$E$113),clc_load!S$72*(1-Daten!$F$113),AND(clc_load!S$73&gt;=Daten!$E$113,clc_load!S$73&lt;Daten!$E$114),clc_load!S$72*(1-Daten!$F$114),S$73&gt;=Daten!$E$114,clc_load!S$72)</f>
        <v>#NUM!</v>
      </c>
      <c r="T74" s="129" t="e" cm="1">
        <f t="array" aca="1" ref="T74" ca="1">_xlfn.IFS(T$73&lt;Daten!$E$112,clc_load!T$72*(1-Daten!$F$112),AND(clc_load!T$73&gt;=Daten!$E$112,clc_load!T$73&lt;Daten!$E$113),clc_load!T$72*(1-Daten!$F$113),AND(clc_load!T$73&gt;=Daten!$E$113,clc_load!T$73&lt;Daten!$E$114),clc_load!T$72*(1-Daten!$F$114),T$73&gt;=Daten!$E$114,clc_load!T$72)</f>
        <v>#NUM!</v>
      </c>
      <c r="U74" s="129" t="e" cm="1">
        <f t="array" aca="1" ref="U74" ca="1">_xlfn.IFS(U$73&lt;Daten!$E$112,clc_load!U$72*(1-Daten!$F$112),AND(clc_load!U$73&gt;=Daten!$E$112,clc_load!U$73&lt;Daten!$E$113),clc_load!U$72*(1-Daten!$F$113),AND(clc_load!U$73&gt;=Daten!$E$113,clc_load!U$73&lt;Daten!$E$114),clc_load!U$72*(1-Daten!$F$114),U$73&gt;=Daten!$E$114,clc_load!U$72)</f>
        <v>#NUM!</v>
      </c>
      <c r="V74" s="129" t="e" cm="1">
        <f t="array" aca="1" ref="V74" ca="1">_xlfn.IFS(V$73&lt;Daten!$E$112,clc_load!V$72*(1-Daten!$F$112),AND(clc_load!V$73&gt;=Daten!$E$112,clc_load!V$73&lt;Daten!$E$113),clc_load!V$72*(1-Daten!$F$113),AND(clc_load!V$73&gt;=Daten!$E$113,clc_load!V$73&lt;Daten!$E$114),clc_load!V$72*(1-Daten!$F$114),V$73&gt;=Daten!$E$114,clc_load!V$72)</f>
        <v>#NUM!</v>
      </c>
      <c r="W74" s="129" t="e" cm="1">
        <f t="array" aca="1" ref="W74" ca="1">_xlfn.IFS(W$73&lt;Daten!$E$112,clc_load!W$72*(1-Daten!$F$112),AND(clc_load!W$73&gt;=Daten!$E$112,clc_load!W$73&lt;Daten!$E$113),clc_load!W$72*(1-Daten!$F$113),AND(clc_load!W$73&gt;=Daten!$E$113,clc_load!W$73&lt;Daten!$E$114),clc_load!W$72*(1-Daten!$F$114),W$73&gt;=Daten!$E$114,clc_load!W$72)</f>
        <v>#NUM!</v>
      </c>
    </row>
    <row r="75" spans="1:23" ht="15.75" thickBot="1">
      <c r="A75" t="s">
        <v>554</v>
      </c>
      <c r="E75" t="s">
        <v>555</v>
      </c>
      <c r="I75" s="166" t="e">
        <f ca="1">I$74/IN_rooms!R$4</f>
        <v>#NUM!</v>
      </c>
      <c r="J75" s="129" t="e">
        <f ca="1">J$74/IN_rooms!S$4</f>
        <v>#NUM!</v>
      </c>
      <c r="K75" s="163" t="e">
        <f ca="1">K$74/IN_rooms!T$4</f>
        <v>#NUM!</v>
      </c>
      <c r="L75" s="129" t="e">
        <f ca="1">L$74/IN_rooms!U$4</f>
        <v>#NUM!</v>
      </c>
      <c r="M75" s="129" t="e">
        <f ca="1">M$74/IN_rooms!V$4</f>
        <v>#NUM!</v>
      </c>
      <c r="N75" s="129" t="e">
        <f ca="1">N$74/IN_rooms!W$4</f>
        <v>#NUM!</v>
      </c>
      <c r="O75" s="129" t="e">
        <f ca="1">O$74/IN_rooms!X$4</f>
        <v>#NUM!</v>
      </c>
      <c r="P75" s="129" t="e">
        <f ca="1">P$74/IN_rooms!Y$4</f>
        <v>#NUM!</v>
      </c>
      <c r="Q75" s="129" t="e">
        <f ca="1">Q$74/IN_rooms!Z$4</f>
        <v>#NUM!</v>
      </c>
      <c r="R75" s="129" t="e">
        <f ca="1">R$74/IN_rooms!AA$4</f>
        <v>#NUM!</v>
      </c>
      <c r="S75" s="129" t="e">
        <f ca="1">S$74/IN_rooms!AB$4</f>
        <v>#NUM!</v>
      </c>
      <c r="T75" s="129" t="e">
        <f ca="1">T$74/IN_rooms!AC$4</f>
        <v>#NUM!</v>
      </c>
      <c r="U75" s="129" t="e">
        <f ca="1">U$74/IN_rooms!AD$4</f>
        <v>#NUM!</v>
      </c>
      <c r="V75" s="129" t="e">
        <f ca="1">V$74/IN_rooms!AE$4</f>
        <v>#NUM!</v>
      </c>
      <c r="W75" s="129" t="e">
        <f ca="1">W$74/IN_rooms!AF$4</f>
        <v>#NUM!</v>
      </c>
    </row>
    <row r="76" spans="1:23" ht="15.75" thickBot="1">
      <c r="A76" t="s">
        <v>556</v>
      </c>
      <c r="E76" t="s">
        <v>557</v>
      </c>
      <c r="I76" s="164" t="e">
        <f t="shared" ref="I76:W76" ca="1" si="22">SUMIF($B$3:$B$71,$B$18,I$3:I$71)</f>
        <v>#NUM!</v>
      </c>
      <c r="J76" s="76" t="e">
        <f t="shared" ca="1" si="22"/>
        <v>#NUM!</v>
      </c>
      <c r="K76" s="164" t="e">
        <f t="shared" ca="1" si="22"/>
        <v>#NUM!</v>
      </c>
      <c r="L76" s="76" t="e">
        <f t="shared" ca="1" si="22"/>
        <v>#NUM!</v>
      </c>
      <c r="M76" s="76" t="e">
        <f t="shared" ca="1" si="22"/>
        <v>#NUM!</v>
      </c>
      <c r="N76" s="76" t="e">
        <f t="shared" ca="1" si="22"/>
        <v>#NUM!</v>
      </c>
      <c r="O76" s="76" t="e">
        <f t="shared" ca="1" si="22"/>
        <v>#NUM!</v>
      </c>
      <c r="P76" s="76" t="e">
        <f t="shared" ca="1" si="22"/>
        <v>#NUM!</v>
      </c>
      <c r="Q76" s="76" t="e">
        <f t="shared" ca="1" si="22"/>
        <v>#NUM!</v>
      </c>
      <c r="R76" s="76" t="e">
        <f t="shared" ca="1" si="22"/>
        <v>#NUM!</v>
      </c>
      <c r="S76" s="76" t="e">
        <f t="shared" ca="1" si="22"/>
        <v>#NUM!</v>
      </c>
      <c r="T76" s="76" t="e">
        <f t="shared" ca="1" si="22"/>
        <v>#NUM!</v>
      </c>
      <c r="U76" s="76" t="e">
        <f t="shared" ca="1" si="22"/>
        <v>#NUM!</v>
      </c>
      <c r="V76" s="76" t="e">
        <f t="shared" ca="1" si="22"/>
        <v>#NUM!</v>
      </c>
      <c r="W76" s="76" t="e">
        <f t="shared" ca="1" si="22"/>
        <v>#NUM!</v>
      </c>
    </row>
  </sheetData>
  <autoFilter ref="A1:Q76" xr:uid="{EB4FAE0D-41F1-417C-913C-795186D59B2F}"/>
  <phoneticPr fontId="10" type="noConversion"/>
  <conditionalFormatting sqref="A1:A1048576">
    <cfRule type="expression" dxfId="83" priority="54">
      <formula>#REF!="x"</formula>
    </cfRule>
  </conditionalFormatting>
  <conditionalFormatting sqref="B1:B31 B42:B1048576">
    <cfRule type="expression" dxfId="82" priority="56">
      <formula>C1="x"</formula>
    </cfRule>
  </conditionalFormatting>
  <conditionalFormatting sqref="B32:B36 B39">
    <cfRule type="expression" dxfId="81" priority="1">
      <formula>#REF!="x"</formula>
    </cfRule>
  </conditionalFormatting>
  <conditionalFormatting sqref="B37:B38">
    <cfRule type="expression" dxfId="80" priority="33">
      <formula>C32="x"</formula>
    </cfRule>
  </conditionalFormatting>
  <conditionalFormatting sqref="B40:B41">
    <cfRule type="expression" dxfId="79" priority="50">
      <formula>C35="x"</formula>
    </cfRule>
  </conditionalFormatting>
  <conditionalFormatting sqref="E14:E17 E19:E22 E26:E29 E31:E35 D42:D71">
    <cfRule type="expression" dxfId="78" priority="3">
      <formula>F14="x"</formula>
    </cfRule>
  </conditionalFormatting>
  <conditionalFormatting sqref="E40">
    <cfRule type="expression" dxfId="77" priority="13">
      <formula>G40="x"</formula>
    </cfRule>
  </conditionalFormatting>
  <conditionalFormatting sqref="E42:E46">
    <cfRule type="expression" dxfId="76" priority="12">
      <formula>G42="x"</formula>
    </cfRule>
  </conditionalFormatting>
  <conditionalFormatting sqref="E48:E52">
    <cfRule type="expression" dxfId="75" priority="10">
      <formula>G48="x"</formula>
    </cfRule>
  </conditionalFormatting>
  <conditionalFormatting sqref="E54:E58">
    <cfRule type="expression" dxfId="74" priority="8">
      <formula>G54="x"</formula>
    </cfRule>
  </conditionalFormatting>
  <conditionalFormatting sqref="E60:E64 E66:E70">
    <cfRule type="expression" dxfId="73" priority="6">
      <formula>G60="x"</formula>
    </cfRule>
  </conditionalFormatting>
  <conditionalFormatting sqref="E72:E76">
    <cfRule type="expression" dxfId="72" priority="2">
      <formula>G72="x"</formula>
    </cfRule>
  </conditionalFormatting>
  <conditionalFormatting sqref="E37:F39">
    <cfRule type="expression" dxfId="71" priority="14">
      <formula>G37="x"</formula>
    </cfRule>
  </conditionalFormatting>
  <conditionalFormatting sqref="F31 F47">
    <cfRule type="expression" dxfId="70" priority="16">
      <formula>H31="x"</formula>
    </cfRule>
  </conditionalFormatting>
  <conditionalFormatting sqref="F40:F41">
    <cfRule type="expression" dxfId="69" priority="15">
      <formula>H40="x"</formula>
    </cfRule>
  </conditionalFormatting>
  <conditionalFormatting sqref="F53">
    <cfRule type="expression" dxfId="68" priority="11">
      <formula>H53="x"</formula>
    </cfRule>
  </conditionalFormatting>
  <conditionalFormatting sqref="F59">
    <cfRule type="expression" dxfId="67" priority="9">
      <formula>H59="x"</formula>
    </cfRule>
  </conditionalFormatting>
  <conditionalFormatting sqref="F65 F71">
    <cfRule type="expression" dxfId="66" priority="5">
      <formula>H65="x"</formula>
    </cfRule>
  </conditionalFormatting>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C13C-D85B-4E7C-8518-90573A3F2FC3}">
  <sheetPr>
    <tabColor theme="8"/>
  </sheetPr>
  <dimension ref="A1:U211"/>
  <sheetViews>
    <sheetView topLeftCell="B1" zoomScaleNormal="100" workbookViewId="0">
      <selection activeCell="G8" sqref="G8"/>
    </sheetView>
  </sheetViews>
  <sheetFormatPr defaultColWidth="11.42578125" defaultRowHeight="15"/>
  <cols>
    <col min="1" max="1" width="61.7109375" customWidth="1"/>
    <col min="4" max="4" width="28.42578125" bestFit="1" customWidth="1"/>
    <col min="6" max="6" width="27.42578125" hidden="1" customWidth="1"/>
    <col min="7" max="7" width="16.140625" customWidth="1"/>
  </cols>
  <sheetData>
    <row r="1" spans="1:21" ht="15.75" thickBot="1">
      <c r="A1" s="71" t="s">
        <v>0</v>
      </c>
      <c r="B1" s="71" t="s">
        <v>210</v>
      </c>
      <c r="C1" s="71" t="s">
        <v>211</v>
      </c>
      <c r="D1" s="71" t="s">
        <v>212</v>
      </c>
      <c r="E1" s="71" t="s">
        <v>2</v>
      </c>
      <c r="F1" s="71" t="s">
        <v>457</v>
      </c>
      <c r="G1" s="71" t="s">
        <v>292</v>
      </c>
      <c r="H1" s="6" t="str">
        <f>"Raum"&amp;" "&amp;H$2</f>
        <v>Raum 2</v>
      </c>
      <c r="I1" s="6" t="str">
        <f t="shared" ref="I1:U1" si="0">"Raum"&amp;" "&amp;I$2</f>
        <v>Raum 3</v>
      </c>
      <c r="J1" s="6" t="str">
        <f t="shared" si="0"/>
        <v>Raum 4</v>
      </c>
      <c r="K1" s="6" t="str">
        <f t="shared" si="0"/>
        <v>Raum 5</v>
      </c>
      <c r="L1" s="6" t="str">
        <f t="shared" si="0"/>
        <v>Raum 6</v>
      </c>
      <c r="M1" s="6" t="str">
        <f t="shared" si="0"/>
        <v>Raum 7</v>
      </c>
      <c r="N1" s="6" t="str">
        <f t="shared" si="0"/>
        <v>Raum 8</v>
      </c>
      <c r="O1" s="6" t="str">
        <f t="shared" si="0"/>
        <v>Raum 9</v>
      </c>
      <c r="P1" s="6" t="str">
        <f t="shared" si="0"/>
        <v>Raum 10</v>
      </c>
      <c r="Q1" s="6" t="str">
        <f t="shared" si="0"/>
        <v>Raum 11</v>
      </c>
      <c r="R1" s="6" t="str">
        <f t="shared" si="0"/>
        <v>Raum 12</v>
      </c>
      <c r="S1" s="6" t="str">
        <f t="shared" si="0"/>
        <v>Raum 13</v>
      </c>
      <c r="T1" s="6" t="str">
        <f t="shared" si="0"/>
        <v>Raum 14</v>
      </c>
      <c r="U1" s="6" t="str">
        <f t="shared" si="0"/>
        <v>Raum 15</v>
      </c>
    </row>
    <row r="2" spans="1:21" ht="15.75" thickBot="1">
      <c r="B2" t="s">
        <v>458</v>
      </c>
      <c r="D2" t="s">
        <v>293</v>
      </c>
      <c r="G2">
        <f>IN_rooms!R2</f>
        <v>1</v>
      </c>
      <c r="H2">
        <f>IN_rooms!S2</f>
        <v>2</v>
      </c>
      <c r="I2">
        <f>IN_rooms!T2</f>
        <v>3</v>
      </c>
      <c r="J2">
        <f>IN_rooms!U2</f>
        <v>4</v>
      </c>
      <c r="K2">
        <f>IN_rooms!V2</f>
        <v>5</v>
      </c>
      <c r="L2">
        <f>IN_rooms!W2</f>
        <v>6</v>
      </c>
      <c r="M2">
        <f>IN_rooms!X2</f>
        <v>7</v>
      </c>
      <c r="N2">
        <f>IN_rooms!Y2</f>
        <v>8</v>
      </c>
      <c r="O2">
        <f>IN_rooms!Z2</f>
        <v>9</v>
      </c>
      <c r="P2">
        <f>IN_rooms!AA2</f>
        <v>10</v>
      </c>
      <c r="Q2">
        <f>IN_rooms!AB2</f>
        <v>11</v>
      </c>
      <c r="R2">
        <f>IN_rooms!AC2</f>
        <v>12</v>
      </c>
      <c r="S2">
        <f>IN_rooms!AD2</f>
        <v>13</v>
      </c>
      <c r="T2">
        <f>IN_rooms!AE2</f>
        <v>14</v>
      </c>
      <c r="U2">
        <f>IN_rooms!AF2</f>
        <v>15</v>
      </c>
    </row>
    <row r="3" spans="1:21" ht="15.75" thickBot="1">
      <c r="A3" s="27" t="s">
        <v>405</v>
      </c>
      <c r="B3" s="27" t="s">
        <v>403</v>
      </c>
      <c r="C3" s="27" t="s">
        <v>148</v>
      </c>
      <c r="D3" s="27" t="s">
        <v>558</v>
      </c>
      <c r="E3" s="27"/>
      <c r="G3" s="5" t="str">
        <f>IF(OR(IN_rooms!R$49="Flachheizkoerper_glatt",IN_rooms!R$49="Flachheizkoerper_senkrecht_profiliert"),IN_rooms!R$49,"")</f>
        <v/>
      </c>
      <c r="H3" s="5" t="str">
        <f>IF(OR(IN_rooms!S$49="Flachheizkoerper_glatt",IN_rooms!S$49="Flachheizkoerper_senkrecht_profiliert"),IN_rooms!S$49,"")</f>
        <v/>
      </c>
      <c r="I3" s="5" t="str">
        <f>IF(OR(IN_rooms!T$49="Flachheizkoerper_glatt",IN_rooms!T$49="Flachheizkoerper_senkrecht_profiliert"),IN_rooms!T$49,"")</f>
        <v/>
      </c>
      <c r="J3" s="5" t="str">
        <f>IF(OR(IN_rooms!U$49="Flachheizkoerper_glatt",IN_rooms!U$49="Flachheizkoerper_senkrecht_profiliert"),IN_rooms!U$49,"")</f>
        <v/>
      </c>
      <c r="K3" s="5" t="str">
        <f>IF(OR(IN_rooms!V$49="Flachheizkoerper_glatt",IN_rooms!V$49="Flachheizkoerper_senkrecht_profiliert"),IN_rooms!V$49,"")</f>
        <v/>
      </c>
      <c r="L3" s="5" t="str">
        <f>IF(OR(IN_rooms!W$49="Flachheizkoerper_glatt",IN_rooms!W$49="Flachheizkoerper_senkrecht_profiliert"),IN_rooms!W$49,"")</f>
        <v/>
      </c>
      <c r="M3" s="5" t="str">
        <f>IF(OR(IN_rooms!X$49="Flachheizkoerper_glatt",IN_rooms!X$49="Flachheizkoerper_senkrecht_profiliert"),IN_rooms!X$49,"")</f>
        <v/>
      </c>
      <c r="N3" s="5" t="str">
        <f>IF(OR(IN_rooms!Y$49="Flachheizkoerper_glatt",IN_rooms!Y$49="Flachheizkoerper_senkrecht_profiliert"),IN_rooms!Y$49,"")</f>
        <v/>
      </c>
      <c r="O3" s="5" t="str">
        <f>IF(OR(IN_rooms!Z$49="Flachheizkoerper_glatt",IN_rooms!Z$49="Flachheizkoerper_senkrecht_profiliert"),IN_rooms!Z$49,"")</f>
        <v/>
      </c>
      <c r="P3" s="5" t="str">
        <f>IF(OR(IN_rooms!AA$49="Flachheizkoerper_glatt",IN_rooms!AA$49="Flachheizkoerper_senkrecht_profiliert"),IN_rooms!AA$49,"")</f>
        <v/>
      </c>
      <c r="Q3" s="5" t="str">
        <f>IF(OR(IN_rooms!AB$49="Flachheizkoerper_glatt",IN_rooms!AB$49="Flachheizkoerper_senkrecht_profiliert"),IN_rooms!AB$49,"")</f>
        <v/>
      </c>
      <c r="R3" s="5" t="str">
        <f>IF(OR(IN_rooms!AC$49="Flachheizkoerper_glatt",IN_rooms!AC$49="Flachheizkoerper_senkrecht_profiliert"),IN_rooms!AC$49,"")</f>
        <v/>
      </c>
      <c r="S3" s="5" t="str">
        <f>IF(OR(IN_rooms!AD$49="Flachheizkoerper_glatt",IN_rooms!AD$49="Flachheizkoerper_senkrecht_profiliert"),IN_rooms!AD$49,"")</f>
        <v/>
      </c>
      <c r="T3" s="5" t="str">
        <f>IF(OR(IN_rooms!AE$49="Flachheizkoerper_glatt",IN_rooms!AE$49="Flachheizkoerper_senkrecht_profiliert"),IN_rooms!AE$49,"")</f>
        <v/>
      </c>
      <c r="U3" s="5" t="str">
        <f>IF(OR(IN_rooms!AF$49="Flachheizkoerper_glatt",IN_rooms!AF$49="Flachheizkoerper_senkrecht_profiliert"),IN_rooms!AF$49,"")</f>
        <v/>
      </c>
    </row>
    <row r="4" spans="1:21" ht="15.75" thickBot="1">
      <c r="A4" s="27" t="s">
        <v>559</v>
      </c>
      <c r="B4" s="27" t="s">
        <v>403</v>
      </c>
      <c r="C4" s="27" t="s">
        <v>148</v>
      </c>
      <c r="D4" s="27" t="s">
        <v>560</v>
      </c>
      <c r="E4" s="27"/>
      <c r="G4" s="5">
        <f>IN_rooms!R$50</f>
        <v>0</v>
      </c>
      <c r="H4" s="5">
        <f>IN_rooms!S$50</f>
        <v>0</v>
      </c>
      <c r="I4" s="5">
        <f>IN_rooms!T$50</f>
        <v>0</v>
      </c>
      <c r="J4" s="5">
        <f>IN_rooms!U$50</f>
        <v>0</v>
      </c>
      <c r="K4" s="5">
        <f>IN_rooms!V$50</f>
        <v>0</v>
      </c>
      <c r="L4" s="5">
        <f>IN_rooms!W$50</f>
        <v>0</v>
      </c>
      <c r="M4" s="5">
        <f>IN_rooms!X$50</f>
        <v>0</v>
      </c>
      <c r="N4" s="5">
        <f>IN_rooms!Y$50</f>
        <v>0</v>
      </c>
      <c r="O4" s="5">
        <f>IN_rooms!Z$50</f>
        <v>0</v>
      </c>
      <c r="P4" s="5">
        <f>IN_rooms!AA$50</f>
        <v>0</v>
      </c>
      <c r="Q4" s="5">
        <f>IN_rooms!AB$50</f>
        <v>0</v>
      </c>
      <c r="R4" s="5">
        <f>IN_rooms!AC$50</f>
        <v>0</v>
      </c>
      <c r="S4" s="5">
        <f>IN_rooms!AD$50</f>
        <v>0</v>
      </c>
      <c r="T4" s="5">
        <f>IN_rooms!AE$50</f>
        <v>0</v>
      </c>
      <c r="U4" s="5">
        <f>IN_rooms!AF$50</f>
        <v>0</v>
      </c>
    </row>
    <row r="5" spans="1:21" ht="15.75" thickBot="1">
      <c r="A5" s="27" t="s">
        <v>561</v>
      </c>
      <c r="B5" s="27" t="s">
        <v>403</v>
      </c>
      <c r="C5" s="27" t="s">
        <v>148</v>
      </c>
      <c r="D5" s="27" t="s">
        <v>562</v>
      </c>
      <c r="E5" s="27" t="s">
        <v>409</v>
      </c>
      <c r="G5" s="5">
        <f>IN_rooms!R$51</f>
        <v>0</v>
      </c>
      <c r="H5" s="5">
        <f>IN_rooms!S$51</f>
        <v>0</v>
      </c>
      <c r="I5" s="5">
        <f>IN_rooms!T$51</f>
        <v>0</v>
      </c>
      <c r="J5" s="5">
        <f>IN_rooms!U$51</f>
        <v>0</v>
      </c>
      <c r="K5" s="5">
        <f>IN_rooms!V$51</f>
        <v>0</v>
      </c>
      <c r="L5" s="5">
        <f>IN_rooms!W$51</f>
        <v>0</v>
      </c>
      <c r="M5" s="5">
        <f>IN_rooms!X$51</f>
        <v>0</v>
      </c>
      <c r="N5" s="5">
        <f>IN_rooms!Y$51</f>
        <v>0</v>
      </c>
      <c r="O5" s="5">
        <f>IN_rooms!Z$51</f>
        <v>0</v>
      </c>
      <c r="P5" s="5">
        <f>IN_rooms!AA$51</f>
        <v>0</v>
      </c>
      <c r="Q5" s="5">
        <f>IN_rooms!AB$51</f>
        <v>0</v>
      </c>
      <c r="R5" s="5">
        <f>IN_rooms!AC$51</f>
        <v>0</v>
      </c>
      <c r="S5" s="5">
        <f>IN_rooms!AD$51</f>
        <v>0</v>
      </c>
      <c r="T5" s="5">
        <f>IN_rooms!AE$51</f>
        <v>0</v>
      </c>
      <c r="U5" s="5">
        <f>IN_rooms!AF$51</f>
        <v>0</v>
      </c>
    </row>
    <row r="6" spans="1:21" ht="15.75" thickBot="1">
      <c r="A6" s="27" t="s">
        <v>175</v>
      </c>
      <c r="B6" s="27" t="s">
        <v>403</v>
      </c>
      <c r="C6" s="27" t="s">
        <v>148</v>
      </c>
      <c r="D6" s="27" t="s">
        <v>563</v>
      </c>
      <c r="E6" s="27" t="s">
        <v>409</v>
      </c>
      <c r="G6" s="5">
        <f>IN_rooms!R$52</f>
        <v>0</v>
      </c>
      <c r="H6" s="5">
        <f>IN_rooms!S$52</f>
        <v>0</v>
      </c>
      <c r="I6" s="5">
        <f>IN_rooms!T$52</f>
        <v>0</v>
      </c>
      <c r="J6" s="5">
        <f>IN_rooms!U$52</f>
        <v>0</v>
      </c>
      <c r="K6" s="5">
        <f>IN_rooms!V$52</f>
        <v>0</v>
      </c>
      <c r="L6" s="5">
        <f>IN_rooms!W$52</f>
        <v>0</v>
      </c>
      <c r="M6" s="5">
        <f>IN_rooms!X$52</f>
        <v>0</v>
      </c>
      <c r="N6" s="5">
        <f>IN_rooms!Y$52</f>
        <v>0</v>
      </c>
      <c r="O6" s="5">
        <f>IN_rooms!Z$52</f>
        <v>0</v>
      </c>
      <c r="P6" s="5">
        <f>IN_rooms!AA$52</f>
        <v>0</v>
      </c>
      <c r="Q6" s="5">
        <f>IN_rooms!AB$52</f>
        <v>0</v>
      </c>
      <c r="R6" s="5">
        <f>IN_rooms!AC$52</f>
        <v>0</v>
      </c>
      <c r="S6" s="5">
        <f>IN_rooms!AD$52</f>
        <v>0</v>
      </c>
      <c r="T6" s="5">
        <f>IN_rooms!AE$52</f>
        <v>0</v>
      </c>
      <c r="U6" s="5">
        <f>IN_rooms!AF$52</f>
        <v>0</v>
      </c>
    </row>
    <row r="7" spans="1:21" ht="15.75" thickBot="1">
      <c r="A7" s="27" t="s">
        <v>412</v>
      </c>
      <c r="B7" s="27" t="s">
        <v>403</v>
      </c>
      <c r="C7" s="27" t="s">
        <v>148</v>
      </c>
      <c r="D7" s="27" t="s">
        <v>564</v>
      </c>
      <c r="E7" s="27" t="s">
        <v>409</v>
      </c>
      <c r="G7" s="5">
        <f>IF(G4=0,0,_xlfn.XLOOKUP(G4&amp;"_Tiefe",Daten!$K$14:$Q$14,Daten!$K$15:$Q$15))</f>
        <v>0</v>
      </c>
      <c r="H7" s="5">
        <f>IF(H4=0,0,_xlfn.XLOOKUP(H4&amp;"_Tiefe",Daten!$K$14:$Q$14,Daten!$K$15:$Q$15))</f>
        <v>0</v>
      </c>
      <c r="I7" s="5">
        <f>IF(I4=0,0,_xlfn.XLOOKUP(I4&amp;"_Tiefe",Daten!$K$14:$Q$14,Daten!$K$15:$Q$15))</f>
        <v>0</v>
      </c>
      <c r="J7" s="5">
        <f>IF(J4=0,0,_xlfn.XLOOKUP(J4&amp;"_Tiefe",Daten!$K$14:$Q$14,Daten!$K$15:$Q$15))</f>
        <v>0</v>
      </c>
      <c r="K7" s="5">
        <f>IF(K4=0,0,_xlfn.XLOOKUP(K4&amp;"_Tiefe",Daten!$K$14:$Q$14,Daten!$K$15:$Q$15))</f>
        <v>0</v>
      </c>
      <c r="L7" s="5">
        <f>IF(L4=0,0,_xlfn.XLOOKUP(L4&amp;"_Tiefe",Daten!$K$14:$Q$14,Daten!$K$15:$Q$15))</f>
        <v>0</v>
      </c>
      <c r="M7" s="5">
        <f>IF(M4=0,0,_xlfn.XLOOKUP(M4&amp;"_Tiefe",Daten!$K$14:$Q$14,Daten!$K$15:$Q$15))</f>
        <v>0</v>
      </c>
      <c r="N7" s="5">
        <f>IF(N4=0,0,_xlfn.XLOOKUP(N4&amp;"_Tiefe",Daten!$K$14:$Q$14,Daten!$K$15:$Q$15))</f>
        <v>0</v>
      </c>
      <c r="O7" s="5">
        <f>IF(O4=0,0,_xlfn.XLOOKUP(O4&amp;"_Tiefe",Daten!$K$14:$Q$14,Daten!$K$15:$Q$15))</f>
        <v>0</v>
      </c>
      <c r="P7" s="5">
        <f>IF(P4=0,0,_xlfn.XLOOKUP(P4&amp;"_Tiefe",Daten!$K$14:$Q$14,Daten!$K$15:$Q$15))</f>
        <v>0</v>
      </c>
      <c r="Q7" s="5">
        <f>IF(Q4=0,0,_xlfn.XLOOKUP(Q4&amp;"_Tiefe",Daten!$K$14:$Q$14,Daten!$K$15:$Q$15))</f>
        <v>0</v>
      </c>
      <c r="R7" s="5">
        <f>IF(R4=0,0,_xlfn.XLOOKUP(R4&amp;"_Tiefe",Daten!$K$14:$Q$14,Daten!$K$15:$Q$15))</f>
        <v>0</v>
      </c>
      <c r="S7" s="5">
        <f>IF(S4=0,0,_xlfn.XLOOKUP(S4&amp;"_Tiefe",Daten!$K$14:$Q$14,Daten!$K$15:$Q$15))</f>
        <v>0</v>
      </c>
      <c r="T7" s="5">
        <f>IF(T4=0,0,_xlfn.XLOOKUP(T4&amp;"_Tiefe",Daten!$K$14:$Q$14,Daten!$K$15:$Q$15))</f>
        <v>0</v>
      </c>
      <c r="U7" s="5">
        <f>IF(U4=0,0,_xlfn.XLOOKUP(U4&amp;"_Tiefe",Daten!$K$14:$Q$14,Daten!$K$15:$Q$15))</f>
        <v>0</v>
      </c>
    </row>
    <row r="8" spans="1:21" ht="15.75" thickBot="1">
      <c r="A8" s="27" t="s">
        <v>565</v>
      </c>
      <c r="B8" s="27" t="s">
        <v>403</v>
      </c>
      <c r="C8" s="27" t="s">
        <v>148</v>
      </c>
      <c r="D8" s="27" t="s">
        <v>566</v>
      </c>
      <c r="E8" s="27"/>
      <c r="G8" s="5">
        <f ca="1">SUMIFS(
  INDIRECT("tabelle1[Heizkörperexponent n ]"),
  INDIRECT("tabelle1[Heizkörper_Typ]"), clc_power!G$3,
  INDIRECT("tabelle1[Heizkörper_Subtyp]"), clc_power!G$4,
  INDIRECT("tabelle1[Höhe H in mm]"), clc_power!G$5,
  INDIRECT("tabelle1[Bautiefe T in mm]"), clc_power!G$7
)</f>
        <v>0</v>
      </c>
      <c r="H8" s="5">
        <f ca="1">SUMIFS(
  INDIRECT("tabelle1[Heizkörperexponent n ]"),
  INDIRECT("tabelle1[Heizkörper_Typ]"), clc_power!H$3,
  INDIRECT("tabelle1[Heizkörper_Subtyp]"), clc_power!H$4,
  INDIRECT("tabelle1[Höhe H in mm]"), clc_power!H$5,
  INDIRECT("tabelle1[Bautiefe T in mm]"), clc_power!H$7
)</f>
        <v>0</v>
      </c>
      <c r="I8" s="5">
        <f ca="1">SUMIFS(
  INDIRECT("tabelle1[Heizkörperexponent n ]"),
  INDIRECT("tabelle1[Heizkörper_Typ]"), clc_power!I$3,
  INDIRECT("tabelle1[Heizkörper_Subtyp]"), clc_power!I$4,
  INDIRECT("tabelle1[Höhe H in mm]"), clc_power!I$5,
  INDIRECT("tabelle1[Bautiefe T in mm]"), clc_power!I$7
)</f>
        <v>0</v>
      </c>
      <c r="J8" s="5">
        <f ca="1">SUMIFS(
  INDIRECT("tabelle1[Heizkörperexponent n ]"),
  INDIRECT("tabelle1[Heizkörper_Typ]"), clc_power!J$3,
  INDIRECT("tabelle1[Heizkörper_Subtyp]"), clc_power!J$4,
  INDIRECT("tabelle1[Höhe H in mm]"), clc_power!J$5,
  INDIRECT("tabelle1[Bautiefe T in mm]"), clc_power!J$7
)</f>
        <v>0</v>
      </c>
      <c r="K8" s="5">
        <f ca="1">SUMIFS(
  INDIRECT("tabelle1[Heizkörperexponent n ]"),
  INDIRECT("tabelle1[Heizkörper_Typ]"), clc_power!K$3,
  INDIRECT("tabelle1[Heizkörper_Subtyp]"), clc_power!K$4,
  INDIRECT("tabelle1[Höhe H in mm]"), clc_power!K$5,
  INDIRECT("tabelle1[Bautiefe T in mm]"), clc_power!K$7
)</f>
        <v>0</v>
      </c>
      <c r="L8" s="5">
        <f ca="1">SUMIFS(
  INDIRECT("tabelle1[Heizkörperexponent n ]"),
  INDIRECT("tabelle1[Heizkörper_Typ]"), clc_power!L$3,
  INDIRECT("tabelle1[Heizkörper_Subtyp]"), clc_power!L$4,
  INDIRECT("tabelle1[Höhe H in mm]"), clc_power!L$5,
  INDIRECT("tabelle1[Bautiefe T in mm]"), clc_power!L$7
)</f>
        <v>0</v>
      </c>
      <c r="M8" s="5">
        <f ca="1">SUMIFS(
  INDIRECT("tabelle1[Heizkörperexponent n ]"),
  INDIRECT("tabelle1[Heizkörper_Typ]"), clc_power!M$3,
  INDIRECT("tabelle1[Heizkörper_Subtyp]"), clc_power!M$4,
  INDIRECT("tabelle1[Höhe H in mm]"), clc_power!M$5,
  INDIRECT("tabelle1[Bautiefe T in mm]"), clc_power!M$7
)</f>
        <v>0</v>
      </c>
      <c r="N8" s="5">
        <f ca="1">SUMIFS(
  INDIRECT("tabelle1[Heizkörperexponent n ]"),
  INDIRECT("tabelle1[Heizkörper_Typ]"), clc_power!N$3,
  INDIRECT("tabelle1[Heizkörper_Subtyp]"), clc_power!N$4,
  INDIRECT("tabelle1[Höhe H in mm]"), clc_power!N$5,
  INDIRECT("tabelle1[Bautiefe T in mm]"), clc_power!N$7
)</f>
        <v>0</v>
      </c>
      <c r="O8" s="5">
        <f ca="1">SUMIFS(
  INDIRECT("tabelle1[Heizkörperexponent n ]"),
  INDIRECT("tabelle1[Heizkörper_Typ]"), clc_power!O$3,
  INDIRECT("tabelle1[Heizkörper_Subtyp]"), clc_power!O$4,
  INDIRECT("tabelle1[Höhe H in mm]"), clc_power!O$5,
  INDIRECT("tabelle1[Bautiefe T in mm]"), clc_power!O$7
)</f>
        <v>0</v>
      </c>
      <c r="P8" s="5">
        <f ca="1">SUMIFS(
  INDIRECT("tabelle1[Heizkörperexponent n ]"),
  INDIRECT("tabelle1[Heizkörper_Typ]"), clc_power!P$3,
  INDIRECT("tabelle1[Heizkörper_Subtyp]"), clc_power!P$4,
  INDIRECT("tabelle1[Höhe H in mm]"), clc_power!P$5,
  INDIRECT("tabelle1[Bautiefe T in mm]"), clc_power!P$7
)</f>
        <v>0</v>
      </c>
      <c r="Q8" s="5">
        <f ca="1">SUMIFS(
  INDIRECT("tabelle1[Heizkörperexponent n ]"),
  INDIRECT("tabelle1[Heizkörper_Typ]"), clc_power!Q$3,
  INDIRECT("tabelle1[Heizkörper_Subtyp]"), clc_power!Q$4,
  INDIRECT("tabelle1[Höhe H in mm]"), clc_power!Q$5,
  INDIRECT("tabelle1[Bautiefe T in mm]"), clc_power!Q$7
)</f>
        <v>0</v>
      </c>
      <c r="R8" s="5">
        <f ca="1">SUMIFS(
  INDIRECT("tabelle1[Heizkörperexponent n ]"),
  INDIRECT("tabelle1[Heizkörper_Typ]"), clc_power!R$3,
  INDIRECT("tabelle1[Heizkörper_Subtyp]"), clc_power!R$4,
  INDIRECT("tabelle1[Höhe H in mm]"), clc_power!R$5,
  INDIRECT("tabelle1[Bautiefe T in mm]"), clc_power!R$7
)</f>
        <v>0</v>
      </c>
      <c r="S8" s="5">
        <f ca="1">SUMIFS(
  INDIRECT("tabelle1[Heizkörperexponent n ]"),
  INDIRECT("tabelle1[Heizkörper_Typ]"), clc_power!S$3,
  INDIRECT("tabelle1[Heizkörper_Subtyp]"), clc_power!S$4,
  INDIRECT("tabelle1[Höhe H in mm]"), clc_power!S$5,
  INDIRECT("tabelle1[Bautiefe T in mm]"), clc_power!S$7
)</f>
        <v>0</v>
      </c>
      <c r="T8" s="5">
        <f ca="1">SUMIFS(
  INDIRECT("tabelle1[Heizkörperexponent n ]"),
  INDIRECT("tabelle1[Heizkörper_Typ]"), clc_power!T$3,
  INDIRECT("tabelle1[Heizkörper_Subtyp]"), clc_power!T$4,
  INDIRECT("tabelle1[Höhe H in mm]"), clc_power!T$5,
  INDIRECT("tabelle1[Bautiefe T in mm]"), clc_power!T$7
)</f>
        <v>0</v>
      </c>
      <c r="U8" s="5">
        <f ca="1">SUMIFS(
  INDIRECT("tabelle1[Heizkörperexponent n ]"),
  INDIRECT("tabelle1[Heizkörper_Typ]"), clc_power!U$3,
  INDIRECT("tabelle1[Heizkörper_Subtyp]"), clc_power!U$4,
  INDIRECT("tabelle1[Höhe H in mm]"), clc_power!U$5,
  INDIRECT("tabelle1[Bautiefe T in mm]"), clc_power!U$7
)</f>
        <v>0</v>
      </c>
    </row>
    <row r="9" spans="1:21" ht="18.75" customHeight="1" thickBot="1">
      <c r="A9" s="27" t="s">
        <v>567</v>
      </c>
      <c r="B9" s="27" t="s">
        <v>403</v>
      </c>
      <c r="C9" s="27" t="s">
        <v>148</v>
      </c>
      <c r="D9" s="27" t="s">
        <v>568</v>
      </c>
      <c r="E9" s="27" t="s">
        <v>31</v>
      </c>
      <c r="G9" s="5">
        <f ca="1">_xlfn.LET(
  _xlpm.leistung, IN_rooms!R$55 * SUMIFS(
    INDIRECT("tabelle1[Wärmeleistung (75/65/20)  in W/m]"),
    INDIRECT("tabelle1[Heizkörper_Typ]"), clc_power!G$3,
    INDIRECT("tabelle1[Heizkörper_Subtyp]"), clc_power!G$4,
    INDIRECT("tabelle1[Höhe H in mm]"), clc_power!G$5,
    INDIRECT("tabelle1[Bautiefe T in mm]"), clc_power!G$7  ) * G$6 / 1000,
  IF(_xlpm.leistung &gt; 0, _xlpm.leistung, 0)
)</f>
        <v>0</v>
      </c>
      <c r="H9" s="5">
        <f ca="1">_xlfn.LET(
  _xlpm.leistung, IN_rooms!S$55 * SUMIFS(
    INDIRECT("tabelle1[Wärmeleistung (75/65/20)  in W/m]"),
    INDIRECT("tabelle1[Heizkörper_Typ]"), clc_power!H$3,
    INDIRECT("tabelle1[Heizkörper_Subtyp]"), clc_power!H$4,
    INDIRECT("tabelle1[Höhe H in mm]"), clc_power!H$5,
    INDIRECT("tabelle1[Bautiefe T in mm]"), clc_power!H$7  ) * H$6 / 1000,
  IF(_xlpm.leistung &gt; 0, _xlpm.leistung, 0)
)</f>
        <v>0</v>
      </c>
      <c r="I9" s="5">
        <f ca="1">_xlfn.LET(
  _xlpm.leistung, IN_rooms!T$55 * SUMIFS(
    INDIRECT("tabelle1[Wärmeleistung (75/65/20)  in W/m]"),
    INDIRECT("tabelle1[Heizkörper_Typ]"), clc_power!I$3,
    INDIRECT("tabelle1[Heizkörper_Subtyp]"), clc_power!I$4,
    INDIRECT("tabelle1[Höhe H in mm]"), clc_power!I$5,
    INDIRECT("tabelle1[Bautiefe T in mm]"), clc_power!I$7  ) * I$6 / 1000,
  IF(_xlpm.leistung &gt; 0, _xlpm.leistung, 0)
)</f>
        <v>0</v>
      </c>
      <c r="J9" s="5">
        <f ca="1">_xlfn.LET(
  _xlpm.leistung, IN_rooms!U$55 * SUMIFS(
    INDIRECT("tabelle1[Wärmeleistung (75/65/20)  in W/m]"),
    INDIRECT("tabelle1[Heizkörper_Typ]"), clc_power!J$3,
    INDIRECT("tabelle1[Heizkörper_Subtyp]"), clc_power!J$4,
    INDIRECT("tabelle1[Höhe H in mm]"), clc_power!J$5,
    INDIRECT("tabelle1[Bautiefe T in mm]"), clc_power!J$7  ) * J$6 / 1000,
  IF(_xlpm.leistung &gt; 0, _xlpm.leistung, 0)
)</f>
        <v>0</v>
      </c>
      <c r="K9" s="5">
        <f ca="1">_xlfn.LET(
  _xlpm.leistung, IN_rooms!V$55 * SUMIFS(
    INDIRECT("tabelle1[Wärmeleistung (75/65/20)  in W/m]"),
    INDIRECT("tabelle1[Heizkörper_Typ]"), clc_power!K$3,
    INDIRECT("tabelle1[Heizkörper_Subtyp]"), clc_power!K$4,
    INDIRECT("tabelle1[Höhe H in mm]"), clc_power!K$5,
    INDIRECT("tabelle1[Bautiefe T in mm]"), clc_power!K$7  ) * K$6 / 1000,
  IF(_xlpm.leistung &gt; 0, _xlpm.leistung, 0)
)</f>
        <v>0</v>
      </c>
      <c r="L9" s="5">
        <f ca="1">_xlfn.LET(
  _xlpm.leistung, IN_rooms!W$55 * SUMIFS(
    INDIRECT("tabelle1[Wärmeleistung (75/65/20)  in W/m]"),
    INDIRECT("tabelle1[Heizkörper_Typ]"), clc_power!L$3,
    INDIRECT("tabelle1[Heizkörper_Subtyp]"), clc_power!L$4,
    INDIRECT("tabelle1[Höhe H in mm]"), clc_power!L$5,
    INDIRECT("tabelle1[Bautiefe T in mm]"), clc_power!L$7  ) * L$6 / 1000,
  IF(_xlpm.leistung &gt; 0, _xlpm.leistung, 0)
)</f>
        <v>0</v>
      </c>
      <c r="M9" s="5">
        <f ca="1">_xlfn.LET(
  _xlpm.leistung, IN_rooms!X$55 * SUMIFS(
    INDIRECT("tabelle1[Wärmeleistung (75/65/20)  in W/m]"),
    INDIRECT("tabelle1[Heizkörper_Typ]"), clc_power!M$3,
    INDIRECT("tabelle1[Heizkörper_Subtyp]"), clc_power!M$4,
    INDIRECT("tabelle1[Höhe H in mm]"), clc_power!M$5,
    INDIRECT("tabelle1[Bautiefe T in mm]"), clc_power!M$7  ) * M$6 / 1000,
  IF(_xlpm.leistung &gt; 0, _xlpm.leistung, 0)
)</f>
        <v>0</v>
      </c>
      <c r="N9" s="5">
        <f ca="1">_xlfn.LET(
  _xlpm.leistung, IN_rooms!Y$55 * SUMIFS(
    INDIRECT("tabelle1[Wärmeleistung (75/65/20)  in W/m]"),
    INDIRECT("tabelle1[Heizkörper_Typ]"), clc_power!N$3,
    INDIRECT("tabelle1[Heizkörper_Subtyp]"), clc_power!N$4,
    INDIRECT("tabelle1[Höhe H in mm]"), clc_power!N$5,
    INDIRECT("tabelle1[Bautiefe T in mm]"), clc_power!N$7  ) * N$6 / 1000,
  IF(_xlpm.leistung &gt; 0, _xlpm.leistung, 0)
)</f>
        <v>0</v>
      </c>
      <c r="O9" s="5">
        <f ca="1">_xlfn.LET(
  _xlpm.leistung, IN_rooms!Z$55 * SUMIFS(
    INDIRECT("tabelle1[Wärmeleistung (75/65/20)  in W/m]"),
    INDIRECT("tabelle1[Heizkörper_Typ]"), clc_power!O$3,
    INDIRECT("tabelle1[Heizkörper_Subtyp]"), clc_power!O$4,
    INDIRECT("tabelle1[Höhe H in mm]"), clc_power!O$5,
    INDIRECT("tabelle1[Bautiefe T in mm]"), clc_power!O$7  ) * O$6 / 1000,
  IF(_xlpm.leistung &gt; 0, _xlpm.leistung, 0)
)</f>
        <v>0</v>
      </c>
      <c r="P9" s="5">
        <f ca="1">_xlfn.LET(
  _xlpm.leistung, IN_rooms!AA$55 * SUMIFS(
    INDIRECT("tabelle1[Wärmeleistung (75/65/20)  in W/m]"),
    INDIRECT("tabelle1[Heizkörper_Typ]"), clc_power!P$3,
    INDIRECT("tabelle1[Heizkörper_Subtyp]"), clc_power!P$4,
    INDIRECT("tabelle1[Höhe H in mm]"), clc_power!P$5,
    INDIRECT("tabelle1[Bautiefe T in mm]"), clc_power!P$7  ) * P$6 / 1000,
  IF(_xlpm.leistung &gt; 0, _xlpm.leistung, 0)
)</f>
        <v>0</v>
      </c>
      <c r="Q9" s="5">
        <f ca="1">_xlfn.LET(
  _xlpm.leistung, IN_rooms!AB$55 * SUMIFS(
    INDIRECT("tabelle1[Wärmeleistung (75/65/20)  in W/m]"),
    INDIRECT("tabelle1[Heizkörper_Typ]"), clc_power!Q$3,
    INDIRECT("tabelle1[Heizkörper_Subtyp]"), clc_power!Q$4,
    INDIRECT("tabelle1[Höhe H in mm]"), clc_power!Q$5,
    INDIRECT("tabelle1[Bautiefe T in mm]"), clc_power!Q$7  ) * Q$6 / 1000,
  IF(_xlpm.leistung &gt; 0, _xlpm.leistung, 0)
)</f>
        <v>0</v>
      </c>
      <c r="R9" s="5">
        <f ca="1">_xlfn.LET(
  _xlpm.leistung, IN_rooms!AC$55 * SUMIFS(
    INDIRECT("tabelle1[Wärmeleistung (75/65/20)  in W/m]"),
    INDIRECT("tabelle1[Heizkörper_Typ]"), clc_power!R$3,
    INDIRECT("tabelle1[Heizkörper_Subtyp]"), clc_power!R$4,
    INDIRECT("tabelle1[Höhe H in mm]"), clc_power!R$5,
    INDIRECT("tabelle1[Bautiefe T in mm]"), clc_power!R$7  ) * R$6 / 1000,
  IF(_xlpm.leistung &gt; 0, _xlpm.leistung, 0)
)</f>
        <v>0</v>
      </c>
      <c r="S9" s="5">
        <f ca="1">_xlfn.LET(
  _xlpm.leistung, IN_rooms!AD$55 * SUMIFS(
    INDIRECT("tabelle1[Wärmeleistung (75/65/20)  in W/m]"),
    INDIRECT("tabelle1[Heizkörper_Typ]"), clc_power!S$3,
    INDIRECT("tabelle1[Heizkörper_Subtyp]"), clc_power!S$4,
    INDIRECT("tabelle1[Höhe H in mm]"), clc_power!S$5,
    INDIRECT("tabelle1[Bautiefe T in mm]"), clc_power!S$7  ) * S$6 / 1000,
  IF(_xlpm.leistung &gt; 0, _xlpm.leistung, 0)
)</f>
        <v>0</v>
      </c>
      <c r="T9" s="5">
        <f ca="1">_xlfn.LET(
  _xlpm.leistung, IN_rooms!AE$55 * SUMIFS(
    INDIRECT("tabelle1[Wärmeleistung (75/65/20)  in W/m]"),
    INDIRECT("tabelle1[Heizkörper_Typ]"), clc_power!T$3,
    INDIRECT("tabelle1[Heizkörper_Subtyp]"), clc_power!T$4,
    INDIRECT("tabelle1[Höhe H in mm]"), clc_power!T$5,
    INDIRECT("tabelle1[Bautiefe T in mm]"), clc_power!T$7  ) * T$6 / 1000,
  IF(_xlpm.leistung &gt; 0, _xlpm.leistung, 0)
)</f>
        <v>0</v>
      </c>
      <c r="U9" s="5">
        <f ca="1">_xlfn.LET(
  _xlpm.leistung, IN_rooms!AF$55 * SUMIFS(
    INDIRECT("tabelle1[Wärmeleistung (75/65/20)  in W/m]"),
    INDIRECT("tabelle1[Heizkörper_Typ]"), clc_power!U$3,
    INDIRECT("tabelle1[Heizkörper_Subtyp]"), clc_power!U$4,
    INDIRECT("tabelle1[Höhe H in mm]"), clc_power!U$5,
    INDIRECT("tabelle1[Bautiefe T in mm]"), clc_power!U$7  ) * U$6 / 1000,
  IF(_xlpm.leistung &gt; 0, _xlpm.leistung, 0)
)</f>
        <v>0</v>
      </c>
    </row>
    <row r="10" spans="1:21" ht="18.75" customHeight="1" thickBot="1">
      <c r="A10" s="27" t="s">
        <v>569</v>
      </c>
      <c r="B10" s="27" t="s">
        <v>403</v>
      </c>
      <c r="C10" s="27" t="s">
        <v>148</v>
      </c>
      <c r="D10" s="27" t="s">
        <v>570</v>
      </c>
      <c r="E10" s="27" t="s">
        <v>26</v>
      </c>
      <c r="G10" s="5">
        <f>TVL_Ziel</f>
        <v>55</v>
      </c>
      <c r="H10" s="5">
        <f t="shared" ref="H10:U10" si="1">TVL_Ziel</f>
        <v>55</v>
      </c>
      <c r="I10" s="5">
        <f t="shared" si="1"/>
        <v>55</v>
      </c>
      <c r="J10" s="5">
        <f t="shared" si="1"/>
        <v>55</v>
      </c>
      <c r="K10" s="5">
        <f t="shared" si="1"/>
        <v>55</v>
      </c>
      <c r="L10" s="5">
        <f t="shared" si="1"/>
        <v>55</v>
      </c>
      <c r="M10" s="5">
        <f t="shared" si="1"/>
        <v>55</v>
      </c>
      <c r="N10" s="5">
        <f t="shared" si="1"/>
        <v>55</v>
      </c>
      <c r="O10" s="5">
        <f t="shared" si="1"/>
        <v>55</v>
      </c>
      <c r="P10" s="5">
        <f t="shared" si="1"/>
        <v>55</v>
      </c>
      <c r="Q10" s="5">
        <f t="shared" si="1"/>
        <v>55</v>
      </c>
      <c r="R10" s="5">
        <f t="shared" si="1"/>
        <v>55</v>
      </c>
      <c r="S10" s="5">
        <f t="shared" si="1"/>
        <v>55</v>
      </c>
      <c r="T10" s="5">
        <f t="shared" si="1"/>
        <v>55</v>
      </c>
      <c r="U10" s="5">
        <f t="shared" si="1"/>
        <v>55</v>
      </c>
    </row>
    <row r="11" spans="1:21" ht="18.75" customHeight="1" thickBot="1">
      <c r="A11" s="27" t="s">
        <v>571</v>
      </c>
      <c r="B11" s="27" t="s">
        <v>403</v>
      </c>
      <c r="C11" s="27" t="s">
        <v>148</v>
      </c>
      <c r="D11" s="27" t="s">
        <v>572</v>
      </c>
      <c r="E11" s="27" t="s">
        <v>26</v>
      </c>
      <c r="G11" s="5">
        <f>TRL_Ziel</f>
        <v>45</v>
      </c>
      <c r="H11" s="5">
        <f t="shared" ref="H11:U11" si="2">TRL_Ziel</f>
        <v>45</v>
      </c>
      <c r="I11" s="5">
        <f t="shared" si="2"/>
        <v>45</v>
      </c>
      <c r="J11" s="5">
        <f t="shared" si="2"/>
        <v>45</v>
      </c>
      <c r="K11" s="5">
        <f t="shared" si="2"/>
        <v>45</v>
      </c>
      <c r="L11" s="5">
        <f t="shared" si="2"/>
        <v>45</v>
      </c>
      <c r="M11" s="5">
        <f t="shared" si="2"/>
        <v>45</v>
      </c>
      <c r="N11" s="5">
        <f t="shared" si="2"/>
        <v>45</v>
      </c>
      <c r="O11" s="5">
        <f t="shared" si="2"/>
        <v>45</v>
      </c>
      <c r="P11" s="5">
        <f t="shared" si="2"/>
        <v>45</v>
      </c>
      <c r="Q11" s="5">
        <f t="shared" si="2"/>
        <v>45</v>
      </c>
      <c r="R11" s="5">
        <f t="shared" si="2"/>
        <v>45</v>
      </c>
      <c r="S11" s="5">
        <f t="shared" si="2"/>
        <v>45</v>
      </c>
      <c r="T11" s="5">
        <f t="shared" si="2"/>
        <v>45</v>
      </c>
      <c r="U11" s="5">
        <f t="shared" si="2"/>
        <v>45</v>
      </c>
    </row>
    <row r="12" spans="1:21" ht="18.75" customHeight="1" thickBot="1">
      <c r="A12" s="27" t="s">
        <v>573</v>
      </c>
      <c r="B12" s="27" t="s">
        <v>403</v>
      </c>
      <c r="C12" s="27" t="s">
        <v>148</v>
      </c>
      <c r="D12" s="27" t="s">
        <v>574</v>
      </c>
      <c r="E12" s="27" t="s">
        <v>575</v>
      </c>
      <c r="G12" s="34">
        <f>(G$10-G$11)/(LN((G$10-clc_load!I$10)/(clc_power!G$11-clc_load!I$10)))</f>
        <v>49.83288654563971</v>
      </c>
      <c r="H12" s="34">
        <f>(H$10-H$11)/(LN((H$10-clc_load!J$10)/(clc_power!H$11-clc_load!J$10)))</f>
        <v>49.83288654563971</v>
      </c>
      <c r="I12" s="34">
        <f>(I$10-I$11)/(LN((I$10-clc_load!K$10)/(clc_power!I$11-clc_load!K$10)))</f>
        <v>49.83288654563971</v>
      </c>
      <c r="J12" s="34">
        <f>(J$10-J$11)/(LN((J$10-clc_load!L$10)/(clc_power!J$11-clc_load!L$10)))</f>
        <v>49.83288654563971</v>
      </c>
      <c r="K12" s="34">
        <f>(K$10-K$11)/(LN((K$10-clc_load!M$10)/(clc_power!K$11-clc_load!M$10)))</f>
        <v>49.83288654563971</v>
      </c>
      <c r="L12" s="34">
        <f>(L$10-L$11)/(LN((L$10-clc_load!N$10)/(clc_power!L$11-clc_load!N$10)))</f>
        <v>49.83288654563971</v>
      </c>
      <c r="M12" s="34">
        <f>(M$10-M$11)/(LN((M$10-clc_load!O$10)/(clc_power!M$11-clc_load!O$10)))</f>
        <v>49.83288654563971</v>
      </c>
      <c r="N12" s="34">
        <f>(N$10-N$11)/(LN((N$10-clc_load!P$10)/(clc_power!N$11-clc_load!P$10)))</f>
        <v>49.83288654563971</v>
      </c>
      <c r="O12" s="34">
        <f>(O$10-O$11)/(LN((O$10-clc_load!Q$10)/(clc_power!O$11-clc_load!Q$10)))</f>
        <v>49.83288654563971</v>
      </c>
      <c r="P12" s="34">
        <f>(P$10-P$11)/(LN((P$10-clc_load!R$10)/(clc_power!P$11-clc_load!R$10)))</f>
        <v>49.83288654563971</v>
      </c>
      <c r="Q12" s="34">
        <f>(Q$10-Q$11)/(LN((Q$10-clc_load!S$10)/(clc_power!Q$11-clc_load!S$10)))</f>
        <v>49.83288654563971</v>
      </c>
      <c r="R12" s="34">
        <f>(R$10-R$11)/(LN((R$10-clc_load!T$10)/(clc_power!R$11-clc_load!T$10)))</f>
        <v>49.83288654563971</v>
      </c>
      <c r="S12" s="34">
        <f>(S$10-S$11)/(LN((S$10-clc_load!U$10)/(clc_power!S$11-clc_load!U$10)))</f>
        <v>49.83288654563971</v>
      </c>
      <c r="T12" s="34">
        <f>(T$10-T$11)/(LN((T$10-clc_load!V$10)/(clc_power!T$11-clc_load!V$10)))</f>
        <v>49.83288654563971</v>
      </c>
      <c r="U12" s="34">
        <f>(U$10-U$11)/(LN((U$10-clc_load!W$10)/(clc_power!U$11-clc_load!W$10)))</f>
        <v>49.83288654563971</v>
      </c>
    </row>
    <row r="13" spans="1:21" ht="18.75" customHeight="1" thickBot="1">
      <c r="A13" s="27" t="s">
        <v>576</v>
      </c>
      <c r="B13" s="27" t="s">
        <v>403</v>
      </c>
      <c r="C13" s="27" t="s">
        <v>148</v>
      </c>
      <c r="D13" s="27" t="s">
        <v>577</v>
      </c>
      <c r="E13" s="27" t="s">
        <v>31</v>
      </c>
      <c r="F13" s="12"/>
      <c r="G13" s="5">
        <f ca="1">IF(G$9*((G$12/Log_ÜT_Norm)^G$8)&gt;0,G$9*((G$12/Log_ÜT_Norm)^G$8),0)</f>
        <v>0</v>
      </c>
      <c r="H13" s="5">
        <f t="shared" ref="H13:U13" ca="1" si="3">IF(H$9*((H$12/Log_ÜT_Norm)^H$8)&gt;0,H$9*((H$12/Log_ÜT_Norm)^H$8),0)</f>
        <v>0</v>
      </c>
      <c r="I13" s="5">
        <f t="shared" ca="1" si="3"/>
        <v>0</v>
      </c>
      <c r="J13" s="5">
        <f t="shared" ca="1" si="3"/>
        <v>0</v>
      </c>
      <c r="K13" s="5">
        <f t="shared" ca="1" si="3"/>
        <v>0</v>
      </c>
      <c r="L13" s="5">
        <f t="shared" ca="1" si="3"/>
        <v>0</v>
      </c>
      <c r="M13" s="5">
        <f t="shared" ca="1" si="3"/>
        <v>0</v>
      </c>
      <c r="N13" s="5">
        <f t="shared" ca="1" si="3"/>
        <v>0</v>
      </c>
      <c r="O13" s="5">
        <f t="shared" ca="1" si="3"/>
        <v>0</v>
      </c>
      <c r="P13" s="5">
        <f t="shared" ca="1" si="3"/>
        <v>0</v>
      </c>
      <c r="Q13" s="5">
        <f t="shared" ca="1" si="3"/>
        <v>0</v>
      </c>
      <c r="R13" s="5">
        <f t="shared" ca="1" si="3"/>
        <v>0</v>
      </c>
      <c r="S13" s="5">
        <f t="shared" ca="1" si="3"/>
        <v>0</v>
      </c>
      <c r="T13" s="5">
        <f t="shared" ca="1" si="3"/>
        <v>0</v>
      </c>
      <c r="U13" s="5">
        <f t="shared" ca="1" si="3"/>
        <v>0</v>
      </c>
    </row>
    <row r="14" spans="1:21" ht="18.75" customHeight="1" thickBot="1">
      <c r="A14" s="102" t="s">
        <v>578</v>
      </c>
      <c r="B14" s="102" t="s">
        <v>403</v>
      </c>
      <c r="C14" s="102" t="s">
        <v>579</v>
      </c>
      <c r="D14" s="102" t="s">
        <v>580</v>
      </c>
      <c r="E14" s="102" t="s">
        <v>31</v>
      </c>
      <c r="G14" s="34">
        <f ca="1">_xlfn.LET(
    _xlpm.leistung, IN_rooms!R$55 * SUMIFS(
        INDIRECT("tabelle1[Wärmeleistung (75/65/20)  in W/m]"),
        INDIRECT("tabelle1[Heizkörper_Typ]"), "Flachheizkoerper_senkrecht_profiliert",
        INDIRECT("tabelle1[Heizkörper_Subtyp]"), "Typ_33",
        INDIRECT("tabelle1[Höhe H in mm]"), G$5,
        INDIRECT("tabelle1[Bautiefe T in mm]"), 155
    ) * G$6 / 1000 * ((G$12 / Log_ÜT_Norm) ^ SUMIFS(
        INDIRECT("tabelle1[Heizkörperexponent n ]"),
        INDIRECT("tabelle1[Heizkörper_Typ]"), "Flachheizkoerper_senkrecht_profiliert",
        INDIRECT("tabelle1[Heizkörper_Subtyp]"), "Typ_33",
        INDIRECT("tabelle1[Höhe H in mm]"), G$5,
        INDIRECT("tabelle1[Bautiefe T in mm]"), 155
    )),
    IF(_xlpm.leistung &gt; 0, _xlpm.leistung, 0)
)</f>
        <v>0</v>
      </c>
      <c r="H14" s="34">
        <f ca="1">_xlfn.LET(
    _xlpm.leistung, IN_rooms!S$55 * SUMIFS(
        INDIRECT("tabelle1[Wärmeleistung (75/65/20)  in W/m]"),
        INDIRECT("tabelle1[Heizkörper_Typ]"), "Flachheizkoerper_senkrecht_profiliert",
        INDIRECT("tabelle1[Heizkörper_Subtyp]"), "Typ_33",
        INDIRECT("tabelle1[Höhe H in mm]"), H$5,
        INDIRECT("tabelle1[Bautiefe T in mm]"), 155
    ) * H$6 / 1000 * ((H$12 / Log_ÜT_Norm) ^ SUMIFS(
        INDIRECT("tabelle1[Heizkörperexponent n ]"),
        INDIRECT("tabelle1[Heizkörper_Typ]"), "Flachheizkoerper_senkrecht_profiliert",
        INDIRECT("tabelle1[Heizkörper_Subtyp]"), "Typ_33",
        INDIRECT("tabelle1[Höhe H in mm]"), H$5,
        INDIRECT("tabelle1[Bautiefe T in mm]"), 155
    )),
    IF(_xlpm.leistung &gt; 0, _xlpm.leistung, 0)
)</f>
        <v>0</v>
      </c>
      <c r="I14" s="34">
        <f ca="1">_xlfn.LET(
    _xlpm.leistung, IN_rooms!T$55 * SUMIFS(
        INDIRECT("tabelle1[Wärmeleistung (75/65/20)  in W/m]"),
        INDIRECT("tabelle1[Heizkörper_Typ]"), "Flachheizkoerper_senkrecht_profiliert",
        INDIRECT("tabelle1[Heizkörper_Subtyp]"), "Typ_33",
        INDIRECT("tabelle1[Höhe H in mm]"), I$5,
        INDIRECT("tabelle1[Bautiefe T in mm]"), 155
    ) * I$6 / 1000 * ((I$12 / Log_ÜT_Norm) ^ SUMIFS(
        INDIRECT("tabelle1[Heizkörperexponent n ]"),
        INDIRECT("tabelle1[Heizkörper_Typ]"), "Flachheizkoerper_senkrecht_profiliert",
        INDIRECT("tabelle1[Heizkörper_Subtyp]"), "Typ_33",
        INDIRECT("tabelle1[Höhe H in mm]"), I$5,
        INDIRECT("tabelle1[Bautiefe T in mm]"), 155
    )),
    IF(_xlpm.leistung &gt; 0, _xlpm.leistung, 0)
)</f>
        <v>0</v>
      </c>
      <c r="J14" s="34">
        <f ca="1">_xlfn.LET(
    _xlpm.leistung, IN_rooms!U$55 * SUMIFS(
        INDIRECT("tabelle1[Wärmeleistung (75/65/20)  in W/m]"),
        INDIRECT("tabelle1[Heizkörper_Typ]"), "Flachheizkoerper_senkrecht_profiliert",
        INDIRECT("tabelle1[Heizkörper_Subtyp]"), "Typ_33",
        INDIRECT("tabelle1[Höhe H in mm]"), J$5,
        INDIRECT("tabelle1[Bautiefe T in mm]"), 155
    ) * J$6 / 1000 * ((J$12 / Log_ÜT_Norm) ^ SUMIFS(
        INDIRECT("tabelle1[Heizkörperexponent n ]"),
        INDIRECT("tabelle1[Heizkörper_Typ]"), "Flachheizkoerper_senkrecht_profiliert",
        INDIRECT("tabelle1[Heizkörper_Subtyp]"), "Typ_33",
        INDIRECT("tabelle1[Höhe H in mm]"), J$5,
        INDIRECT("tabelle1[Bautiefe T in mm]"), 155
    )),
    IF(_xlpm.leistung &gt; 0, _xlpm.leistung, 0)
)</f>
        <v>0</v>
      </c>
      <c r="K14" s="34">
        <f ca="1">_xlfn.LET(
    _xlpm.leistung, IN_rooms!V$55 * SUMIFS(
        INDIRECT("tabelle1[Wärmeleistung (75/65/20)  in W/m]"),
        INDIRECT("tabelle1[Heizkörper_Typ]"), "Flachheizkoerper_senkrecht_profiliert",
        INDIRECT("tabelle1[Heizkörper_Subtyp]"), "Typ_33",
        INDIRECT("tabelle1[Höhe H in mm]"), K$5,
        INDIRECT("tabelle1[Bautiefe T in mm]"), 155
    ) * K$6 / 1000 * ((K$12 / Log_ÜT_Norm) ^ SUMIFS(
        INDIRECT("tabelle1[Heizkörperexponent n ]"),
        INDIRECT("tabelle1[Heizkörper_Typ]"), "Flachheizkoerper_senkrecht_profiliert",
        INDIRECT("tabelle1[Heizkörper_Subtyp]"), "Typ_33",
        INDIRECT("tabelle1[Höhe H in mm]"), K$5,
        INDIRECT("tabelle1[Bautiefe T in mm]"), 155
    )),
    IF(_xlpm.leistung &gt; 0, _xlpm.leistung, 0)
)</f>
        <v>0</v>
      </c>
      <c r="L14" s="34">
        <f ca="1">_xlfn.LET(
    _xlpm.leistung, IN_rooms!W$55 * SUMIFS(
        INDIRECT("tabelle1[Wärmeleistung (75/65/20)  in W/m]"),
        INDIRECT("tabelle1[Heizkörper_Typ]"), "Flachheizkoerper_senkrecht_profiliert",
        INDIRECT("tabelle1[Heizkörper_Subtyp]"), "Typ_33",
        INDIRECT("tabelle1[Höhe H in mm]"), L$5,
        INDIRECT("tabelle1[Bautiefe T in mm]"), 155
    ) * L$6 / 1000 * ((L$12 / Log_ÜT_Norm) ^ SUMIFS(
        INDIRECT("tabelle1[Heizkörperexponent n ]"),
        INDIRECT("tabelle1[Heizkörper_Typ]"), "Flachheizkoerper_senkrecht_profiliert",
        INDIRECT("tabelle1[Heizkörper_Subtyp]"), "Typ_33",
        INDIRECT("tabelle1[Höhe H in mm]"), L$5,
        INDIRECT("tabelle1[Bautiefe T in mm]"), 155
    )),
    IF(_xlpm.leistung &gt; 0, _xlpm.leistung, 0)
)</f>
        <v>0</v>
      </c>
      <c r="M14" s="34">
        <f ca="1">_xlfn.LET(
    _xlpm.leistung, IN_rooms!X$55 * SUMIFS(
        INDIRECT("tabelle1[Wärmeleistung (75/65/20)  in W/m]"),
        INDIRECT("tabelle1[Heizkörper_Typ]"), "Flachheizkoerper_senkrecht_profiliert",
        INDIRECT("tabelle1[Heizkörper_Subtyp]"), "Typ_33",
        INDIRECT("tabelle1[Höhe H in mm]"), M$5,
        INDIRECT("tabelle1[Bautiefe T in mm]"), 155
    ) * M$6 / 1000 * ((M$12 / Log_ÜT_Norm) ^ SUMIFS(
        INDIRECT("tabelle1[Heizkörperexponent n ]"),
        INDIRECT("tabelle1[Heizkörper_Typ]"), "Flachheizkoerper_senkrecht_profiliert",
        INDIRECT("tabelle1[Heizkörper_Subtyp]"), "Typ_33",
        INDIRECT("tabelle1[Höhe H in mm]"), M$5,
        INDIRECT("tabelle1[Bautiefe T in mm]"), 155
    )),
    IF(_xlpm.leistung &gt; 0, _xlpm.leistung, 0)
)</f>
        <v>0</v>
      </c>
      <c r="N14" s="34">
        <f ca="1">_xlfn.LET(
    _xlpm.leistung, IN_rooms!Y$55 * SUMIFS(
        INDIRECT("tabelle1[Wärmeleistung (75/65/20)  in W/m]"),
        INDIRECT("tabelle1[Heizkörper_Typ]"), "Flachheizkoerper_senkrecht_profiliert",
        INDIRECT("tabelle1[Heizkörper_Subtyp]"), "Typ_33",
        INDIRECT("tabelle1[Höhe H in mm]"), N$5,
        INDIRECT("tabelle1[Bautiefe T in mm]"), 155
    ) * N$6 / 1000 * ((N$12 / Log_ÜT_Norm) ^ SUMIFS(
        INDIRECT("tabelle1[Heizkörperexponent n ]"),
        INDIRECT("tabelle1[Heizkörper_Typ]"), "Flachheizkoerper_senkrecht_profiliert",
        INDIRECT("tabelle1[Heizkörper_Subtyp]"), "Typ_33",
        INDIRECT("tabelle1[Höhe H in mm]"), N$5,
        INDIRECT("tabelle1[Bautiefe T in mm]"), 155
    )),
    IF(_xlpm.leistung &gt; 0, _xlpm.leistung, 0)
)</f>
        <v>0</v>
      </c>
      <c r="O14" s="34">
        <f ca="1">_xlfn.LET(
    _xlpm.leistung, IN_rooms!Z$55 * SUMIFS(
        INDIRECT("tabelle1[Wärmeleistung (75/65/20)  in W/m]"),
        INDIRECT("tabelle1[Heizkörper_Typ]"), "Flachheizkoerper_senkrecht_profiliert",
        INDIRECT("tabelle1[Heizkörper_Subtyp]"), "Typ_33",
        INDIRECT("tabelle1[Höhe H in mm]"), O$5,
        INDIRECT("tabelle1[Bautiefe T in mm]"), 155
    ) * O$6 / 1000 * ((O$12 / Log_ÜT_Norm) ^ SUMIFS(
        INDIRECT("tabelle1[Heizkörperexponent n ]"),
        INDIRECT("tabelle1[Heizkörper_Typ]"), "Flachheizkoerper_senkrecht_profiliert",
        INDIRECT("tabelle1[Heizkörper_Subtyp]"), "Typ_33",
        INDIRECT("tabelle1[Höhe H in mm]"), O$5,
        INDIRECT("tabelle1[Bautiefe T in mm]"), 155
    )),
    IF(_xlpm.leistung &gt; 0, _xlpm.leistung, 0)
)</f>
        <v>0</v>
      </c>
      <c r="P14" s="34">
        <f ca="1">_xlfn.LET(
    _xlpm.leistung, IN_rooms!AA$55 * SUMIFS(
        INDIRECT("tabelle1[Wärmeleistung (75/65/20)  in W/m]"),
        INDIRECT("tabelle1[Heizkörper_Typ]"), "Flachheizkoerper_senkrecht_profiliert",
        INDIRECT("tabelle1[Heizkörper_Subtyp]"), "Typ_33",
        INDIRECT("tabelle1[Höhe H in mm]"), P$5,
        INDIRECT("tabelle1[Bautiefe T in mm]"), 155
    ) * P$6 / 1000 * ((P$12 / Log_ÜT_Norm) ^ SUMIFS(
        INDIRECT("tabelle1[Heizkörperexponent n ]"),
        INDIRECT("tabelle1[Heizkörper_Typ]"), "Flachheizkoerper_senkrecht_profiliert",
        INDIRECT("tabelle1[Heizkörper_Subtyp]"), "Typ_33",
        INDIRECT("tabelle1[Höhe H in mm]"), P$5,
        INDIRECT("tabelle1[Bautiefe T in mm]"), 155
    )),
    IF(_xlpm.leistung &gt; 0, _xlpm.leistung, 0)
)</f>
        <v>0</v>
      </c>
      <c r="Q14" s="34">
        <f ca="1">_xlfn.LET(
    _xlpm.leistung, IN_rooms!AB$55 * SUMIFS(
        INDIRECT("tabelle1[Wärmeleistung (75/65/20)  in W/m]"),
        INDIRECT("tabelle1[Heizkörper_Typ]"), "Flachheizkoerper_senkrecht_profiliert",
        INDIRECT("tabelle1[Heizkörper_Subtyp]"), "Typ_33",
        INDIRECT("tabelle1[Höhe H in mm]"), Q$5,
        INDIRECT("tabelle1[Bautiefe T in mm]"), 155
    ) * Q$6 / 1000 * ((Q$12 / Log_ÜT_Norm) ^ SUMIFS(
        INDIRECT("tabelle1[Heizkörperexponent n ]"),
        INDIRECT("tabelle1[Heizkörper_Typ]"), "Flachheizkoerper_senkrecht_profiliert",
        INDIRECT("tabelle1[Heizkörper_Subtyp]"), "Typ_33",
        INDIRECT("tabelle1[Höhe H in mm]"), Q$5,
        INDIRECT("tabelle1[Bautiefe T in mm]"), 155
    )),
    IF(_xlpm.leistung &gt; 0, _xlpm.leistung, 0)
)</f>
        <v>0</v>
      </c>
      <c r="R14" s="34">
        <f ca="1">_xlfn.LET(
    _xlpm.leistung, IN_rooms!AC$55 * SUMIFS(
        INDIRECT("tabelle1[Wärmeleistung (75/65/20)  in W/m]"),
        INDIRECT("tabelle1[Heizkörper_Typ]"), "Flachheizkoerper_senkrecht_profiliert",
        INDIRECT("tabelle1[Heizkörper_Subtyp]"), "Typ_33",
        INDIRECT("tabelle1[Höhe H in mm]"), R$5,
        INDIRECT("tabelle1[Bautiefe T in mm]"), 155
    ) * R$6 / 1000 * ((R$12 / Log_ÜT_Norm) ^ SUMIFS(
        INDIRECT("tabelle1[Heizkörperexponent n ]"),
        INDIRECT("tabelle1[Heizkörper_Typ]"), "Flachheizkoerper_senkrecht_profiliert",
        INDIRECT("tabelle1[Heizkörper_Subtyp]"), "Typ_33",
        INDIRECT("tabelle1[Höhe H in mm]"), R$5,
        INDIRECT("tabelle1[Bautiefe T in mm]"), 155
    )),
    IF(_xlpm.leistung &gt; 0, _xlpm.leistung, 0)
)</f>
        <v>0</v>
      </c>
      <c r="S14" s="34">
        <f ca="1">_xlfn.LET(
    _xlpm.leistung, IN_rooms!AD$55 * SUMIFS(
        INDIRECT("tabelle1[Wärmeleistung (75/65/20)  in W/m]"),
        INDIRECT("tabelle1[Heizkörper_Typ]"), "Flachheizkoerper_senkrecht_profiliert",
        INDIRECT("tabelle1[Heizkörper_Subtyp]"), "Typ_33",
        INDIRECT("tabelle1[Höhe H in mm]"), S$5,
        INDIRECT("tabelle1[Bautiefe T in mm]"), 155
    ) * S$6 / 1000 * ((S$12 / Log_ÜT_Norm) ^ SUMIFS(
        INDIRECT("tabelle1[Heizkörperexponent n ]"),
        INDIRECT("tabelle1[Heizkörper_Typ]"), "Flachheizkoerper_senkrecht_profiliert",
        INDIRECT("tabelle1[Heizkörper_Subtyp]"), "Typ_33",
        INDIRECT("tabelle1[Höhe H in mm]"), S$5,
        INDIRECT("tabelle1[Bautiefe T in mm]"), 155
    )),
    IF(_xlpm.leistung &gt; 0, _xlpm.leistung, 0)
)</f>
        <v>0</v>
      </c>
      <c r="T14" s="34">
        <f ca="1">_xlfn.LET(
    _xlpm.leistung, IN_rooms!AE$55 * SUMIFS(
        INDIRECT("tabelle1[Wärmeleistung (75/65/20)  in W/m]"),
        INDIRECT("tabelle1[Heizkörper_Typ]"), "Flachheizkoerper_senkrecht_profiliert",
        INDIRECT("tabelle1[Heizkörper_Subtyp]"), "Typ_33",
        INDIRECT("tabelle1[Höhe H in mm]"), T$5,
        INDIRECT("tabelle1[Bautiefe T in mm]"), 155
    ) * T$6 / 1000 * ((T$12 / Log_ÜT_Norm) ^ SUMIFS(
        INDIRECT("tabelle1[Heizkörperexponent n ]"),
        INDIRECT("tabelle1[Heizkörper_Typ]"), "Flachheizkoerper_senkrecht_profiliert",
        INDIRECT("tabelle1[Heizkörper_Subtyp]"), "Typ_33",
        INDIRECT("tabelle1[Höhe H in mm]"), T$5,
        INDIRECT("tabelle1[Bautiefe T in mm]"), 155
    )),
    IF(_xlpm.leistung &gt; 0, _xlpm.leistung, 0)
)</f>
        <v>0</v>
      </c>
      <c r="U14" s="34">
        <f ca="1">_xlfn.LET(
    _xlpm.leistung, IN_rooms!AF$55 * SUMIFS(
        INDIRECT("tabelle1[Wärmeleistung (75/65/20)  in W/m]"),
        INDIRECT("tabelle1[Heizkörper_Typ]"), "Flachheizkoerper_senkrecht_profiliert",
        INDIRECT("tabelle1[Heizkörper_Subtyp]"), "Typ_33",
        INDIRECT("tabelle1[Höhe H in mm]"), U$5,
        INDIRECT("tabelle1[Bautiefe T in mm]"), 155
    ) * U$6 / 1000 * ((U$12 / Log_ÜT_Norm) ^ SUMIFS(
        INDIRECT("tabelle1[Heizkörperexponent n ]"),
        INDIRECT("tabelle1[Heizkörper_Typ]"), "Flachheizkoerper_senkrecht_profiliert",
        INDIRECT("tabelle1[Heizkörper_Subtyp]"), "Typ_33",
        INDIRECT("tabelle1[Höhe H in mm]"), U$5,
        INDIRECT("tabelle1[Bautiefe T in mm]"), 155
    )),
    IF(_xlpm.leistung &gt; 0, _xlpm.leistung, 0)
)</f>
        <v>0</v>
      </c>
    </row>
    <row r="15" spans="1:21" ht="15.75" customHeight="1" thickBot="1">
      <c r="A15" s="72" t="s">
        <v>405</v>
      </c>
      <c r="B15" s="72" t="s">
        <v>403</v>
      </c>
      <c r="C15" s="72" t="s">
        <v>150</v>
      </c>
      <c r="D15" s="72" t="s">
        <v>581</v>
      </c>
      <c r="E15" s="72"/>
      <c r="G15" s="5" t="str">
        <f>IF(IN_rooms!R$49="Gliederheizkörper",IN_rooms!R$49,"")</f>
        <v/>
      </c>
      <c r="H15" s="5" t="str">
        <f>IF(IN_rooms!S$49="Gliederheizkörper",IN_rooms!S$49,"")</f>
        <v/>
      </c>
      <c r="I15" s="5" t="str">
        <f>IF(IN_rooms!T$49="Gliederheizkörper",IN_rooms!T$49,"")</f>
        <v/>
      </c>
      <c r="J15" s="5" t="str">
        <f>IF(IN_rooms!U$49="Gliederheizkörper",IN_rooms!U$49,"")</f>
        <v/>
      </c>
      <c r="K15" s="5" t="str">
        <f>IF(IN_rooms!V$49="Gliederheizkörper",IN_rooms!V$49,"")</f>
        <v/>
      </c>
      <c r="L15" s="5" t="str">
        <f>IF(IN_rooms!W$49="Gliederheizkörper",IN_rooms!W$49,"")</f>
        <v/>
      </c>
      <c r="M15" s="5" t="str">
        <f>IF(IN_rooms!X$49="Gliederheizkörper",IN_rooms!X$49,"")</f>
        <v/>
      </c>
      <c r="N15" s="5" t="str">
        <f>IF(IN_rooms!Y$49="Gliederheizkörper",IN_rooms!Y$49,"")</f>
        <v/>
      </c>
      <c r="O15" s="5" t="str">
        <f>IF(IN_rooms!Z$49="Gliederheizkörper",IN_rooms!Z$49,"")</f>
        <v/>
      </c>
      <c r="P15" s="5" t="str">
        <f>IF(IN_rooms!AA$49="Gliederheizkörper",IN_rooms!AA$49,"")</f>
        <v/>
      </c>
      <c r="Q15" s="5" t="str">
        <f>IF(IN_rooms!AB$49="Gliederheizkörper",IN_rooms!AB$49,"")</f>
        <v/>
      </c>
      <c r="R15" s="5" t="str">
        <f>IF(IN_rooms!AC$49="Gliederheizkörper",IN_rooms!AC$49,"")</f>
        <v/>
      </c>
      <c r="S15" s="5" t="str">
        <f>IF(IN_rooms!AD$49="Gliederheizkörper",IN_rooms!AD$49,"")</f>
        <v/>
      </c>
      <c r="T15" s="5" t="str">
        <f>IF(IN_rooms!AE$49="Gliederheizkörper",IN_rooms!AE$49,"")</f>
        <v/>
      </c>
      <c r="U15" s="5" t="str">
        <f>IF(IN_rooms!AF$49="Gliederheizkörper",IN_rooms!AF$49,"")</f>
        <v/>
      </c>
    </row>
    <row r="16" spans="1:21" ht="15.75" thickBot="1">
      <c r="A16" s="72" t="s">
        <v>559</v>
      </c>
      <c r="B16" s="72" t="s">
        <v>403</v>
      </c>
      <c r="C16" s="72" t="s">
        <v>150</v>
      </c>
      <c r="D16" s="72" t="s">
        <v>582</v>
      </c>
      <c r="E16" s="72"/>
      <c r="G16" s="5">
        <f>IN_rooms!R$50</f>
        <v>0</v>
      </c>
      <c r="H16" s="5">
        <f>IN_rooms!S$50</f>
        <v>0</v>
      </c>
      <c r="I16" s="5">
        <f>IN_rooms!T$50</f>
        <v>0</v>
      </c>
      <c r="J16" s="5">
        <f>IN_rooms!U$50</f>
        <v>0</v>
      </c>
      <c r="K16" s="5">
        <f>IN_rooms!V$50</f>
        <v>0</v>
      </c>
      <c r="L16" s="5">
        <f>IN_rooms!W$50</f>
        <v>0</v>
      </c>
      <c r="M16" s="5">
        <f>IN_rooms!X$50</f>
        <v>0</v>
      </c>
      <c r="N16" s="5">
        <f>IN_rooms!Y$50</f>
        <v>0</v>
      </c>
      <c r="O16" s="5">
        <f>IN_rooms!Z$50</f>
        <v>0</v>
      </c>
      <c r="P16" s="5">
        <f>IN_rooms!AA$50</f>
        <v>0</v>
      </c>
      <c r="Q16" s="5">
        <f>IN_rooms!AB$50</f>
        <v>0</v>
      </c>
      <c r="R16" s="5">
        <f>IN_rooms!AC$50</f>
        <v>0</v>
      </c>
      <c r="S16" s="5">
        <f>IN_rooms!AD$50</f>
        <v>0</v>
      </c>
      <c r="T16" s="5">
        <f>IN_rooms!AE$50</f>
        <v>0</v>
      </c>
      <c r="U16" s="5">
        <f>IN_rooms!AF$50</f>
        <v>0</v>
      </c>
    </row>
    <row r="17" spans="1:21" ht="15.75" thickBot="1">
      <c r="A17" s="72" t="s">
        <v>561</v>
      </c>
      <c r="B17" s="72" t="s">
        <v>403</v>
      </c>
      <c r="C17" s="72" t="s">
        <v>150</v>
      </c>
      <c r="D17" s="72" t="s">
        <v>583</v>
      </c>
      <c r="E17" s="72" t="s">
        <v>409</v>
      </c>
      <c r="G17" s="5">
        <f>IN_rooms!R$51</f>
        <v>0</v>
      </c>
      <c r="H17" s="5">
        <f>IN_rooms!S$51</f>
        <v>0</v>
      </c>
      <c r="I17" s="5">
        <f>IN_rooms!T$51</f>
        <v>0</v>
      </c>
      <c r="J17" s="5">
        <f>IN_rooms!U$51</f>
        <v>0</v>
      </c>
      <c r="K17" s="5">
        <f>IN_rooms!V$51</f>
        <v>0</v>
      </c>
      <c r="L17" s="5">
        <f>IN_rooms!W$51</f>
        <v>0</v>
      </c>
      <c r="M17" s="5">
        <f>IN_rooms!X$51</f>
        <v>0</v>
      </c>
      <c r="N17" s="5">
        <f>IN_rooms!Y$51</f>
        <v>0</v>
      </c>
      <c r="O17" s="5">
        <f>IN_rooms!Z$51</f>
        <v>0</v>
      </c>
      <c r="P17" s="5">
        <f>IN_rooms!AA$51</f>
        <v>0</v>
      </c>
      <c r="Q17" s="5">
        <f>IN_rooms!AB$51</f>
        <v>0</v>
      </c>
      <c r="R17" s="5">
        <f>IN_rooms!AC$51</f>
        <v>0</v>
      </c>
      <c r="S17" s="5">
        <f>IN_rooms!AD$51</f>
        <v>0</v>
      </c>
      <c r="T17" s="5">
        <f>IN_rooms!AE$51</f>
        <v>0</v>
      </c>
      <c r="U17" s="5">
        <f>IN_rooms!AF$51</f>
        <v>0</v>
      </c>
    </row>
    <row r="18" spans="1:21" ht="15.75" thickBot="1">
      <c r="A18" s="72" t="s">
        <v>412</v>
      </c>
      <c r="B18" s="72" t="s">
        <v>403</v>
      </c>
      <c r="C18" s="72" t="s">
        <v>150</v>
      </c>
      <c r="D18" s="72" t="s">
        <v>584</v>
      </c>
      <c r="E18" s="72" t="s">
        <v>409</v>
      </c>
      <c r="G18" s="5" cm="1">
        <f t="array" ref="G18">_xlfn.IFS(IN_rooms!R$53=0,0,
G16 = "Stahlradiator",
INDEX(Daten!$AF$13:$AF$23,_xlfn.XMATCH(MIN(IF(Daten!$AE$13:$AE$23=G17,ABS(Daten!$AF$13:$AF$23-IN_rooms!R$53))),
                                  IF(Daten!$AE$13:$AE$23=G17,ABS(Daten!$AF$13:$AF$23-IN_rooms!R$53)),
                                  0)),
G16 = "Gussradiator",
INDEX(Daten!$AD$13:$AD$25,_xlfn.XMATCH(MIN(IF(Daten!$AC$13:$AC$25=G17,ABS(Daten!$AD$13:$AD$25-IN_rooms!R$53))),
                                   IF(Daten!$AC$13:$AC$25=G17,ABS(Daten!$AD$13:$AD$25-IN_rooms!R$53)),
                                   0)),
TRUE, IN_rooms!R$53)</f>
        <v>0</v>
      </c>
      <c r="H18" s="5" cm="1">
        <f t="array" ref="H18">_xlfn.IFS(IN_rooms!S$53=0,0,
H16 = "Stahlradiator",
INDEX(Daten!$AF$13:$AF$23,_xlfn.XMATCH(MIN(IF(Daten!$AE$13:$AE$23=H17,ABS(Daten!$AF$13:$AF$23-IN_rooms!S$53))),
                                  IF(Daten!$AE$13:$AE$23=H17,ABS(Daten!$AF$13:$AF$23-IN_rooms!S$53)),
                                  0)),
H16 = "Gussradiator",
INDEX(Daten!$AD$13:$AD$25,_xlfn.XMATCH(MIN(IF(Daten!$AC$13:$AC$25=H17,ABS(Daten!$AD$13:$AD$25-IN_rooms!S$53))),
                                   IF(Daten!$AC$13:$AC$25=H17,ABS(Daten!$AD$13:$AD$25-IN_rooms!S$53)),
                                   0)),
TRUE, IN_rooms!S$53)</f>
        <v>0</v>
      </c>
      <c r="I18" s="5" cm="1">
        <f t="array" ref="I18">_xlfn.IFS(IN_rooms!T$53=0,0,
I16 = "Stahlradiator",
INDEX(Daten!$AF$13:$AF$23,_xlfn.XMATCH(MIN(IF(Daten!$AE$13:$AE$23=I17,ABS(Daten!$AF$13:$AF$23-IN_rooms!T$53))),
                                  IF(Daten!$AE$13:$AE$23=I17,ABS(Daten!$AF$13:$AF$23-IN_rooms!T$53)),
                                  0)),
I16 = "Gussradiator",
INDEX(Daten!$AD$13:$AD$25,_xlfn.XMATCH(MIN(IF(Daten!$AC$13:$AC$25=I17,ABS(Daten!$AD$13:$AD$25-IN_rooms!T$53))),
                                   IF(Daten!$AC$13:$AC$25=I17,ABS(Daten!$AD$13:$AD$25-IN_rooms!T$53)),
                                   0)),
TRUE, IN_rooms!T$53)</f>
        <v>0</v>
      </c>
      <c r="J18" s="5" cm="1">
        <f t="array" ref="J18">_xlfn.IFS(IN_rooms!U$53=0,0,
J16 = "Stahlradiator",
INDEX(Daten!$AF$13:$AF$23,_xlfn.XMATCH(MIN(IF(Daten!$AE$13:$AE$23=J17,ABS(Daten!$AF$13:$AF$23-IN_rooms!U$53))),
                                  IF(Daten!$AE$13:$AE$23=J17,ABS(Daten!$AF$13:$AF$23-IN_rooms!U$53)),
                                  0)),
J16 = "Gussradiator",
INDEX(Daten!$AD$13:$AD$25,_xlfn.XMATCH(MIN(IF(Daten!$AC$13:$AC$25=J17,ABS(Daten!$AD$13:$AD$25-IN_rooms!U$53))),
                                   IF(Daten!$AC$13:$AC$25=J17,ABS(Daten!$AD$13:$AD$25-IN_rooms!U$53)),
                                   0)),
TRUE, IN_rooms!U$53)</f>
        <v>0</v>
      </c>
      <c r="K18" s="5" cm="1">
        <f t="array" ref="K18">_xlfn.IFS(IN_rooms!V$53=0,0,
K16 = "Stahlradiator",
INDEX(Daten!$AF$13:$AF$23,_xlfn.XMATCH(MIN(IF(Daten!$AE$13:$AE$23=K17,ABS(Daten!$AF$13:$AF$23-IN_rooms!V$53))),
                                  IF(Daten!$AE$13:$AE$23=K17,ABS(Daten!$AF$13:$AF$23-IN_rooms!V$53)),
                                  0)),
K16 = "Gussradiator",
INDEX(Daten!$AD$13:$AD$25,_xlfn.XMATCH(MIN(IF(Daten!$AC$13:$AC$25=K17,ABS(Daten!$AD$13:$AD$25-IN_rooms!V$53))),
                                   IF(Daten!$AC$13:$AC$25=K17,ABS(Daten!$AD$13:$AD$25-IN_rooms!V$53)),
                                   0)),
TRUE, IN_rooms!V$53)</f>
        <v>0</v>
      </c>
      <c r="L18" s="5" cm="1">
        <f t="array" ref="L18">_xlfn.IFS(IN_rooms!W$53=0,0,
L16 = "Stahlradiator",
INDEX(Daten!$AF$13:$AF$23,_xlfn.XMATCH(MIN(IF(Daten!$AE$13:$AE$23=L17,ABS(Daten!$AF$13:$AF$23-IN_rooms!W$53))),
                                  IF(Daten!$AE$13:$AE$23=L17,ABS(Daten!$AF$13:$AF$23-IN_rooms!W$53)),
                                  0)),
L16 = "Gussradiator",
INDEX(Daten!$AD$13:$AD$25,_xlfn.XMATCH(MIN(IF(Daten!$AC$13:$AC$25=L17,ABS(Daten!$AD$13:$AD$25-IN_rooms!W$53))),
                                   IF(Daten!$AC$13:$AC$25=L17,ABS(Daten!$AD$13:$AD$25-IN_rooms!W$53)),
                                   0)),
TRUE, IN_rooms!W$53)</f>
        <v>0</v>
      </c>
      <c r="M18" s="5" cm="1">
        <f t="array" ref="M18">_xlfn.IFS(IN_rooms!X$53=0,0,
M16 = "Stahlradiator",
INDEX(Daten!$AF$13:$AF$23,_xlfn.XMATCH(MIN(IF(Daten!$AE$13:$AE$23=M17,ABS(Daten!$AF$13:$AF$23-IN_rooms!X$53))),
                                  IF(Daten!$AE$13:$AE$23=M17,ABS(Daten!$AF$13:$AF$23-IN_rooms!X$53)),
                                  0)),
M16 = "Gussradiator",
INDEX(Daten!$AD$13:$AD$25,_xlfn.XMATCH(MIN(IF(Daten!$AC$13:$AC$25=M17,ABS(Daten!$AD$13:$AD$25-IN_rooms!X$53))),
                                   IF(Daten!$AC$13:$AC$25=M17,ABS(Daten!$AD$13:$AD$25-IN_rooms!X$53)),
                                   0)),
TRUE, IN_rooms!X$53)</f>
        <v>0</v>
      </c>
      <c r="N18" s="5" cm="1">
        <f t="array" ref="N18">_xlfn.IFS(IN_rooms!Y$53=0,0,
N16 = "Stahlradiator",
INDEX(Daten!$AF$13:$AF$23,_xlfn.XMATCH(MIN(IF(Daten!$AE$13:$AE$23=N17,ABS(Daten!$AF$13:$AF$23-IN_rooms!Y$53))),
                                  IF(Daten!$AE$13:$AE$23=N17,ABS(Daten!$AF$13:$AF$23-IN_rooms!Y$53)),
                                  0)),
N16 = "Gussradiator",
INDEX(Daten!$AD$13:$AD$25,_xlfn.XMATCH(MIN(IF(Daten!$AC$13:$AC$25=N17,ABS(Daten!$AD$13:$AD$25-IN_rooms!Y$53))),
                                   IF(Daten!$AC$13:$AC$25=N17,ABS(Daten!$AD$13:$AD$25-IN_rooms!Y$53)),
                                   0)),
TRUE, IN_rooms!Y$53)</f>
        <v>0</v>
      </c>
      <c r="O18" s="5" cm="1">
        <f t="array" ref="O18">_xlfn.IFS(IN_rooms!Z$53=0,0,
O16 = "Stahlradiator",
INDEX(Daten!$AF$13:$AF$23,_xlfn.XMATCH(MIN(IF(Daten!$AE$13:$AE$23=O17,ABS(Daten!$AF$13:$AF$23-IN_rooms!Z$53))),
                                  IF(Daten!$AE$13:$AE$23=O17,ABS(Daten!$AF$13:$AF$23-IN_rooms!Z$53)),
                                  0)),
O16 = "Gussradiator",
INDEX(Daten!$AD$13:$AD$25,_xlfn.XMATCH(MIN(IF(Daten!$AC$13:$AC$25=O17,ABS(Daten!$AD$13:$AD$25-IN_rooms!Z$53))),
                                   IF(Daten!$AC$13:$AC$25=O17,ABS(Daten!$AD$13:$AD$25-IN_rooms!Z$53)),
                                   0)),
TRUE, IN_rooms!Z$53)</f>
        <v>0</v>
      </c>
      <c r="P18" s="5" cm="1">
        <f t="array" ref="P18">_xlfn.IFS(IN_rooms!AA$53=0,0,
P16 = "Stahlradiator",
INDEX(Daten!$AF$13:$AF$23,_xlfn.XMATCH(MIN(IF(Daten!$AE$13:$AE$23=P17,ABS(Daten!$AF$13:$AF$23-IN_rooms!AA$53))),
                                  IF(Daten!$AE$13:$AE$23=P17,ABS(Daten!$AF$13:$AF$23-IN_rooms!AA$53)),
                                  0)),
P16 = "Gussradiator",
INDEX(Daten!$AD$13:$AD$25,_xlfn.XMATCH(MIN(IF(Daten!$AC$13:$AC$25=P17,ABS(Daten!$AD$13:$AD$25-IN_rooms!AA$53))),
                                   IF(Daten!$AC$13:$AC$25=P17,ABS(Daten!$AD$13:$AD$25-IN_rooms!AA$53)),
                                   0)),
TRUE, IN_rooms!AA$53)</f>
        <v>0</v>
      </c>
      <c r="Q18" s="5" cm="1">
        <f t="array" ref="Q18">_xlfn.IFS(IN_rooms!AB$53=0,0,
Q16 = "Stahlradiator",
INDEX(Daten!$AF$13:$AF$23,_xlfn.XMATCH(MIN(IF(Daten!$AE$13:$AE$23=Q17,ABS(Daten!$AF$13:$AF$23-IN_rooms!AB$53))),
                                  IF(Daten!$AE$13:$AE$23=Q17,ABS(Daten!$AF$13:$AF$23-IN_rooms!AB$53)),
                                  0)),
Q16 = "Gussradiator",
INDEX(Daten!$AD$13:$AD$25,_xlfn.XMATCH(MIN(IF(Daten!$AC$13:$AC$25=Q17,ABS(Daten!$AD$13:$AD$25-IN_rooms!AB$53))),
                                   IF(Daten!$AC$13:$AC$25=Q17,ABS(Daten!$AD$13:$AD$25-IN_rooms!AB$53)),
                                   0)),
TRUE, IN_rooms!AB$53)</f>
        <v>0</v>
      </c>
      <c r="R18" s="5" cm="1">
        <f t="array" ref="R18">_xlfn.IFS(IN_rooms!AC$53=0,0,
R16 = "Stahlradiator",
INDEX(Daten!$AF$13:$AF$23,_xlfn.XMATCH(MIN(IF(Daten!$AE$13:$AE$23=R17,ABS(Daten!$AF$13:$AF$23-IN_rooms!AC$53))),
                                  IF(Daten!$AE$13:$AE$23=R17,ABS(Daten!$AF$13:$AF$23-IN_rooms!AC$53)),
                                  0)),
R16 = "Gussradiator",
INDEX(Daten!$AD$13:$AD$25,_xlfn.XMATCH(MIN(IF(Daten!$AC$13:$AC$25=R17,ABS(Daten!$AD$13:$AD$25-IN_rooms!AC$53))),
                                   IF(Daten!$AC$13:$AC$25=R17,ABS(Daten!$AD$13:$AD$25-IN_rooms!AC$53)),
                                   0)),
TRUE, IN_rooms!AC$53)</f>
        <v>0</v>
      </c>
      <c r="S18" s="5" cm="1">
        <f t="array" ref="S18">_xlfn.IFS(IN_rooms!AD$53=0,0,
S16 = "Stahlradiator",
INDEX(Daten!$AF$13:$AF$23,_xlfn.XMATCH(MIN(IF(Daten!$AE$13:$AE$23=S17,ABS(Daten!$AF$13:$AF$23-IN_rooms!AD$53))),
                                  IF(Daten!$AE$13:$AE$23=S17,ABS(Daten!$AF$13:$AF$23-IN_rooms!AD$53)),
                                  0)),
S16 = "Gussradiator",
INDEX(Daten!$AD$13:$AD$25,_xlfn.XMATCH(MIN(IF(Daten!$AC$13:$AC$25=S17,ABS(Daten!$AD$13:$AD$25-IN_rooms!AD$53))),
                                   IF(Daten!$AC$13:$AC$25=S17,ABS(Daten!$AD$13:$AD$25-IN_rooms!AD$53)),
                                   0)),
TRUE, IN_rooms!AD$53)</f>
        <v>0</v>
      </c>
      <c r="T18" s="5" cm="1">
        <f t="array" ref="T18">_xlfn.IFS(IN_rooms!AE$53=0,0,
T16 = "Stahlradiator",
INDEX(Daten!$AF$13:$AF$23,_xlfn.XMATCH(MIN(IF(Daten!$AE$13:$AE$23=T17,ABS(Daten!$AF$13:$AF$23-IN_rooms!AE$53))),
                                  IF(Daten!$AE$13:$AE$23=T17,ABS(Daten!$AF$13:$AF$23-IN_rooms!AE$53)),
                                  0)),
T16 = "Gussradiator",
INDEX(Daten!$AD$13:$AD$25,_xlfn.XMATCH(MIN(IF(Daten!$AC$13:$AC$25=T17,ABS(Daten!$AD$13:$AD$25-IN_rooms!AE$53))),
                                   IF(Daten!$AC$13:$AC$25=T17,ABS(Daten!$AD$13:$AD$25-IN_rooms!AE$53)),
                                   0)),
TRUE, IN_rooms!AE$53)</f>
        <v>0</v>
      </c>
      <c r="U18" s="5" cm="1">
        <f t="array" ref="U18">_xlfn.IFS(IN_rooms!AF$53=0,0,
U16 = "Stahlradiator",
INDEX(Daten!$AF$13:$AF$23,_xlfn.XMATCH(MIN(IF(Daten!$AE$13:$AE$23=U17,ABS(Daten!$AF$13:$AF$23-IN_rooms!AF$53))),
                                  IF(Daten!$AE$13:$AE$23=U17,ABS(Daten!$AF$13:$AF$23-IN_rooms!AF$53)),
                                  0)),
U16 = "Gussradiator",
INDEX(Daten!$AD$13:$AD$25,_xlfn.XMATCH(MIN(IF(Daten!$AC$13:$AC$25=U17,ABS(Daten!$AD$13:$AD$25-IN_rooms!AF$53))),
                                   IF(Daten!$AC$13:$AC$25=U17,ABS(Daten!$AD$13:$AD$25-IN_rooms!AF$53)),
                                   0)),
TRUE, IN_rooms!AF$53)</f>
        <v>0</v>
      </c>
    </row>
    <row r="19" spans="1:21" ht="15.75" thickBot="1">
      <c r="A19" s="72" t="s">
        <v>585</v>
      </c>
      <c r="B19" s="72" t="s">
        <v>403</v>
      </c>
      <c r="C19" s="72" t="s">
        <v>150</v>
      </c>
      <c r="D19" s="72" t="s">
        <v>586</v>
      </c>
      <c r="E19" s="72" t="s">
        <v>587</v>
      </c>
      <c r="G19" s="5">
        <f>IN_rooms!R$54</f>
        <v>0</v>
      </c>
      <c r="H19" s="5">
        <f>IN_rooms!S$54</f>
        <v>0</v>
      </c>
      <c r="I19" s="5">
        <f>IN_rooms!T$54</f>
        <v>0</v>
      </c>
      <c r="J19" s="5">
        <f>IN_rooms!U$54</f>
        <v>0</v>
      </c>
      <c r="K19" s="5">
        <f>IN_rooms!V$54</f>
        <v>0</v>
      </c>
      <c r="L19" s="5">
        <f>IN_rooms!W$54</f>
        <v>0</v>
      </c>
      <c r="M19" s="5">
        <f>IN_rooms!X$54</f>
        <v>0</v>
      </c>
      <c r="N19" s="5">
        <f>IN_rooms!Y$54</f>
        <v>0</v>
      </c>
      <c r="O19" s="5">
        <f>IN_rooms!Z$54</f>
        <v>0</v>
      </c>
      <c r="P19" s="5">
        <f>IN_rooms!AA$54</f>
        <v>0</v>
      </c>
      <c r="Q19" s="5">
        <f>IN_rooms!AB$54</f>
        <v>0</v>
      </c>
      <c r="R19" s="5">
        <f>IN_rooms!AC$54</f>
        <v>0</v>
      </c>
      <c r="S19" s="5">
        <f>IN_rooms!AD$54</f>
        <v>0</v>
      </c>
      <c r="T19" s="5">
        <f>IN_rooms!AE$54</f>
        <v>0</v>
      </c>
      <c r="U19" s="5">
        <f>IN_rooms!AF$54</f>
        <v>0</v>
      </c>
    </row>
    <row r="20" spans="1:21" ht="15.75" thickBot="1">
      <c r="A20" s="72" t="s">
        <v>565</v>
      </c>
      <c r="B20" s="72" t="s">
        <v>403</v>
      </c>
      <c r="C20" s="72" t="s">
        <v>150</v>
      </c>
      <c r="D20" s="72" t="s">
        <v>413</v>
      </c>
      <c r="E20" s="72"/>
      <c r="G20" s="5">
        <f>1.3</f>
        <v>1.3</v>
      </c>
      <c r="H20" s="5">
        <f t="shared" ref="H20:U20" si="4">1.3</f>
        <v>1.3</v>
      </c>
      <c r="I20" s="5">
        <f t="shared" si="4"/>
        <v>1.3</v>
      </c>
      <c r="J20" s="5">
        <f t="shared" si="4"/>
        <v>1.3</v>
      </c>
      <c r="K20" s="5">
        <f t="shared" si="4"/>
        <v>1.3</v>
      </c>
      <c r="L20" s="5">
        <f t="shared" si="4"/>
        <v>1.3</v>
      </c>
      <c r="M20" s="5">
        <f t="shared" si="4"/>
        <v>1.3</v>
      </c>
      <c r="N20" s="5">
        <f t="shared" si="4"/>
        <v>1.3</v>
      </c>
      <c r="O20" s="5">
        <f t="shared" si="4"/>
        <v>1.3</v>
      </c>
      <c r="P20" s="5">
        <f t="shared" si="4"/>
        <v>1.3</v>
      </c>
      <c r="Q20" s="5">
        <f t="shared" si="4"/>
        <v>1.3</v>
      </c>
      <c r="R20" s="5">
        <f t="shared" si="4"/>
        <v>1.3</v>
      </c>
      <c r="S20" s="5">
        <f t="shared" si="4"/>
        <v>1.3</v>
      </c>
      <c r="T20" s="5">
        <f t="shared" si="4"/>
        <v>1.3</v>
      </c>
      <c r="U20" s="5">
        <f t="shared" si="4"/>
        <v>1.3</v>
      </c>
    </row>
    <row r="21" spans="1:21" ht="15.75" thickBot="1">
      <c r="A21" s="72" t="s">
        <v>567</v>
      </c>
      <c r="B21" s="72" t="s">
        <v>403</v>
      </c>
      <c r="C21" s="72" t="s">
        <v>150</v>
      </c>
      <c r="D21" s="72" t="s">
        <v>588</v>
      </c>
      <c r="E21" s="72" t="s">
        <v>31</v>
      </c>
      <c r="G21" s="5">
        <f ca="1">_xlfn.LET(
    _xlpm.wärmeleistung, SUMIFS(
        INDIRECT("tabelle1[Wärmeleistung (75/65/20)  in W/Glied]"),
        INDIRECT("tabelle1[Heizkörper_Typ]"), clc_power!G$15,
        INDIRECT("tabelle1[Heizkörper_Subtyp]"), clc_power!G$16,
        INDIRECT("tabelle1[Höhe H in mm]"), clc_power!G$17,
        INDIRECT("tabelle1[Bautiefe T in mm]"), clc_power!G$18
    ),
    _xlpm.leistung, IN_rooms!R$55 * _xlpm.wärmeleistung * G$19,
    IF(_xlpm.leistung &gt; 0, _xlpm.leistung, 0)
)</f>
        <v>0</v>
      </c>
      <c r="H21" s="5">
        <f ca="1">_xlfn.LET(
    _xlpm.wärmeleistung, SUMIFS(
        INDIRECT("tabelle1[Wärmeleistung (75/65/20)  in W/Glied]"),
        INDIRECT("tabelle1[Heizkörper_Typ]"), clc_power!H$15,
        INDIRECT("tabelle1[Heizkörper_Subtyp]"), clc_power!H$16,
        INDIRECT("tabelle1[Höhe H in mm]"), clc_power!H$17,
        INDIRECT("tabelle1[Bautiefe T in mm]"), clc_power!H$18
    ),
    _xlpm.leistung, IN_rooms!S$55 * _xlpm.wärmeleistung * H$19,
    IF(_xlpm.leistung &gt; 0, _xlpm.leistung, 0)
)</f>
        <v>0</v>
      </c>
      <c r="I21" s="5">
        <f ca="1">_xlfn.LET(
    _xlpm.wärmeleistung, SUMIFS(
        INDIRECT("tabelle1[Wärmeleistung (75/65/20)  in W/Glied]"),
        INDIRECT("tabelle1[Heizkörper_Typ]"), clc_power!I$15,
        INDIRECT("tabelle1[Heizkörper_Subtyp]"), clc_power!I$16,
        INDIRECT("tabelle1[Höhe H in mm]"), clc_power!I$17,
        INDIRECT("tabelle1[Bautiefe T in mm]"), clc_power!I$18
    ),
    _xlpm.leistung, IN_rooms!T$55 * _xlpm.wärmeleistung * I$19,
    IF(_xlpm.leistung &gt; 0, _xlpm.leistung, 0)
)</f>
        <v>0</v>
      </c>
      <c r="J21" s="5">
        <f ca="1">_xlfn.LET(
    _xlpm.wärmeleistung, SUMIFS(
        INDIRECT("tabelle1[Wärmeleistung (75/65/20)  in W/Glied]"),
        INDIRECT("tabelle1[Heizkörper_Typ]"), clc_power!J$15,
        INDIRECT("tabelle1[Heizkörper_Subtyp]"), clc_power!J$16,
        INDIRECT("tabelle1[Höhe H in mm]"), clc_power!J$17,
        INDIRECT("tabelle1[Bautiefe T in mm]"), clc_power!J$18
    ),
    _xlpm.leistung, IN_rooms!U$55 * _xlpm.wärmeleistung * J$19,
    IF(_xlpm.leistung &gt; 0, _xlpm.leistung, 0)
)</f>
        <v>0</v>
      </c>
      <c r="K21" s="5">
        <f ca="1">_xlfn.LET(
    _xlpm.wärmeleistung, SUMIFS(
        INDIRECT("tabelle1[Wärmeleistung (75/65/20)  in W/Glied]"),
        INDIRECT("tabelle1[Heizkörper_Typ]"), clc_power!K$15,
        INDIRECT("tabelle1[Heizkörper_Subtyp]"), clc_power!K$16,
        INDIRECT("tabelle1[Höhe H in mm]"), clc_power!K$17,
        INDIRECT("tabelle1[Bautiefe T in mm]"), clc_power!K$18
    ),
    _xlpm.leistung, IN_rooms!V$55 * _xlpm.wärmeleistung * K$19,
    IF(_xlpm.leistung &gt; 0, _xlpm.leistung, 0)
)</f>
        <v>0</v>
      </c>
      <c r="L21" s="5">
        <f ca="1">_xlfn.LET(
    _xlpm.wärmeleistung, SUMIFS(
        INDIRECT("tabelle1[Wärmeleistung (75/65/20)  in W/Glied]"),
        INDIRECT("tabelle1[Heizkörper_Typ]"), clc_power!L$15,
        INDIRECT("tabelle1[Heizkörper_Subtyp]"), clc_power!L$16,
        INDIRECT("tabelle1[Höhe H in mm]"), clc_power!L$17,
        INDIRECT("tabelle1[Bautiefe T in mm]"), clc_power!L$18
    ),
    _xlpm.leistung, IN_rooms!W$55 * _xlpm.wärmeleistung * L$19,
    IF(_xlpm.leistung &gt; 0, _xlpm.leistung, 0)
)</f>
        <v>0</v>
      </c>
      <c r="M21" s="5">
        <f ca="1">_xlfn.LET(
    _xlpm.wärmeleistung, SUMIFS(
        INDIRECT("tabelle1[Wärmeleistung (75/65/20)  in W/Glied]"),
        INDIRECT("tabelle1[Heizkörper_Typ]"), clc_power!M$15,
        INDIRECT("tabelle1[Heizkörper_Subtyp]"), clc_power!M$16,
        INDIRECT("tabelle1[Höhe H in mm]"), clc_power!M$17,
        INDIRECT("tabelle1[Bautiefe T in mm]"), clc_power!M$18
    ),
    _xlpm.leistung, IN_rooms!X$55 * _xlpm.wärmeleistung * M$19,
    IF(_xlpm.leistung &gt; 0, _xlpm.leistung, 0)
)</f>
        <v>0</v>
      </c>
      <c r="N21" s="5">
        <f ca="1">_xlfn.LET(
    _xlpm.wärmeleistung, SUMIFS(
        INDIRECT("tabelle1[Wärmeleistung (75/65/20)  in W/Glied]"),
        INDIRECT("tabelle1[Heizkörper_Typ]"), clc_power!N$15,
        INDIRECT("tabelle1[Heizkörper_Subtyp]"), clc_power!N$16,
        INDIRECT("tabelle1[Höhe H in mm]"), clc_power!N$17,
        INDIRECT("tabelle1[Bautiefe T in mm]"), clc_power!N$18
    ),
    _xlpm.leistung, IN_rooms!Y$55 * _xlpm.wärmeleistung * N$19,
    IF(_xlpm.leistung &gt; 0, _xlpm.leistung, 0)
)</f>
        <v>0</v>
      </c>
      <c r="O21" s="5">
        <f ca="1">_xlfn.LET(
    _xlpm.wärmeleistung, SUMIFS(
        INDIRECT("tabelle1[Wärmeleistung (75/65/20)  in W/Glied]"),
        INDIRECT("tabelle1[Heizkörper_Typ]"), clc_power!O$15,
        INDIRECT("tabelle1[Heizkörper_Subtyp]"), clc_power!O$16,
        INDIRECT("tabelle1[Höhe H in mm]"), clc_power!O$17,
        INDIRECT("tabelle1[Bautiefe T in mm]"), clc_power!O$18
    ),
    _xlpm.leistung, IN_rooms!Z$55 * _xlpm.wärmeleistung * O$19,
    IF(_xlpm.leistung &gt; 0, _xlpm.leistung, 0)
)</f>
        <v>0</v>
      </c>
      <c r="P21" s="5">
        <f ca="1">_xlfn.LET(
    _xlpm.wärmeleistung, SUMIFS(
        INDIRECT("tabelle1[Wärmeleistung (75/65/20)  in W/Glied]"),
        INDIRECT("tabelle1[Heizkörper_Typ]"), clc_power!P$15,
        INDIRECT("tabelle1[Heizkörper_Subtyp]"), clc_power!P$16,
        INDIRECT("tabelle1[Höhe H in mm]"), clc_power!P$17,
        INDIRECT("tabelle1[Bautiefe T in mm]"), clc_power!P$18
    ),
    _xlpm.leistung, IN_rooms!AA$55 * _xlpm.wärmeleistung * P$19,
    IF(_xlpm.leistung &gt; 0, _xlpm.leistung, 0)
)</f>
        <v>0</v>
      </c>
      <c r="Q21" s="5">
        <f ca="1">_xlfn.LET(
    _xlpm.wärmeleistung, SUMIFS(
        INDIRECT("tabelle1[Wärmeleistung (75/65/20)  in W/Glied]"),
        INDIRECT("tabelle1[Heizkörper_Typ]"), clc_power!Q$15,
        INDIRECT("tabelle1[Heizkörper_Subtyp]"), clc_power!Q$16,
        INDIRECT("tabelle1[Höhe H in mm]"), clc_power!Q$17,
        INDIRECT("tabelle1[Bautiefe T in mm]"), clc_power!Q$18
    ),
    _xlpm.leistung, IN_rooms!AB$55 * _xlpm.wärmeleistung * Q$19,
    IF(_xlpm.leistung &gt; 0, _xlpm.leistung, 0)
)</f>
        <v>0</v>
      </c>
      <c r="R21" s="5">
        <f ca="1">_xlfn.LET(
    _xlpm.wärmeleistung, SUMIFS(
        INDIRECT("tabelle1[Wärmeleistung (75/65/20)  in W/Glied]"),
        INDIRECT("tabelle1[Heizkörper_Typ]"), clc_power!R$15,
        INDIRECT("tabelle1[Heizkörper_Subtyp]"), clc_power!R$16,
        INDIRECT("tabelle1[Höhe H in mm]"), clc_power!R$17,
        INDIRECT("tabelle1[Bautiefe T in mm]"), clc_power!R$18
    ),
    _xlpm.leistung, IN_rooms!AC$55 * _xlpm.wärmeleistung * R$19,
    IF(_xlpm.leistung &gt; 0, _xlpm.leistung, 0)
)</f>
        <v>0</v>
      </c>
      <c r="S21" s="5">
        <f ca="1">_xlfn.LET(
    _xlpm.wärmeleistung, SUMIFS(
        INDIRECT("tabelle1[Wärmeleistung (75/65/20)  in W/Glied]"),
        INDIRECT("tabelle1[Heizkörper_Typ]"), clc_power!S$15,
        INDIRECT("tabelle1[Heizkörper_Subtyp]"), clc_power!S$16,
        INDIRECT("tabelle1[Höhe H in mm]"), clc_power!S$17,
        INDIRECT("tabelle1[Bautiefe T in mm]"), clc_power!S$18
    ),
    _xlpm.leistung, IN_rooms!AD$55 * _xlpm.wärmeleistung * S$19,
    IF(_xlpm.leistung &gt; 0, _xlpm.leistung, 0)
)</f>
        <v>0</v>
      </c>
      <c r="T21" s="5">
        <f ca="1">_xlfn.LET(
    _xlpm.wärmeleistung, SUMIFS(
        INDIRECT("tabelle1[Wärmeleistung (75/65/20)  in W/Glied]"),
        INDIRECT("tabelle1[Heizkörper_Typ]"), clc_power!T$15,
        INDIRECT("tabelle1[Heizkörper_Subtyp]"), clc_power!T$16,
        INDIRECT("tabelle1[Höhe H in mm]"), clc_power!T$17,
        INDIRECT("tabelle1[Bautiefe T in mm]"), clc_power!T$18
    ),
    _xlpm.leistung, IN_rooms!AE$55 * _xlpm.wärmeleistung * T$19,
    IF(_xlpm.leistung &gt; 0, _xlpm.leistung, 0)
)</f>
        <v>0</v>
      </c>
      <c r="U21" s="5">
        <f ca="1">_xlfn.LET(
    _xlpm.wärmeleistung, SUMIFS(
        INDIRECT("tabelle1[Wärmeleistung (75/65/20)  in W/Glied]"),
        INDIRECT("tabelle1[Heizkörper_Typ]"), clc_power!U$15,
        INDIRECT("tabelle1[Heizkörper_Subtyp]"), clc_power!U$16,
        INDIRECT("tabelle1[Höhe H in mm]"), clc_power!U$17,
        INDIRECT("tabelle1[Bautiefe T in mm]"), clc_power!U$18
    ),
    _xlpm.leistung, IN_rooms!AF$55 * _xlpm.wärmeleistung * U$19,
    IF(_xlpm.leistung &gt; 0, _xlpm.leistung, 0)
)</f>
        <v>0</v>
      </c>
    </row>
    <row r="22" spans="1:21" ht="15.75" thickBot="1">
      <c r="A22" s="72" t="s">
        <v>569</v>
      </c>
      <c r="B22" s="72" t="s">
        <v>403</v>
      </c>
      <c r="C22" s="72" t="s">
        <v>150</v>
      </c>
      <c r="D22" s="72" t="s">
        <v>589</v>
      </c>
      <c r="E22" s="72" t="s">
        <v>26</v>
      </c>
      <c r="G22" s="5">
        <f>TVL_Ziel</f>
        <v>55</v>
      </c>
      <c r="H22" s="5">
        <f t="shared" ref="H22:U22" si="5">TVL_Ziel</f>
        <v>55</v>
      </c>
      <c r="I22" s="5">
        <f t="shared" si="5"/>
        <v>55</v>
      </c>
      <c r="J22" s="5">
        <f t="shared" si="5"/>
        <v>55</v>
      </c>
      <c r="K22" s="5">
        <f t="shared" si="5"/>
        <v>55</v>
      </c>
      <c r="L22" s="5">
        <f t="shared" si="5"/>
        <v>55</v>
      </c>
      <c r="M22" s="5">
        <f t="shared" si="5"/>
        <v>55</v>
      </c>
      <c r="N22" s="5">
        <f t="shared" si="5"/>
        <v>55</v>
      </c>
      <c r="O22" s="5">
        <f t="shared" si="5"/>
        <v>55</v>
      </c>
      <c r="P22" s="5">
        <f t="shared" si="5"/>
        <v>55</v>
      </c>
      <c r="Q22" s="5">
        <f t="shared" si="5"/>
        <v>55</v>
      </c>
      <c r="R22" s="5">
        <f t="shared" si="5"/>
        <v>55</v>
      </c>
      <c r="S22" s="5">
        <f t="shared" si="5"/>
        <v>55</v>
      </c>
      <c r="T22" s="5">
        <f t="shared" si="5"/>
        <v>55</v>
      </c>
      <c r="U22" s="5">
        <f t="shared" si="5"/>
        <v>55</v>
      </c>
    </row>
    <row r="23" spans="1:21" ht="15.75" thickBot="1">
      <c r="A23" s="72" t="s">
        <v>571</v>
      </c>
      <c r="B23" s="72" t="s">
        <v>403</v>
      </c>
      <c r="C23" s="72" t="s">
        <v>150</v>
      </c>
      <c r="D23" s="72" t="s">
        <v>590</v>
      </c>
      <c r="E23" s="72" t="s">
        <v>26</v>
      </c>
      <c r="G23" s="5">
        <f>TRL_Ziel</f>
        <v>45</v>
      </c>
      <c r="H23" s="5">
        <f t="shared" ref="H23:U23" si="6">TRL_Ziel</f>
        <v>45</v>
      </c>
      <c r="I23" s="5">
        <f t="shared" si="6"/>
        <v>45</v>
      </c>
      <c r="J23" s="5">
        <f t="shared" si="6"/>
        <v>45</v>
      </c>
      <c r="K23" s="5">
        <f t="shared" si="6"/>
        <v>45</v>
      </c>
      <c r="L23" s="5">
        <f t="shared" si="6"/>
        <v>45</v>
      </c>
      <c r="M23" s="5">
        <f t="shared" si="6"/>
        <v>45</v>
      </c>
      <c r="N23" s="5">
        <f t="shared" si="6"/>
        <v>45</v>
      </c>
      <c r="O23" s="5">
        <f t="shared" si="6"/>
        <v>45</v>
      </c>
      <c r="P23" s="5">
        <f t="shared" si="6"/>
        <v>45</v>
      </c>
      <c r="Q23" s="5">
        <f t="shared" si="6"/>
        <v>45</v>
      </c>
      <c r="R23" s="5">
        <f t="shared" si="6"/>
        <v>45</v>
      </c>
      <c r="S23" s="5">
        <f t="shared" si="6"/>
        <v>45</v>
      </c>
      <c r="T23" s="5">
        <f t="shared" si="6"/>
        <v>45</v>
      </c>
      <c r="U23" s="5">
        <f t="shared" si="6"/>
        <v>45</v>
      </c>
    </row>
    <row r="24" spans="1:21" ht="15.75" thickBot="1">
      <c r="A24" s="72" t="s">
        <v>573</v>
      </c>
      <c r="B24" s="72" t="s">
        <v>403</v>
      </c>
      <c r="C24" s="72" t="s">
        <v>150</v>
      </c>
      <c r="D24" s="72" t="s">
        <v>591</v>
      </c>
      <c r="E24" s="72" t="s">
        <v>575</v>
      </c>
      <c r="G24" s="34">
        <f>(G$22-G$23)/(LN((G$22-clc_load!I$10)/(clc_power!G$23-clc_load!I$10)))</f>
        <v>49.83288654563971</v>
      </c>
      <c r="H24" s="34">
        <f>(H$22-H$23)/(LN((H$22-clc_load!J$10)/(clc_power!H$23-clc_load!J$10)))</f>
        <v>49.83288654563971</v>
      </c>
      <c r="I24" s="34">
        <f>(I$22-I$23)/(LN((I$22-clc_load!K$10)/(clc_power!I$23-clc_load!K$10)))</f>
        <v>49.83288654563971</v>
      </c>
      <c r="J24" s="34">
        <f>(J$22-J$23)/(LN((J$22-clc_load!L$10)/(clc_power!J$23-clc_load!L$10)))</f>
        <v>49.83288654563971</v>
      </c>
      <c r="K24" s="34">
        <f>(K$22-K$23)/(LN((K$22-clc_load!M$10)/(clc_power!K$23-clc_load!M$10)))</f>
        <v>49.83288654563971</v>
      </c>
      <c r="L24" s="34">
        <f>(L$22-L$23)/(LN((L$22-clc_load!N$10)/(clc_power!L$23-clc_load!N$10)))</f>
        <v>49.83288654563971</v>
      </c>
      <c r="M24" s="34">
        <f>(M$22-M$23)/(LN((M$22-clc_load!O$10)/(clc_power!M$23-clc_load!O$10)))</f>
        <v>49.83288654563971</v>
      </c>
      <c r="N24" s="34">
        <f>(N$22-N$23)/(LN((N$22-clc_load!P$10)/(clc_power!N$23-clc_load!P$10)))</f>
        <v>49.83288654563971</v>
      </c>
      <c r="O24" s="34">
        <f>(O$22-O$23)/(LN((O$22-clc_load!Q$10)/(clc_power!O$23-clc_load!Q$10)))</f>
        <v>49.83288654563971</v>
      </c>
      <c r="P24" s="34">
        <f>(P$22-P$23)/(LN((P$22-clc_load!R$10)/(clc_power!P$23-clc_load!R$10)))</f>
        <v>49.83288654563971</v>
      </c>
      <c r="Q24" s="34">
        <f>(Q$22-Q$23)/(LN((Q$22-clc_load!S$10)/(clc_power!Q$23-clc_load!S$10)))</f>
        <v>49.83288654563971</v>
      </c>
      <c r="R24" s="34">
        <f>(R$22-R$23)/(LN((R$22-clc_load!T$10)/(clc_power!R$23-clc_load!T$10)))</f>
        <v>49.83288654563971</v>
      </c>
      <c r="S24" s="34">
        <f>(S$22-S$23)/(LN((S$22-clc_load!U$10)/(clc_power!S$23-clc_load!U$10)))</f>
        <v>49.83288654563971</v>
      </c>
      <c r="T24" s="34">
        <f>(T$22-T$23)/(LN((T$22-clc_load!V$10)/(clc_power!T$23-clc_load!V$10)))</f>
        <v>49.83288654563971</v>
      </c>
      <c r="U24" s="34">
        <f>(U$22-U$23)/(LN((U$22-clc_load!W$10)/(clc_power!U$23-clc_load!W$10)))</f>
        <v>49.83288654563971</v>
      </c>
    </row>
    <row r="25" spans="1:21" ht="15.75" thickBot="1">
      <c r="A25" s="72" t="s">
        <v>576</v>
      </c>
      <c r="B25" s="72" t="s">
        <v>403</v>
      </c>
      <c r="C25" s="72" t="s">
        <v>150</v>
      </c>
      <c r="D25" s="72" t="s">
        <v>592</v>
      </c>
      <c r="E25" s="72" t="s">
        <v>31</v>
      </c>
      <c r="G25" s="5">
        <f t="shared" ref="G25:U25" ca="1" si="7">IF(G$21*((G$24/Log_ÜT_Norm)^G$20)&gt;0,G$21*((G$24/Log_ÜT_Norm)^G$20),0)</f>
        <v>0</v>
      </c>
      <c r="H25" s="5">
        <f t="shared" ca="1" si="7"/>
        <v>0</v>
      </c>
      <c r="I25" s="5">
        <f t="shared" ca="1" si="7"/>
        <v>0</v>
      </c>
      <c r="J25" s="5">
        <f t="shared" ca="1" si="7"/>
        <v>0</v>
      </c>
      <c r="K25" s="5">
        <f t="shared" ca="1" si="7"/>
        <v>0</v>
      </c>
      <c r="L25" s="5">
        <f t="shared" ca="1" si="7"/>
        <v>0</v>
      </c>
      <c r="M25" s="5">
        <f t="shared" ca="1" si="7"/>
        <v>0</v>
      </c>
      <c r="N25" s="5">
        <f t="shared" ca="1" si="7"/>
        <v>0</v>
      </c>
      <c r="O25" s="5">
        <f t="shared" ca="1" si="7"/>
        <v>0</v>
      </c>
      <c r="P25" s="5">
        <f t="shared" ca="1" si="7"/>
        <v>0</v>
      </c>
      <c r="Q25" s="5">
        <f t="shared" ca="1" si="7"/>
        <v>0</v>
      </c>
      <c r="R25" s="5">
        <f t="shared" ca="1" si="7"/>
        <v>0</v>
      </c>
      <c r="S25" s="5">
        <f t="shared" ca="1" si="7"/>
        <v>0</v>
      </c>
      <c r="T25" s="5">
        <f t="shared" ca="1" si="7"/>
        <v>0</v>
      </c>
      <c r="U25" s="5">
        <f t="shared" ca="1" si="7"/>
        <v>0</v>
      </c>
    </row>
    <row r="26" spans="1:21" ht="15.75" thickBot="1">
      <c r="A26" s="103" t="s">
        <v>578</v>
      </c>
      <c r="B26" s="103" t="s">
        <v>403</v>
      </c>
      <c r="C26" s="103" t="s">
        <v>579</v>
      </c>
      <c r="D26" s="103" t="s">
        <v>593</v>
      </c>
      <c r="E26" s="103" t="s">
        <v>31</v>
      </c>
      <c r="G26" s="34">
        <f ca="1">_xlfn.LET(
    _xlpm.typ, "Flachheizkoerper_senkrecht_profiliert",
    _xlpm.subtyp, "Typ_33",
    _xlpm.f_höhe,IF(G$17&gt;900,1.2,1),
    _xlpm.höhe, _xlfn.XLOOKUP(G$17/_xlpm.f_höhe, Data_radiator!$G$5:$G$32, Data_radiator!$G$5:$G$32, 1000000, 1, 1),
    _xlpm.tiefe, 155,
    _xlpm.glieder, G$19,
    _xlpm.radiatorart, G$16,
    _xlpm.tempfaktor, IF(_xlpm.radiatorart = "Gussradiator", 50, 60),
    _xlpm.überschuss, G$24,
    _xlpm.leistung, IN_rooms!R$55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H26" s="34">
        <f ca="1">_xlfn.LET(
    _xlpm.typ, "Flachheizkoerper_senkrecht_profiliert",
    _xlpm.subtyp, "Typ_33",
    _xlpm.f_höhe,IF(H$17&gt;900,1.2,1),
    _xlpm.höhe, _xlfn.XLOOKUP(H$17/_xlpm.f_höhe, Data_radiator!$G$5:$G$32, Data_radiator!$G$5:$G$32, 1000000, 1, 1),
    _xlpm.tiefe, 155,
    _xlpm.glieder, H$19,
    _xlpm.radiatorart, H$16,
    _xlpm.tempfaktor, IF(_xlpm.radiatorart = "Gussradiator", 50, 60),
    _xlpm.überschuss, H$24,
    _xlpm.leistung, IN_rooms!S$55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I26" s="34">
        <f ca="1">_xlfn.LET(
    _xlpm.typ, "Flachheizkoerper_senkrecht_profiliert",
    _xlpm.subtyp, "Typ_33",
    _xlpm.f_höhe,IF(I$17&gt;900,1.2,1),
    _xlpm.höhe, _xlfn.XLOOKUP(I$17/_xlpm.f_höhe, Data_radiator!$G$5:$G$32, Data_radiator!$G$5:$G$32, 1000000, 1, 1),
    _xlpm.tiefe, 155,
    _xlpm.glieder, I$19,
    _xlpm.radiatorart, I$16,
    _xlpm.tempfaktor, IF(_xlpm.radiatorart = "Gussradiator", 50, 60),
    _xlpm.überschuss, I$24,
    _xlpm.leistung, IN_rooms!T$55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J26" s="34">
        <f ca="1">_xlfn.LET(
    _xlpm.typ, "Flachheizkoerper_senkrecht_profiliert",
    _xlpm.subtyp, "Typ_33",
    _xlpm.f_höhe,IF(J$17&gt;900,1.2,1),
    _xlpm.höhe, _xlfn.XLOOKUP(J$17/_xlpm.f_höhe, Data_radiator!$G$5:$G$32, Data_radiator!$G$5:$G$32, 1000000, 1, 1),
    _xlpm.tiefe, 155,
    _xlpm.glieder, J$19,
    _xlpm.radiatorart, J$16,
    _xlpm.tempfaktor, IF(_xlpm.radiatorart = "Gussradiator", 50, 60),
    _xlpm.überschuss, J$24,
    _xlpm.leistung, IN_rooms!U$55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K26" s="34">
        <f ca="1">_xlfn.LET(
    _xlpm.typ, "Flachheizkoerper_senkrecht_profiliert",
    _xlpm.subtyp, "Typ_33",
    _xlpm.f_höhe,IF(K$17&gt;900,1.2,1),
    _xlpm.höhe, _xlfn.XLOOKUP(K$17/_xlpm.f_höhe, Data_radiator!$G$5:$G$32, Data_radiator!$G$5:$G$32, 1000000, 1, 1),
    _xlpm.tiefe, 155,
    _xlpm.glieder, K$19,
    _xlpm.radiatorart, K$16,
    _xlpm.tempfaktor, IF(_xlpm.radiatorart = "Gussradiator", 50, 60),
    _xlpm.überschuss, K$24,
    _xlpm.leistung, IN_rooms!V$55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L26" s="34">
        <f ca="1">_xlfn.LET(
    _xlpm.typ, "Flachheizkoerper_senkrecht_profiliert",
    _xlpm.subtyp, "Typ_33",
    _xlpm.f_höhe,IF(L$17&gt;900,1.2,1),
    _xlpm.höhe, _xlfn.XLOOKUP(L$17/_xlpm.f_höhe, Data_radiator!$G$5:$G$32, Data_radiator!$G$5:$G$32, 1000000, 1, 1),
    _xlpm.tiefe, 155,
    _xlpm.glieder, L$19,
    _xlpm.radiatorart, L$16,
    _xlpm.tempfaktor, IF(_xlpm.radiatorart = "Gussradiator", 50, 60),
    _xlpm.überschuss, L$24,
    _xlpm.leistung, IN_rooms!W$55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M26" s="34">
        <f ca="1">_xlfn.LET(
    _xlpm.typ, "Flachheizkoerper_senkrecht_profiliert",
    _xlpm.subtyp, "Typ_33",
    _xlpm.f_höhe,IF(M$17&gt;900,1.2,1),
    _xlpm.höhe, _xlfn.XLOOKUP(M$17/_xlpm.f_höhe, Data_radiator!$G$5:$G$32, Data_radiator!$G$5:$G$32, 1000000, 1, 1),
    _xlpm.tiefe, 155,
    _xlpm.glieder, M$19,
    _xlpm.radiatorart, M$16,
    _xlpm.tempfaktor, IF(_xlpm.radiatorart = "Gussradiator", 50, 60),
    _xlpm.überschuss, M$24,
    _xlpm.leistung, IN_rooms!X$55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N26" s="34">
        <f ca="1">_xlfn.LET(
    _xlpm.typ, "Flachheizkoerper_senkrecht_profiliert",
    _xlpm.subtyp, "Typ_33",
    _xlpm.f_höhe,IF(N$17&gt;900,1.2,1),
    _xlpm.höhe, _xlfn.XLOOKUP(N$17/_xlpm.f_höhe, Data_radiator!$G$5:$G$32, Data_radiator!$G$5:$G$32, 1000000, 1, 1),
    _xlpm.tiefe, 155,
    _xlpm.glieder, N$19,
    _xlpm.radiatorart, N$16,
    _xlpm.tempfaktor, IF(_xlpm.radiatorart = "Gussradiator", 50, 60),
    _xlpm.überschuss, N$24,
    _xlpm.leistung, IN_rooms!Y$55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O26" s="34">
        <f ca="1">_xlfn.LET(
    _xlpm.typ, "Flachheizkoerper_senkrecht_profiliert",
    _xlpm.subtyp, "Typ_33",
    _xlpm.f_höhe,IF(O$17&gt;900,1.2,1),
    _xlpm.höhe, _xlfn.XLOOKUP(O$17/_xlpm.f_höhe, Data_radiator!$G$5:$G$32, Data_radiator!$G$5:$G$32, 1000000, 1, 1),
    _xlpm.tiefe, 155,
    _xlpm.glieder, O$19,
    _xlpm.radiatorart, O$16,
    _xlpm.tempfaktor, IF(_xlpm.radiatorart = "Gussradiator", 50, 60),
    _xlpm.überschuss, O$24,
    _xlpm.leistung, IN_rooms!Z$55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P26" s="34">
        <f ca="1">_xlfn.LET(
    _xlpm.typ, "Flachheizkoerper_senkrecht_profiliert",
    _xlpm.subtyp, "Typ_33",
    _xlpm.f_höhe,IF(P$17&gt;900,1.2,1),
    _xlpm.höhe, _xlfn.XLOOKUP(P$17/_xlpm.f_höhe, Data_radiator!$G$5:$G$32, Data_radiator!$G$5:$G$32, 1000000, 1, 1),
    _xlpm.tiefe, 155,
    _xlpm.glieder, P$19,
    _xlpm.radiatorart, P$16,
    _xlpm.tempfaktor, IF(_xlpm.radiatorart = "Gussradiator", 50, 60),
    _xlpm.überschuss, P$24,
    _xlpm.leistung, IN_rooms!AA$55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Q26" s="34">
        <f ca="1">_xlfn.LET(
    _xlpm.typ, "Flachheizkoerper_senkrecht_profiliert",
    _xlpm.subtyp, "Typ_33",
    _xlpm.f_höhe,IF(Q$17&gt;900,1.2,1),
    _xlpm.höhe, _xlfn.XLOOKUP(Q$17/_xlpm.f_höhe, Data_radiator!$G$5:$G$32, Data_radiator!$G$5:$G$32, 1000000, 1, 1),
    _xlpm.tiefe, 155,
    _xlpm.glieder, Q$19,
    _xlpm.radiatorart, Q$16,
    _xlpm.tempfaktor, IF(_xlpm.radiatorart = "Gussradiator", 50, 60),
    _xlpm.überschuss, Q$24,
    _xlpm.leistung, IN_rooms!AB$55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R26" s="34">
        <f ca="1">_xlfn.LET(
    _xlpm.typ, "Flachheizkoerper_senkrecht_profiliert",
    _xlpm.subtyp, "Typ_33",
    _xlpm.f_höhe,IF(R$17&gt;900,1.2,1),
    _xlpm.höhe, _xlfn.XLOOKUP(R$17/_xlpm.f_höhe, Data_radiator!$G$5:$G$32, Data_radiator!$G$5:$G$32, 1000000, 1, 1),
    _xlpm.tiefe, 155,
    _xlpm.glieder, R$19,
    _xlpm.radiatorart, R$16,
    _xlpm.tempfaktor, IF(_xlpm.radiatorart = "Gussradiator", 50, 60),
    _xlpm.überschuss, R$24,
    _xlpm.leistung, IN_rooms!AC$55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S26" s="34">
        <f ca="1">_xlfn.LET(
    _xlpm.typ, "Flachheizkoerper_senkrecht_profiliert",
    _xlpm.subtyp, "Typ_33",
    _xlpm.f_höhe,IF(S$17&gt;900,1.2,1),
    _xlpm.höhe, _xlfn.XLOOKUP(S$17/_xlpm.f_höhe, Data_radiator!$G$5:$G$32, Data_radiator!$G$5:$G$32, 1000000, 1, 1),
    _xlpm.tiefe, 155,
    _xlpm.glieder, S$19,
    _xlpm.radiatorart, S$16,
    _xlpm.tempfaktor, IF(_xlpm.radiatorart = "Gussradiator", 50, 60),
    _xlpm.überschuss, S$24,
    _xlpm.leistung, IN_rooms!AD$55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T26" s="34">
        <f ca="1">_xlfn.LET(
    _xlpm.typ, "Flachheizkoerper_senkrecht_profiliert",
    _xlpm.subtyp, "Typ_33",
    _xlpm.f_höhe,IF(T$17&gt;900,1.2,1),
    _xlpm.höhe, _xlfn.XLOOKUP(T$17/_xlpm.f_höhe, Data_radiator!$G$5:$G$32, Data_radiator!$G$5:$G$32, 1000000, 1, 1),
    _xlpm.tiefe, 155,
    _xlpm.glieder, T$19,
    _xlpm.radiatorart, T$16,
    _xlpm.tempfaktor, IF(_xlpm.radiatorart = "Gussradiator", 50, 60),
    _xlpm.überschuss, T$24,
    _xlpm.leistung, IN_rooms!AE$55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U26" s="34">
        <f ca="1">_xlfn.LET(
    _xlpm.typ, "Flachheizkoerper_senkrecht_profiliert",
    _xlpm.subtyp, "Typ_33",
    _xlpm.f_höhe,IF(U$17&gt;900,1.2,1),
    _xlpm.höhe, _xlfn.XLOOKUP(U$17/_xlpm.f_höhe, Data_radiator!$G$5:$G$32, Data_radiator!$G$5:$G$32, 1000000, 1, 1),
    _xlpm.tiefe, 155,
    _xlpm.glieder, U$19,
    _xlpm.radiatorart, U$16,
    _xlpm.tempfaktor, IF(_xlpm.radiatorart = "Gussradiator", 50, 60),
    _xlpm.überschuss, U$24,
    _xlpm.leistung, IN_rooms!AF$55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row>
    <row r="27" spans="1:21" ht="15.75" thickBot="1">
      <c r="A27" s="101" t="s">
        <v>405</v>
      </c>
      <c r="B27" s="101" t="s">
        <v>403</v>
      </c>
      <c r="C27" s="101" t="s">
        <v>154</v>
      </c>
      <c r="D27" s="101" t="s">
        <v>594</v>
      </c>
      <c r="E27" s="101"/>
      <c r="G27" s="5" t="str">
        <f>IF(IN_rooms!R$49="Rohrradiator",IN_rooms!R$49,"")</f>
        <v/>
      </c>
      <c r="H27" s="5" t="str">
        <f>IF(IN_rooms!S$49="Rohrradiator",IN_rooms!S$49,"")</f>
        <v/>
      </c>
      <c r="I27" s="5" t="str">
        <f>IF(IN_rooms!T$49="Rohrradiator",IN_rooms!T$49,"")</f>
        <v/>
      </c>
      <c r="J27" s="5" t="str">
        <f>IF(IN_rooms!U$49="Rohrradiator",IN_rooms!U$49,"")</f>
        <v/>
      </c>
      <c r="K27" s="5" t="str">
        <f>IF(IN_rooms!V$49="Rohrradiator",IN_rooms!V$49,"")</f>
        <v/>
      </c>
      <c r="L27" s="5" t="str">
        <f>IF(IN_rooms!W$49="Rohrradiator",IN_rooms!W$49,"")</f>
        <v/>
      </c>
      <c r="M27" s="5" t="str">
        <f>IF(IN_rooms!X$49="Rohrradiator",IN_rooms!X$49,"")</f>
        <v/>
      </c>
      <c r="N27" s="5" t="str">
        <f>IF(IN_rooms!Y$49="Rohrradiator",IN_rooms!Y$49,"")</f>
        <v/>
      </c>
      <c r="O27" s="5" t="str">
        <f>IF(IN_rooms!Z$49="Rohrradiator",IN_rooms!Z$49,"")</f>
        <v/>
      </c>
      <c r="P27" s="5" t="str">
        <f>IF(IN_rooms!AA$49="Rohrradiator",IN_rooms!AA$49,"")</f>
        <v/>
      </c>
      <c r="Q27" s="5" t="str">
        <f>IF(IN_rooms!AB$49="Rohrradiator",IN_rooms!AB$49,"")</f>
        <v/>
      </c>
      <c r="R27" s="5" t="str">
        <f>IF(IN_rooms!AC$49="Rohrradiator",IN_rooms!AC$49,"")</f>
        <v/>
      </c>
      <c r="S27" s="5" t="str">
        <f>IF(IN_rooms!AD$49="Rohrradiator",IN_rooms!AD$49,"")</f>
        <v/>
      </c>
      <c r="T27" s="5" t="str">
        <f>IF(IN_rooms!AE$49="Rohrradiator",IN_rooms!AE$49,"")</f>
        <v/>
      </c>
      <c r="U27" s="5" t="str">
        <f>IF(IN_rooms!AF$49="Rohrradiator",IN_rooms!AF$49,"")</f>
        <v/>
      </c>
    </row>
    <row r="28" spans="1:21" ht="15.75" thickBot="1">
      <c r="A28" s="101" t="s">
        <v>559</v>
      </c>
      <c r="B28" s="101" t="s">
        <v>403</v>
      </c>
      <c r="C28" s="101" t="s">
        <v>154</v>
      </c>
      <c r="D28" s="101" t="s">
        <v>595</v>
      </c>
      <c r="E28" s="101"/>
      <c r="G28" s="5">
        <f>IN_rooms!R$50</f>
        <v>0</v>
      </c>
      <c r="H28" s="5">
        <f>IN_rooms!S$50</f>
        <v>0</v>
      </c>
      <c r="I28" s="5">
        <f>IN_rooms!T$50</f>
        <v>0</v>
      </c>
      <c r="J28" s="5">
        <f>IN_rooms!U$50</f>
        <v>0</v>
      </c>
      <c r="K28" s="5">
        <f>IN_rooms!V$50</f>
        <v>0</v>
      </c>
      <c r="L28" s="5">
        <f>IN_rooms!W$50</f>
        <v>0</v>
      </c>
      <c r="M28" s="5">
        <f>IN_rooms!X$50</f>
        <v>0</v>
      </c>
      <c r="N28" s="5">
        <f>IN_rooms!Y$50</f>
        <v>0</v>
      </c>
      <c r="O28" s="5">
        <f>IN_rooms!Z$50</f>
        <v>0</v>
      </c>
      <c r="P28" s="5">
        <f>IN_rooms!AA$50</f>
        <v>0</v>
      </c>
      <c r="Q28" s="5">
        <f>IN_rooms!AB$50</f>
        <v>0</v>
      </c>
      <c r="R28" s="5">
        <f>IN_rooms!AC$50</f>
        <v>0</v>
      </c>
      <c r="S28" s="5">
        <f>IN_rooms!AD$50</f>
        <v>0</v>
      </c>
      <c r="T28" s="5">
        <f>IN_rooms!AE$50</f>
        <v>0</v>
      </c>
      <c r="U28" s="5">
        <f>IN_rooms!AF$50</f>
        <v>0</v>
      </c>
    </row>
    <row r="29" spans="1:21" ht="15.75" thickBot="1">
      <c r="A29" s="101" t="s">
        <v>561</v>
      </c>
      <c r="B29" s="101" t="s">
        <v>403</v>
      </c>
      <c r="C29" s="101" t="s">
        <v>154</v>
      </c>
      <c r="D29" s="101" t="s">
        <v>596</v>
      </c>
      <c r="E29" s="101" t="s">
        <v>409</v>
      </c>
      <c r="G29" s="5">
        <f>IN_rooms!R$51</f>
        <v>0</v>
      </c>
      <c r="H29" s="5">
        <f>IN_rooms!S$51</f>
        <v>0</v>
      </c>
      <c r="I29" s="5">
        <f>IN_rooms!T$51</f>
        <v>0</v>
      </c>
      <c r="J29" s="5">
        <f>IN_rooms!U$51</f>
        <v>0</v>
      </c>
      <c r="K29" s="5">
        <f>IN_rooms!V$51</f>
        <v>0</v>
      </c>
      <c r="L29" s="5">
        <f>IN_rooms!W$51</f>
        <v>0</v>
      </c>
      <c r="M29" s="5">
        <f>IN_rooms!X$51</f>
        <v>0</v>
      </c>
      <c r="N29" s="5">
        <f>IN_rooms!Y$51</f>
        <v>0</v>
      </c>
      <c r="O29" s="5">
        <f>IN_rooms!Z$51</f>
        <v>0</v>
      </c>
      <c r="P29" s="5">
        <f>IN_rooms!AA$51</f>
        <v>0</v>
      </c>
      <c r="Q29" s="5">
        <f>IN_rooms!AB$51</f>
        <v>0</v>
      </c>
      <c r="R29" s="5">
        <f>IN_rooms!AC$51</f>
        <v>0</v>
      </c>
      <c r="S29" s="5">
        <f>IN_rooms!AD$51</f>
        <v>0</v>
      </c>
      <c r="T29" s="5">
        <f>IN_rooms!AE$51</f>
        <v>0</v>
      </c>
      <c r="U29" s="5">
        <f>IN_rooms!AF$51</f>
        <v>0</v>
      </c>
    </row>
    <row r="30" spans="1:21" ht="15.75" thickBot="1">
      <c r="A30" s="101" t="s">
        <v>175</v>
      </c>
      <c r="B30" s="101" t="s">
        <v>403</v>
      </c>
      <c r="C30" s="101" t="s">
        <v>154</v>
      </c>
      <c r="D30" s="101" t="s">
        <v>597</v>
      </c>
      <c r="E30" s="101" t="s">
        <v>409</v>
      </c>
      <c r="G30" s="5" cm="1">
        <f t="array" ref="G30">IF(G28="Fensterbankradiator",
IF(IN_rooms!R$52=0,0,INDEX(Fensterbankradiator_b[],MATCH(MIN(ABS(Fensterbankradiator_b[]-IN_rooms!R$52)),ABS(Fensterbankradiator_b[]-IN_rooms!R$52),0))),
IN_rooms!R$52)</f>
        <v>0</v>
      </c>
      <c r="H30" s="5" cm="1">
        <f t="array" ref="H30">IF(H28="Fensterbankradiator",
IF(IN_rooms!S$52=0,0,INDEX(Fensterbankradiator_b[],MATCH(MIN(ABS(Fensterbankradiator_b[]-IN_rooms!S$52)),ABS(Fensterbankradiator_b[]-IN_rooms!S$52),0))),
IN_rooms!S$52)</f>
        <v>0</v>
      </c>
      <c r="I30" s="5" cm="1">
        <f t="array" ref="I30">IF(I28="Fensterbankradiator",
IF(IN_rooms!T$52=0,0,INDEX(Fensterbankradiator_b[],MATCH(MIN(ABS(Fensterbankradiator_b[]-IN_rooms!T$52)),ABS(Fensterbankradiator_b[]-IN_rooms!T$52),0))),
IN_rooms!T$52)</f>
        <v>0</v>
      </c>
      <c r="J30" s="5" cm="1">
        <f t="array" ref="J30">IF(J28="Fensterbankradiator",
IF(IN_rooms!U$52=0,0,INDEX(Fensterbankradiator_b[],MATCH(MIN(ABS(Fensterbankradiator_b[]-IN_rooms!U$52)),ABS(Fensterbankradiator_b[]-IN_rooms!U$52),0))),
IN_rooms!U$52)</f>
        <v>0</v>
      </c>
      <c r="K30" s="5" cm="1">
        <f t="array" ref="K30">IF(K28="Fensterbankradiator",
IF(IN_rooms!V$52=0,0,INDEX(Fensterbankradiator_b[],MATCH(MIN(ABS(Fensterbankradiator_b[]-IN_rooms!V$52)),ABS(Fensterbankradiator_b[]-IN_rooms!V$52),0))),
IN_rooms!V$52)</f>
        <v>0</v>
      </c>
      <c r="L30" s="5" cm="1">
        <f t="array" ref="L30">IF(L28="Fensterbankradiator",
IF(IN_rooms!W$52=0,0,INDEX(Fensterbankradiator_b[],MATCH(MIN(ABS(Fensterbankradiator_b[]-IN_rooms!W$52)),ABS(Fensterbankradiator_b[]-IN_rooms!W$52),0))),
IN_rooms!W$52)</f>
        <v>0</v>
      </c>
      <c r="M30" s="5" cm="1">
        <f t="array" ref="M30">IF(M28="Fensterbankradiator",
IF(IN_rooms!X$52=0,0,INDEX(Fensterbankradiator_b[],MATCH(MIN(ABS(Fensterbankradiator_b[]-IN_rooms!X$52)),ABS(Fensterbankradiator_b[]-IN_rooms!X$52),0))),
IN_rooms!X$52)</f>
        <v>0</v>
      </c>
      <c r="N30" s="5" cm="1">
        <f t="array" ref="N30">IF(N28="Fensterbankradiator",
IF(IN_rooms!Y$52=0,0,INDEX(Fensterbankradiator_b[],MATCH(MIN(ABS(Fensterbankradiator_b[]-IN_rooms!Y$52)),ABS(Fensterbankradiator_b[]-IN_rooms!Y$52),0))),
IN_rooms!Y$52)</f>
        <v>0</v>
      </c>
      <c r="O30" s="5" cm="1">
        <f t="array" ref="O30">IF(O28="Fensterbankradiator",
IF(IN_rooms!Z$52=0,0,INDEX(Fensterbankradiator_b[],MATCH(MIN(ABS(Fensterbankradiator_b[]-IN_rooms!Z$52)),ABS(Fensterbankradiator_b[]-IN_rooms!Z$52),0))),
IN_rooms!Z$52)</f>
        <v>0</v>
      </c>
      <c r="P30" s="5" cm="1">
        <f t="array" ref="P30">IF(P28="Fensterbankradiator",
IF(IN_rooms!AA$52=0,0,INDEX(Fensterbankradiator_b[],MATCH(MIN(ABS(Fensterbankradiator_b[]-IN_rooms!AA$52)),ABS(Fensterbankradiator_b[]-IN_rooms!AA$52),0))),
IN_rooms!AA$52)</f>
        <v>0</v>
      </c>
      <c r="Q30" s="5" cm="1">
        <f t="array" ref="Q30">IF(Q28="Fensterbankradiator",
IF(IN_rooms!AB$52=0,0,INDEX(Fensterbankradiator_b[],MATCH(MIN(ABS(Fensterbankradiator_b[]-IN_rooms!AB$52)),ABS(Fensterbankradiator_b[]-IN_rooms!AB$52),0))),
IN_rooms!AB$52)</f>
        <v>0</v>
      </c>
      <c r="R30" s="5" cm="1">
        <f t="array" ref="R30">IF(R28="Fensterbankradiator",
IF(IN_rooms!AC$52=0,0,INDEX(Fensterbankradiator_b[],MATCH(MIN(ABS(Fensterbankradiator_b[]-IN_rooms!AC$52)),ABS(Fensterbankradiator_b[]-IN_rooms!AC$52),0))),
IN_rooms!AC$52)</f>
        <v>0</v>
      </c>
      <c r="S30" s="5" cm="1">
        <f t="array" ref="S30">IF(S28="Fensterbankradiator",
IF(IN_rooms!AD$52=0,0,INDEX(Fensterbankradiator_b[],MATCH(MIN(ABS(Fensterbankradiator_b[]-IN_rooms!AD$52)),ABS(Fensterbankradiator_b[]-IN_rooms!AD$52),0))),
IN_rooms!AD$52)</f>
        <v>0</v>
      </c>
      <c r="T30" s="5" cm="1">
        <f t="array" ref="T30">IF(T28="Fensterbankradiator",
IF(IN_rooms!AE$52=0,0,INDEX(Fensterbankradiator_b[],MATCH(MIN(ABS(Fensterbankradiator_b[]-IN_rooms!AE$52)),ABS(Fensterbankradiator_b[]-IN_rooms!AE$52),0))),
IN_rooms!AE$52)</f>
        <v>0</v>
      </c>
      <c r="U30" s="5" cm="1">
        <f t="array" ref="U30">IF(U28="Fensterbankradiator",
IF(IN_rooms!AF$52=0,0,INDEX(Fensterbankradiator_b[],MATCH(MIN(ABS(Fensterbankradiator_b[]-IN_rooms!AF$52)),ABS(Fensterbankradiator_b[]-IN_rooms!AF$52),0))),
IN_rooms!AF$52)</f>
        <v>0</v>
      </c>
    </row>
    <row r="31" spans="1:21" ht="15.75" thickBot="1">
      <c r="A31" s="101" t="s">
        <v>412</v>
      </c>
      <c r="B31" s="101" t="s">
        <v>403</v>
      </c>
      <c r="C31" s="101" t="s">
        <v>154</v>
      </c>
      <c r="D31" s="101" t="s">
        <v>598</v>
      </c>
      <c r="E31" s="101" t="s">
        <v>409</v>
      </c>
      <c r="G31" s="5">
        <f>IN_rooms!R$53</f>
        <v>0</v>
      </c>
      <c r="H31" s="5">
        <f>IN_rooms!S$53</f>
        <v>0</v>
      </c>
      <c r="I31" s="5">
        <f>IN_rooms!T$53</f>
        <v>0</v>
      </c>
      <c r="J31" s="5">
        <f>IN_rooms!U$53</f>
        <v>0</v>
      </c>
      <c r="K31" s="5">
        <f>IN_rooms!V$53</f>
        <v>0</v>
      </c>
      <c r="L31" s="5">
        <f>IN_rooms!W$53</f>
        <v>0</v>
      </c>
      <c r="M31" s="5">
        <f>IN_rooms!X$53</f>
        <v>0</v>
      </c>
      <c r="N31" s="5">
        <f>IN_rooms!Y$53</f>
        <v>0</v>
      </c>
      <c r="O31" s="5">
        <f>IN_rooms!Z$53</f>
        <v>0</v>
      </c>
      <c r="P31" s="5">
        <f>IN_rooms!AA$53</f>
        <v>0</v>
      </c>
      <c r="Q31" s="5">
        <f>IN_rooms!AB$53</f>
        <v>0</v>
      </c>
      <c r="R31" s="5">
        <f>IN_rooms!AC$53</f>
        <v>0</v>
      </c>
      <c r="S31" s="5">
        <f>IN_rooms!AD$53</f>
        <v>0</v>
      </c>
      <c r="T31" s="5">
        <f>IN_rooms!AE$53</f>
        <v>0</v>
      </c>
      <c r="U31" s="5">
        <f>IN_rooms!AF$53</f>
        <v>0</v>
      </c>
    </row>
    <row r="32" spans="1:21" ht="15.75" thickBot="1">
      <c r="A32" s="101" t="s">
        <v>585</v>
      </c>
      <c r="B32" s="101" t="s">
        <v>403</v>
      </c>
      <c r="C32" s="101" t="s">
        <v>154</v>
      </c>
      <c r="D32" s="101" t="s">
        <v>599</v>
      </c>
      <c r="E32" s="101" t="s">
        <v>587</v>
      </c>
      <c r="G32" s="5">
        <f>IN_rooms!R$54</f>
        <v>0</v>
      </c>
      <c r="H32" s="5">
        <f>IN_rooms!S$54</f>
        <v>0</v>
      </c>
      <c r="I32" s="5">
        <f>IN_rooms!T$54</f>
        <v>0</v>
      </c>
      <c r="J32" s="5">
        <f>IN_rooms!U$54</f>
        <v>0</v>
      </c>
      <c r="K32" s="5">
        <f>IN_rooms!V$54</f>
        <v>0</v>
      </c>
      <c r="L32" s="5">
        <f>IN_rooms!W$54</f>
        <v>0</v>
      </c>
      <c r="M32" s="5">
        <f>IN_rooms!X$54</f>
        <v>0</v>
      </c>
      <c r="N32" s="5">
        <f>IN_rooms!Y$54</f>
        <v>0</v>
      </c>
      <c r="O32" s="5">
        <f>IN_rooms!Z$54</f>
        <v>0</v>
      </c>
      <c r="P32" s="5">
        <f>IN_rooms!AA$54</f>
        <v>0</v>
      </c>
      <c r="Q32" s="5">
        <f>IN_rooms!AB$54</f>
        <v>0</v>
      </c>
      <c r="R32" s="5">
        <f>IN_rooms!AC$54</f>
        <v>0</v>
      </c>
      <c r="S32" s="5">
        <f>IN_rooms!AD$54</f>
        <v>0</v>
      </c>
      <c r="T32" s="5">
        <f>IN_rooms!AE$54</f>
        <v>0</v>
      </c>
      <c r="U32" s="5">
        <f>IN_rooms!AF$54</f>
        <v>0</v>
      </c>
    </row>
    <row r="33" spans="1:21" ht="15.75" thickBot="1">
      <c r="A33" s="101" t="s">
        <v>565</v>
      </c>
      <c r="B33" s="101" t="s">
        <v>403</v>
      </c>
      <c r="C33" s="101" t="s">
        <v>154</v>
      </c>
      <c r="D33" s="101" t="s">
        <v>600</v>
      </c>
      <c r="E33" s="101"/>
      <c r="G33" s="5" cm="1">
        <f t="array" ref="G33" xml:space="preserve">
    _xlfn.IFS(
        G$28 = "Stahlrohrradiator", 1.3,
        G$28= "Fensterbankradiator", 1.3,
        G$28 = "Handtuchradiator", 1.21,
        G$27 = "", 0
    )</f>
        <v>0</v>
      </c>
      <c r="H33" s="5" cm="1">
        <f t="array" ref="H33" xml:space="preserve">
    _xlfn.IFS(
        H$28 = "Stahlrohrradiator", 1.3,
        H$28= "Fensterbankradiator", 1.3,
        H$28 = "Handtuchradiator", 1.21,
        H$27 = "", 0
    )</f>
        <v>0</v>
      </c>
      <c r="I33" s="5" cm="1">
        <f t="array" ref="I33" xml:space="preserve">
    _xlfn.IFS(
        I$28 = "Stahlrohrradiator", 1.3,
        I$28= "Fensterbankradiator", 1.3,
        I$28 = "Handtuchradiator", 1.21,
        I$27 = "", 0
    )</f>
        <v>0</v>
      </c>
      <c r="J33" s="5" cm="1">
        <f t="array" ref="J33" xml:space="preserve">
    _xlfn.IFS(
        J$28 = "Stahlrohrradiator", 1.3,
        J$28= "Fensterbankradiator", 1.3,
        J$28 = "Handtuchradiator", 1.21,
        J$27 = "", 0
    )</f>
        <v>0</v>
      </c>
      <c r="K33" s="5" cm="1">
        <f t="array" ref="K33" xml:space="preserve">
    _xlfn.IFS(
        K$28 = "Stahlrohrradiator", 1.3,
        K$28= "Fensterbankradiator", 1.3,
        K$28 = "Handtuchradiator", 1.21,
        K$27 = "", 0
    )</f>
        <v>0</v>
      </c>
      <c r="L33" s="5" cm="1">
        <f t="array" ref="L33" xml:space="preserve">
    _xlfn.IFS(
        L$28 = "Stahlrohrradiator", 1.3,
        L$28= "Fensterbankradiator", 1.3,
        L$28 = "Handtuchradiator", 1.21,
        L$27 = "", 0
    )</f>
        <v>0</v>
      </c>
      <c r="M33" s="5" cm="1">
        <f t="array" ref="M33" xml:space="preserve">
    _xlfn.IFS(
        M$28 = "Stahlrohrradiator", 1.3,
        M$28= "Fensterbankradiator", 1.3,
        M$28 = "Handtuchradiator", 1.21,
        M$27 = "", 0
    )</f>
        <v>0</v>
      </c>
      <c r="N33" s="5" cm="1">
        <f t="array" ref="N33" xml:space="preserve">
    _xlfn.IFS(
        N$28 = "Stahlrohrradiator", 1.3,
        N$28= "Fensterbankradiator", 1.3,
        N$28 = "Handtuchradiator", 1.21,
        N$27 = "", 0
    )</f>
        <v>0</v>
      </c>
      <c r="O33" s="5" cm="1">
        <f t="array" ref="O33" xml:space="preserve">
    _xlfn.IFS(
        O$28 = "Stahlrohrradiator", 1.3,
        O$28= "Fensterbankradiator", 1.3,
        O$28 = "Handtuchradiator", 1.21,
        O$27 = "", 0
    )</f>
        <v>0</v>
      </c>
      <c r="P33" s="5" cm="1">
        <f t="array" ref="P33" xml:space="preserve">
    _xlfn.IFS(
        P$28 = "Stahlrohrradiator", 1.3,
        P$28= "Fensterbankradiator", 1.3,
        P$28 = "Handtuchradiator", 1.21,
        P$27 = "", 0
    )</f>
        <v>0</v>
      </c>
      <c r="Q33" s="5" cm="1">
        <f t="array" ref="Q33" xml:space="preserve">
    _xlfn.IFS(
        Q$28 = "Stahlrohrradiator", 1.3,
        Q$28= "Fensterbankradiator", 1.3,
        Q$28 = "Handtuchradiator", 1.21,
        Q$27 = "", 0
    )</f>
        <v>0</v>
      </c>
      <c r="R33" s="5" cm="1">
        <f t="array" ref="R33" xml:space="preserve">
    _xlfn.IFS(
        R$28 = "Stahlrohrradiator", 1.3,
        R$28= "Fensterbankradiator", 1.3,
        R$28 = "Handtuchradiator", 1.21,
        R$27 = "", 0
    )</f>
        <v>0</v>
      </c>
      <c r="S33" s="5" cm="1">
        <f t="array" ref="S33" xml:space="preserve">
    _xlfn.IFS(
        S$28 = "Stahlrohrradiator", 1.3,
        S$28= "Fensterbankradiator", 1.3,
        S$28 = "Handtuchradiator", 1.21,
        S$27 = "", 0
    )</f>
        <v>0</v>
      </c>
      <c r="T33" s="5" cm="1">
        <f t="array" ref="T33" xml:space="preserve">
    _xlfn.IFS(
        T$28 = "Stahlrohrradiator", 1.3,
        T$28= "Fensterbankradiator", 1.3,
        T$28 = "Handtuchradiator", 1.21,
        T$27 = "", 0
    )</f>
        <v>0</v>
      </c>
      <c r="U33" s="5" cm="1">
        <f t="array" ref="U33" xml:space="preserve">
    _xlfn.IFS(
        U$28 = "Stahlrohrradiator", 1.3,
        U$28= "Fensterbankradiator", 1.3,
        U$28 = "Handtuchradiator", 1.21,
        U$27 = "", 0
    )</f>
        <v>0</v>
      </c>
    </row>
    <row r="34" spans="1:21" ht="15.75" thickBot="1">
      <c r="A34" s="101" t="s">
        <v>567</v>
      </c>
      <c r="B34" s="101" t="s">
        <v>403</v>
      </c>
      <c r="C34" s="101" t="s">
        <v>154</v>
      </c>
      <c r="D34" s="101" t="s">
        <v>601</v>
      </c>
      <c r="E34" s="101" t="s">
        <v>31</v>
      </c>
      <c r="G34" s="5" cm="1">
        <f t="array" aca="1" ref="G34" ca="1">_xlfn.LET(
    _xlpm.typ, clc_power!G$27,
    _xlpm.subtyp, clc_power!G$28,
    _xlpm.höhe, clc_power!G$29,
    _xlpm.breite, clc_power!G$30,
    _xlpm.tiefe, clc_power!G$31,
    _xlpm.faktor, clc_power!G$32,
    _xlpm.fläche, IN_rooms!R$51 * IN_rooms!R$52,
    _xlpm.radiatorart, G$28,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IF(IN_rooms!R$55 * _xlpm.leistung &gt; 0, IN_rooms!R$55 * _xlpm.leistung, 0)
)</f>
        <v>0</v>
      </c>
      <c r="H34" s="5" cm="1">
        <f t="array" aca="1" ref="H34" ca="1">_xlfn.LET(
    _xlpm.typ, clc_power!H$27,
    _xlpm.subtyp, clc_power!H$28,
    _xlpm.höhe, clc_power!H$29,
    _xlpm.breite, clc_power!H$30,
    _xlpm.tiefe, clc_power!H$31,
    _xlpm.faktor, clc_power!H$32,
    _xlpm.fläche, IN_rooms!S$51 * IN_rooms!S$52,
    _xlpm.radiatorart, H$28,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IF(IN_rooms!S$55 * _xlpm.leistung &gt; 0, IN_rooms!S$55 * _xlpm.leistung, 0)
)</f>
        <v>0</v>
      </c>
      <c r="I34" s="5" cm="1">
        <f t="array" aca="1" ref="I34" ca="1">_xlfn.LET(
    _xlpm.typ, clc_power!I$27,
    _xlpm.subtyp, clc_power!I$28,
    _xlpm.höhe, clc_power!I$29,
    _xlpm.breite, clc_power!I$30,
    _xlpm.tiefe, clc_power!I$31,
    _xlpm.faktor, clc_power!I$32,
    _xlpm.fläche, IN_rooms!T$51 * IN_rooms!T$52,
    _xlpm.radiatorart, I$28,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IF(IN_rooms!T$55 * _xlpm.leistung &gt; 0, IN_rooms!T$55 * _xlpm.leistung, 0)
)</f>
        <v>0</v>
      </c>
      <c r="J34" s="5" cm="1">
        <f t="array" aca="1" ref="J34" ca="1">_xlfn.LET(
    _xlpm.typ, clc_power!J$27,
    _xlpm.subtyp, clc_power!J$28,
    _xlpm.höhe, clc_power!J$29,
    _xlpm.breite, clc_power!J$30,
    _xlpm.tiefe, clc_power!J$31,
    _xlpm.faktor, clc_power!J$32,
    _xlpm.fläche, IN_rooms!U$51 * IN_rooms!U$52,
    _xlpm.radiatorart, J$28,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IF(IN_rooms!U$55 * _xlpm.leistung &gt; 0, IN_rooms!U$55 * _xlpm.leistung, 0)
)</f>
        <v>0</v>
      </c>
      <c r="K34" s="5" cm="1">
        <f t="array" aca="1" ref="K34" ca="1">_xlfn.LET(
    _xlpm.typ, clc_power!K$27,
    _xlpm.subtyp, clc_power!K$28,
    _xlpm.höhe, clc_power!K$29,
    _xlpm.breite, clc_power!K$30,
    _xlpm.tiefe, clc_power!K$31,
    _xlpm.faktor, clc_power!K$32,
    _xlpm.fläche, IN_rooms!V$51 * IN_rooms!V$52,
    _xlpm.radiatorart, K$28,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IF(IN_rooms!V$55 * _xlpm.leistung &gt; 0, IN_rooms!V$55 * _xlpm.leistung, 0)
)</f>
        <v>0</v>
      </c>
      <c r="L34" s="5" cm="1">
        <f t="array" aca="1" ref="L34" ca="1">_xlfn.LET(
    _xlpm.typ, clc_power!L$27,
    _xlpm.subtyp, clc_power!L$28,
    _xlpm.höhe, clc_power!L$29,
    _xlpm.breite, clc_power!L$30,
    _xlpm.tiefe, clc_power!L$31,
    _xlpm.faktor, clc_power!L$32,
    _xlpm.fläche, IN_rooms!W$51 * IN_rooms!W$52,
    _xlpm.radiatorart, L$28,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IF(IN_rooms!W$55 * _xlpm.leistung &gt; 0, IN_rooms!W$55 * _xlpm.leistung, 0)
)</f>
        <v>0</v>
      </c>
      <c r="M34" s="5" cm="1">
        <f t="array" aca="1" ref="M34" ca="1">_xlfn.LET(
    _xlpm.typ, clc_power!M$27,
    _xlpm.subtyp, clc_power!M$28,
    _xlpm.höhe, clc_power!M$29,
    _xlpm.breite, clc_power!M$30,
    _xlpm.tiefe, clc_power!M$31,
    _xlpm.faktor, clc_power!M$32,
    _xlpm.fläche, IN_rooms!X$51 * IN_rooms!X$52,
    _xlpm.radiatorart, M$28,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IF(IN_rooms!X$55 * _xlpm.leistung &gt; 0, IN_rooms!X$55 * _xlpm.leistung, 0)
)</f>
        <v>0</v>
      </c>
      <c r="N34" s="5" cm="1">
        <f t="array" aca="1" ref="N34" ca="1">_xlfn.LET(
    _xlpm.typ, clc_power!N$27,
    _xlpm.subtyp, clc_power!N$28,
    _xlpm.höhe, clc_power!N$29,
    _xlpm.breite, clc_power!N$30,
    _xlpm.tiefe, clc_power!N$31,
    _xlpm.faktor, clc_power!N$32,
    _xlpm.fläche, IN_rooms!Y$51 * IN_rooms!Y$52,
    _xlpm.radiatorart, N$28,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IF(IN_rooms!Y$55 * _xlpm.leistung &gt; 0, IN_rooms!Y$55 * _xlpm.leistung, 0)
)</f>
        <v>0</v>
      </c>
      <c r="O34" s="5" cm="1">
        <f t="array" aca="1" ref="O34" ca="1">_xlfn.LET(
    _xlpm.typ, clc_power!O$27,
    _xlpm.subtyp, clc_power!O$28,
    _xlpm.höhe, clc_power!O$29,
    _xlpm.breite, clc_power!O$30,
    _xlpm.tiefe, clc_power!O$31,
    _xlpm.faktor, clc_power!O$32,
    _xlpm.fläche, IN_rooms!Z$51 * IN_rooms!Z$52,
    _xlpm.radiatorart, O$28,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IF(IN_rooms!Z$55 * _xlpm.leistung &gt; 0, IN_rooms!Z$55 * _xlpm.leistung, 0)
)</f>
        <v>0</v>
      </c>
      <c r="P34" s="5" cm="1">
        <f t="array" aca="1" ref="P34" ca="1">_xlfn.LET(
    _xlpm.typ, clc_power!P$27,
    _xlpm.subtyp, clc_power!P$28,
    _xlpm.höhe, clc_power!P$29,
    _xlpm.breite, clc_power!P$30,
    _xlpm.tiefe, clc_power!P$31,
    _xlpm.faktor, clc_power!P$32,
    _xlpm.fläche, IN_rooms!AA$51 * IN_rooms!AA$52,
    _xlpm.radiatorart, P$28,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IF(IN_rooms!AA$55 * _xlpm.leistung &gt; 0, IN_rooms!AA$55 * _xlpm.leistung, 0)
)</f>
        <v>0</v>
      </c>
      <c r="Q34" s="5" cm="1">
        <f t="array" aca="1" ref="Q34" ca="1">_xlfn.LET(
    _xlpm.typ, clc_power!Q$27,
    _xlpm.subtyp, clc_power!Q$28,
    _xlpm.höhe, clc_power!Q$29,
    _xlpm.breite, clc_power!Q$30,
    _xlpm.tiefe, clc_power!Q$31,
    _xlpm.faktor, clc_power!Q$32,
    _xlpm.fläche, IN_rooms!AB$51 * IN_rooms!AB$52,
    _xlpm.radiatorart, Q$28,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IF(IN_rooms!AB$55 * _xlpm.leistung &gt; 0, IN_rooms!AB$55 * _xlpm.leistung, 0)
)</f>
        <v>0</v>
      </c>
      <c r="R34" s="5" cm="1">
        <f t="array" aca="1" ref="R34" ca="1">_xlfn.LET(
    _xlpm.typ, clc_power!R$27,
    _xlpm.subtyp, clc_power!R$28,
    _xlpm.höhe, clc_power!R$29,
    _xlpm.breite, clc_power!R$30,
    _xlpm.tiefe, clc_power!R$31,
    _xlpm.faktor, clc_power!R$32,
    _xlpm.fläche, IN_rooms!AC$51 * IN_rooms!AC$52,
    _xlpm.radiatorart, R$28,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IF(IN_rooms!AC$55 * _xlpm.leistung &gt; 0, IN_rooms!AC$55 * _xlpm.leistung, 0)
)</f>
        <v>0</v>
      </c>
      <c r="S34" s="5" cm="1">
        <f t="array" aca="1" ref="S34" ca="1">_xlfn.LET(
    _xlpm.typ, clc_power!S$27,
    _xlpm.subtyp, clc_power!S$28,
    _xlpm.höhe, clc_power!S$29,
    _xlpm.breite, clc_power!S$30,
    _xlpm.tiefe, clc_power!S$31,
    _xlpm.faktor, clc_power!S$32,
    _xlpm.fläche, IN_rooms!AD$51 * IN_rooms!AD$52,
    _xlpm.radiatorart, S$28,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IF(IN_rooms!AD$55 * _xlpm.leistung &gt; 0, IN_rooms!AD$55 * _xlpm.leistung, 0)
)</f>
        <v>0</v>
      </c>
      <c r="T34" s="5" cm="1">
        <f t="array" aca="1" ref="T34" ca="1">_xlfn.LET(
    _xlpm.typ, clc_power!T$27,
    _xlpm.subtyp, clc_power!T$28,
    _xlpm.höhe, clc_power!T$29,
    _xlpm.breite, clc_power!T$30,
    _xlpm.tiefe, clc_power!T$31,
    _xlpm.faktor, clc_power!T$32,
    _xlpm.fläche, IN_rooms!AE$51 * IN_rooms!AE$52,
    _xlpm.radiatorart, T$28,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IF(IN_rooms!AE$55 * _xlpm.leistung &gt; 0, IN_rooms!AE$55 * _xlpm.leistung, 0)
)</f>
        <v>0</v>
      </c>
      <c r="U34" s="5" cm="1">
        <f t="array" aca="1" ref="U34" ca="1">_xlfn.LET(
    _xlpm.typ, clc_power!U$27,
    _xlpm.subtyp, clc_power!U$28,
    _xlpm.höhe, clc_power!U$29,
    _xlpm.breite, clc_power!U$30,
    _xlpm.tiefe, clc_power!U$31,
    _xlpm.faktor, clc_power!U$32,
    _xlpm.fläche, IN_rooms!AF$51 * IN_rooms!AF$52,
    _xlpm.radiatorart, U$28,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IF(IN_rooms!AF$55 * _xlpm.leistung &gt; 0, IN_rooms!AF$55 * _xlpm.leistung, 0)
)</f>
        <v>0</v>
      </c>
    </row>
    <row r="35" spans="1:21" ht="15.75" thickBot="1">
      <c r="A35" s="101" t="s">
        <v>569</v>
      </c>
      <c r="B35" s="101" t="s">
        <v>403</v>
      </c>
      <c r="C35" s="101" t="s">
        <v>154</v>
      </c>
      <c r="D35" s="101" t="s">
        <v>602</v>
      </c>
      <c r="E35" s="101" t="s">
        <v>26</v>
      </c>
      <c r="G35" s="5">
        <f>TVL_Ziel</f>
        <v>55</v>
      </c>
      <c r="H35" s="5">
        <f t="shared" ref="H35:U35" si="8">TVL_Ziel</f>
        <v>55</v>
      </c>
      <c r="I35" s="5">
        <f t="shared" si="8"/>
        <v>55</v>
      </c>
      <c r="J35" s="5">
        <f t="shared" si="8"/>
        <v>55</v>
      </c>
      <c r="K35" s="5">
        <f t="shared" si="8"/>
        <v>55</v>
      </c>
      <c r="L35" s="5">
        <f t="shared" si="8"/>
        <v>55</v>
      </c>
      <c r="M35" s="5">
        <f t="shared" si="8"/>
        <v>55</v>
      </c>
      <c r="N35" s="5">
        <f t="shared" si="8"/>
        <v>55</v>
      </c>
      <c r="O35" s="5">
        <f t="shared" si="8"/>
        <v>55</v>
      </c>
      <c r="P35" s="5">
        <f t="shared" si="8"/>
        <v>55</v>
      </c>
      <c r="Q35" s="5">
        <f t="shared" si="8"/>
        <v>55</v>
      </c>
      <c r="R35" s="5">
        <f t="shared" si="8"/>
        <v>55</v>
      </c>
      <c r="S35" s="5">
        <f t="shared" si="8"/>
        <v>55</v>
      </c>
      <c r="T35" s="5">
        <f t="shared" si="8"/>
        <v>55</v>
      </c>
      <c r="U35" s="5">
        <f t="shared" si="8"/>
        <v>55</v>
      </c>
    </row>
    <row r="36" spans="1:21" ht="15.75" thickBot="1">
      <c r="A36" s="101" t="s">
        <v>571</v>
      </c>
      <c r="B36" s="101" t="s">
        <v>403</v>
      </c>
      <c r="C36" s="101" t="s">
        <v>154</v>
      </c>
      <c r="D36" s="101" t="s">
        <v>603</v>
      </c>
      <c r="E36" s="101" t="s">
        <v>26</v>
      </c>
      <c r="G36" s="5">
        <f>TRL_Ziel</f>
        <v>45</v>
      </c>
      <c r="H36" s="5">
        <f t="shared" ref="H36:U36" si="9">TRL_Ziel</f>
        <v>45</v>
      </c>
      <c r="I36" s="5">
        <f t="shared" si="9"/>
        <v>45</v>
      </c>
      <c r="J36" s="5">
        <f t="shared" si="9"/>
        <v>45</v>
      </c>
      <c r="K36" s="5">
        <f t="shared" si="9"/>
        <v>45</v>
      </c>
      <c r="L36" s="5">
        <f t="shared" si="9"/>
        <v>45</v>
      </c>
      <c r="M36" s="5">
        <f t="shared" si="9"/>
        <v>45</v>
      </c>
      <c r="N36" s="5">
        <f t="shared" si="9"/>
        <v>45</v>
      </c>
      <c r="O36" s="5">
        <f t="shared" si="9"/>
        <v>45</v>
      </c>
      <c r="P36" s="5">
        <f t="shared" si="9"/>
        <v>45</v>
      </c>
      <c r="Q36" s="5">
        <f t="shared" si="9"/>
        <v>45</v>
      </c>
      <c r="R36" s="5">
        <f t="shared" si="9"/>
        <v>45</v>
      </c>
      <c r="S36" s="5">
        <f t="shared" si="9"/>
        <v>45</v>
      </c>
      <c r="T36" s="5">
        <f t="shared" si="9"/>
        <v>45</v>
      </c>
      <c r="U36" s="5">
        <f t="shared" si="9"/>
        <v>45</v>
      </c>
    </row>
    <row r="37" spans="1:21" ht="15.75" thickBot="1">
      <c r="A37" s="101" t="s">
        <v>573</v>
      </c>
      <c r="B37" s="101" t="s">
        <v>403</v>
      </c>
      <c r="C37" s="101" t="s">
        <v>154</v>
      </c>
      <c r="D37" s="101" t="s">
        <v>604</v>
      </c>
      <c r="E37" s="101" t="s">
        <v>575</v>
      </c>
      <c r="G37" s="34">
        <f>(G$35-G$36)/(LN((G$35-clc_load!I$10)/(clc_power!G$36-clc_load!I$10)))</f>
        <v>49.83288654563971</v>
      </c>
      <c r="H37" s="34">
        <f>(H$35-H$36)/(LN((H$35-clc_load!J$10)/(clc_power!H$36-clc_load!J$10)))</f>
        <v>49.83288654563971</v>
      </c>
      <c r="I37" s="34">
        <f>(I$35-I$36)/(LN((I$35-clc_load!K$10)/(clc_power!I$36-clc_load!K$10)))</f>
        <v>49.83288654563971</v>
      </c>
      <c r="J37" s="34">
        <f>(J$35-J$36)/(LN((J$35-clc_load!L$10)/(clc_power!J$36-clc_load!L$10)))</f>
        <v>49.83288654563971</v>
      </c>
      <c r="K37" s="34">
        <f>(K$35-K$36)/(LN((K$35-clc_load!M$10)/(clc_power!K$36-clc_load!M$10)))</f>
        <v>49.83288654563971</v>
      </c>
      <c r="L37" s="34">
        <f>(L$35-L$36)/(LN((L$35-clc_load!N$10)/(clc_power!L$36-clc_load!N$10)))</f>
        <v>49.83288654563971</v>
      </c>
      <c r="M37" s="34">
        <f>(M$35-M$36)/(LN((M$35-clc_load!O$10)/(clc_power!M$36-clc_load!O$10)))</f>
        <v>49.83288654563971</v>
      </c>
      <c r="N37" s="34">
        <f>(N$35-N$36)/(LN((N$35-clc_load!P$10)/(clc_power!N$36-clc_load!P$10)))</f>
        <v>49.83288654563971</v>
      </c>
      <c r="O37" s="34">
        <f>(O$35-O$36)/(LN((O$35-clc_load!Q$10)/(clc_power!O$36-clc_load!Q$10)))</f>
        <v>49.83288654563971</v>
      </c>
      <c r="P37" s="34">
        <f>(P$35-P$36)/(LN((P$35-clc_load!R$10)/(clc_power!P$36-clc_load!R$10)))</f>
        <v>49.83288654563971</v>
      </c>
      <c r="Q37" s="34">
        <f>(Q$35-Q$36)/(LN((Q$35-clc_load!S$10)/(clc_power!Q$36-clc_load!S$10)))</f>
        <v>49.83288654563971</v>
      </c>
      <c r="R37" s="34">
        <f>(R$35-R$36)/(LN((R$35-clc_load!T$10)/(clc_power!R$36-clc_load!T$10)))</f>
        <v>49.83288654563971</v>
      </c>
      <c r="S37" s="34">
        <f>(S$35-S$36)/(LN((S$35-clc_load!U$10)/(clc_power!S$36-clc_load!U$10)))</f>
        <v>49.83288654563971</v>
      </c>
      <c r="T37" s="34">
        <f>(T$35-T$36)/(LN((T$35-clc_load!V$10)/(clc_power!T$36-clc_load!V$10)))</f>
        <v>49.83288654563971</v>
      </c>
      <c r="U37" s="34">
        <f>(U$35-U$36)/(LN((U$35-clc_load!W$10)/(clc_power!U$36-clc_load!W$10)))</f>
        <v>49.83288654563971</v>
      </c>
    </row>
    <row r="38" spans="1:21" ht="15.75" thickBot="1">
      <c r="A38" s="101" t="s">
        <v>576</v>
      </c>
      <c r="B38" s="101" t="s">
        <v>403</v>
      </c>
      <c r="C38" s="101" t="s">
        <v>154</v>
      </c>
      <c r="D38" s="101" t="s">
        <v>605</v>
      </c>
      <c r="E38" s="101" t="s">
        <v>31</v>
      </c>
      <c r="G38" s="5">
        <f t="shared" ref="G38:U38" ca="1" si="10">IF(G$34*((G$37/Log_ÜT_Norm)^G$33)&gt;0,G$34*((G$37/Log_ÜT_Norm)^G$33),0)</f>
        <v>0</v>
      </c>
      <c r="H38" s="5">
        <f t="shared" ca="1" si="10"/>
        <v>0</v>
      </c>
      <c r="I38" s="5">
        <f t="shared" ca="1" si="10"/>
        <v>0</v>
      </c>
      <c r="J38" s="5">
        <f t="shared" ca="1" si="10"/>
        <v>0</v>
      </c>
      <c r="K38" s="5">
        <f t="shared" ca="1" si="10"/>
        <v>0</v>
      </c>
      <c r="L38" s="5">
        <f t="shared" ca="1" si="10"/>
        <v>0</v>
      </c>
      <c r="M38" s="5">
        <f t="shared" ca="1" si="10"/>
        <v>0</v>
      </c>
      <c r="N38" s="5">
        <f t="shared" ca="1" si="10"/>
        <v>0</v>
      </c>
      <c r="O38" s="5">
        <f t="shared" ca="1" si="10"/>
        <v>0</v>
      </c>
      <c r="P38" s="5">
        <f t="shared" ca="1" si="10"/>
        <v>0</v>
      </c>
      <c r="Q38" s="5">
        <f t="shared" ca="1" si="10"/>
        <v>0</v>
      </c>
      <c r="R38" s="5">
        <f t="shared" ca="1" si="10"/>
        <v>0</v>
      </c>
      <c r="S38" s="5">
        <f t="shared" ca="1" si="10"/>
        <v>0</v>
      </c>
      <c r="T38" s="5">
        <f t="shared" ca="1" si="10"/>
        <v>0</v>
      </c>
      <c r="U38" s="5">
        <f t="shared" ca="1" si="10"/>
        <v>0</v>
      </c>
    </row>
    <row r="39" spans="1:21" ht="15.75" thickBot="1">
      <c r="A39" s="75" t="s">
        <v>578</v>
      </c>
      <c r="B39" s="75" t="s">
        <v>403</v>
      </c>
      <c r="C39" s="75" t="s">
        <v>579</v>
      </c>
      <c r="D39" s="75" t="s">
        <v>606</v>
      </c>
      <c r="E39" s="75" t="s">
        <v>31</v>
      </c>
      <c r="G39" s="34" cm="1">
        <f t="array" aca="1" ref="G39" ca="1">_xlfn.LET(
    _xlpm.typ, "Flachheizkoerper_senkrecht_profiliert",
    _xlpm.subtyp, "Typ_33",
    _xlpm.f_höhe,_xlfn.IFS(G$29&gt;1800,3,G$29&gt;900,2,G$29&lt;=900,1),
    _xlpm.höhe, _xlfn.XLOOKUP(G$29/_xlpm.f_höhe, Data_radiator!$G$5:$G$32, Data_radiator!$G$5:$G$32, 1000000, 1, 1),
    _xlpm.tiefe, 155,
    _xlpm.glieder, IF(G$28 = "Stahlrohrradiator", 45 *G$32, G$30),
    _xlpm.faktor, G$37 / Log_ÜT_Norm,
    _xlpm.leistung, IN_rooms!R$55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H39" s="34" cm="1">
        <f t="array" aca="1" ref="H39" ca="1">_xlfn.LET(
    _xlpm.typ, "Flachheizkoerper_senkrecht_profiliert",
    _xlpm.subtyp, "Typ_33",
    _xlpm.f_höhe,_xlfn.IFS(H$29&gt;1800,3,H$29&gt;900,2,H$29&lt;=900,1),
    _xlpm.höhe, _xlfn.XLOOKUP(H$29/_xlpm.f_höhe, Data_radiator!$G$5:$G$32, Data_radiator!$G$5:$G$32, 1000000, 1, 1),
    _xlpm.tiefe, 155,
    _xlpm.glieder, IF(H$28 = "Stahlrohrradiator", 45 *H$32, H$30),
    _xlpm.faktor, H$37 / Log_ÜT_Norm,
    _xlpm.leistung, IN_rooms!S$55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I39" s="34" cm="1">
        <f t="array" aca="1" ref="I39" ca="1">_xlfn.LET(
    _xlpm.typ, "Flachheizkoerper_senkrecht_profiliert",
    _xlpm.subtyp, "Typ_33",
    _xlpm.f_höhe,_xlfn.IFS(I$29&gt;1800,3,I$29&gt;900,2,I$29&lt;=900,1),
    _xlpm.höhe, _xlfn.XLOOKUP(I$29/_xlpm.f_höhe, Data_radiator!$G$5:$G$32, Data_radiator!$G$5:$G$32, 1000000, 1, 1),
    _xlpm.tiefe, 155,
    _xlpm.glieder, IF(I$28 = "Stahlrohrradiator", 45 *I$32, I$30),
    _xlpm.faktor, I$37 / Log_ÜT_Norm,
    _xlpm.leistung, IN_rooms!T$55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J39" s="34" cm="1">
        <f t="array" aca="1" ref="J39" ca="1">_xlfn.LET(
    _xlpm.typ, "Flachheizkoerper_senkrecht_profiliert",
    _xlpm.subtyp, "Typ_33",
    _xlpm.f_höhe,_xlfn.IFS(J$29&gt;1800,3,J$29&gt;900,2,J$29&lt;=900,1),
    _xlpm.höhe, _xlfn.XLOOKUP(J$29/_xlpm.f_höhe, Data_radiator!$G$5:$G$32, Data_radiator!$G$5:$G$32, 1000000, 1, 1),
    _xlpm.tiefe, 155,
    _xlpm.glieder, IF(J$28 = "Stahlrohrradiator", 45 *J$32, J$30),
    _xlpm.faktor, J$37 / Log_ÜT_Norm,
    _xlpm.leistung, IN_rooms!U$55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K39" s="34" cm="1">
        <f t="array" aca="1" ref="K39" ca="1">_xlfn.LET(
    _xlpm.typ, "Flachheizkoerper_senkrecht_profiliert",
    _xlpm.subtyp, "Typ_33",
    _xlpm.f_höhe,_xlfn.IFS(K$29&gt;1800,3,K$29&gt;900,2,K$29&lt;=900,1),
    _xlpm.höhe, _xlfn.XLOOKUP(K$29/_xlpm.f_höhe, Data_radiator!$G$5:$G$32, Data_radiator!$G$5:$G$32, 1000000, 1, 1),
    _xlpm.tiefe, 155,
    _xlpm.glieder, IF(K$28 = "Stahlrohrradiator", 45 *K$32, K$30),
    _xlpm.faktor, K$37 / Log_ÜT_Norm,
    _xlpm.leistung, IN_rooms!V$55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L39" s="34" cm="1">
        <f t="array" aca="1" ref="L39" ca="1">_xlfn.LET(
    _xlpm.typ, "Flachheizkoerper_senkrecht_profiliert",
    _xlpm.subtyp, "Typ_33",
    _xlpm.f_höhe,_xlfn.IFS(L$29&gt;1800,3,L$29&gt;900,2,L$29&lt;=900,1),
    _xlpm.höhe, _xlfn.XLOOKUP(L$29/_xlpm.f_höhe, Data_radiator!$G$5:$G$32, Data_radiator!$G$5:$G$32, 1000000, 1, 1),
    _xlpm.tiefe, 155,
    _xlpm.glieder, IF(L$28 = "Stahlrohrradiator", 45 *L$32, L$30),
    _xlpm.faktor, L$37 / Log_ÜT_Norm,
    _xlpm.leistung, IN_rooms!W$55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M39" s="34" cm="1">
        <f t="array" aca="1" ref="M39" ca="1">_xlfn.LET(
    _xlpm.typ, "Flachheizkoerper_senkrecht_profiliert",
    _xlpm.subtyp, "Typ_33",
    _xlpm.f_höhe,_xlfn.IFS(M$29&gt;1800,3,M$29&gt;900,2,M$29&lt;=900,1),
    _xlpm.höhe, _xlfn.XLOOKUP(M$29/_xlpm.f_höhe, Data_radiator!$G$5:$G$32, Data_radiator!$G$5:$G$32, 1000000, 1, 1),
    _xlpm.tiefe, 155,
    _xlpm.glieder, IF(M$28 = "Stahlrohrradiator", 45 *M$32, M$30),
    _xlpm.faktor, M$37 / Log_ÜT_Norm,
    _xlpm.leistung, IN_rooms!X$55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N39" s="34" cm="1">
        <f t="array" aca="1" ref="N39" ca="1">_xlfn.LET(
    _xlpm.typ, "Flachheizkoerper_senkrecht_profiliert",
    _xlpm.subtyp, "Typ_33",
    _xlpm.f_höhe,_xlfn.IFS(N$29&gt;1800,3,N$29&gt;900,2,N$29&lt;=900,1),
    _xlpm.höhe, _xlfn.XLOOKUP(N$29/_xlpm.f_höhe, Data_radiator!$G$5:$G$32, Data_radiator!$G$5:$G$32, 1000000, 1, 1),
    _xlpm.tiefe, 155,
    _xlpm.glieder, IF(N$28 = "Stahlrohrradiator", 45 *N$32, N$30),
    _xlpm.faktor, N$37 / Log_ÜT_Norm,
    _xlpm.leistung, IN_rooms!Y$55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O39" s="34" cm="1">
        <f t="array" aca="1" ref="O39" ca="1">_xlfn.LET(
    _xlpm.typ, "Flachheizkoerper_senkrecht_profiliert",
    _xlpm.subtyp, "Typ_33",
    _xlpm.f_höhe,_xlfn.IFS(O$29&gt;1800,3,O$29&gt;900,2,O$29&lt;=900,1),
    _xlpm.höhe, _xlfn.XLOOKUP(O$29/_xlpm.f_höhe, Data_radiator!$G$5:$G$32, Data_radiator!$G$5:$G$32, 1000000, 1, 1),
    _xlpm.tiefe, 155,
    _xlpm.glieder, IF(O$28 = "Stahlrohrradiator", 45 *O$32, O$30),
    _xlpm.faktor, O$37 / Log_ÜT_Norm,
    _xlpm.leistung, IN_rooms!Z$55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P39" s="34" cm="1">
        <f t="array" aca="1" ref="P39" ca="1">_xlfn.LET(
    _xlpm.typ, "Flachheizkoerper_senkrecht_profiliert",
    _xlpm.subtyp, "Typ_33",
    _xlpm.f_höhe,_xlfn.IFS(P$29&gt;1800,3,P$29&gt;900,2,P$29&lt;=900,1),
    _xlpm.höhe, _xlfn.XLOOKUP(P$29/_xlpm.f_höhe, Data_radiator!$G$5:$G$32, Data_radiator!$G$5:$G$32, 1000000, 1, 1),
    _xlpm.tiefe, 155,
    _xlpm.glieder, IF(P$28 = "Stahlrohrradiator", 45 *P$32, P$30),
    _xlpm.faktor, P$37 / Log_ÜT_Norm,
    _xlpm.leistung, IN_rooms!AA$55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Q39" s="34" cm="1">
        <f t="array" aca="1" ref="Q39" ca="1">_xlfn.LET(
    _xlpm.typ, "Flachheizkoerper_senkrecht_profiliert",
    _xlpm.subtyp, "Typ_33",
    _xlpm.f_höhe,_xlfn.IFS(Q$29&gt;1800,3,Q$29&gt;900,2,Q$29&lt;=900,1),
    _xlpm.höhe, _xlfn.XLOOKUP(Q$29/_xlpm.f_höhe, Data_radiator!$G$5:$G$32, Data_radiator!$G$5:$G$32, 1000000, 1, 1),
    _xlpm.tiefe, 155,
    _xlpm.glieder, IF(Q$28 = "Stahlrohrradiator", 45 *Q$32, Q$30),
    _xlpm.faktor, Q$37 / Log_ÜT_Norm,
    _xlpm.leistung, IN_rooms!AB$55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R39" s="34" cm="1">
        <f t="array" aca="1" ref="R39" ca="1">_xlfn.LET(
    _xlpm.typ, "Flachheizkoerper_senkrecht_profiliert",
    _xlpm.subtyp, "Typ_33",
    _xlpm.f_höhe,_xlfn.IFS(R$29&gt;1800,3,R$29&gt;900,2,R$29&lt;=900,1),
    _xlpm.höhe, _xlfn.XLOOKUP(R$29/_xlpm.f_höhe, Data_radiator!$G$5:$G$32, Data_radiator!$G$5:$G$32, 1000000, 1, 1),
    _xlpm.tiefe, 155,
    _xlpm.glieder, IF(R$28 = "Stahlrohrradiator", 45 *R$32, R$30),
    _xlpm.faktor, R$37 / Log_ÜT_Norm,
    _xlpm.leistung, IN_rooms!AC$55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S39" s="34" cm="1">
        <f t="array" aca="1" ref="S39" ca="1">_xlfn.LET(
    _xlpm.typ, "Flachheizkoerper_senkrecht_profiliert",
    _xlpm.subtyp, "Typ_33",
    _xlpm.f_höhe,_xlfn.IFS(S$29&gt;1800,3,S$29&gt;900,2,S$29&lt;=900,1),
    _xlpm.höhe, _xlfn.XLOOKUP(S$29/_xlpm.f_höhe, Data_radiator!$G$5:$G$32, Data_radiator!$G$5:$G$32, 1000000, 1, 1),
    _xlpm.tiefe, 155,
    _xlpm.glieder, IF(S$28 = "Stahlrohrradiator", 45 *S$32, S$30),
    _xlpm.faktor, S$37 / Log_ÜT_Norm,
    _xlpm.leistung, IN_rooms!AD$55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T39" s="34" cm="1">
        <f t="array" aca="1" ref="T39" ca="1">_xlfn.LET(
    _xlpm.typ, "Flachheizkoerper_senkrecht_profiliert",
    _xlpm.subtyp, "Typ_33",
    _xlpm.f_höhe,_xlfn.IFS(T$29&gt;1800,3,T$29&gt;900,2,T$29&lt;=900,1),
    _xlpm.höhe, _xlfn.XLOOKUP(T$29/_xlpm.f_höhe, Data_radiator!$G$5:$G$32, Data_radiator!$G$5:$G$32, 1000000, 1, 1),
    _xlpm.tiefe, 155,
    _xlpm.glieder, IF(T$28 = "Stahlrohrradiator", 45 *T$32, T$30),
    _xlpm.faktor, T$37 / Log_ÜT_Norm,
    _xlpm.leistung, IN_rooms!AE$55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U39" s="34" cm="1">
        <f t="array" aca="1" ref="U39" ca="1">_xlfn.LET(
    _xlpm.typ, "Flachheizkoerper_senkrecht_profiliert",
    _xlpm.subtyp, "Typ_33",
    _xlpm.f_höhe,_xlfn.IFS(U$29&gt;1800,3,U$29&gt;900,2,U$29&lt;=900,1),
    _xlpm.höhe, _xlfn.XLOOKUP(U$29/_xlpm.f_höhe, Data_radiator!$G$5:$G$32, Data_radiator!$G$5:$G$32, 1000000, 1, 1),
    _xlpm.tiefe, 155,
    _xlpm.glieder, IF(U$28 = "Stahlrohrradiator", 45 *U$32, U$30),
    _xlpm.faktor, U$37 / Log_ÜT_Norm,
    _xlpm.leistung, IN_rooms!AF$55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row>
    <row r="40" spans="1:21" hidden="1">
      <c r="A40" s="104" t="s">
        <v>405</v>
      </c>
      <c r="B40" s="104" t="s">
        <v>403</v>
      </c>
      <c r="C40" s="104" t="s">
        <v>156</v>
      </c>
      <c r="D40" s="104"/>
      <c r="E40" s="104"/>
    </row>
    <row r="41" spans="1:21" hidden="1">
      <c r="A41" s="104" t="s">
        <v>559</v>
      </c>
      <c r="B41" s="104" t="s">
        <v>403</v>
      </c>
      <c r="C41" s="104" t="s">
        <v>156</v>
      </c>
      <c r="D41" s="104"/>
      <c r="E41" s="104"/>
    </row>
    <row r="42" spans="1:21" hidden="1">
      <c r="A42" s="104" t="s">
        <v>607</v>
      </c>
      <c r="B42" s="104" t="s">
        <v>403</v>
      </c>
      <c r="C42" s="104" t="s">
        <v>156</v>
      </c>
      <c r="D42" s="104"/>
      <c r="E42" s="104" t="s">
        <v>409</v>
      </c>
    </row>
    <row r="43" spans="1:21" hidden="1">
      <c r="A43" s="104" t="s">
        <v>608</v>
      </c>
      <c r="B43" s="104" t="s">
        <v>403</v>
      </c>
      <c r="C43" s="104" t="s">
        <v>156</v>
      </c>
      <c r="D43" s="104"/>
      <c r="E43" s="104" t="s">
        <v>33</v>
      </c>
    </row>
    <row r="44" spans="1:21" hidden="1">
      <c r="A44" s="104" t="s">
        <v>609</v>
      </c>
      <c r="B44" s="104" t="s">
        <v>403</v>
      </c>
      <c r="C44" s="104" t="s">
        <v>156</v>
      </c>
      <c r="D44" s="104"/>
      <c r="E44" s="104" t="s">
        <v>409</v>
      </c>
    </row>
    <row r="45" spans="1:21" hidden="1">
      <c r="A45" s="104" t="s">
        <v>610</v>
      </c>
      <c r="B45" s="104" t="s">
        <v>403</v>
      </c>
      <c r="C45" s="104" t="s">
        <v>156</v>
      </c>
      <c r="D45" s="104"/>
      <c r="E45" s="104" t="s">
        <v>409</v>
      </c>
    </row>
    <row r="46" spans="1:21" hidden="1">
      <c r="A46" s="104" t="s">
        <v>565</v>
      </c>
      <c r="B46" s="104" t="s">
        <v>403</v>
      </c>
      <c r="C46" s="104" t="s">
        <v>156</v>
      </c>
      <c r="D46" s="104"/>
      <c r="E46" s="104"/>
    </row>
    <row r="47" spans="1:21" hidden="1">
      <c r="A47" s="104" t="s">
        <v>611</v>
      </c>
      <c r="B47" s="104" t="s">
        <v>403</v>
      </c>
      <c r="C47" s="104" t="s">
        <v>156</v>
      </c>
      <c r="D47" s="104"/>
      <c r="E47" s="104" t="s">
        <v>575</v>
      </c>
    </row>
    <row r="48" spans="1:21" hidden="1">
      <c r="A48" s="104" t="s">
        <v>567</v>
      </c>
      <c r="B48" s="104" t="s">
        <v>403</v>
      </c>
      <c r="C48" s="104" t="s">
        <v>156</v>
      </c>
      <c r="D48" s="104"/>
      <c r="E48" s="104" t="s">
        <v>31</v>
      </c>
    </row>
    <row r="49" spans="1:21" hidden="1">
      <c r="A49" s="104" t="s">
        <v>569</v>
      </c>
      <c r="B49" s="104" t="s">
        <v>403</v>
      </c>
      <c r="C49" s="104" t="s">
        <v>156</v>
      </c>
      <c r="D49" s="104"/>
      <c r="E49" s="104" t="s">
        <v>26</v>
      </c>
    </row>
    <row r="50" spans="1:21" hidden="1">
      <c r="A50" s="104" t="s">
        <v>571</v>
      </c>
      <c r="B50" s="104" t="s">
        <v>403</v>
      </c>
      <c r="C50" s="104" t="s">
        <v>156</v>
      </c>
      <c r="D50" s="104"/>
      <c r="E50" s="104" t="s">
        <v>26</v>
      </c>
    </row>
    <row r="51" spans="1:21" hidden="1">
      <c r="A51" s="104" t="s">
        <v>573</v>
      </c>
      <c r="B51" s="104" t="s">
        <v>403</v>
      </c>
      <c r="C51" s="104" t="s">
        <v>156</v>
      </c>
      <c r="D51" s="104"/>
      <c r="E51" s="104" t="s">
        <v>575</v>
      </c>
    </row>
    <row r="52" spans="1:21" hidden="1">
      <c r="A52" s="104" t="s">
        <v>576</v>
      </c>
      <c r="B52" s="104" t="s">
        <v>403</v>
      </c>
      <c r="C52" s="104" t="s">
        <v>154</v>
      </c>
      <c r="D52" s="104"/>
      <c r="E52" s="104" t="s">
        <v>31</v>
      </c>
    </row>
    <row r="53" spans="1:21" ht="15.75" hidden="1" thickBot="1">
      <c r="A53" s="105" t="s">
        <v>578</v>
      </c>
      <c r="B53" s="105" t="s">
        <v>403</v>
      </c>
      <c r="C53" s="105" t="s">
        <v>579</v>
      </c>
      <c r="D53" s="105"/>
      <c r="E53" s="105" t="s">
        <v>31</v>
      </c>
    </row>
    <row r="54" spans="1:21" ht="15.75" thickBot="1">
      <c r="A54" s="106" t="s">
        <v>405</v>
      </c>
      <c r="B54" s="106" t="s">
        <v>403</v>
      </c>
      <c r="C54" s="106" t="s">
        <v>152</v>
      </c>
      <c r="D54" s="106" t="s">
        <v>612</v>
      </c>
      <c r="E54" s="106"/>
      <c r="G54" s="5" t="str">
        <f>IF(IN_rooms!R$49="Konvektor",IN_rooms!R$49,"")</f>
        <v/>
      </c>
      <c r="H54" s="5" t="str">
        <f>IF(IN_rooms!S$49="Konvektor",IN_rooms!S$49,"")</f>
        <v/>
      </c>
      <c r="I54" s="5" t="str">
        <f>IF(IN_rooms!T$49="Konvektor",IN_rooms!T$49,"")</f>
        <v/>
      </c>
      <c r="J54" s="5" t="str">
        <f>IF(IN_rooms!U$49="Konvektor",IN_rooms!U$49,"")</f>
        <v/>
      </c>
      <c r="K54" s="5" t="str">
        <f>IF(IN_rooms!V$49="Konvektor",IN_rooms!V$49,"")</f>
        <v/>
      </c>
      <c r="L54" s="5" t="str">
        <f>IF(IN_rooms!W$49="Konvektor",IN_rooms!W$49,"")</f>
        <v/>
      </c>
      <c r="M54" s="5" t="str">
        <f>IF(IN_rooms!X$49="Konvektor",IN_rooms!X$49,"")</f>
        <v/>
      </c>
      <c r="N54" s="5" t="str">
        <f>IF(IN_rooms!Y$49="Konvektor",IN_rooms!Y$49,"")</f>
        <v/>
      </c>
      <c r="O54" s="5" t="str">
        <f>IF(IN_rooms!Z$49="Konvektor",IN_rooms!Z$49,"")</f>
        <v/>
      </c>
      <c r="P54" s="5" t="str">
        <f>IF(IN_rooms!AA$49="Konvektor",IN_rooms!AA$49,"")</f>
        <v/>
      </c>
      <c r="Q54" s="5" t="str">
        <f>IF(IN_rooms!AB$49="Konvektor",IN_rooms!AB$49,"")</f>
        <v/>
      </c>
      <c r="R54" s="5" t="str">
        <f>IF(IN_rooms!AC$49="Konvektor",IN_rooms!AC$49,"")</f>
        <v/>
      </c>
      <c r="S54" s="5" t="str">
        <f>IF(IN_rooms!AD$49="Konvektor",IN_rooms!AD$49,"")</f>
        <v/>
      </c>
      <c r="T54" s="5" t="str">
        <f>IF(IN_rooms!AE$49="Konvektor",IN_rooms!AE$49,"")</f>
        <v/>
      </c>
      <c r="U54" s="5" t="str">
        <f>IF(IN_rooms!AF$49="Konvektor",IN_rooms!AF$49,"")</f>
        <v/>
      </c>
    </row>
    <row r="55" spans="1:21" ht="15.75" thickBot="1">
      <c r="A55" s="106" t="s">
        <v>559</v>
      </c>
      <c r="B55" s="106" t="s">
        <v>403</v>
      </c>
      <c r="C55" s="106" t="s">
        <v>152</v>
      </c>
      <c r="D55" s="106" t="s">
        <v>613</v>
      </c>
      <c r="E55" s="106"/>
      <c r="G55" s="5" t="str">
        <f>IF(G54&gt;"","Standardkonvektor","")</f>
        <v/>
      </c>
      <c r="H55" s="5" t="str">
        <f t="shared" ref="H55:U55" si="11">IF(H54&gt;"","Standardkonvektor","")</f>
        <v/>
      </c>
      <c r="I55" s="5" t="str">
        <f t="shared" si="11"/>
        <v/>
      </c>
      <c r="J55" s="5" t="str">
        <f t="shared" si="11"/>
        <v/>
      </c>
      <c r="K55" s="5" t="str">
        <f t="shared" si="11"/>
        <v/>
      </c>
      <c r="L55" s="5" t="str">
        <f t="shared" si="11"/>
        <v/>
      </c>
      <c r="M55" s="5" t="str">
        <f t="shared" si="11"/>
        <v/>
      </c>
      <c r="N55" s="5" t="str">
        <f t="shared" si="11"/>
        <v/>
      </c>
      <c r="O55" s="5" t="str">
        <f t="shared" si="11"/>
        <v/>
      </c>
      <c r="P55" s="5" t="str">
        <f t="shared" si="11"/>
        <v/>
      </c>
      <c r="Q55" s="5" t="str">
        <f t="shared" si="11"/>
        <v/>
      </c>
      <c r="R55" s="5" t="str">
        <f t="shared" si="11"/>
        <v/>
      </c>
      <c r="S55" s="5" t="str">
        <f t="shared" si="11"/>
        <v/>
      </c>
      <c r="T55" s="5" t="str">
        <f t="shared" si="11"/>
        <v/>
      </c>
      <c r="U55" s="5" t="str">
        <f t="shared" si="11"/>
        <v/>
      </c>
    </row>
    <row r="56" spans="1:21" ht="15.75" thickBot="1">
      <c r="A56" s="106" t="s">
        <v>561</v>
      </c>
      <c r="B56" s="106" t="s">
        <v>403</v>
      </c>
      <c r="C56" s="106" t="s">
        <v>152</v>
      </c>
      <c r="D56" s="106" t="s">
        <v>614</v>
      </c>
      <c r="E56" s="106" t="s">
        <v>409</v>
      </c>
      <c r="G56" s="5">
        <f>IN_rooms!R$51</f>
        <v>0</v>
      </c>
      <c r="H56" s="5">
        <f>IN_rooms!S$51</f>
        <v>0</v>
      </c>
      <c r="I56" s="5">
        <f>IN_rooms!T$51</f>
        <v>0</v>
      </c>
      <c r="J56" s="5">
        <f>IN_rooms!U$51</f>
        <v>0</v>
      </c>
      <c r="K56" s="5">
        <f>IN_rooms!V$51</f>
        <v>0</v>
      </c>
      <c r="L56" s="5">
        <f>IN_rooms!W$51</f>
        <v>0</v>
      </c>
      <c r="M56" s="5">
        <f>IN_rooms!X$51</f>
        <v>0</v>
      </c>
      <c r="N56" s="5">
        <f>IN_rooms!Y$51</f>
        <v>0</v>
      </c>
      <c r="O56" s="5">
        <f>IN_rooms!Z$51</f>
        <v>0</v>
      </c>
      <c r="P56" s="5">
        <f>IN_rooms!AA$51</f>
        <v>0</v>
      </c>
      <c r="Q56" s="5">
        <f>IN_rooms!AB$51</f>
        <v>0</v>
      </c>
      <c r="R56" s="5">
        <f>IN_rooms!AC$51</f>
        <v>0</v>
      </c>
      <c r="S56" s="5">
        <f>IN_rooms!AD$51</f>
        <v>0</v>
      </c>
      <c r="T56" s="5">
        <f>IN_rooms!AE$51</f>
        <v>0</v>
      </c>
      <c r="U56" s="5">
        <f>IN_rooms!AF$51</f>
        <v>0</v>
      </c>
    </row>
    <row r="57" spans="1:21" ht="15.75" thickBot="1">
      <c r="A57" s="106" t="s">
        <v>175</v>
      </c>
      <c r="B57" s="106" t="s">
        <v>403</v>
      </c>
      <c r="C57" s="106" t="s">
        <v>152</v>
      </c>
      <c r="D57" s="106" t="s">
        <v>615</v>
      </c>
      <c r="E57" s="106" t="s">
        <v>409</v>
      </c>
      <c r="G57" s="5">
        <f>IN_rooms!R$52</f>
        <v>0</v>
      </c>
      <c r="H57" s="5">
        <f>IN_rooms!S$52</f>
        <v>0</v>
      </c>
      <c r="I57" s="5">
        <f>IN_rooms!T$52</f>
        <v>0</v>
      </c>
      <c r="J57" s="5">
        <f>IN_rooms!U$52</f>
        <v>0</v>
      </c>
      <c r="K57" s="5">
        <f>IN_rooms!V$52</f>
        <v>0</v>
      </c>
      <c r="L57" s="5">
        <f>IN_rooms!W$52</f>
        <v>0</v>
      </c>
      <c r="M57" s="5">
        <f>IN_rooms!X$52</f>
        <v>0</v>
      </c>
      <c r="N57" s="5">
        <f>IN_rooms!Y$52</f>
        <v>0</v>
      </c>
      <c r="O57" s="5">
        <f>IN_rooms!Z$52</f>
        <v>0</v>
      </c>
      <c r="P57" s="5">
        <f>IN_rooms!AA$52</f>
        <v>0</v>
      </c>
      <c r="Q57" s="5">
        <f>IN_rooms!AB$52</f>
        <v>0</v>
      </c>
      <c r="R57" s="5">
        <f>IN_rooms!AC$52</f>
        <v>0</v>
      </c>
      <c r="S57" s="5">
        <f>IN_rooms!AD$52</f>
        <v>0</v>
      </c>
      <c r="T57" s="5">
        <f>IN_rooms!AE$52</f>
        <v>0</v>
      </c>
      <c r="U57" s="5">
        <f>IN_rooms!AF$52</f>
        <v>0</v>
      </c>
    </row>
    <row r="58" spans="1:21" ht="15.75" thickBot="1">
      <c r="A58" s="106" t="s">
        <v>412</v>
      </c>
      <c r="B58" s="106" t="s">
        <v>403</v>
      </c>
      <c r="C58" s="106" t="s">
        <v>152</v>
      </c>
      <c r="D58" s="106" t="s">
        <v>616</v>
      </c>
      <c r="E58" s="106" t="s">
        <v>409</v>
      </c>
      <c r="G58" s="5">
        <f>IN_rooms!R$53</f>
        <v>0</v>
      </c>
      <c r="H58" s="5">
        <f>IN_rooms!S$53</f>
        <v>0</v>
      </c>
      <c r="I58" s="5">
        <f>IN_rooms!T$53</f>
        <v>0</v>
      </c>
      <c r="J58" s="5">
        <f>IN_rooms!U$53</f>
        <v>0</v>
      </c>
      <c r="K58" s="5">
        <f>IN_rooms!V$53</f>
        <v>0</v>
      </c>
      <c r="L58" s="5">
        <f>IN_rooms!W$53</f>
        <v>0</v>
      </c>
      <c r="M58" s="5">
        <f>IN_rooms!X$53</f>
        <v>0</v>
      </c>
      <c r="N58" s="5">
        <f>IN_rooms!Y$53</f>
        <v>0</v>
      </c>
      <c r="O58" s="5">
        <f>IN_rooms!Z$53</f>
        <v>0</v>
      </c>
      <c r="P58" s="5">
        <f>IN_rooms!AA$53</f>
        <v>0</v>
      </c>
      <c r="Q58" s="5">
        <f>IN_rooms!AB$53</f>
        <v>0</v>
      </c>
      <c r="R58" s="5">
        <f>IN_rooms!AC$53</f>
        <v>0</v>
      </c>
      <c r="S58" s="5">
        <f>IN_rooms!AD$53</f>
        <v>0</v>
      </c>
      <c r="T58" s="5">
        <f>IN_rooms!AE$53</f>
        <v>0</v>
      </c>
      <c r="U58" s="5">
        <f>IN_rooms!AF$53</f>
        <v>0</v>
      </c>
    </row>
    <row r="59" spans="1:21" ht="15.75" thickBot="1">
      <c r="A59" s="106" t="s">
        <v>565</v>
      </c>
      <c r="B59" s="106" t="s">
        <v>403</v>
      </c>
      <c r="C59" s="106" t="s">
        <v>152</v>
      </c>
      <c r="D59" s="106" t="s">
        <v>617</v>
      </c>
      <c r="E59" s="106"/>
      <c r="G59" s="5">
        <f ca="1">_xlfn.LET(
    _xlpm.typ, clc_power!G$54,
    _xlpm.subtyp, clc_power!G$55,
    _xlpm.höhe, clc_power!G$56,
    _xlpm.tiefe, clc_power!G$58,
    SUMIFS(
        INDIRECT("tabelle1[Heizkörperexponent n ]"),
        INDIRECT("tabelle1[Heizkörper_Typ]"), _xlpm.typ,
        INDIRECT("tabelle1[Heizkörper_Subtyp]"), _xlpm.subtyp,
        INDIRECT("tabelle1[Höhe H in mm]"), _xlpm.höhe,
        INDIRECT("tabelle1[Bautiefe T in mm]"), _xlpm.tiefe
    )
)</f>
        <v>0</v>
      </c>
      <c r="H59" s="5">
        <f ca="1">_xlfn.LET(
    _xlpm.typ, clc_power!H$54,
    _xlpm.subtyp, clc_power!H$55,
    _xlpm.höhe, clc_power!H$56,
    _xlpm.tiefe, clc_power!H$58,
    SUMIFS(
        INDIRECT("tabelle1[Heizkörperexponent n ]"),
        INDIRECT("tabelle1[Heizkörper_Typ]"), _xlpm.typ,
        INDIRECT("tabelle1[Heizkörper_Subtyp]"), _xlpm.subtyp,
        INDIRECT("tabelle1[Höhe H in mm]"), _xlpm.höhe,
        INDIRECT("tabelle1[Bautiefe T in mm]"), _xlpm.tiefe
    )
)</f>
        <v>0</v>
      </c>
      <c r="I59" s="5">
        <f ca="1">_xlfn.LET(
    _xlpm.typ, clc_power!I$54,
    _xlpm.subtyp, clc_power!I$55,
    _xlpm.höhe, clc_power!I$56,
    _xlpm.tiefe, clc_power!I$58,
    SUMIFS(
        INDIRECT("tabelle1[Heizkörperexponent n ]"),
        INDIRECT("tabelle1[Heizkörper_Typ]"), _xlpm.typ,
        INDIRECT("tabelle1[Heizkörper_Subtyp]"), _xlpm.subtyp,
        INDIRECT("tabelle1[Höhe H in mm]"), _xlpm.höhe,
        INDIRECT("tabelle1[Bautiefe T in mm]"), _xlpm.tiefe
    )
)</f>
        <v>0</v>
      </c>
      <c r="J59" s="5">
        <f ca="1">_xlfn.LET(
    _xlpm.typ, clc_power!J$54,
    _xlpm.subtyp, clc_power!J$55,
    _xlpm.höhe, clc_power!J$56,
    _xlpm.tiefe, clc_power!J$58,
    SUMIFS(
        INDIRECT("tabelle1[Heizkörperexponent n ]"),
        INDIRECT("tabelle1[Heizkörper_Typ]"), _xlpm.typ,
        INDIRECT("tabelle1[Heizkörper_Subtyp]"), _xlpm.subtyp,
        INDIRECT("tabelle1[Höhe H in mm]"), _xlpm.höhe,
        INDIRECT("tabelle1[Bautiefe T in mm]"), _xlpm.tiefe
    )
)</f>
        <v>0</v>
      </c>
      <c r="K59" s="5">
        <f ca="1">_xlfn.LET(
    _xlpm.typ, clc_power!K$54,
    _xlpm.subtyp, clc_power!K$55,
    _xlpm.höhe, clc_power!K$56,
    _xlpm.tiefe, clc_power!K$58,
    SUMIFS(
        INDIRECT("tabelle1[Heizkörperexponent n ]"),
        INDIRECT("tabelle1[Heizkörper_Typ]"), _xlpm.typ,
        INDIRECT("tabelle1[Heizkörper_Subtyp]"), _xlpm.subtyp,
        INDIRECT("tabelle1[Höhe H in mm]"), _xlpm.höhe,
        INDIRECT("tabelle1[Bautiefe T in mm]"), _xlpm.tiefe
    )
)</f>
        <v>0</v>
      </c>
      <c r="L59" s="5">
        <f ca="1">_xlfn.LET(
    _xlpm.typ, clc_power!L$54,
    _xlpm.subtyp, clc_power!L$55,
    _xlpm.höhe, clc_power!L$56,
    _xlpm.tiefe, clc_power!L$58,
    SUMIFS(
        INDIRECT("tabelle1[Heizkörperexponent n ]"),
        INDIRECT("tabelle1[Heizkörper_Typ]"), _xlpm.typ,
        INDIRECT("tabelle1[Heizkörper_Subtyp]"), _xlpm.subtyp,
        INDIRECT("tabelle1[Höhe H in mm]"), _xlpm.höhe,
        INDIRECT("tabelle1[Bautiefe T in mm]"), _xlpm.tiefe
    )
)</f>
        <v>0</v>
      </c>
      <c r="M59" s="5">
        <f ca="1">_xlfn.LET(
    _xlpm.typ, clc_power!M$54,
    _xlpm.subtyp, clc_power!M$55,
    _xlpm.höhe, clc_power!M$56,
    _xlpm.tiefe, clc_power!M$58,
    SUMIFS(
        INDIRECT("tabelle1[Heizkörperexponent n ]"),
        INDIRECT("tabelle1[Heizkörper_Typ]"), _xlpm.typ,
        INDIRECT("tabelle1[Heizkörper_Subtyp]"), _xlpm.subtyp,
        INDIRECT("tabelle1[Höhe H in mm]"), _xlpm.höhe,
        INDIRECT("tabelle1[Bautiefe T in mm]"), _xlpm.tiefe
    )
)</f>
        <v>0</v>
      </c>
      <c r="N59" s="5">
        <f ca="1">_xlfn.LET(
    _xlpm.typ, clc_power!N$54,
    _xlpm.subtyp, clc_power!N$55,
    _xlpm.höhe, clc_power!N$56,
    _xlpm.tiefe, clc_power!N$58,
    SUMIFS(
        INDIRECT("tabelle1[Heizkörperexponent n ]"),
        INDIRECT("tabelle1[Heizkörper_Typ]"), _xlpm.typ,
        INDIRECT("tabelle1[Heizkörper_Subtyp]"), _xlpm.subtyp,
        INDIRECT("tabelle1[Höhe H in mm]"), _xlpm.höhe,
        INDIRECT("tabelle1[Bautiefe T in mm]"), _xlpm.tiefe
    )
)</f>
        <v>0</v>
      </c>
      <c r="O59" s="5">
        <f ca="1">_xlfn.LET(
    _xlpm.typ, clc_power!O$54,
    _xlpm.subtyp, clc_power!O$55,
    _xlpm.höhe, clc_power!O$56,
    _xlpm.tiefe, clc_power!O$58,
    SUMIFS(
        INDIRECT("tabelle1[Heizkörperexponent n ]"),
        INDIRECT("tabelle1[Heizkörper_Typ]"), _xlpm.typ,
        INDIRECT("tabelle1[Heizkörper_Subtyp]"), _xlpm.subtyp,
        INDIRECT("tabelle1[Höhe H in mm]"), _xlpm.höhe,
        INDIRECT("tabelle1[Bautiefe T in mm]"), _xlpm.tiefe
    )
)</f>
        <v>0</v>
      </c>
      <c r="P59" s="5">
        <f ca="1">_xlfn.LET(
    _xlpm.typ, clc_power!P$54,
    _xlpm.subtyp, clc_power!P$55,
    _xlpm.höhe, clc_power!P$56,
    _xlpm.tiefe, clc_power!P$58,
    SUMIFS(
        INDIRECT("tabelle1[Heizkörperexponent n ]"),
        INDIRECT("tabelle1[Heizkörper_Typ]"), _xlpm.typ,
        INDIRECT("tabelle1[Heizkörper_Subtyp]"), _xlpm.subtyp,
        INDIRECT("tabelle1[Höhe H in mm]"), _xlpm.höhe,
        INDIRECT("tabelle1[Bautiefe T in mm]"), _xlpm.tiefe
    )
)</f>
        <v>0</v>
      </c>
      <c r="Q59" s="5">
        <f ca="1">_xlfn.LET(
    _xlpm.typ, clc_power!Q$54,
    _xlpm.subtyp, clc_power!Q$55,
    _xlpm.höhe, clc_power!Q$56,
    _xlpm.tiefe, clc_power!Q$58,
    SUMIFS(
        INDIRECT("tabelle1[Heizkörperexponent n ]"),
        INDIRECT("tabelle1[Heizkörper_Typ]"), _xlpm.typ,
        INDIRECT("tabelle1[Heizkörper_Subtyp]"), _xlpm.subtyp,
        INDIRECT("tabelle1[Höhe H in mm]"), _xlpm.höhe,
        INDIRECT("tabelle1[Bautiefe T in mm]"), _xlpm.tiefe
    )
)</f>
        <v>0</v>
      </c>
      <c r="R59" s="5">
        <f ca="1">_xlfn.LET(
    _xlpm.typ, clc_power!R$54,
    _xlpm.subtyp, clc_power!R$55,
    _xlpm.höhe, clc_power!R$56,
    _xlpm.tiefe, clc_power!R$58,
    SUMIFS(
        INDIRECT("tabelle1[Heizkörperexponent n ]"),
        INDIRECT("tabelle1[Heizkörper_Typ]"), _xlpm.typ,
        INDIRECT("tabelle1[Heizkörper_Subtyp]"), _xlpm.subtyp,
        INDIRECT("tabelle1[Höhe H in mm]"), _xlpm.höhe,
        INDIRECT("tabelle1[Bautiefe T in mm]"), _xlpm.tiefe
    )
)</f>
        <v>0</v>
      </c>
      <c r="S59" s="5">
        <f ca="1">_xlfn.LET(
    _xlpm.typ, clc_power!S$54,
    _xlpm.subtyp, clc_power!S$55,
    _xlpm.höhe, clc_power!S$56,
    _xlpm.tiefe, clc_power!S$58,
    SUMIFS(
        INDIRECT("tabelle1[Heizkörperexponent n ]"),
        INDIRECT("tabelle1[Heizkörper_Typ]"), _xlpm.typ,
        INDIRECT("tabelle1[Heizkörper_Subtyp]"), _xlpm.subtyp,
        INDIRECT("tabelle1[Höhe H in mm]"), _xlpm.höhe,
        INDIRECT("tabelle1[Bautiefe T in mm]"), _xlpm.tiefe
    )
)</f>
        <v>0</v>
      </c>
      <c r="T59" s="5">
        <f ca="1">_xlfn.LET(
    _xlpm.typ, clc_power!T$54,
    _xlpm.subtyp, clc_power!T$55,
    _xlpm.höhe, clc_power!T$56,
    _xlpm.tiefe, clc_power!T$58,
    SUMIFS(
        INDIRECT("tabelle1[Heizkörperexponent n ]"),
        INDIRECT("tabelle1[Heizkörper_Typ]"), _xlpm.typ,
        INDIRECT("tabelle1[Heizkörper_Subtyp]"), _xlpm.subtyp,
        INDIRECT("tabelle1[Höhe H in mm]"), _xlpm.höhe,
        INDIRECT("tabelle1[Bautiefe T in mm]"), _xlpm.tiefe
    )
)</f>
        <v>0</v>
      </c>
      <c r="U59" s="5">
        <f ca="1">_xlfn.LET(
    _xlpm.typ, clc_power!U$54,
    _xlpm.subtyp, clc_power!U$55,
    _xlpm.höhe, clc_power!U$56,
    _xlpm.tiefe, clc_power!U$58,
    SUMIFS(
        INDIRECT("tabelle1[Heizkörperexponent n ]"),
        INDIRECT("tabelle1[Heizkörper_Typ]"), _xlpm.typ,
        INDIRECT("tabelle1[Heizkörper_Subtyp]"), _xlpm.subtyp,
        INDIRECT("tabelle1[Höhe H in mm]"), _xlpm.höhe,
        INDIRECT("tabelle1[Bautiefe T in mm]"), _xlpm.tiefe
    )
)</f>
        <v>0</v>
      </c>
    </row>
    <row r="60" spans="1:21" ht="15.75" thickBot="1">
      <c r="A60" s="106" t="s">
        <v>567</v>
      </c>
      <c r="B60" s="106" t="s">
        <v>403</v>
      </c>
      <c r="C60" s="106" t="s">
        <v>152</v>
      </c>
      <c r="D60" s="106" t="s">
        <v>618</v>
      </c>
      <c r="E60" s="106" t="s">
        <v>31</v>
      </c>
      <c r="G60" s="5">
        <f ca="1">_xlfn.LET(
    _xlpm.bedarf, IN_rooms!R$55,
    _xlpm.typ, clc_power!G$54,
    _xlpm.subtyp, clc_power!G$55,
    _xlpm.höhe, clc_power!G$56,
    _xlpm.faktor, clc_power!G$57,
    _xlpm.tiefe, clc_power!G$58,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H60" s="5">
        <f ca="1">_xlfn.LET(
    _xlpm.bedarf, IN_rooms!S$55,
    _xlpm.typ, clc_power!H$54,
    _xlpm.subtyp, clc_power!H$55,
    _xlpm.höhe, clc_power!H$56,
    _xlpm.faktor, clc_power!H$57,
    _xlpm.tiefe, clc_power!H$58,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I60" s="5">
        <f ca="1">_xlfn.LET(
    _xlpm.bedarf, IN_rooms!T$55,
    _xlpm.typ, clc_power!I$54,
    _xlpm.subtyp, clc_power!I$55,
    _xlpm.höhe, clc_power!I$56,
    _xlpm.faktor, clc_power!I$57,
    _xlpm.tiefe, clc_power!I$58,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J60" s="5">
        <f ca="1">_xlfn.LET(
    _xlpm.bedarf, IN_rooms!U$55,
    _xlpm.typ, clc_power!J$54,
    _xlpm.subtyp, clc_power!J$55,
    _xlpm.höhe, clc_power!J$56,
    _xlpm.faktor, clc_power!J$57,
    _xlpm.tiefe, clc_power!J$58,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K60" s="5">
        <f ca="1">_xlfn.LET(
    _xlpm.bedarf, IN_rooms!V$55,
    _xlpm.typ, clc_power!K$54,
    _xlpm.subtyp, clc_power!K$55,
    _xlpm.höhe, clc_power!K$56,
    _xlpm.faktor, clc_power!K$57,
    _xlpm.tiefe, clc_power!K$58,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L60" s="5">
        <f ca="1">_xlfn.LET(
    _xlpm.bedarf, IN_rooms!W$55,
    _xlpm.typ, clc_power!L$54,
    _xlpm.subtyp, clc_power!L$55,
    _xlpm.höhe, clc_power!L$56,
    _xlpm.faktor, clc_power!L$57,
    _xlpm.tiefe, clc_power!L$58,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M60" s="5">
        <f ca="1">_xlfn.LET(
    _xlpm.bedarf, IN_rooms!X$55,
    _xlpm.typ, clc_power!M$54,
    _xlpm.subtyp, clc_power!M$55,
    _xlpm.höhe, clc_power!M$56,
    _xlpm.faktor, clc_power!M$57,
    _xlpm.tiefe, clc_power!M$58,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N60" s="5">
        <f ca="1">_xlfn.LET(
    _xlpm.bedarf, IN_rooms!Y$55,
    _xlpm.typ, clc_power!N$54,
    _xlpm.subtyp, clc_power!N$55,
    _xlpm.höhe, clc_power!N$56,
    _xlpm.faktor, clc_power!N$57,
    _xlpm.tiefe, clc_power!N$58,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O60" s="5">
        <f ca="1">_xlfn.LET(
    _xlpm.bedarf, IN_rooms!Z$55,
    _xlpm.typ, clc_power!O$54,
    _xlpm.subtyp, clc_power!O$55,
    _xlpm.höhe, clc_power!O$56,
    _xlpm.faktor, clc_power!O$57,
    _xlpm.tiefe, clc_power!O$58,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P60" s="5">
        <f ca="1">_xlfn.LET(
    _xlpm.bedarf, IN_rooms!AA$55,
    _xlpm.typ, clc_power!P$54,
    _xlpm.subtyp, clc_power!P$55,
    _xlpm.höhe, clc_power!P$56,
    _xlpm.faktor, clc_power!P$57,
    _xlpm.tiefe, clc_power!P$58,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Q60" s="5">
        <f ca="1">_xlfn.LET(
    _xlpm.bedarf, IN_rooms!AB$55,
    _xlpm.typ, clc_power!Q$54,
    _xlpm.subtyp, clc_power!Q$55,
    _xlpm.höhe, clc_power!Q$56,
    _xlpm.faktor, clc_power!Q$57,
    _xlpm.tiefe, clc_power!Q$58,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R60" s="5">
        <f ca="1">_xlfn.LET(
    _xlpm.bedarf, IN_rooms!AC$55,
    _xlpm.typ, clc_power!R$54,
    _xlpm.subtyp, clc_power!R$55,
    _xlpm.höhe, clc_power!R$56,
    _xlpm.faktor, clc_power!R$57,
    _xlpm.tiefe, clc_power!R$58,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S60" s="5">
        <f ca="1">_xlfn.LET(
    _xlpm.bedarf, IN_rooms!AD$55,
    _xlpm.typ, clc_power!S$54,
    _xlpm.subtyp, clc_power!S$55,
    _xlpm.höhe, clc_power!S$56,
    _xlpm.faktor, clc_power!S$57,
    _xlpm.tiefe, clc_power!S$58,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T60" s="5">
        <f ca="1">_xlfn.LET(
    _xlpm.bedarf, IN_rooms!AE$55,
    _xlpm.typ, clc_power!T$54,
    _xlpm.subtyp, clc_power!T$55,
    _xlpm.höhe, clc_power!T$56,
    _xlpm.faktor, clc_power!T$57,
    _xlpm.tiefe, clc_power!T$58,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U60" s="5">
        <f ca="1">_xlfn.LET(
    _xlpm.bedarf, IN_rooms!AF$55,
    _xlpm.typ, clc_power!U$54,
    _xlpm.subtyp, clc_power!U$55,
    _xlpm.höhe, clc_power!U$56,
    _xlpm.faktor, clc_power!U$57,
    _xlpm.tiefe, clc_power!U$58,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row>
    <row r="61" spans="1:21" ht="15.75" thickBot="1">
      <c r="A61" s="106" t="s">
        <v>569</v>
      </c>
      <c r="B61" s="106" t="s">
        <v>403</v>
      </c>
      <c r="C61" s="106" t="s">
        <v>152</v>
      </c>
      <c r="D61" s="106" t="s">
        <v>619</v>
      </c>
      <c r="E61" s="106" t="s">
        <v>26</v>
      </c>
      <c r="G61" s="5">
        <f>TVL_Ziel</f>
        <v>55</v>
      </c>
      <c r="H61" s="5">
        <f t="shared" ref="H61:U61" si="12">TVL_Ziel</f>
        <v>55</v>
      </c>
      <c r="I61" s="5">
        <f t="shared" si="12"/>
        <v>55</v>
      </c>
      <c r="J61" s="5">
        <f t="shared" si="12"/>
        <v>55</v>
      </c>
      <c r="K61" s="5">
        <f t="shared" si="12"/>
        <v>55</v>
      </c>
      <c r="L61" s="5">
        <f t="shared" si="12"/>
        <v>55</v>
      </c>
      <c r="M61" s="5">
        <f t="shared" si="12"/>
        <v>55</v>
      </c>
      <c r="N61" s="5">
        <f t="shared" si="12"/>
        <v>55</v>
      </c>
      <c r="O61" s="5">
        <f t="shared" si="12"/>
        <v>55</v>
      </c>
      <c r="P61" s="5">
        <f t="shared" si="12"/>
        <v>55</v>
      </c>
      <c r="Q61" s="5">
        <f t="shared" si="12"/>
        <v>55</v>
      </c>
      <c r="R61" s="5">
        <f t="shared" si="12"/>
        <v>55</v>
      </c>
      <c r="S61" s="5">
        <f t="shared" si="12"/>
        <v>55</v>
      </c>
      <c r="T61" s="5">
        <f t="shared" si="12"/>
        <v>55</v>
      </c>
      <c r="U61" s="5">
        <f t="shared" si="12"/>
        <v>55</v>
      </c>
    </row>
    <row r="62" spans="1:21" ht="15.75" thickBot="1">
      <c r="A62" s="106" t="s">
        <v>571</v>
      </c>
      <c r="B62" s="106" t="s">
        <v>403</v>
      </c>
      <c r="C62" s="106" t="s">
        <v>152</v>
      </c>
      <c r="D62" s="106" t="s">
        <v>620</v>
      </c>
      <c r="E62" s="106" t="s">
        <v>26</v>
      </c>
      <c r="G62" s="5">
        <f>TRL_Ziel</f>
        <v>45</v>
      </c>
      <c r="H62" s="5">
        <f t="shared" ref="H62:U62" si="13">TRL_Ziel</f>
        <v>45</v>
      </c>
      <c r="I62" s="5">
        <f t="shared" si="13"/>
        <v>45</v>
      </c>
      <c r="J62" s="5">
        <f t="shared" si="13"/>
        <v>45</v>
      </c>
      <c r="K62" s="5">
        <f t="shared" si="13"/>
        <v>45</v>
      </c>
      <c r="L62" s="5">
        <f t="shared" si="13"/>
        <v>45</v>
      </c>
      <c r="M62" s="5">
        <f t="shared" si="13"/>
        <v>45</v>
      </c>
      <c r="N62" s="5">
        <f t="shared" si="13"/>
        <v>45</v>
      </c>
      <c r="O62" s="5">
        <f t="shared" si="13"/>
        <v>45</v>
      </c>
      <c r="P62" s="5">
        <f t="shared" si="13"/>
        <v>45</v>
      </c>
      <c r="Q62" s="5">
        <f t="shared" si="13"/>
        <v>45</v>
      </c>
      <c r="R62" s="5">
        <f t="shared" si="13"/>
        <v>45</v>
      </c>
      <c r="S62" s="5">
        <f t="shared" si="13"/>
        <v>45</v>
      </c>
      <c r="T62" s="5">
        <f t="shared" si="13"/>
        <v>45</v>
      </c>
      <c r="U62" s="5">
        <f t="shared" si="13"/>
        <v>45</v>
      </c>
    </row>
    <row r="63" spans="1:21" ht="15.75" thickBot="1">
      <c r="A63" s="106" t="s">
        <v>573</v>
      </c>
      <c r="B63" s="106" t="s">
        <v>403</v>
      </c>
      <c r="C63" s="106" t="s">
        <v>148</v>
      </c>
      <c r="D63" s="106" t="s">
        <v>621</v>
      </c>
      <c r="E63" s="106" t="s">
        <v>575</v>
      </c>
      <c r="G63" s="34">
        <f>(G$61-G$62)/(LN((G$61-clc_load!I$10)/(clc_power!G$62-clc_load!I$10)))</f>
        <v>49.83288654563971</v>
      </c>
      <c r="H63" s="34">
        <f>(H$61-H$62)/(LN((H$61-clc_load!J$10)/(clc_power!H$62-clc_load!J$10)))</f>
        <v>49.83288654563971</v>
      </c>
      <c r="I63" s="34">
        <f>(I$61-I$62)/(LN((I$61-clc_load!K$10)/(clc_power!I$62-clc_load!K$10)))</f>
        <v>49.83288654563971</v>
      </c>
      <c r="J63" s="34">
        <f>(J$61-J$62)/(LN((J$61-clc_load!L$10)/(clc_power!J$62-clc_load!L$10)))</f>
        <v>49.83288654563971</v>
      </c>
      <c r="K63" s="34">
        <f>(K$61-K$62)/(LN((K$61-clc_load!M$10)/(clc_power!K$62-clc_load!M$10)))</f>
        <v>49.83288654563971</v>
      </c>
      <c r="L63" s="34">
        <f>(L$61-L$62)/(LN((L$61-clc_load!N$10)/(clc_power!L$62-clc_load!N$10)))</f>
        <v>49.83288654563971</v>
      </c>
      <c r="M63" s="34">
        <f>(M$61-M$62)/(LN((M$61-clc_load!O$10)/(clc_power!M$62-clc_load!O$10)))</f>
        <v>49.83288654563971</v>
      </c>
      <c r="N63" s="34">
        <f>(N$61-N$62)/(LN((N$61-clc_load!P$10)/(clc_power!N$62-clc_load!P$10)))</f>
        <v>49.83288654563971</v>
      </c>
      <c r="O63" s="34">
        <f>(O$61-O$62)/(LN((O$61-clc_load!Q$10)/(clc_power!O$62-clc_load!Q$10)))</f>
        <v>49.83288654563971</v>
      </c>
      <c r="P63" s="34">
        <f>(P$61-P$62)/(LN((P$61-clc_load!R$10)/(clc_power!P$62-clc_load!R$10)))</f>
        <v>49.83288654563971</v>
      </c>
      <c r="Q63" s="34">
        <f>(Q$61-Q$62)/(LN((Q$61-clc_load!S$10)/(clc_power!Q$62-clc_load!S$10)))</f>
        <v>49.83288654563971</v>
      </c>
      <c r="R63" s="34">
        <f>(R$61-R$62)/(LN((R$61-clc_load!T$10)/(clc_power!R$62-clc_load!T$10)))</f>
        <v>49.83288654563971</v>
      </c>
      <c r="S63" s="34">
        <f>(S$61-S$62)/(LN((S$61-clc_load!U$10)/(clc_power!S$62-clc_load!U$10)))</f>
        <v>49.83288654563971</v>
      </c>
      <c r="T63" s="34">
        <f>(T$61-T$62)/(LN((T$61-clc_load!V$10)/(clc_power!T$62-clc_load!V$10)))</f>
        <v>49.83288654563971</v>
      </c>
      <c r="U63" s="34">
        <f>(U$61-U$62)/(LN((U$61-clc_load!W$10)/(clc_power!U$62-clc_load!W$10)))</f>
        <v>49.83288654563971</v>
      </c>
    </row>
    <row r="64" spans="1:21" ht="15.75" thickBot="1">
      <c r="A64" s="106" t="s">
        <v>576</v>
      </c>
      <c r="B64" s="106" t="s">
        <v>403</v>
      </c>
      <c r="C64" s="106" t="s">
        <v>148</v>
      </c>
      <c r="D64" s="106" t="s">
        <v>622</v>
      </c>
      <c r="E64" s="106" t="s">
        <v>31</v>
      </c>
      <c r="G64" s="34">
        <f t="shared" ref="G64:U64" ca="1" si="14">IF(G$60*((G$63/Log_ÜT_Norm)^G$59)&gt;0,
G$60*((G$63/Log_ÜT_Norm)^G$59),0)</f>
        <v>0</v>
      </c>
      <c r="H64" s="34">
        <f t="shared" ca="1" si="14"/>
        <v>0</v>
      </c>
      <c r="I64" s="34">
        <f t="shared" ca="1" si="14"/>
        <v>0</v>
      </c>
      <c r="J64" s="34">
        <f t="shared" ca="1" si="14"/>
        <v>0</v>
      </c>
      <c r="K64" s="34">
        <f t="shared" ca="1" si="14"/>
        <v>0</v>
      </c>
      <c r="L64" s="34">
        <f t="shared" ca="1" si="14"/>
        <v>0</v>
      </c>
      <c r="M64" s="34">
        <f t="shared" ca="1" si="14"/>
        <v>0</v>
      </c>
      <c r="N64" s="34">
        <f t="shared" ca="1" si="14"/>
        <v>0</v>
      </c>
      <c r="O64" s="34">
        <f t="shared" ca="1" si="14"/>
        <v>0</v>
      </c>
      <c r="P64" s="34">
        <f t="shared" ca="1" si="14"/>
        <v>0</v>
      </c>
      <c r="Q64" s="34">
        <f t="shared" ca="1" si="14"/>
        <v>0</v>
      </c>
      <c r="R64" s="34">
        <f t="shared" ca="1" si="14"/>
        <v>0</v>
      </c>
      <c r="S64" s="34">
        <f t="shared" ca="1" si="14"/>
        <v>0</v>
      </c>
      <c r="T64" s="34">
        <f t="shared" ca="1" si="14"/>
        <v>0</v>
      </c>
      <c r="U64" s="34">
        <f t="shared" ca="1" si="14"/>
        <v>0</v>
      </c>
    </row>
    <row r="65" spans="1:21" ht="15.75" thickBot="1">
      <c r="A65" s="107" t="s">
        <v>578</v>
      </c>
      <c r="B65" s="107" t="s">
        <v>403</v>
      </c>
      <c r="C65" s="107" t="s">
        <v>579</v>
      </c>
      <c r="D65" s="107" t="s">
        <v>623</v>
      </c>
      <c r="E65" s="107" t="s">
        <v>31</v>
      </c>
      <c r="G65" s="34">
        <f ca="1">_xlfn.LET(
    _xlpm.typ, "Flachheizkoerper_senkrecht_profiliert",
    _xlpm.subtyp, "Typ_33",
    _xlpm.höhe, _xlfn.XLOOKUP(G$56, Data_radiator!$G$5:$G$32, Data_radiator!$G$5:$G$32, 1000000, 1, 1),
    _xlpm.tiefe, 155,
    _xlpm.faktor, G$57 / 1000,
    _xlpm.exponentFaktor, G$63 / Log_ÜT_Norm,
    _xlpm.bedarf, IN_rooms!R$55,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H65" s="34">
        <f ca="1">_xlfn.LET(
    _xlpm.typ, "Flachheizkoerper_senkrecht_profiliert",
    _xlpm.subtyp, "Typ_33",
    _xlpm.höhe, _xlfn.XLOOKUP(H$56, Data_radiator!$G$5:$G$32, Data_radiator!$G$5:$G$32, 1000000, 1, 1),
    _xlpm.tiefe, 155,
    _xlpm.faktor, H$57 / 1000,
    _xlpm.exponentFaktor, H$63 / Log_ÜT_Norm,
    _xlpm.bedarf, IN_rooms!S$55,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I65" s="34">
        <f ca="1">_xlfn.LET(
    _xlpm.typ, "Flachheizkoerper_senkrecht_profiliert",
    _xlpm.subtyp, "Typ_33",
    _xlpm.höhe, _xlfn.XLOOKUP(I$56, Data_radiator!$G$5:$G$32, Data_radiator!$G$5:$G$32, 1000000, 1, 1),
    _xlpm.tiefe, 155,
    _xlpm.faktor, I$57 / 1000,
    _xlpm.exponentFaktor, I$63 / Log_ÜT_Norm,
    _xlpm.bedarf, IN_rooms!T$55,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J65" s="34">
        <f ca="1">_xlfn.LET(
    _xlpm.typ, "Flachheizkoerper_senkrecht_profiliert",
    _xlpm.subtyp, "Typ_33",
    _xlpm.höhe, _xlfn.XLOOKUP(J$56, Data_radiator!$G$5:$G$32, Data_radiator!$G$5:$G$32, 1000000, 1, 1),
    _xlpm.tiefe, 155,
    _xlpm.faktor, J$57 / 1000,
    _xlpm.exponentFaktor, J$63 / Log_ÜT_Norm,
    _xlpm.bedarf, IN_rooms!U$55,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K65" s="34">
        <f ca="1">_xlfn.LET(
    _xlpm.typ, "Flachheizkoerper_senkrecht_profiliert",
    _xlpm.subtyp, "Typ_33",
    _xlpm.höhe, _xlfn.XLOOKUP(K$56, Data_radiator!$G$5:$G$32, Data_radiator!$G$5:$G$32, 1000000, 1, 1),
    _xlpm.tiefe, 155,
    _xlpm.faktor, K$57 / 1000,
    _xlpm.exponentFaktor, K$63 / Log_ÜT_Norm,
    _xlpm.bedarf, IN_rooms!V$55,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L65" s="34">
        <f ca="1">_xlfn.LET(
    _xlpm.typ, "Flachheizkoerper_senkrecht_profiliert",
    _xlpm.subtyp, "Typ_33",
    _xlpm.höhe, _xlfn.XLOOKUP(L$56, Data_radiator!$G$5:$G$32, Data_radiator!$G$5:$G$32, 1000000, 1, 1),
    _xlpm.tiefe, 155,
    _xlpm.faktor, L$57 / 1000,
    _xlpm.exponentFaktor, L$63 / Log_ÜT_Norm,
    _xlpm.bedarf, IN_rooms!W$55,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M65" s="34">
        <f ca="1">_xlfn.LET(
    _xlpm.typ, "Flachheizkoerper_senkrecht_profiliert",
    _xlpm.subtyp, "Typ_33",
    _xlpm.höhe, _xlfn.XLOOKUP(M$56, Data_radiator!$G$5:$G$32, Data_radiator!$G$5:$G$32, 1000000, 1, 1),
    _xlpm.tiefe, 155,
    _xlpm.faktor, M$57 / 1000,
    _xlpm.exponentFaktor, M$63 / Log_ÜT_Norm,
    _xlpm.bedarf, IN_rooms!X$55,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N65" s="34">
        <f ca="1">_xlfn.LET(
    _xlpm.typ, "Flachheizkoerper_senkrecht_profiliert",
    _xlpm.subtyp, "Typ_33",
    _xlpm.höhe, _xlfn.XLOOKUP(N$56, Data_radiator!$G$5:$G$32, Data_radiator!$G$5:$G$32, 1000000, 1, 1),
    _xlpm.tiefe, 155,
    _xlpm.faktor, N$57 / 1000,
    _xlpm.exponentFaktor, N$63 / Log_ÜT_Norm,
    _xlpm.bedarf, IN_rooms!Y$55,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O65" s="34">
        <f ca="1">_xlfn.LET(
    _xlpm.typ, "Flachheizkoerper_senkrecht_profiliert",
    _xlpm.subtyp, "Typ_33",
    _xlpm.höhe, _xlfn.XLOOKUP(O$56, Data_radiator!$G$5:$G$32, Data_radiator!$G$5:$G$32, 1000000, 1, 1),
    _xlpm.tiefe, 155,
    _xlpm.faktor, O$57 / 1000,
    _xlpm.exponentFaktor, O$63 / Log_ÜT_Norm,
    _xlpm.bedarf, IN_rooms!Z$55,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P65" s="34">
        <f ca="1">_xlfn.LET(
    _xlpm.typ, "Flachheizkoerper_senkrecht_profiliert",
    _xlpm.subtyp, "Typ_33",
    _xlpm.höhe, _xlfn.XLOOKUP(P$56, Data_radiator!$G$5:$G$32, Data_radiator!$G$5:$G$32, 1000000, 1, 1),
    _xlpm.tiefe, 155,
    _xlpm.faktor, P$57 / 1000,
    _xlpm.exponentFaktor, P$63 / Log_ÜT_Norm,
    _xlpm.bedarf, IN_rooms!AA$55,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Q65" s="34">
        <f ca="1">_xlfn.LET(
    _xlpm.typ, "Flachheizkoerper_senkrecht_profiliert",
    _xlpm.subtyp, "Typ_33",
    _xlpm.höhe, _xlfn.XLOOKUP(Q$56, Data_radiator!$G$5:$G$32, Data_radiator!$G$5:$G$32, 1000000, 1, 1),
    _xlpm.tiefe, 155,
    _xlpm.faktor, Q$57 / 1000,
    _xlpm.exponentFaktor, Q$63 / Log_ÜT_Norm,
    _xlpm.bedarf, IN_rooms!AB$55,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R65" s="34">
        <f ca="1">_xlfn.LET(
    _xlpm.typ, "Flachheizkoerper_senkrecht_profiliert",
    _xlpm.subtyp, "Typ_33",
    _xlpm.höhe, _xlfn.XLOOKUP(R$56, Data_radiator!$G$5:$G$32, Data_radiator!$G$5:$G$32, 1000000, 1, 1),
    _xlpm.tiefe, 155,
    _xlpm.faktor, R$57 / 1000,
    _xlpm.exponentFaktor, R$63 / Log_ÜT_Norm,
    _xlpm.bedarf, IN_rooms!AC$55,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S65" s="34">
        <f ca="1">_xlfn.LET(
    _xlpm.typ, "Flachheizkoerper_senkrecht_profiliert",
    _xlpm.subtyp, "Typ_33",
    _xlpm.höhe, _xlfn.XLOOKUP(S$56, Data_radiator!$G$5:$G$32, Data_radiator!$G$5:$G$32, 1000000, 1, 1),
    _xlpm.tiefe, 155,
    _xlpm.faktor, S$57 / 1000,
    _xlpm.exponentFaktor, S$63 / Log_ÜT_Norm,
    _xlpm.bedarf, IN_rooms!AD$55,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T65" s="34">
        <f ca="1">_xlfn.LET(
    _xlpm.typ, "Flachheizkoerper_senkrecht_profiliert",
    _xlpm.subtyp, "Typ_33",
    _xlpm.höhe, _xlfn.XLOOKUP(T$56, Data_radiator!$G$5:$G$32, Data_radiator!$G$5:$G$32, 1000000, 1, 1),
    _xlpm.tiefe, 155,
    _xlpm.faktor, T$57 / 1000,
    _xlpm.exponentFaktor, T$63 / Log_ÜT_Norm,
    _xlpm.bedarf, IN_rooms!AE$55,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U65" s="34">
        <f ca="1">_xlfn.LET(
    _xlpm.typ, "Flachheizkoerper_senkrecht_profiliert",
    _xlpm.subtyp, "Typ_33",
    _xlpm.höhe, _xlfn.XLOOKUP(U$56, Data_radiator!$G$5:$G$32, Data_radiator!$G$5:$G$32, 1000000, 1, 1),
    _xlpm.tiefe, 155,
    _xlpm.faktor, U$57 / 1000,
    _xlpm.exponentFaktor, U$63 / Log_ÜT_Norm,
    _xlpm.bedarf, IN_rooms!AF$55,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row>
    <row r="66" spans="1:21" ht="15.75" thickBot="1">
      <c r="A66" s="110" t="s">
        <v>624</v>
      </c>
      <c r="B66" s="110" t="s">
        <v>403</v>
      </c>
      <c r="C66" s="110"/>
      <c r="D66" s="110" t="s">
        <v>625</v>
      </c>
      <c r="E66" s="110" t="s">
        <v>31</v>
      </c>
      <c r="F66" s="6"/>
      <c r="G66" s="123" t="str">
        <f>IF(G3&gt;"",G13,IF(G15&gt;"",G25,IF(G27&gt;"",G38,IF(G54&gt;"",G64,""))))</f>
        <v/>
      </c>
      <c r="H66" s="123" t="str">
        <f t="shared" ref="H66:U66" si="15">IF(H3&gt;"",H13,IF(H15&gt;"",H25,IF(H27&gt;"",H38,IF(H54&gt;"",H64,""))))</f>
        <v/>
      </c>
      <c r="I66" s="123" t="str">
        <f t="shared" si="15"/>
        <v/>
      </c>
      <c r="J66" s="123" t="str">
        <f t="shared" si="15"/>
        <v/>
      </c>
      <c r="K66" s="123" t="str">
        <f t="shared" si="15"/>
        <v/>
      </c>
      <c r="L66" s="123" t="str">
        <f t="shared" si="15"/>
        <v/>
      </c>
      <c r="M66" s="123" t="str">
        <f t="shared" si="15"/>
        <v/>
      </c>
      <c r="N66" s="123" t="str">
        <f t="shared" si="15"/>
        <v/>
      </c>
      <c r="O66" s="123" t="str">
        <f t="shared" si="15"/>
        <v/>
      </c>
      <c r="P66" s="123" t="str">
        <f t="shared" si="15"/>
        <v/>
      </c>
      <c r="Q66" s="123" t="str">
        <f t="shared" si="15"/>
        <v/>
      </c>
      <c r="R66" s="123" t="str">
        <f t="shared" si="15"/>
        <v/>
      </c>
      <c r="S66" s="123" t="str">
        <f t="shared" si="15"/>
        <v/>
      </c>
      <c r="T66" s="123" t="str">
        <f t="shared" si="15"/>
        <v/>
      </c>
      <c r="U66" s="123" t="str">
        <f t="shared" si="15"/>
        <v/>
      </c>
    </row>
    <row r="67" spans="1:21" ht="15.75" thickBot="1">
      <c r="A67" s="110" t="s">
        <v>626</v>
      </c>
      <c r="B67" s="110" t="s">
        <v>403</v>
      </c>
      <c r="C67" s="110" t="s">
        <v>627</v>
      </c>
      <c r="D67" s="110" t="s">
        <v>628</v>
      </c>
      <c r="E67" s="110" t="s">
        <v>31</v>
      </c>
      <c r="F67" s="6"/>
      <c r="G67" s="123" t="str">
        <f>IF(G3&gt;"",G14,IF(G15&gt;"",G26,IF(G27&gt;"",G39,IF(G54&gt;"",G65,""))))</f>
        <v/>
      </c>
      <c r="H67" s="123" t="str">
        <f>IF(H3&gt;"",H14,IF(H15&gt;"",H26,IF(H27&gt;"",H39,IF(H54&gt;"",H65,""))))</f>
        <v/>
      </c>
      <c r="I67" s="123" t="str">
        <f t="shared" ref="I67:U67" si="16">IF(I3&gt;"",I14,IF(I15&gt;"",I26,IF(I27&gt;"",I39,IF(I54&gt;"",I65,""))))</f>
        <v/>
      </c>
      <c r="J67" s="123" t="str">
        <f t="shared" si="16"/>
        <v/>
      </c>
      <c r="K67" s="123" t="str">
        <f t="shared" si="16"/>
        <v/>
      </c>
      <c r="L67" s="123" t="str">
        <f t="shared" si="16"/>
        <v/>
      </c>
      <c r="M67" s="123" t="str">
        <f t="shared" si="16"/>
        <v/>
      </c>
      <c r="N67" s="123" t="str">
        <f t="shared" si="16"/>
        <v/>
      </c>
      <c r="O67" s="123" t="str">
        <f t="shared" si="16"/>
        <v/>
      </c>
      <c r="P67" s="123" t="str">
        <f t="shared" si="16"/>
        <v/>
      </c>
      <c r="Q67" s="123" t="str">
        <f t="shared" si="16"/>
        <v/>
      </c>
      <c r="R67" s="123" t="str">
        <f t="shared" si="16"/>
        <v/>
      </c>
      <c r="S67" s="123" t="str">
        <f t="shared" si="16"/>
        <v/>
      </c>
      <c r="T67" s="123" t="str">
        <f t="shared" si="16"/>
        <v/>
      </c>
      <c r="U67" s="123" t="str">
        <f t="shared" si="16"/>
        <v/>
      </c>
    </row>
    <row r="68" spans="1:21" ht="15.75" thickBot="1">
      <c r="G68" s="108"/>
      <c r="H68" s="108"/>
      <c r="I68" s="108"/>
      <c r="J68" s="108"/>
      <c r="K68" s="108"/>
      <c r="L68" s="108"/>
      <c r="M68" s="108"/>
      <c r="N68" s="108"/>
      <c r="O68" s="108"/>
      <c r="P68" s="108"/>
      <c r="Q68" s="108"/>
      <c r="R68" s="108"/>
      <c r="S68" s="108"/>
      <c r="T68" s="108"/>
      <c r="U68" s="108"/>
    </row>
    <row r="69" spans="1:21" ht="15.75" thickBot="1">
      <c r="A69" s="27" t="s">
        <v>405</v>
      </c>
      <c r="B69" s="27" t="s">
        <v>419</v>
      </c>
      <c r="C69" s="27" t="s">
        <v>148</v>
      </c>
      <c r="D69" s="27" t="s">
        <v>629</v>
      </c>
      <c r="E69" s="27"/>
      <c r="G69" s="5" t="str">
        <f>IF(OR(IN_rooms!R$56="Flachheizkoerper_glatt",IN_rooms!R$56="Flachheizkoerper_senkrecht_profiliert"),IN_rooms!R$56,"")</f>
        <v/>
      </c>
      <c r="H69" s="5" t="str">
        <f>IF(OR(IN_rooms!S$56="Flachheizkoerper_glatt",IN_rooms!S$56="Flachheizkoerper_senkrecht_profiliert"),IN_rooms!S$56,"")</f>
        <v/>
      </c>
      <c r="I69" s="5" t="str">
        <f>IF(OR(IN_rooms!T$56="Flachheizkoerper_glatt",IN_rooms!T$56="Flachheizkoerper_senkrecht_profiliert"),IN_rooms!T$56,"")</f>
        <v/>
      </c>
      <c r="J69" s="5" t="str">
        <f>IF(OR(IN_rooms!U$56="Flachheizkoerper_glatt",IN_rooms!U$56="Flachheizkoerper_senkrecht_profiliert"),IN_rooms!U$56,"")</f>
        <v/>
      </c>
      <c r="K69" s="5" t="str">
        <f>IF(OR(IN_rooms!V$56="Flachheizkoerper_glatt",IN_rooms!V$56="Flachheizkoerper_senkrecht_profiliert"),IN_rooms!V$56,"")</f>
        <v/>
      </c>
      <c r="L69" s="5" t="str">
        <f>IF(OR(IN_rooms!W$56="Flachheizkoerper_glatt",IN_rooms!W$56="Flachheizkoerper_senkrecht_profiliert"),IN_rooms!W$56,"")</f>
        <v/>
      </c>
      <c r="M69" s="5" t="str">
        <f>IF(OR(IN_rooms!X$56="Flachheizkoerper_glatt",IN_rooms!X$56="Flachheizkoerper_senkrecht_profiliert"),IN_rooms!X$56,"")</f>
        <v/>
      </c>
      <c r="N69" s="5" t="str">
        <f>IF(OR(IN_rooms!Y$56="Flachheizkoerper_glatt",IN_rooms!Y$56="Flachheizkoerper_senkrecht_profiliert"),IN_rooms!Y$56,"")</f>
        <v/>
      </c>
      <c r="O69" s="5" t="str">
        <f>IF(OR(IN_rooms!Z$56="Flachheizkoerper_glatt",IN_rooms!Z$56="Flachheizkoerper_senkrecht_profiliert"),IN_rooms!Z$56,"")</f>
        <v/>
      </c>
      <c r="P69" s="5" t="str">
        <f>IF(OR(IN_rooms!AA$56="Flachheizkoerper_glatt",IN_rooms!AA$56="Flachheizkoerper_senkrecht_profiliert"),IN_rooms!AA$56,"")</f>
        <v/>
      </c>
      <c r="Q69" s="5" t="str">
        <f>IF(OR(IN_rooms!AB$56="Flachheizkoerper_glatt",IN_rooms!AB$56="Flachheizkoerper_senkrecht_profiliert"),IN_rooms!AB$56,"")</f>
        <v/>
      </c>
      <c r="R69" s="5" t="str">
        <f>IF(OR(IN_rooms!AC$56="Flachheizkoerper_glatt",IN_rooms!AC$56="Flachheizkoerper_senkrecht_profiliert"),IN_rooms!AC$56,"")</f>
        <v/>
      </c>
      <c r="S69" s="5" t="str">
        <f>IF(OR(IN_rooms!AD$56="Flachheizkoerper_glatt",IN_rooms!AD$56="Flachheizkoerper_senkrecht_profiliert"),IN_rooms!AD$56,"")</f>
        <v/>
      </c>
      <c r="T69" s="5" t="str">
        <f>IF(OR(IN_rooms!AE$56="Flachheizkoerper_glatt",IN_rooms!AE$56="Flachheizkoerper_senkrecht_profiliert"),IN_rooms!AE$56,"")</f>
        <v/>
      </c>
      <c r="U69" s="5" t="str">
        <f>IF(OR(IN_rooms!AF$56="Flachheizkoerper_glatt",IN_rooms!AF$56="Flachheizkoerper_senkrecht_profiliert"),IN_rooms!AF$56,"")</f>
        <v/>
      </c>
    </row>
    <row r="70" spans="1:21" ht="15.75" thickBot="1">
      <c r="A70" s="27" t="s">
        <v>559</v>
      </c>
      <c r="B70" s="27" t="s">
        <v>419</v>
      </c>
      <c r="C70" s="27" t="s">
        <v>148</v>
      </c>
      <c r="D70" s="27" t="s">
        <v>630</v>
      </c>
      <c r="E70" s="27"/>
      <c r="G70" s="5">
        <f>IN_rooms!R$57</f>
        <v>0</v>
      </c>
      <c r="H70" s="5">
        <f>IN_rooms!S$57</f>
        <v>0</v>
      </c>
      <c r="I70" s="5">
        <f>IN_rooms!T$57</f>
        <v>0</v>
      </c>
      <c r="J70" s="5">
        <f>IN_rooms!U$57</f>
        <v>0</v>
      </c>
      <c r="K70" s="5">
        <f>IN_rooms!V$57</f>
        <v>0</v>
      </c>
      <c r="L70" s="5">
        <f>IN_rooms!W$57</f>
        <v>0</v>
      </c>
      <c r="M70" s="5">
        <f>IN_rooms!X$57</f>
        <v>0</v>
      </c>
      <c r="N70" s="5">
        <f>IN_rooms!Y$57</f>
        <v>0</v>
      </c>
      <c r="O70" s="5">
        <f>IN_rooms!Z$57</f>
        <v>0</v>
      </c>
      <c r="P70" s="5">
        <f>IN_rooms!AA$57</f>
        <v>0</v>
      </c>
      <c r="Q70" s="5">
        <f>IN_rooms!AB$57</f>
        <v>0</v>
      </c>
      <c r="R70" s="5">
        <f>IN_rooms!AC$57</f>
        <v>0</v>
      </c>
      <c r="S70" s="5">
        <f>IN_rooms!AD$57</f>
        <v>0</v>
      </c>
      <c r="T70" s="5">
        <f>IN_rooms!AE$57</f>
        <v>0</v>
      </c>
      <c r="U70" s="5">
        <f>IN_rooms!AF$57</f>
        <v>0</v>
      </c>
    </row>
    <row r="71" spans="1:21" ht="15.75" thickBot="1">
      <c r="A71" s="27" t="s">
        <v>561</v>
      </c>
      <c r="B71" s="27" t="s">
        <v>419</v>
      </c>
      <c r="C71" s="27" t="s">
        <v>148</v>
      </c>
      <c r="D71" s="27" t="s">
        <v>631</v>
      </c>
      <c r="E71" s="27" t="s">
        <v>409</v>
      </c>
      <c r="G71" s="5">
        <f>IN_rooms!R$58</f>
        <v>0</v>
      </c>
      <c r="H71" s="5">
        <f>IN_rooms!S$58</f>
        <v>0</v>
      </c>
      <c r="I71" s="5">
        <f>IN_rooms!T$58</f>
        <v>0</v>
      </c>
      <c r="J71" s="5">
        <f>IN_rooms!U$58</f>
        <v>0</v>
      </c>
      <c r="K71" s="5">
        <f>IN_rooms!V$58</f>
        <v>0</v>
      </c>
      <c r="L71" s="5">
        <f>IN_rooms!W$58</f>
        <v>0</v>
      </c>
      <c r="M71" s="5">
        <f>IN_rooms!X$58</f>
        <v>0</v>
      </c>
      <c r="N71" s="5">
        <f>IN_rooms!Y$58</f>
        <v>0</v>
      </c>
      <c r="O71" s="5">
        <f>IN_rooms!Z$58</f>
        <v>0</v>
      </c>
      <c r="P71" s="5">
        <f>IN_rooms!AA$58</f>
        <v>0</v>
      </c>
      <c r="Q71" s="5">
        <f>IN_rooms!AB$58</f>
        <v>0</v>
      </c>
      <c r="R71" s="5">
        <f>IN_rooms!AC$58</f>
        <v>0</v>
      </c>
      <c r="S71" s="5">
        <f>IN_rooms!AD$58</f>
        <v>0</v>
      </c>
      <c r="T71" s="5">
        <f>IN_rooms!AE$58</f>
        <v>0</v>
      </c>
      <c r="U71" s="5">
        <f>IN_rooms!AF$58</f>
        <v>0</v>
      </c>
    </row>
    <row r="72" spans="1:21" ht="15.75" thickBot="1">
      <c r="A72" s="27" t="s">
        <v>175</v>
      </c>
      <c r="B72" s="27" t="s">
        <v>419</v>
      </c>
      <c r="C72" s="27" t="s">
        <v>148</v>
      </c>
      <c r="D72" s="27" t="s">
        <v>632</v>
      </c>
      <c r="E72" s="27" t="s">
        <v>409</v>
      </c>
      <c r="G72" s="5">
        <f>IN_rooms!R$59</f>
        <v>0</v>
      </c>
      <c r="H72" s="5">
        <f>IN_rooms!S$59</f>
        <v>0</v>
      </c>
      <c r="I72" s="5">
        <f>IN_rooms!T$59</f>
        <v>0</v>
      </c>
      <c r="J72" s="5">
        <f>IN_rooms!U$59</f>
        <v>0</v>
      </c>
      <c r="K72" s="5">
        <f>IN_rooms!V$59</f>
        <v>0</v>
      </c>
      <c r="L72" s="5">
        <f>IN_rooms!W$59</f>
        <v>0</v>
      </c>
      <c r="M72" s="5">
        <f>IN_rooms!X$59</f>
        <v>0</v>
      </c>
      <c r="N72" s="5">
        <f>IN_rooms!Y$59</f>
        <v>0</v>
      </c>
      <c r="O72" s="5">
        <f>IN_rooms!Z$59</f>
        <v>0</v>
      </c>
      <c r="P72" s="5">
        <f>IN_rooms!AA$59</f>
        <v>0</v>
      </c>
      <c r="Q72" s="5">
        <f>IN_rooms!AB$59</f>
        <v>0</v>
      </c>
      <c r="R72" s="5">
        <f>IN_rooms!AC$59</f>
        <v>0</v>
      </c>
      <c r="S72" s="5">
        <f>IN_rooms!AD$59</f>
        <v>0</v>
      </c>
      <c r="T72" s="5">
        <f>IN_rooms!AE$59</f>
        <v>0</v>
      </c>
      <c r="U72" s="5">
        <f>IN_rooms!AF$59</f>
        <v>0</v>
      </c>
    </row>
    <row r="73" spans="1:21" ht="15.75" thickBot="1">
      <c r="A73" s="27" t="s">
        <v>412</v>
      </c>
      <c r="B73" s="27" t="s">
        <v>419</v>
      </c>
      <c r="C73" s="27" t="s">
        <v>148</v>
      </c>
      <c r="D73" s="27" t="s">
        <v>633</v>
      </c>
      <c r="E73" s="27" t="s">
        <v>409</v>
      </c>
      <c r="G73" s="5">
        <f>IF(G70=0,0,_xlfn.XLOOKUP(G70&amp;"_Tiefe",Daten!$K$14:$Q$14,Daten!$K$15:$Q$15))</f>
        <v>0</v>
      </c>
      <c r="H73" s="5">
        <f>IF(H70=0,0,_xlfn.XLOOKUP(H70&amp;"_Tiefe",Daten!$K$14:$Q$14,Daten!$K$15:$Q$15))</f>
        <v>0</v>
      </c>
      <c r="I73" s="5">
        <f>IF(I70=0,0,_xlfn.XLOOKUP(I70&amp;"_Tiefe",Daten!$K$14:$Q$14,Daten!$K$15:$Q$15))</f>
        <v>0</v>
      </c>
      <c r="J73" s="5">
        <f>IF(J70=0,0,_xlfn.XLOOKUP(J70&amp;"_Tiefe",Daten!$K$14:$Q$14,Daten!$K$15:$Q$15))</f>
        <v>0</v>
      </c>
      <c r="K73" s="5">
        <f>IF(K70=0,0,_xlfn.XLOOKUP(K70&amp;"_Tiefe",Daten!$K$14:$Q$14,Daten!$K$15:$Q$15))</f>
        <v>0</v>
      </c>
      <c r="L73" s="5">
        <f>IF(L70=0,0,_xlfn.XLOOKUP(L70&amp;"_Tiefe",Daten!$K$14:$Q$14,Daten!$K$15:$Q$15))</f>
        <v>0</v>
      </c>
      <c r="M73" s="5">
        <f>IF(M70=0,0,_xlfn.XLOOKUP(M70&amp;"_Tiefe",Daten!$K$14:$Q$14,Daten!$K$15:$Q$15))</f>
        <v>0</v>
      </c>
      <c r="N73" s="5">
        <f>IF(N70=0,0,_xlfn.XLOOKUP(N70&amp;"_Tiefe",Daten!$K$14:$Q$14,Daten!$K$15:$Q$15))</f>
        <v>0</v>
      </c>
      <c r="O73" s="5">
        <f>IF(O70=0,0,_xlfn.XLOOKUP(O70&amp;"_Tiefe",Daten!$K$14:$Q$14,Daten!$K$15:$Q$15))</f>
        <v>0</v>
      </c>
      <c r="P73" s="5">
        <f>IF(P70=0,0,_xlfn.XLOOKUP(P70&amp;"_Tiefe",Daten!$K$14:$Q$14,Daten!$K$15:$Q$15))</f>
        <v>0</v>
      </c>
      <c r="Q73" s="5">
        <f>IF(Q70=0,0,_xlfn.XLOOKUP(Q70&amp;"_Tiefe",Daten!$K$14:$Q$14,Daten!$K$15:$Q$15))</f>
        <v>0</v>
      </c>
      <c r="R73" s="5">
        <f>IF(R70=0,0,_xlfn.XLOOKUP(R70&amp;"_Tiefe",Daten!$K$14:$Q$14,Daten!$K$15:$Q$15))</f>
        <v>0</v>
      </c>
      <c r="S73" s="5">
        <f>IF(S70=0,0,_xlfn.XLOOKUP(S70&amp;"_Tiefe",Daten!$K$14:$Q$14,Daten!$K$15:$Q$15))</f>
        <v>0</v>
      </c>
      <c r="T73" s="5">
        <f>IF(T70=0,0,_xlfn.XLOOKUP(T70&amp;"_Tiefe",Daten!$K$14:$Q$14,Daten!$K$15:$Q$15))</f>
        <v>0</v>
      </c>
      <c r="U73" s="5">
        <f>IF(U70=0,0,_xlfn.XLOOKUP(U70&amp;"_Tiefe",Daten!$K$14:$Q$14,Daten!$K$15:$Q$15))</f>
        <v>0</v>
      </c>
    </row>
    <row r="74" spans="1:21" ht="15.75" thickBot="1">
      <c r="A74" s="27" t="s">
        <v>565</v>
      </c>
      <c r="B74" s="27" t="s">
        <v>419</v>
      </c>
      <c r="C74" s="27" t="s">
        <v>148</v>
      </c>
      <c r="D74" s="27" t="s">
        <v>634</v>
      </c>
      <c r="E74" s="27"/>
      <c r="G74" s="5">
        <f ca="1">SUMIFS(
  INDIRECT("tabelle1[Heizkörperexponent n ]"),
  INDIRECT("tabelle1[Heizkörper_Typ]"), clc_power!G$69,
  INDIRECT("tabelle1[Heizkörper_Subtyp]"), clc_power!G$70,
  INDIRECT("tabelle1[Höhe H in mm]"), clc_power!G$71,
  INDIRECT("tabelle1[Bautiefe T in mm]"), clc_power!G$73
)</f>
        <v>0</v>
      </c>
      <c r="H74" s="5">
        <f ca="1">SUMIFS(
  INDIRECT("tabelle1[Heizkörperexponent n ]"),
  INDIRECT("tabelle1[Heizkörper_Typ]"), clc_power!H$69,
  INDIRECT("tabelle1[Heizkörper_Subtyp]"), clc_power!H$70,
  INDIRECT("tabelle1[Höhe H in mm]"), clc_power!H$71,
  INDIRECT("tabelle1[Bautiefe T in mm]"), clc_power!H$73
)</f>
        <v>0</v>
      </c>
      <c r="I74" s="5">
        <f ca="1">SUMIFS(
  INDIRECT("tabelle1[Heizkörperexponent n ]"),
  INDIRECT("tabelle1[Heizkörper_Typ]"), clc_power!I$69,
  INDIRECT("tabelle1[Heizkörper_Subtyp]"), clc_power!I$70,
  INDIRECT("tabelle1[Höhe H in mm]"), clc_power!I$71,
  INDIRECT("tabelle1[Bautiefe T in mm]"), clc_power!I$73
)</f>
        <v>0</v>
      </c>
      <c r="J74" s="5">
        <f ca="1">SUMIFS(
  INDIRECT("tabelle1[Heizkörperexponent n ]"),
  INDIRECT("tabelle1[Heizkörper_Typ]"), clc_power!J$69,
  INDIRECT("tabelle1[Heizkörper_Subtyp]"), clc_power!J$70,
  INDIRECT("tabelle1[Höhe H in mm]"), clc_power!J$71,
  INDIRECT("tabelle1[Bautiefe T in mm]"), clc_power!J$73
)</f>
        <v>0</v>
      </c>
      <c r="K74" s="5">
        <f ca="1">SUMIFS(
  INDIRECT("tabelle1[Heizkörperexponent n ]"),
  INDIRECT("tabelle1[Heizkörper_Typ]"), clc_power!K$69,
  INDIRECT("tabelle1[Heizkörper_Subtyp]"), clc_power!K$70,
  INDIRECT("tabelle1[Höhe H in mm]"), clc_power!K$71,
  INDIRECT("tabelle1[Bautiefe T in mm]"), clc_power!K$73
)</f>
        <v>0</v>
      </c>
      <c r="L74" s="5">
        <f ca="1">SUMIFS(
  INDIRECT("tabelle1[Heizkörperexponent n ]"),
  INDIRECT("tabelle1[Heizkörper_Typ]"), clc_power!L$69,
  INDIRECT("tabelle1[Heizkörper_Subtyp]"), clc_power!L$70,
  INDIRECT("tabelle1[Höhe H in mm]"), clc_power!L$71,
  INDIRECT("tabelle1[Bautiefe T in mm]"), clc_power!L$73
)</f>
        <v>0</v>
      </c>
      <c r="M74" s="5">
        <f ca="1">SUMIFS(
  INDIRECT("tabelle1[Heizkörperexponent n ]"),
  INDIRECT("tabelle1[Heizkörper_Typ]"), clc_power!M$69,
  INDIRECT("tabelle1[Heizkörper_Subtyp]"), clc_power!M$70,
  INDIRECT("tabelle1[Höhe H in mm]"), clc_power!M$71,
  INDIRECT("tabelle1[Bautiefe T in mm]"), clc_power!M$73
)</f>
        <v>0</v>
      </c>
      <c r="N74" s="5">
        <f ca="1">SUMIFS(
  INDIRECT("tabelle1[Heizkörperexponent n ]"),
  INDIRECT("tabelle1[Heizkörper_Typ]"), clc_power!N$69,
  INDIRECT("tabelle1[Heizkörper_Subtyp]"), clc_power!N$70,
  INDIRECT("tabelle1[Höhe H in mm]"), clc_power!N$71,
  INDIRECT("tabelle1[Bautiefe T in mm]"), clc_power!N$73
)</f>
        <v>0</v>
      </c>
      <c r="O74" s="5">
        <f ca="1">SUMIFS(
  INDIRECT("tabelle1[Heizkörperexponent n ]"),
  INDIRECT("tabelle1[Heizkörper_Typ]"), clc_power!O$69,
  INDIRECT("tabelle1[Heizkörper_Subtyp]"), clc_power!O$70,
  INDIRECT("tabelle1[Höhe H in mm]"), clc_power!O$71,
  INDIRECT("tabelle1[Bautiefe T in mm]"), clc_power!O$73
)</f>
        <v>0</v>
      </c>
      <c r="P74" s="5">
        <f ca="1">SUMIFS(
  INDIRECT("tabelle1[Heizkörperexponent n ]"),
  INDIRECT("tabelle1[Heizkörper_Typ]"), clc_power!P$69,
  INDIRECT("tabelle1[Heizkörper_Subtyp]"), clc_power!P$70,
  INDIRECT("tabelle1[Höhe H in mm]"), clc_power!P$71,
  INDIRECT("tabelle1[Bautiefe T in mm]"), clc_power!P$73
)</f>
        <v>0</v>
      </c>
      <c r="Q74" s="5">
        <f ca="1">SUMIFS(
  INDIRECT("tabelle1[Heizkörperexponent n ]"),
  INDIRECT("tabelle1[Heizkörper_Typ]"), clc_power!Q$69,
  INDIRECT("tabelle1[Heizkörper_Subtyp]"), clc_power!Q$70,
  INDIRECT("tabelle1[Höhe H in mm]"), clc_power!Q$71,
  INDIRECT("tabelle1[Bautiefe T in mm]"), clc_power!Q$73
)</f>
        <v>0</v>
      </c>
      <c r="R74" s="5">
        <f ca="1">SUMIFS(
  INDIRECT("tabelle1[Heizkörperexponent n ]"),
  INDIRECT("tabelle1[Heizkörper_Typ]"), clc_power!R$69,
  INDIRECT("tabelle1[Heizkörper_Subtyp]"), clc_power!R$70,
  INDIRECT("tabelle1[Höhe H in mm]"), clc_power!R$71,
  INDIRECT("tabelle1[Bautiefe T in mm]"), clc_power!R$73
)</f>
        <v>0</v>
      </c>
      <c r="S74" s="5">
        <f ca="1">SUMIFS(
  INDIRECT("tabelle1[Heizkörperexponent n ]"),
  INDIRECT("tabelle1[Heizkörper_Typ]"), clc_power!S$69,
  INDIRECT("tabelle1[Heizkörper_Subtyp]"), clc_power!S$70,
  INDIRECT("tabelle1[Höhe H in mm]"), clc_power!S$71,
  INDIRECT("tabelle1[Bautiefe T in mm]"), clc_power!S$73
)</f>
        <v>0</v>
      </c>
      <c r="T74" s="5">
        <f ca="1">SUMIFS(
  INDIRECT("tabelle1[Heizkörperexponent n ]"),
  INDIRECT("tabelle1[Heizkörper_Typ]"), clc_power!T$69,
  INDIRECT("tabelle1[Heizkörper_Subtyp]"), clc_power!T$70,
  INDIRECT("tabelle1[Höhe H in mm]"), clc_power!T$71,
  INDIRECT("tabelle1[Bautiefe T in mm]"), clc_power!T$73
)</f>
        <v>0</v>
      </c>
      <c r="U74" s="5">
        <f ca="1">SUMIFS(
  INDIRECT("tabelle1[Heizkörperexponent n ]"),
  INDIRECT("tabelle1[Heizkörper_Typ]"), clc_power!U$69,
  INDIRECT("tabelle1[Heizkörper_Subtyp]"), clc_power!U$70,
  INDIRECT("tabelle1[Höhe H in mm]"), clc_power!U$71,
  INDIRECT("tabelle1[Bautiefe T in mm]"), clc_power!U$73
)</f>
        <v>0</v>
      </c>
    </row>
    <row r="75" spans="1:21" ht="15.75" thickBot="1">
      <c r="A75" s="27" t="s">
        <v>567</v>
      </c>
      <c r="B75" s="27" t="s">
        <v>419</v>
      </c>
      <c r="C75" s="27" t="s">
        <v>148</v>
      </c>
      <c r="D75" s="27" t="s">
        <v>635</v>
      </c>
      <c r="E75" s="27" t="s">
        <v>31</v>
      </c>
      <c r="G75" s="5">
        <f ca="1">_xlfn.LET(
  _xlpm.leistung, IN_rooms!R$62 * SUMIFS(
    INDIRECT("tabelle1[Wärmeleistung (75/65/20)  in W/m]"),
    INDIRECT("tabelle1[Heizkörper_Typ]"), clc_power!G$69,
    INDIRECT("tabelle1[Heizkörper_Subtyp]"), clc_power!G$70,
    INDIRECT("tabelle1[Höhe H in mm]"), clc_power!G$71,
    INDIRECT("tabelle1[Bautiefe T in mm]"), clc_power!G$73  ) * G$72 / 1000,
  IF(_xlpm.leistung &gt; 0, _xlpm.leistung, 0)
)</f>
        <v>0</v>
      </c>
      <c r="H75" s="5">
        <f ca="1">_xlfn.LET(
  _xlpm.leistung, IN_rooms!S$62 * SUMIFS(
    INDIRECT("tabelle1[Wärmeleistung (75/65/20)  in W/m]"),
    INDIRECT("tabelle1[Heizkörper_Typ]"), clc_power!H$69,
    INDIRECT("tabelle1[Heizkörper_Subtyp]"), clc_power!H$70,
    INDIRECT("tabelle1[Höhe H in mm]"), clc_power!H$71,
    INDIRECT("tabelle1[Bautiefe T in mm]"), clc_power!H$73  ) * H$72 / 1000,
  IF(_xlpm.leistung &gt; 0, _xlpm.leistung, 0)
)</f>
        <v>0</v>
      </c>
      <c r="I75" s="5">
        <f ca="1">_xlfn.LET(
  _xlpm.leistung, IN_rooms!T$62 * SUMIFS(
    INDIRECT("tabelle1[Wärmeleistung (75/65/20)  in W/m]"),
    INDIRECT("tabelle1[Heizkörper_Typ]"), clc_power!I$69,
    INDIRECT("tabelle1[Heizkörper_Subtyp]"), clc_power!I$70,
    INDIRECT("tabelle1[Höhe H in mm]"), clc_power!I$71,
    INDIRECT("tabelle1[Bautiefe T in mm]"), clc_power!I$73  ) * I$72 / 1000,
  IF(_xlpm.leistung &gt; 0, _xlpm.leistung, 0)
)</f>
        <v>0</v>
      </c>
      <c r="J75" s="5">
        <f ca="1">_xlfn.LET(
  _xlpm.leistung, IN_rooms!U$62 * SUMIFS(
    INDIRECT("tabelle1[Wärmeleistung (75/65/20)  in W/m]"),
    INDIRECT("tabelle1[Heizkörper_Typ]"), clc_power!J$69,
    INDIRECT("tabelle1[Heizkörper_Subtyp]"), clc_power!J$70,
    INDIRECT("tabelle1[Höhe H in mm]"), clc_power!J$71,
    INDIRECT("tabelle1[Bautiefe T in mm]"), clc_power!J$73  ) * J$72 / 1000,
  IF(_xlpm.leistung &gt; 0, _xlpm.leistung, 0)
)</f>
        <v>0</v>
      </c>
      <c r="K75" s="5">
        <f ca="1">_xlfn.LET(
  _xlpm.leistung, IN_rooms!V$62 * SUMIFS(
    INDIRECT("tabelle1[Wärmeleistung (75/65/20)  in W/m]"),
    INDIRECT("tabelle1[Heizkörper_Typ]"), clc_power!K$69,
    INDIRECT("tabelle1[Heizkörper_Subtyp]"), clc_power!K$70,
    INDIRECT("tabelle1[Höhe H in mm]"), clc_power!K$71,
    INDIRECT("tabelle1[Bautiefe T in mm]"), clc_power!K$73  ) * K$72 / 1000,
  IF(_xlpm.leistung &gt; 0, _xlpm.leistung, 0)
)</f>
        <v>0</v>
      </c>
      <c r="L75" s="5">
        <f ca="1">_xlfn.LET(
  _xlpm.leistung, IN_rooms!W$62 * SUMIFS(
    INDIRECT("tabelle1[Wärmeleistung (75/65/20)  in W/m]"),
    INDIRECT("tabelle1[Heizkörper_Typ]"), clc_power!L$69,
    INDIRECT("tabelle1[Heizkörper_Subtyp]"), clc_power!L$70,
    INDIRECT("tabelle1[Höhe H in mm]"), clc_power!L$71,
    INDIRECT("tabelle1[Bautiefe T in mm]"), clc_power!L$73  ) * L$72 / 1000,
  IF(_xlpm.leistung &gt; 0, _xlpm.leistung, 0)
)</f>
        <v>0</v>
      </c>
      <c r="M75" s="5">
        <f ca="1">_xlfn.LET(
  _xlpm.leistung, IN_rooms!X$62 * SUMIFS(
    INDIRECT("tabelle1[Wärmeleistung (75/65/20)  in W/m]"),
    INDIRECT("tabelle1[Heizkörper_Typ]"), clc_power!M$69,
    INDIRECT("tabelle1[Heizkörper_Subtyp]"), clc_power!M$70,
    INDIRECT("tabelle1[Höhe H in mm]"), clc_power!M$71,
    INDIRECT("tabelle1[Bautiefe T in mm]"), clc_power!M$73  ) * M$72 / 1000,
  IF(_xlpm.leistung &gt; 0, _xlpm.leistung, 0)
)</f>
        <v>0</v>
      </c>
      <c r="N75" s="5">
        <f ca="1">_xlfn.LET(
  _xlpm.leistung, IN_rooms!Y$62 * SUMIFS(
    INDIRECT("tabelle1[Wärmeleistung (75/65/20)  in W/m]"),
    INDIRECT("tabelle1[Heizkörper_Typ]"), clc_power!N$69,
    INDIRECT("tabelle1[Heizkörper_Subtyp]"), clc_power!N$70,
    INDIRECT("tabelle1[Höhe H in mm]"), clc_power!N$71,
    INDIRECT("tabelle1[Bautiefe T in mm]"), clc_power!N$73  ) * N$72 / 1000,
  IF(_xlpm.leistung &gt; 0, _xlpm.leistung, 0)
)</f>
        <v>0</v>
      </c>
      <c r="O75" s="5">
        <f ca="1">_xlfn.LET(
  _xlpm.leistung, IN_rooms!Z$62 * SUMIFS(
    INDIRECT("tabelle1[Wärmeleistung (75/65/20)  in W/m]"),
    INDIRECT("tabelle1[Heizkörper_Typ]"), clc_power!O$69,
    INDIRECT("tabelle1[Heizkörper_Subtyp]"), clc_power!O$70,
    INDIRECT("tabelle1[Höhe H in mm]"), clc_power!O$71,
    INDIRECT("tabelle1[Bautiefe T in mm]"), clc_power!O$73  ) * O$72 / 1000,
  IF(_xlpm.leistung &gt; 0, _xlpm.leistung, 0)
)</f>
        <v>0</v>
      </c>
      <c r="P75" s="5">
        <f ca="1">_xlfn.LET(
  _xlpm.leistung, IN_rooms!AA$62 * SUMIFS(
    INDIRECT("tabelle1[Wärmeleistung (75/65/20)  in W/m]"),
    INDIRECT("tabelle1[Heizkörper_Typ]"), clc_power!P$69,
    INDIRECT("tabelle1[Heizkörper_Subtyp]"), clc_power!P$70,
    INDIRECT("tabelle1[Höhe H in mm]"), clc_power!P$71,
    INDIRECT("tabelle1[Bautiefe T in mm]"), clc_power!P$73  ) * P$72 / 1000,
  IF(_xlpm.leistung &gt; 0, _xlpm.leistung, 0)
)</f>
        <v>0</v>
      </c>
      <c r="Q75" s="5">
        <f ca="1">_xlfn.LET(
  _xlpm.leistung, IN_rooms!AB$62 * SUMIFS(
    INDIRECT("tabelle1[Wärmeleistung (75/65/20)  in W/m]"),
    INDIRECT("tabelle1[Heizkörper_Typ]"), clc_power!Q$69,
    INDIRECT("tabelle1[Heizkörper_Subtyp]"), clc_power!Q$70,
    INDIRECT("tabelle1[Höhe H in mm]"), clc_power!Q$71,
    INDIRECT("tabelle1[Bautiefe T in mm]"), clc_power!Q$73  ) * Q$72 / 1000,
  IF(_xlpm.leistung &gt; 0, _xlpm.leistung, 0)
)</f>
        <v>0</v>
      </c>
      <c r="R75" s="5">
        <f ca="1">_xlfn.LET(
  _xlpm.leistung, IN_rooms!AC$62 * SUMIFS(
    INDIRECT("tabelle1[Wärmeleistung (75/65/20)  in W/m]"),
    INDIRECT("tabelle1[Heizkörper_Typ]"), clc_power!R$69,
    INDIRECT("tabelle1[Heizkörper_Subtyp]"), clc_power!R$70,
    INDIRECT("tabelle1[Höhe H in mm]"), clc_power!R$71,
    INDIRECT("tabelle1[Bautiefe T in mm]"), clc_power!R$73  ) * R$72 / 1000,
  IF(_xlpm.leistung &gt; 0, _xlpm.leistung, 0)
)</f>
        <v>0</v>
      </c>
      <c r="S75" s="5">
        <f ca="1">_xlfn.LET(
  _xlpm.leistung, IN_rooms!AD$62 * SUMIFS(
    INDIRECT("tabelle1[Wärmeleistung (75/65/20)  in W/m]"),
    INDIRECT("tabelle1[Heizkörper_Typ]"), clc_power!S$69,
    INDIRECT("tabelle1[Heizkörper_Subtyp]"), clc_power!S$70,
    INDIRECT("tabelle1[Höhe H in mm]"), clc_power!S$71,
    INDIRECT("tabelle1[Bautiefe T in mm]"), clc_power!S$73  ) * S$72 / 1000,
  IF(_xlpm.leistung &gt; 0, _xlpm.leistung, 0)
)</f>
        <v>0</v>
      </c>
      <c r="T75" s="5">
        <f ca="1">_xlfn.LET(
  _xlpm.leistung, IN_rooms!AE$62 * SUMIFS(
    INDIRECT("tabelle1[Wärmeleistung (75/65/20)  in W/m]"),
    INDIRECT("tabelle1[Heizkörper_Typ]"), clc_power!T$69,
    INDIRECT("tabelle1[Heizkörper_Subtyp]"), clc_power!T$70,
    INDIRECT("tabelle1[Höhe H in mm]"), clc_power!T$71,
    INDIRECT("tabelle1[Bautiefe T in mm]"), clc_power!T$73  ) * T$72 / 1000,
  IF(_xlpm.leistung &gt; 0, _xlpm.leistung, 0)
)</f>
        <v>0</v>
      </c>
      <c r="U75" s="5">
        <f ca="1">_xlfn.LET(
  _xlpm.leistung, IN_rooms!AF$62 * SUMIFS(
    INDIRECT("tabelle1[Wärmeleistung (75/65/20)  in W/m]"),
    INDIRECT("tabelle1[Heizkörper_Typ]"), clc_power!U$69,
    INDIRECT("tabelle1[Heizkörper_Subtyp]"), clc_power!U$70,
    INDIRECT("tabelle1[Höhe H in mm]"), clc_power!U$71,
    INDIRECT("tabelle1[Bautiefe T in mm]"), clc_power!U$73  ) * U$72 / 1000,
  IF(_xlpm.leistung &gt; 0, _xlpm.leistung, 0)
)</f>
        <v>0</v>
      </c>
    </row>
    <row r="76" spans="1:21" ht="15.75" thickBot="1">
      <c r="A76" s="27" t="s">
        <v>569</v>
      </c>
      <c r="B76" s="27" t="s">
        <v>419</v>
      </c>
      <c r="C76" s="27" t="s">
        <v>148</v>
      </c>
      <c r="D76" s="27" t="s">
        <v>636</v>
      </c>
      <c r="E76" s="27" t="s">
        <v>26</v>
      </c>
      <c r="G76" s="5">
        <f>TVL_Ziel</f>
        <v>55</v>
      </c>
      <c r="H76" s="5">
        <f t="shared" ref="H76:U76" si="17">TVL_Ziel</f>
        <v>55</v>
      </c>
      <c r="I76" s="5">
        <f t="shared" si="17"/>
        <v>55</v>
      </c>
      <c r="J76" s="5">
        <f t="shared" si="17"/>
        <v>55</v>
      </c>
      <c r="K76" s="5">
        <f t="shared" si="17"/>
        <v>55</v>
      </c>
      <c r="L76" s="5">
        <f t="shared" si="17"/>
        <v>55</v>
      </c>
      <c r="M76" s="5">
        <f t="shared" si="17"/>
        <v>55</v>
      </c>
      <c r="N76" s="5">
        <f t="shared" si="17"/>
        <v>55</v>
      </c>
      <c r="O76" s="5">
        <f t="shared" si="17"/>
        <v>55</v>
      </c>
      <c r="P76" s="5">
        <f t="shared" si="17"/>
        <v>55</v>
      </c>
      <c r="Q76" s="5">
        <f t="shared" si="17"/>
        <v>55</v>
      </c>
      <c r="R76" s="5">
        <f t="shared" si="17"/>
        <v>55</v>
      </c>
      <c r="S76" s="5">
        <f t="shared" si="17"/>
        <v>55</v>
      </c>
      <c r="T76" s="5">
        <f t="shared" si="17"/>
        <v>55</v>
      </c>
      <c r="U76" s="5">
        <f t="shared" si="17"/>
        <v>55</v>
      </c>
    </row>
    <row r="77" spans="1:21" ht="15.75" thickBot="1">
      <c r="A77" s="27" t="s">
        <v>571</v>
      </c>
      <c r="B77" s="27" t="s">
        <v>419</v>
      </c>
      <c r="C77" s="27" t="s">
        <v>148</v>
      </c>
      <c r="D77" s="27" t="s">
        <v>637</v>
      </c>
      <c r="E77" s="27" t="s">
        <v>26</v>
      </c>
      <c r="G77" s="5">
        <f>TRL_Ziel</f>
        <v>45</v>
      </c>
      <c r="H77" s="5">
        <f t="shared" ref="H77:U77" si="18">TRL_Ziel</f>
        <v>45</v>
      </c>
      <c r="I77" s="5">
        <f t="shared" si="18"/>
        <v>45</v>
      </c>
      <c r="J77" s="5">
        <f t="shared" si="18"/>
        <v>45</v>
      </c>
      <c r="K77" s="5">
        <f t="shared" si="18"/>
        <v>45</v>
      </c>
      <c r="L77" s="5">
        <f t="shared" si="18"/>
        <v>45</v>
      </c>
      <c r="M77" s="5">
        <f t="shared" si="18"/>
        <v>45</v>
      </c>
      <c r="N77" s="5">
        <f t="shared" si="18"/>
        <v>45</v>
      </c>
      <c r="O77" s="5">
        <f t="shared" si="18"/>
        <v>45</v>
      </c>
      <c r="P77" s="5">
        <f t="shared" si="18"/>
        <v>45</v>
      </c>
      <c r="Q77" s="5">
        <f t="shared" si="18"/>
        <v>45</v>
      </c>
      <c r="R77" s="5">
        <f t="shared" si="18"/>
        <v>45</v>
      </c>
      <c r="S77" s="5">
        <f t="shared" si="18"/>
        <v>45</v>
      </c>
      <c r="T77" s="5">
        <f t="shared" si="18"/>
        <v>45</v>
      </c>
      <c r="U77" s="5">
        <f t="shared" si="18"/>
        <v>45</v>
      </c>
    </row>
    <row r="78" spans="1:21" ht="15.75" thickBot="1">
      <c r="A78" s="27" t="s">
        <v>573</v>
      </c>
      <c r="B78" s="27" t="s">
        <v>419</v>
      </c>
      <c r="C78" s="27" t="s">
        <v>148</v>
      </c>
      <c r="D78" s="27" t="s">
        <v>638</v>
      </c>
      <c r="E78" s="27" t="s">
        <v>575</v>
      </c>
      <c r="G78" s="34">
        <f>(G76-G77)/(LN((G76-clc_load!I$10)/(G77-clc_load!I$10)))</f>
        <v>49.83288654563971</v>
      </c>
      <c r="H78" s="34">
        <f>(H76-H77)/(LN((H76-clc_load!J$10)/(H77-clc_load!J$10)))</f>
        <v>49.83288654563971</v>
      </c>
      <c r="I78" s="34">
        <f>(I76-I77)/(LN((I76-clc_load!K$10)/(I77-clc_load!K$10)))</f>
        <v>49.83288654563971</v>
      </c>
      <c r="J78" s="34">
        <f>(J76-J77)/(LN((J76-clc_load!L$10)/(J77-clc_load!L$10)))</f>
        <v>49.83288654563971</v>
      </c>
      <c r="K78" s="34">
        <f>(K76-K77)/(LN((K76-clc_load!M$10)/(K77-clc_load!M$10)))</f>
        <v>49.83288654563971</v>
      </c>
      <c r="L78" s="34">
        <f>(L76-L77)/(LN((L76-clc_load!N$10)/(L77-clc_load!N$10)))</f>
        <v>49.83288654563971</v>
      </c>
      <c r="M78" s="34">
        <f>(M76-M77)/(LN((M76-clc_load!O$10)/(M77-clc_load!O$10)))</f>
        <v>49.83288654563971</v>
      </c>
      <c r="N78" s="34">
        <f>(N76-N77)/(LN((N76-clc_load!P$10)/(N77-clc_load!P$10)))</f>
        <v>49.83288654563971</v>
      </c>
      <c r="O78" s="34">
        <f>(O76-O77)/(LN((O76-clc_load!Q$10)/(O77-clc_load!Q$10)))</f>
        <v>49.83288654563971</v>
      </c>
      <c r="P78" s="34">
        <f>(P76-P77)/(LN((P76-clc_load!R$10)/(P77-clc_load!R$10)))</f>
        <v>49.83288654563971</v>
      </c>
      <c r="Q78" s="34">
        <f>(Q76-Q77)/(LN((Q76-clc_load!S$10)/(Q77-clc_load!S$10)))</f>
        <v>49.83288654563971</v>
      </c>
      <c r="R78" s="34">
        <f>(R76-R77)/(LN((R76-clc_load!T$10)/(R77-clc_load!T$10)))</f>
        <v>49.83288654563971</v>
      </c>
      <c r="S78" s="34">
        <f>(S76-S77)/(LN((S76-clc_load!U$10)/(S77-clc_load!U$10)))</f>
        <v>49.83288654563971</v>
      </c>
      <c r="T78" s="34">
        <f>(T76-T77)/(LN((T76-clc_load!V$10)/(T77-clc_load!V$10)))</f>
        <v>49.83288654563971</v>
      </c>
      <c r="U78" s="34">
        <f>(U76-U77)/(LN((U76-clc_load!W$10)/(U77-clc_load!W$10)))</f>
        <v>49.83288654563971</v>
      </c>
    </row>
    <row r="79" spans="1:21" ht="15.75" thickBot="1">
      <c r="A79" s="27" t="s">
        <v>576</v>
      </c>
      <c r="B79" s="27" t="s">
        <v>419</v>
      </c>
      <c r="C79" s="27" t="s">
        <v>148</v>
      </c>
      <c r="D79" s="27" t="s">
        <v>639</v>
      </c>
      <c r="E79" s="27" t="s">
        <v>31</v>
      </c>
      <c r="G79" s="5">
        <f t="shared" ref="G79:U79" ca="1" si="19">IF(G$75*((G$78/Log_ÜT_Norm)^G$74)&gt;0,
G$75*((G$78/Log_ÜT_Norm)^G$74),0)</f>
        <v>0</v>
      </c>
      <c r="H79" s="5">
        <f t="shared" ca="1" si="19"/>
        <v>0</v>
      </c>
      <c r="I79" s="5">
        <f t="shared" ca="1" si="19"/>
        <v>0</v>
      </c>
      <c r="J79" s="5">
        <f t="shared" ca="1" si="19"/>
        <v>0</v>
      </c>
      <c r="K79" s="5">
        <f t="shared" ca="1" si="19"/>
        <v>0</v>
      </c>
      <c r="L79" s="5">
        <f t="shared" ca="1" si="19"/>
        <v>0</v>
      </c>
      <c r="M79" s="5">
        <f t="shared" ca="1" si="19"/>
        <v>0</v>
      </c>
      <c r="N79" s="5">
        <f t="shared" ca="1" si="19"/>
        <v>0</v>
      </c>
      <c r="O79" s="5">
        <f t="shared" ca="1" si="19"/>
        <v>0</v>
      </c>
      <c r="P79" s="5">
        <f t="shared" ca="1" si="19"/>
        <v>0</v>
      </c>
      <c r="Q79" s="5">
        <f t="shared" ca="1" si="19"/>
        <v>0</v>
      </c>
      <c r="R79" s="5">
        <f t="shared" ca="1" si="19"/>
        <v>0</v>
      </c>
      <c r="S79" s="5">
        <f t="shared" ca="1" si="19"/>
        <v>0</v>
      </c>
      <c r="T79" s="5">
        <f t="shared" ca="1" si="19"/>
        <v>0</v>
      </c>
      <c r="U79" s="5">
        <f t="shared" ca="1" si="19"/>
        <v>0</v>
      </c>
    </row>
    <row r="80" spans="1:21" ht="15.75" thickBot="1">
      <c r="A80" s="102" t="s">
        <v>578</v>
      </c>
      <c r="B80" s="102" t="s">
        <v>419</v>
      </c>
      <c r="C80" s="102" t="s">
        <v>579</v>
      </c>
      <c r="D80" s="102" t="s">
        <v>640</v>
      </c>
      <c r="E80" s="102" t="s">
        <v>31</v>
      </c>
      <c r="G80" s="34">
        <f ca="1">_xlfn.LET(
    _xlpm.leistung, IN_rooms!R$62 * SUMIFS(
        INDIRECT("tabelle1[Wärmeleistung (75/65/20)  in W/m]"),
        INDIRECT("tabelle1[Heizkörper_Typ]"), "Flachheizkoerper_senkrecht_profiliert",
        INDIRECT("tabelle1[Heizkörper_Subtyp]"), "Typ_33",
        INDIRECT("tabelle1[Höhe H in mm]"), G$71,
        INDIRECT("tabelle1[Bautiefe T in mm]"), 155
    ) * G$72 / 1000 * ((G$78 / Log_ÜT_Norm) ^ SUMIFS(
        INDIRECT("tabelle1[Heizkörperexponent n ]"),
        INDIRECT("tabelle1[Heizkörper_Typ]"), "Flachheizkoerper_senkrecht_profiliert",
        INDIRECT("tabelle1[Heizkörper_Subtyp]"), "Typ_33",
        INDIRECT("tabelle1[Höhe H in mm]"), G$71,
        INDIRECT("tabelle1[Bautiefe T in mm]"), 155
    )),
    IF(_xlpm.leistung &gt; 0, _xlpm.leistung, 0)
)</f>
        <v>0</v>
      </c>
      <c r="H80" s="34">
        <f ca="1">_xlfn.LET(
    _xlpm.leistung, IN_rooms!S$62 * SUMIFS(
        INDIRECT("tabelle1[Wärmeleistung (75/65/20)  in W/m]"),
        INDIRECT("tabelle1[Heizkörper_Typ]"), "Flachheizkoerper_senkrecht_profiliert",
        INDIRECT("tabelle1[Heizkörper_Subtyp]"), "Typ_33",
        INDIRECT("tabelle1[Höhe H in mm]"), H$71,
        INDIRECT("tabelle1[Bautiefe T in mm]"), 155
    ) * H$72 / 1000 * ((H$78 / Log_ÜT_Norm) ^ SUMIFS(
        INDIRECT("tabelle1[Heizkörperexponent n ]"),
        INDIRECT("tabelle1[Heizkörper_Typ]"), "Flachheizkoerper_senkrecht_profiliert",
        INDIRECT("tabelle1[Heizkörper_Subtyp]"), "Typ_33",
        INDIRECT("tabelle1[Höhe H in mm]"), H$71,
        INDIRECT("tabelle1[Bautiefe T in mm]"), 155
    )),
    IF(_xlpm.leistung &gt; 0, _xlpm.leistung, 0)
)</f>
        <v>0</v>
      </c>
      <c r="I80" s="34">
        <f ca="1">_xlfn.LET(
    _xlpm.leistung, IN_rooms!T$62 * SUMIFS(
        INDIRECT("tabelle1[Wärmeleistung (75/65/20)  in W/m]"),
        INDIRECT("tabelle1[Heizkörper_Typ]"), "Flachheizkoerper_senkrecht_profiliert",
        INDIRECT("tabelle1[Heizkörper_Subtyp]"), "Typ_33",
        INDIRECT("tabelle1[Höhe H in mm]"), I$71,
        INDIRECT("tabelle1[Bautiefe T in mm]"), 155
    ) * I$72 / 1000 * ((I$78 / Log_ÜT_Norm) ^ SUMIFS(
        INDIRECT("tabelle1[Heizkörperexponent n ]"),
        INDIRECT("tabelle1[Heizkörper_Typ]"), "Flachheizkoerper_senkrecht_profiliert",
        INDIRECT("tabelle1[Heizkörper_Subtyp]"), "Typ_33",
        INDIRECT("tabelle1[Höhe H in mm]"), I$71,
        INDIRECT("tabelle1[Bautiefe T in mm]"), 155
    )),
    IF(_xlpm.leistung &gt; 0, _xlpm.leistung, 0)
)</f>
        <v>0</v>
      </c>
      <c r="J80" s="34">
        <f ca="1">_xlfn.LET(
    _xlpm.leistung, IN_rooms!U$62 * SUMIFS(
        INDIRECT("tabelle1[Wärmeleistung (75/65/20)  in W/m]"),
        INDIRECT("tabelle1[Heizkörper_Typ]"), "Flachheizkoerper_senkrecht_profiliert",
        INDIRECT("tabelle1[Heizkörper_Subtyp]"), "Typ_33",
        INDIRECT("tabelle1[Höhe H in mm]"), J$71,
        INDIRECT("tabelle1[Bautiefe T in mm]"), 155
    ) * J$72 / 1000 * ((J$78 / Log_ÜT_Norm) ^ SUMIFS(
        INDIRECT("tabelle1[Heizkörperexponent n ]"),
        INDIRECT("tabelle1[Heizkörper_Typ]"), "Flachheizkoerper_senkrecht_profiliert",
        INDIRECT("tabelle1[Heizkörper_Subtyp]"), "Typ_33",
        INDIRECT("tabelle1[Höhe H in mm]"), J$71,
        INDIRECT("tabelle1[Bautiefe T in mm]"), 155
    )),
    IF(_xlpm.leistung &gt; 0, _xlpm.leistung, 0)
)</f>
        <v>0</v>
      </c>
      <c r="K80" s="34">
        <f ca="1">_xlfn.LET(
    _xlpm.leistung, IN_rooms!V$62 * SUMIFS(
        INDIRECT("tabelle1[Wärmeleistung (75/65/20)  in W/m]"),
        INDIRECT("tabelle1[Heizkörper_Typ]"), "Flachheizkoerper_senkrecht_profiliert",
        INDIRECT("tabelle1[Heizkörper_Subtyp]"), "Typ_33",
        INDIRECT("tabelle1[Höhe H in mm]"), K$71,
        INDIRECT("tabelle1[Bautiefe T in mm]"), 155
    ) * K$72 / 1000 * ((K$78 / Log_ÜT_Norm) ^ SUMIFS(
        INDIRECT("tabelle1[Heizkörperexponent n ]"),
        INDIRECT("tabelle1[Heizkörper_Typ]"), "Flachheizkoerper_senkrecht_profiliert",
        INDIRECT("tabelle1[Heizkörper_Subtyp]"), "Typ_33",
        INDIRECT("tabelle1[Höhe H in mm]"), K$71,
        INDIRECT("tabelle1[Bautiefe T in mm]"), 155
    )),
    IF(_xlpm.leistung &gt; 0, _xlpm.leistung, 0)
)</f>
        <v>0</v>
      </c>
      <c r="L80" s="34">
        <f ca="1">_xlfn.LET(
    _xlpm.leistung, IN_rooms!W$62 * SUMIFS(
        INDIRECT("tabelle1[Wärmeleistung (75/65/20)  in W/m]"),
        INDIRECT("tabelle1[Heizkörper_Typ]"), "Flachheizkoerper_senkrecht_profiliert",
        INDIRECT("tabelle1[Heizkörper_Subtyp]"), "Typ_33",
        INDIRECT("tabelle1[Höhe H in mm]"), L$71,
        INDIRECT("tabelle1[Bautiefe T in mm]"), 155
    ) * L$72 / 1000 * ((L$78 / Log_ÜT_Norm) ^ SUMIFS(
        INDIRECT("tabelle1[Heizkörperexponent n ]"),
        INDIRECT("tabelle1[Heizkörper_Typ]"), "Flachheizkoerper_senkrecht_profiliert",
        INDIRECT("tabelle1[Heizkörper_Subtyp]"), "Typ_33",
        INDIRECT("tabelle1[Höhe H in mm]"), L$71,
        INDIRECT("tabelle1[Bautiefe T in mm]"), 155
    )),
    IF(_xlpm.leistung &gt; 0, _xlpm.leistung, 0)
)</f>
        <v>0</v>
      </c>
      <c r="M80" s="34">
        <f ca="1">_xlfn.LET(
    _xlpm.leistung, IN_rooms!X$62 * SUMIFS(
        INDIRECT("tabelle1[Wärmeleistung (75/65/20)  in W/m]"),
        INDIRECT("tabelle1[Heizkörper_Typ]"), "Flachheizkoerper_senkrecht_profiliert",
        INDIRECT("tabelle1[Heizkörper_Subtyp]"), "Typ_33",
        INDIRECT("tabelle1[Höhe H in mm]"), M$71,
        INDIRECT("tabelle1[Bautiefe T in mm]"), 155
    ) * M$72 / 1000 * ((M$78 / Log_ÜT_Norm) ^ SUMIFS(
        INDIRECT("tabelle1[Heizkörperexponent n ]"),
        INDIRECT("tabelle1[Heizkörper_Typ]"), "Flachheizkoerper_senkrecht_profiliert",
        INDIRECT("tabelle1[Heizkörper_Subtyp]"), "Typ_33",
        INDIRECT("tabelle1[Höhe H in mm]"), M$71,
        INDIRECT("tabelle1[Bautiefe T in mm]"), 155
    )),
    IF(_xlpm.leistung &gt; 0, _xlpm.leistung, 0)
)</f>
        <v>0</v>
      </c>
      <c r="N80" s="34">
        <f ca="1">_xlfn.LET(
    _xlpm.leistung, IN_rooms!Y$62 * SUMIFS(
        INDIRECT("tabelle1[Wärmeleistung (75/65/20)  in W/m]"),
        INDIRECT("tabelle1[Heizkörper_Typ]"), "Flachheizkoerper_senkrecht_profiliert",
        INDIRECT("tabelle1[Heizkörper_Subtyp]"), "Typ_33",
        INDIRECT("tabelle1[Höhe H in mm]"), N$71,
        INDIRECT("tabelle1[Bautiefe T in mm]"), 155
    ) * N$72 / 1000 * ((N$78 / Log_ÜT_Norm) ^ SUMIFS(
        INDIRECT("tabelle1[Heizkörperexponent n ]"),
        INDIRECT("tabelle1[Heizkörper_Typ]"), "Flachheizkoerper_senkrecht_profiliert",
        INDIRECT("tabelle1[Heizkörper_Subtyp]"), "Typ_33",
        INDIRECT("tabelle1[Höhe H in mm]"), N$71,
        INDIRECT("tabelle1[Bautiefe T in mm]"), 155
    )),
    IF(_xlpm.leistung &gt; 0, _xlpm.leistung, 0)
)</f>
        <v>0</v>
      </c>
      <c r="O80" s="34">
        <f ca="1">_xlfn.LET(
    _xlpm.leistung, IN_rooms!Z$62 * SUMIFS(
        INDIRECT("tabelle1[Wärmeleistung (75/65/20)  in W/m]"),
        INDIRECT("tabelle1[Heizkörper_Typ]"), "Flachheizkoerper_senkrecht_profiliert",
        INDIRECT("tabelle1[Heizkörper_Subtyp]"), "Typ_33",
        INDIRECT("tabelle1[Höhe H in mm]"), O$71,
        INDIRECT("tabelle1[Bautiefe T in mm]"), 155
    ) * O$72 / 1000 * ((O$78 / Log_ÜT_Norm) ^ SUMIFS(
        INDIRECT("tabelle1[Heizkörperexponent n ]"),
        INDIRECT("tabelle1[Heizkörper_Typ]"), "Flachheizkoerper_senkrecht_profiliert",
        INDIRECT("tabelle1[Heizkörper_Subtyp]"), "Typ_33",
        INDIRECT("tabelle1[Höhe H in mm]"), O$71,
        INDIRECT("tabelle1[Bautiefe T in mm]"), 155
    )),
    IF(_xlpm.leistung &gt; 0, _xlpm.leistung, 0)
)</f>
        <v>0</v>
      </c>
      <c r="P80" s="34">
        <f ca="1">_xlfn.LET(
    _xlpm.leistung, IN_rooms!AA$62 * SUMIFS(
        INDIRECT("tabelle1[Wärmeleistung (75/65/20)  in W/m]"),
        INDIRECT("tabelle1[Heizkörper_Typ]"), "Flachheizkoerper_senkrecht_profiliert",
        INDIRECT("tabelle1[Heizkörper_Subtyp]"), "Typ_33",
        INDIRECT("tabelle1[Höhe H in mm]"), P$71,
        INDIRECT("tabelle1[Bautiefe T in mm]"), 155
    ) * P$72 / 1000 * ((P$78 / Log_ÜT_Norm) ^ SUMIFS(
        INDIRECT("tabelle1[Heizkörperexponent n ]"),
        INDIRECT("tabelle1[Heizkörper_Typ]"), "Flachheizkoerper_senkrecht_profiliert",
        INDIRECT("tabelle1[Heizkörper_Subtyp]"), "Typ_33",
        INDIRECT("tabelle1[Höhe H in mm]"), P$71,
        INDIRECT("tabelle1[Bautiefe T in mm]"), 155
    )),
    IF(_xlpm.leistung &gt; 0, _xlpm.leistung, 0)
)</f>
        <v>0</v>
      </c>
      <c r="Q80" s="34">
        <f ca="1">_xlfn.LET(
    _xlpm.leistung, IN_rooms!AB$62 * SUMIFS(
        INDIRECT("tabelle1[Wärmeleistung (75/65/20)  in W/m]"),
        INDIRECT("tabelle1[Heizkörper_Typ]"), "Flachheizkoerper_senkrecht_profiliert",
        INDIRECT("tabelle1[Heizkörper_Subtyp]"), "Typ_33",
        INDIRECT("tabelle1[Höhe H in mm]"), Q$71,
        INDIRECT("tabelle1[Bautiefe T in mm]"), 155
    ) * Q$72 / 1000 * ((Q$78 / Log_ÜT_Norm) ^ SUMIFS(
        INDIRECT("tabelle1[Heizkörperexponent n ]"),
        INDIRECT("tabelle1[Heizkörper_Typ]"), "Flachheizkoerper_senkrecht_profiliert",
        INDIRECT("tabelle1[Heizkörper_Subtyp]"), "Typ_33",
        INDIRECT("tabelle1[Höhe H in mm]"), Q$71,
        INDIRECT("tabelle1[Bautiefe T in mm]"), 155
    )),
    IF(_xlpm.leistung &gt; 0, _xlpm.leistung, 0)
)</f>
        <v>0</v>
      </c>
      <c r="R80" s="34">
        <f ca="1">_xlfn.LET(
    _xlpm.leistung, IN_rooms!AC$62 * SUMIFS(
        INDIRECT("tabelle1[Wärmeleistung (75/65/20)  in W/m]"),
        INDIRECT("tabelle1[Heizkörper_Typ]"), "Flachheizkoerper_senkrecht_profiliert",
        INDIRECT("tabelle1[Heizkörper_Subtyp]"), "Typ_33",
        INDIRECT("tabelle1[Höhe H in mm]"), R$71,
        INDIRECT("tabelle1[Bautiefe T in mm]"), 155
    ) * R$72 / 1000 * ((R$78 / Log_ÜT_Norm) ^ SUMIFS(
        INDIRECT("tabelle1[Heizkörperexponent n ]"),
        INDIRECT("tabelle1[Heizkörper_Typ]"), "Flachheizkoerper_senkrecht_profiliert",
        INDIRECT("tabelle1[Heizkörper_Subtyp]"), "Typ_33",
        INDIRECT("tabelle1[Höhe H in mm]"), R$71,
        INDIRECT("tabelle1[Bautiefe T in mm]"), 155
    )),
    IF(_xlpm.leistung &gt; 0, _xlpm.leistung, 0)
)</f>
        <v>0</v>
      </c>
      <c r="S80" s="34">
        <f ca="1">_xlfn.LET(
    _xlpm.leistung, IN_rooms!AD$62 * SUMIFS(
        INDIRECT("tabelle1[Wärmeleistung (75/65/20)  in W/m]"),
        INDIRECT("tabelle1[Heizkörper_Typ]"), "Flachheizkoerper_senkrecht_profiliert",
        INDIRECT("tabelle1[Heizkörper_Subtyp]"), "Typ_33",
        INDIRECT("tabelle1[Höhe H in mm]"), S$71,
        INDIRECT("tabelle1[Bautiefe T in mm]"), 155
    ) * S$72 / 1000 * ((S$78 / Log_ÜT_Norm) ^ SUMIFS(
        INDIRECT("tabelle1[Heizkörperexponent n ]"),
        INDIRECT("tabelle1[Heizkörper_Typ]"), "Flachheizkoerper_senkrecht_profiliert",
        INDIRECT("tabelle1[Heizkörper_Subtyp]"), "Typ_33",
        INDIRECT("tabelle1[Höhe H in mm]"), S$71,
        INDIRECT("tabelle1[Bautiefe T in mm]"), 155
    )),
    IF(_xlpm.leistung &gt; 0, _xlpm.leistung, 0)
)</f>
        <v>0</v>
      </c>
      <c r="T80" s="34">
        <f ca="1">_xlfn.LET(
    _xlpm.leistung, IN_rooms!AE$62 * SUMIFS(
        INDIRECT("tabelle1[Wärmeleistung (75/65/20)  in W/m]"),
        INDIRECT("tabelle1[Heizkörper_Typ]"), "Flachheizkoerper_senkrecht_profiliert",
        INDIRECT("tabelle1[Heizkörper_Subtyp]"), "Typ_33",
        INDIRECT("tabelle1[Höhe H in mm]"), T$71,
        INDIRECT("tabelle1[Bautiefe T in mm]"), 155
    ) * T$72 / 1000 * ((T$78 / Log_ÜT_Norm) ^ SUMIFS(
        INDIRECT("tabelle1[Heizkörperexponent n ]"),
        INDIRECT("tabelle1[Heizkörper_Typ]"), "Flachheizkoerper_senkrecht_profiliert",
        INDIRECT("tabelle1[Heizkörper_Subtyp]"), "Typ_33",
        INDIRECT("tabelle1[Höhe H in mm]"), T$71,
        INDIRECT("tabelle1[Bautiefe T in mm]"), 155
    )),
    IF(_xlpm.leistung &gt; 0, _xlpm.leistung, 0)
)</f>
        <v>0</v>
      </c>
      <c r="U80" s="34">
        <f ca="1">_xlfn.LET(
    _xlpm.leistung, IN_rooms!AF$62 * SUMIFS(
        INDIRECT("tabelle1[Wärmeleistung (75/65/20)  in W/m]"),
        INDIRECT("tabelle1[Heizkörper_Typ]"), "Flachheizkoerper_senkrecht_profiliert",
        INDIRECT("tabelle1[Heizkörper_Subtyp]"), "Typ_33",
        INDIRECT("tabelle1[Höhe H in mm]"), U$71,
        INDIRECT("tabelle1[Bautiefe T in mm]"), 155
    ) * U$72 / 1000 * ((U$78 / Log_ÜT_Norm) ^ SUMIFS(
        INDIRECT("tabelle1[Heizkörperexponent n ]"),
        INDIRECT("tabelle1[Heizkörper_Typ]"), "Flachheizkoerper_senkrecht_profiliert",
        INDIRECT("tabelle1[Heizkörper_Subtyp]"), "Typ_33",
        INDIRECT("tabelle1[Höhe H in mm]"), U$71,
        INDIRECT("tabelle1[Bautiefe T in mm]"), 155
    )),
    IF(_xlpm.leistung &gt; 0, _xlpm.leistung, 0)
)</f>
        <v>0</v>
      </c>
    </row>
    <row r="81" spans="1:21" ht="15.75" thickBot="1">
      <c r="A81" s="72" t="s">
        <v>405</v>
      </c>
      <c r="B81" s="72" t="s">
        <v>419</v>
      </c>
      <c r="C81" s="72" t="s">
        <v>150</v>
      </c>
      <c r="D81" s="72" t="s">
        <v>641</v>
      </c>
      <c r="E81" s="72"/>
      <c r="G81" s="5" t="str">
        <f>IF(IN_rooms!R$56="Gliederheizkörper",IN_rooms!R$56,"")</f>
        <v/>
      </c>
      <c r="H81" s="5" t="str">
        <f>IF(IN_rooms!S$56="Gliederheizkörper",IN_rooms!S$56,"")</f>
        <v/>
      </c>
      <c r="I81" s="5" t="str">
        <f>IF(IN_rooms!T$56="Gliederheizkörper",IN_rooms!T$56,"")</f>
        <v/>
      </c>
      <c r="J81" s="5" t="str">
        <f>IF(IN_rooms!U$56="Gliederheizkörper",IN_rooms!U$56,"")</f>
        <v/>
      </c>
      <c r="K81" s="5" t="str">
        <f>IF(IN_rooms!V$56="Gliederheizkörper",IN_rooms!V$56,"")</f>
        <v/>
      </c>
      <c r="L81" s="5" t="str">
        <f>IF(IN_rooms!W$56="Gliederheizkörper",IN_rooms!W$56,"")</f>
        <v/>
      </c>
      <c r="M81" s="5" t="str">
        <f>IF(IN_rooms!X$56="Gliederheizkörper",IN_rooms!X$56,"")</f>
        <v/>
      </c>
      <c r="N81" s="5" t="str">
        <f>IF(IN_rooms!Y$56="Gliederheizkörper",IN_rooms!Y$56,"")</f>
        <v/>
      </c>
      <c r="O81" s="5" t="str">
        <f>IF(IN_rooms!Z$56="Gliederheizkörper",IN_rooms!Z$56,"")</f>
        <v/>
      </c>
      <c r="P81" s="5" t="str">
        <f>IF(IN_rooms!AA$56="Gliederheizkörper",IN_rooms!AA$56,"")</f>
        <v/>
      </c>
      <c r="Q81" s="5" t="str">
        <f>IF(IN_rooms!AB$56="Gliederheizkörper",IN_rooms!AB$56,"")</f>
        <v/>
      </c>
      <c r="R81" s="5" t="str">
        <f>IF(IN_rooms!AC$56="Gliederheizkörper",IN_rooms!AC$56,"")</f>
        <v/>
      </c>
      <c r="S81" s="5" t="str">
        <f>IF(IN_rooms!AD$56="Gliederheizkörper",IN_rooms!AD$56,"")</f>
        <v/>
      </c>
      <c r="T81" s="5" t="str">
        <f>IF(IN_rooms!AE$56="Gliederheizkörper",IN_rooms!AE$56,"")</f>
        <v/>
      </c>
      <c r="U81" s="5" t="str">
        <f>IF(IN_rooms!AF$56="Gliederheizkörper",IN_rooms!AF$56,"")</f>
        <v/>
      </c>
    </row>
    <row r="82" spans="1:21" ht="15.75" thickBot="1">
      <c r="A82" s="72" t="s">
        <v>559</v>
      </c>
      <c r="B82" s="72" t="s">
        <v>419</v>
      </c>
      <c r="C82" s="72" t="s">
        <v>150</v>
      </c>
      <c r="D82" s="72" t="s">
        <v>642</v>
      </c>
      <c r="E82" s="72"/>
      <c r="G82" s="5">
        <f>IN_rooms!R$57</f>
        <v>0</v>
      </c>
      <c r="H82" s="5">
        <f>IN_rooms!S$57</f>
        <v>0</v>
      </c>
      <c r="I82" s="5">
        <f>IN_rooms!T$57</f>
        <v>0</v>
      </c>
      <c r="J82" s="5">
        <f>IN_rooms!U$57</f>
        <v>0</v>
      </c>
      <c r="K82" s="5">
        <f>IN_rooms!V$57</f>
        <v>0</v>
      </c>
      <c r="L82" s="5">
        <f>IN_rooms!W$57</f>
        <v>0</v>
      </c>
      <c r="M82" s="5">
        <f>IN_rooms!X$57</f>
        <v>0</v>
      </c>
      <c r="N82" s="5">
        <f>IN_rooms!Y$57</f>
        <v>0</v>
      </c>
      <c r="O82" s="5">
        <f>IN_rooms!Z$57</f>
        <v>0</v>
      </c>
      <c r="P82" s="5">
        <f>IN_rooms!AA$57</f>
        <v>0</v>
      </c>
      <c r="Q82" s="5">
        <f>IN_rooms!AB$57</f>
        <v>0</v>
      </c>
      <c r="R82" s="5">
        <f>IN_rooms!AC$57</f>
        <v>0</v>
      </c>
      <c r="S82" s="5">
        <f>IN_rooms!AD$57</f>
        <v>0</v>
      </c>
      <c r="T82" s="5">
        <f>IN_rooms!AE$57</f>
        <v>0</v>
      </c>
      <c r="U82" s="5">
        <f>IN_rooms!AF$57</f>
        <v>0</v>
      </c>
    </row>
    <row r="83" spans="1:21" ht="15.75" thickBot="1">
      <c r="A83" s="72" t="s">
        <v>561</v>
      </c>
      <c r="B83" s="72" t="s">
        <v>419</v>
      </c>
      <c r="C83" s="72" t="s">
        <v>150</v>
      </c>
      <c r="D83" s="72" t="s">
        <v>643</v>
      </c>
      <c r="E83" s="72" t="s">
        <v>409</v>
      </c>
      <c r="G83" s="5">
        <f>IN_rooms!R$58</f>
        <v>0</v>
      </c>
      <c r="H83" s="5">
        <f>IN_rooms!S$58</f>
        <v>0</v>
      </c>
      <c r="I83" s="5">
        <f>IN_rooms!T$58</f>
        <v>0</v>
      </c>
      <c r="J83" s="5">
        <f>IN_rooms!U$58</f>
        <v>0</v>
      </c>
      <c r="K83" s="5">
        <f>IN_rooms!V$58</f>
        <v>0</v>
      </c>
      <c r="L83" s="5">
        <f>IN_rooms!W$58</f>
        <v>0</v>
      </c>
      <c r="M83" s="5">
        <f>IN_rooms!X$58</f>
        <v>0</v>
      </c>
      <c r="N83" s="5">
        <f>IN_rooms!Y$58</f>
        <v>0</v>
      </c>
      <c r="O83" s="5">
        <f>IN_rooms!Z$58</f>
        <v>0</v>
      </c>
      <c r="P83" s="5">
        <f>IN_rooms!AA$58</f>
        <v>0</v>
      </c>
      <c r="Q83" s="5">
        <f>IN_rooms!AB$58</f>
        <v>0</v>
      </c>
      <c r="R83" s="5">
        <f>IN_rooms!AC$58</f>
        <v>0</v>
      </c>
      <c r="S83" s="5">
        <f>IN_rooms!AD$58</f>
        <v>0</v>
      </c>
      <c r="T83" s="5">
        <f>IN_rooms!AE$58</f>
        <v>0</v>
      </c>
      <c r="U83" s="5">
        <f>IN_rooms!AF$58</f>
        <v>0</v>
      </c>
    </row>
    <row r="84" spans="1:21" ht="15.75" thickBot="1">
      <c r="A84" s="72" t="s">
        <v>412</v>
      </c>
      <c r="B84" s="72" t="s">
        <v>419</v>
      </c>
      <c r="C84" s="72" t="s">
        <v>150</v>
      </c>
      <c r="D84" s="72" t="s">
        <v>644</v>
      </c>
      <c r="E84" s="72" t="s">
        <v>409</v>
      </c>
      <c r="G84" s="5" cm="1">
        <f t="array" ref="G84">_xlfn.IFS(IN_rooms!R$60=0,0,
G82 = "Stahlradiator",
INDEX(Daten!$AF$13:$AF$23,_xlfn.XMATCH(MIN(IF(Daten!$AE$13:$AE$23=G83,ABS(Daten!$AF$13:$AF$23-IN_rooms!R$60))),
                                  IF(Daten!$AE$13:$AE$23=G83,ABS(Daten!$AF$13:$AF$23-IN_rooms!R$60)),
                                  0)),
G82 = "Gussradiator",
INDEX(Daten!$AD$13:$AD$25,_xlfn.XMATCH(MIN(IF(Daten!$AC$13:$AC$25=G83,ABS(Daten!$AD$13:$AD$25-IN_rooms!R$60))),
                                   IF(Daten!$AC$13:$AC$25=G83,ABS(Daten!$AD$13:$AD$25-IN_rooms!R$60)),
                                   0)),
TRUE, IN_rooms!R$60)</f>
        <v>0</v>
      </c>
      <c r="H84" s="5" cm="1">
        <f t="array" ref="H84">_xlfn.IFS(IN_rooms!S$60=0,0,
H82 = "Stahlradiator",
INDEX(Daten!$AF$13:$AF$23,_xlfn.XMATCH(MIN(IF(Daten!$AE$13:$AE$23=H83,ABS(Daten!$AF$13:$AF$23-IN_rooms!S$60))),
                                  IF(Daten!$AE$13:$AE$23=H83,ABS(Daten!$AF$13:$AF$23-IN_rooms!S$60)),
                                  0)),
H82 = "Gussradiator",
INDEX(Daten!$AD$13:$AD$25,_xlfn.XMATCH(MIN(IF(Daten!$AC$13:$AC$25=H83,ABS(Daten!$AD$13:$AD$25-IN_rooms!S$60))),
                                   IF(Daten!$AC$13:$AC$25=H83,ABS(Daten!$AD$13:$AD$25-IN_rooms!S$60)),
                                   0)),
TRUE, IN_rooms!S$60)</f>
        <v>0</v>
      </c>
      <c r="I84" s="5" cm="1">
        <f t="array" ref="I84">_xlfn.IFS(IN_rooms!T$60=0,0,
I82 = "Stahlradiator",
INDEX(Daten!$AF$13:$AF$23,_xlfn.XMATCH(MIN(IF(Daten!$AE$13:$AE$23=I83,ABS(Daten!$AF$13:$AF$23-IN_rooms!T$60))),
                                  IF(Daten!$AE$13:$AE$23=I83,ABS(Daten!$AF$13:$AF$23-IN_rooms!T$60)),
                                  0)),
I82 = "Gussradiator",
INDEX(Daten!$AD$13:$AD$25,_xlfn.XMATCH(MIN(IF(Daten!$AC$13:$AC$25=I83,ABS(Daten!$AD$13:$AD$25-IN_rooms!T$60))),
                                   IF(Daten!$AC$13:$AC$25=I83,ABS(Daten!$AD$13:$AD$25-IN_rooms!T$60)),
                                   0)),
TRUE, IN_rooms!T$60)</f>
        <v>0</v>
      </c>
      <c r="J84" s="5" cm="1">
        <f t="array" ref="J84">_xlfn.IFS(IN_rooms!U$60=0,0,
J82 = "Stahlradiator",
INDEX(Daten!$AF$13:$AF$23,_xlfn.XMATCH(MIN(IF(Daten!$AE$13:$AE$23=J83,ABS(Daten!$AF$13:$AF$23-IN_rooms!U$60))),
                                  IF(Daten!$AE$13:$AE$23=J83,ABS(Daten!$AF$13:$AF$23-IN_rooms!U$60)),
                                  0)),
J82 = "Gussradiator",
INDEX(Daten!$AD$13:$AD$25,_xlfn.XMATCH(MIN(IF(Daten!$AC$13:$AC$25=J83,ABS(Daten!$AD$13:$AD$25-IN_rooms!U$60))),
                                   IF(Daten!$AC$13:$AC$25=J83,ABS(Daten!$AD$13:$AD$25-IN_rooms!U$60)),
                                   0)),
TRUE, IN_rooms!U$60)</f>
        <v>0</v>
      </c>
      <c r="K84" s="5" cm="1">
        <f t="array" ref="K84">_xlfn.IFS(IN_rooms!V$60=0,0,
K82 = "Stahlradiator",
INDEX(Daten!$AF$13:$AF$23,_xlfn.XMATCH(MIN(IF(Daten!$AE$13:$AE$23=K83,ABS(Daten!$AF$13:$AF$23-IN_rooms!V$60))),
                                  IF(Daten!$AE$13:$AE$23=K83,ABS(Daten!$AF$13:$AF$23-IN_rooms!V$60)),
                                  0)),
K82 = "Gussradiator",
INDEX(Daten!$AD$13:$AD$25,_xlfn.XMATCH(MIN(IF(Daten!$AC$13:$AC$25=K83,ABS(Daten!$AD$13:$AD$25-IN_rooms!V$60))),
                                   IF(Daten!$AC$13:$AC$25=K83,ABS(Daten!$AD$13:$AD$25-IN_rooms!V$60)),
                                   0)),
TRUE, IN_rooms!V$60)</f>
        <v>0</v>
      </c>
      <c r="L84" s="5" cm="1">
        <f t="array" ref="L84">_xlfn.IFS(IN_rooms!W$60=0,0,
L82 = "Stahlradiator",
INDEX(Daten!$AF$13:$AF$23,_xlfn.XMATCH(MIN(IF(Daten!$AE$13:$AE$23=L83,ABS(Daten!$AF$13:$AF$23-IN_rooms!W$60))),
                                  IF(Daten!$AE$13:$AE$23=L83,ABS(Daten!$AF$13:$AF$23-IN_rooms!W$60)),
                                  0)),
L82 = "Gussradiator",
INDEX(Daten!$AD$13:$AD$25,_xlfn.XMATCH(MIN(IF(Daten!$AC$13:$AC$25=L83,ABS(Daten!$AD$13:$AD$25-IN_rooms!W$60))),
                                   IF(Daten!$AC$13:$AC$25=L83,ABS(Daten!$AD$13:$AD$25-IN_rooms!W$60)),
                                   0)),
TRUE, IN_rooms!W$60)</f>
        <v>0</v>
      </c>
      <c r="M84" s="5" cm="1">
        <f t="array" ref="M84">_xlfn.IFS(IN_rooms!X$60=0,0,
M82 = "Stahlradiator",
INDEX(Daten!$AF$13:$AF$23,_xlfn.XMATCH(MIN(IF(Daten!$AE$13:$AE$23=M83,ABS(Daten!$AF$13:$AF$23-IN_rooms!X$60))),
                                  IF(Daten!$AE$13:$AE$23=M83,ABS(Daten!$AF$13:$AF$23-IN_rooms!X$60)),
                                  0)),
M82 = "Gussradiator",
INDEX(Daten!$AD$13:$AD$25,_xlfn.XMATCH(MIN(IF(Daten!$AC$13:$AC$25=M83,ABS(Daten!$AD$13:$AD$25-IN_rooms!X$60))),
                                   IF(Daten!$AC$13:$AC$25=M83,ABS(Daten!$AD$13:$AD$25-IN_rooms!X$60)),
                                   0)),
TRUE, IN_rooms!X$60)</f>
        <v>0</v>
      </c>
      <c r="N84" s="5" cm="1">
        <f t="array" ref="N84">_xlfn.IFS(IN_rooms!Y$60=0,0,
N82 = "Stahlradiator",
INDEX(Daten!$AF$13:$AF$23,_xlfn.XMATCH(MIN(IF(Daten!$AE$13:$AE$23=N83,ABS(Daten!$AF$13:$AF$23-IN_rooms!Y$60))),
                                  IF(Daten!$AE$13:$AE$23=N83,ABS(Daten!$AF$13:$AF$23-IN_rooms!Y$60)),
                                  0)),
N82 = "Gussradiator",
INDEX(Daten!$AD$13:$AD$25,_xlfn.XMATCH(MIN(IF(Daten!$AC$13:$AC$25=N83,ABS(Daten!$AD$13:$AD$25-IN_rooms!Y$60))),
                                   IF(Daten!$AC$13:$AC$25=N83,ABS(Daten!$AD$13:$AD$25-IN_rooms!Y$60)),
                                   0)),
TRUE, IN_rooms!Y$60)</f>
        <v>0</v>
      </c>
      <c r="O84" s="5" cm="1">
        <f t="array" ref="O84">_xlfn.IFS(IN_rooms!Z$60=0,0,
O82 = "Stahlradiator",
INDEX(Daten!$AF$13:$AF$23,_xlfn.XMATCH(MIN(IF(Daten!$AE$13:$AE$23=O83,ABS(Daten!$AF$13:$AF$23-IN_rooms!Z$60))),
                                  IF(Daten!$AE$13:$AE$23=O83,ABS(Daten!$AF$13:$AF$23-IN_rooms!Z$60)),
                                  0)),
O82 = "Gussradiator",
INDEX(Daten!$AD$13:$AD$25,_xlfn.XMATCH(MIN(IF(Daten!$AC$13:$AC$25=O83,ABS(Daten!$AD$13:$AD$25-IN_rooms!Z$60))),
                                   IF(Daten!$AC$13:$AC$25=O83,ABS(Daten!$AD$13:$AD$25-IN_rooms!Z$60)),
                                   0)),
TRUE, IN_rooms!Z$60)</f>
        <v>0</v>
      </c>
      <c r="P84" s="5" cm="1">
        <f t="array" ref="P84">_xlfn.IFS(IN_rooms!AA$60=0,0,
P82 = "Stahlradiator",
INDEX(Daten!$AF$13:$AF$23,_xlfn.XMATCH(MIN(IF(Daten!$AE$13:$AE$23=P83,ABS(Daten!$AF$13:$AF$23-IN_rooms!AA$60))),
                                  IF(Daten!$AE$13:$AE$23=P83,ABS(Daten!$AF$13:$AF$23-IN_rooms!AA$60)),
                                  0)),
P82 = "Gussradiator",
INDEX(Daten!$AD$13:$AD$25,_xlfn.XMATCH(MIN(IF(Daten!$AC$13:$AC$25=P83,ABS(Daten!$AD$13:$AD$25-IN_rooms!AA$60))),
                                   IF(Daten!$AC$13:$AC$25=P83,ABS(Daten!$AD$13:$AD$25-IN_rooms!AA$60)),
                                   0)),
TRUE, IN_rooms!AA$60)</f>
        <v>0</v>
      </c>
      <c r="Q84" s="5" cm="1">
        <f t="array" ref="Q84">_xlfn.IFS(IN_rooms!AB$60=0,0,
Q82 = "Stahlradiator",
INDEX(Daten!$AF$13:$AF$23,_xlfn.XMATCH(MIN(IF(Daten!$AE$13:$AE$23=Q83,ABS(Daten!$AF$13:$AF$23-IN_rooms!AB$60))),
                                  IF(Daten!$AE$13:$AE$23=Q83,ABS(Daten!$AF$13:$AF$23-IN_rooms!AB$60)),
                                  0)),
Q82 = "Gussradiator",
INDEX(Daten!$AD$13:$AD$25,_xlfn.XMATCH(MIN(IF(Daten!$AC$13:$AC$25=Q83,ABS(Daten!$AD$13:$AD$25-IN_rooms!AB$60))),
                                   IF(Daten!$AC$13:$AC$25=Q83,ABS(Daten!$AD$13:$AD$25-IN_rooms!AB$60)),
                                   0)),
TRUE, IN_rooms!AB$60)</f>
        <v>0</v>
      </c>
      <c r="R84" s="5" cm="1">
        <f t="array" ref="R84">_xlfn.IFS(IN_rooms!AC$60=0,0,
R82 = "Stahlradiator",
INDEX(Daten!$AF$13:$AF$23,_xlfn.XMATCH(MIN(IF(Daten!$AE$13:$AE$23=R83,ABS(Daten!$AF$13:$AF$23-IN_rooms!AC$60))),
                                  IF(Daten!$AE$13:$AE$23=R83,ABS(Daten!$AF$13:$AF$23-IN_rooms!AC$60)),
                                  0)),
R82 = "Gussradiator",
INDEX(Daten!$AD$13:$AD$25,_xlfn.XMATCH(MIN(IF(Daten!$AC$13:$AC$25=R83,ABS(Daten!$AD$13:$AD$25-IN_rooms!AC$60))),
                                   IF(Daten!$AC$13:$AC$25=R83,ABS(Daten!$AD$13:$AD$25-IN_rooms!AC$60)),
                                   0)),
TRUE, IN_rooms!AC$60)</f>
        <v>0</v>
      </c>
      <c r="S84" s="5" cm="1">
        <f t="array" ref="S84">_xlfn.IFS(IN_rooms!AD$60=0,0,
S82 = "Stahlradiator",
INDEX(Daten!$AF$13:$AF$23,_xlfn.XMATCH(MIN(IF(Daten!$AE$13:$AE$23=S83,ABS(Daten!$AF$13:$AF$23-IN_rooms!AD$60))),
                                  IF(Daten!$AE$13:$AE$23=S83,ABS(Daten!$AF$13:$AF$23-IN_rooms!AD$60)),
                                  0)),
S82 = "Gussradiator",
INDEX(Daten!$AD$13:$AD$25,_xlfn.XMATCH(MIN(IF(Daten!$AC$13:$AC$25=S83,ABS(Daten!$AD$13:$AD$25-IN_rooms!AD$60))),
                                   IF(Daten!$AC$13:$AC$25=S83,ABS(Daten!$AD$13:$AD$25-IN_rooms!AD$60)),
                                   0)),
TRUE, IN_rooms!AD$60)</f>
        <v>0</v>
      </c>
      <c r="T84" s="5" cm="1">
        <f t="array" ref="T84">_xlfn.IFS(IN_rooms!AE$60=0,0,
T82 = "Stahlradiator",
INDEX(Daten!$AF$13:$AF$23,_xlfn.XMATCH(MIN(IF(Daten!$AE$13:$AE$23=T83,ABS(Daten!$AF$13:$AF$23-IN_rooms!AE$60))),
                                  IF(Daten!$AE$13:$AE$23=T83,ABS(Daten!$AF$13:$AF$23-IN_rooms!AE$60)),
                                  0)),
T82 = "Gussradiator",
INDEX(Daten!$AD$13:$AD$25,_xlfn.XMATCH(MIN(IF(Daten!$AC$13:$AC$25=T83,ABS(Daten!$AD$13:$AD$25-IN_rooms!AE$60))),
                                   IF(Daten!$AC$13:$AC$25=T83,ABS(Daten!$AD$13:$AD$25-IN_rooms!AE$60)),
                                   0)),
TRUE, IN_rooms!AE$60)</f>
        <v>0</v>
      </c>
      <c r="U84" s="5" cm="1">
        <f t="array" ref="U84">_xlfn.IFS(IN_rooms!AF$60=0,0,
U82 = "Stahlradiator",
INDEX(Daten!$AF$13:$AF$23,_xlfn.XMATCH(MIN(IF(Daten!$AE$13:$AE$23=U83,ABS(Daten!$AF$13:$AF$23-IN_rooms!AF$60))),
                                  IF(Daten!$AE$13:$AE$23=U83,ABS(Daten!$AF$13:$AF$23-IN_rooms!AF$60)),
                                  0)),
U82 = "Gussradiator",
INDEX(Daten!$AD$13:$AD$25,_xlfn.XMATCH(MIN(IF(Daten!$AC$13:$AC$25=U83,ABS(Daten!$AD$13:$AD$25-IN_rooms!AF$60))),
                                   IF(Daten!$AC$13:$AC$25=U83,ABS(Daten!$AD$13:$AD$25-IN_rooms!AF$60)),
                                   0)),
TRUE, IN_rooms!AF$60)</f>
        <v>0</v>
      </c>
    </row>
    <row r="85" spans="1:21" ht="15.75" thickBot="1">
      <c r="A85" s="72" t="s">
        <v>585</v>
      </c>
      <c r="B85" s="72" t="s">
        <v>419</v>
      </c>
      <c r="C85" s="72" t="s">
        <v>150</v>
      </c>
      <c r="D85" s="72" t="s">
        <v>645</v>
      </c>
      <c r="E85" s="72" t="s">
        <v>587</v>
      </c>
      <c r="G85" s="5">
        <f>IN_rooms!R$61</f>
        <v>0</v>
      </c>
      <c r="H85" s="5">
        <f>IN_rooms!S$61</f>
        <v>0</v>
      </c>
      <c r="I85" s="5">
        <f>IN_rooms!T$61</f>
        <v>0</v>
      </c>
      <c r="J85" s="5">
        <f>IN_rooms!U$61</f>
        <v>0</v>
      </c>
      <c r="K85" s="5">
        <f>IN_rooms!V$61</f>
        <v>0</v>
      </c>
      <c r="L85" s="5">
        <f>IN_rooms!W$61</f>
        <v>0</v>
      </c>
      <c r="M85" s="5">
        <f>IN_rooms!X$61</f>
        <v>0</v>
      </c>
      <c r="N85" s="5">
        <f>IN_rooms!Y$61</f>
        <v>0</v>
      </c>
      <c r="O85" s="5">
        <f>IN_rooms!Z$61</f>
        <v>0</v>
      </c>
      <c r="P85" s="5">
        <f>IN_rooms!AA$61</f>
        <v>0</v>
      </c>
      <c r="Q85" s="5">
        <f>IN_rooms!AB$61</f>
        <v>0</v>
      </c>
      <c r="R85" s="5">
        <f>IN_rooms!AC$61</f>
        <v>0</v>
      </c>
      <c r="S85" s="5">
        <f>IN_rooms!AD$61</f>
        <v>0</v>
      </c>
      <c r="T85" s="5">
        <f>IN_rooms!AE$61</f>
        <v>0</v>
      </c>
      <c r="U85" s="5">
        <f>IN_rooms!AF$61</f>
        <v>0</v>
      </c>
    </row>
    <row r="86" spans="1:21" ht="15.75" thickBot="1">
      <c r="A86" s="72" t="s">
        <v>565</v>
      </c>
      <c r="B86" s="72" t="s">
        <v>419</v>
      </c>
      <c r="C86" s="72" t="s">
        <v>150</v>
      </c>
      <c r="D86" s="72" t="s">
        <v>425</v>
      </c>
      <c r="E86" s="72"/>
      <c r="G86" s="5">
        <f>1.3</f>
        <v>1.3</v>
      </c>
      <c r="H86" s="5">
        <f t="shared" ref="H86:U86" si="20">1.3</f>
        <v>1.3</v>
      </c>
      <c r="I86" s="5">
        <f t="shared" si="20"/>
        <v>1.3</v>
      </c>
      <c r="J86" s="5">
        <f t="shared" si="20"/>
        <v>1.3</v>
      </c>
      <c r="K86" s="5">
        <f t="shared" si="20"/>
        <v>1.3</v>
      </c>
      <c r="L86" s="5">
        <f t="shared" si="20"/>
        <v>1.3</v>
      </c>
      <c r="M86" s="5">
        <f t="shared" si="20"/>
        <v>1.3</v>
      </c>
      <c r="N86" s="5">
        <f t="shared" si="20"/>
        <v>1.3</v>
      </c>
      <c r="O86" s="5">
        <f t="shared" si="20"/>
        <v>1.3</v>
      </c>
      <c r="P86" s="5">
        <f t="shared" si="20"/>
        <v>1.3</v>
      </c>
      <c r="Q86" s="5">
        <f t="shared" si="20"/>
        <v>1.3</v>
      </c>
      <c r="R86" s="5">
        <f t="shared" si="20"/>
        <v>1.3</v>
      </c>
      <c r="S86" s="5">
        <f t="shared" si="20"/>
        <v>1.3</v>
      </c>
      <c r="T86" s="5">
        <f t="shared" si="20"/>
        <v>1.3</v>
      </c>
      <c r="U86" s="5">
        <f t="shared" si="20"/>
        <v>1.3</v>
      </c>
    </row>
    <row r="87" spans="1:21" ht="15.75" thickBot="1">
      <c r="A87" s="72" t="s">
        <v>567</v>
      </c>
      <c r="B87" s="72" t="s">
        <v>419</v>
      </c>
      <c r="C87" s="72" t="s">
        <v>150</v>
      </c>
      <c r="D87" s="72" t="s">
        <v>646</v>
      </c>
      <c r="E87" s="72" t="s">
        <v>31</v>
      </c>
      <c r="G87" s="5">
        <f ca="1">_xlfn.LET(
    _xlpm.wärmeleistung, SUMIFS(
        INDIRECT("tabelle1[Wärmeleistung (75/65/20)  in W/Glied]"),
        INDIRECT("tabelle1[Heizkörper_Typ]"), clc_power!G$81,
        INDIRECT("tabelle1[Heizkörper_Subtyp]"), clc_power!G$82,
        INDIRECT("tabelle1[Höhe H in mm]"), clc_power!G$83,
        INDIRECT("tabelle1[Bautiefe T in mm]"), clc_power!G$84
    ),
    _xlpm.leistung, IN_rooms!R$62 * _xlpm.wärmeleistung * G$85,
    IF(_xlpm.leistung &gt; 0, _xlpm.leistung, 0)
)</f>
        <v>0</v>
      </c>
      <c r="H87" s="5">
        <f ca="1">_xlfn.LET(
    _xlpm.wärmeleistung, SUMIFS(
        INDIRECT("tabelle1[Wärmeleistung (75/65/20)  in W/Glied]"),
        INDIRECT("tabelle1[Heizkörper_Typ]"), clc_power!H$81,
        INDIRECT("tabelle1[Heizkörper_Subtyp]"), clc_power!H$82,
        INDIRECT("tabelle1[Höhe H in mm]"), clc_power!H$83,
        INDIRECT("tabelle1[Bautiefe T in mm]"), clc_power!H$84
    ),
    _xlpm.leistung, IN_rooms!S$62 * _xlpm.wärmeleistung * H$85,
    IF(_xlpm.leistung &gt; 0, _xlpm.leistung, 0)
)</f>
        <v>0</v>
      </c>
      <c r="I87" s="5">
        <f ca="1">_xlfn.LET(
    _xlpm.wärmeleistung, SUMIFS(
        INDIRECT("tabelle1[Wärmeleistung (75/65/20)  in W/Glied]"),
        INDIRECT("tabelle1[Heizkörper_Typ]"), clc_power!I$81,
        INDIRECT("tabelle1[Heizkörper_Subtyp]"), clc_power!I$82,
        INDIRECT("tabelle1[Höhe H in mm]"), clc_power!I$83,
        INDIRECT("tabelle1[Bautiefe T in mm]"), clc_power!I$84
    ),
    _xlpm.leistung, IN_rooms!T$62 * _xlpm.wärmeleistung * I$85,
    IF(_xlpm.leistung &gt; 0, _xlpm.leistung, 0)
)</f>
        <v>0</v>
      </c>
      <c r="J87" s="5">
        <f ca="1">_xlfn.LET(
    _xlpm.wärmeleistung, SUMIFS(
        INDIRECT("tabelle1[Wärmeleistung (75/65/20)  in W/Glied]"),
        INDIRECT("tabelle1[Heizkörper_Typ]"), clc_power!J$81,
        INDIRECT("tabelle1[Heizkörper_Subtyp]"), clc_power!J$82,
        INDIRECT("tabelle1[Höhe H in mm]"), clc_power!J$83,
        INDIRECT("tabelle1[Bautiefe T in mm]"), clc_power!J$84
    ),
    _xlpm.leistung, IN_rooms!U$62 * _xlpm.wärmeleistung * J$85,
    IF(_xlpm.leistung &gt; 0, _xlpm.leistung, 0)
)</f>
        <v>0</v>
      </c>
      <c r="K87" s="5">
        <f ca="1">_xlfn.LET(
    _xlpm.wärmeleistung, SUMIFS(
        INDIRECT("tabelle1[Wärmeleistung (75/65/20)  in W/Glied]"),
        INDIRECT("tabelle1[Heizkörper_Typ]"), clc_power!K$81,
        INDIRECT("tabelle1[Heizkörper_Subtyp]"), clc_power!K$82,
        INDIRECT("tabelle1[Höhe H in mm]"), clc_power!K$83,
        INDIRECT("tabelle1[Bautiefe T in mm]"), clc_power!K$84
    ),
    _xlpm.leistung, IN_rooms!V$62 * _xlpm.wärmeleistung * K$85,
    IF(_xlpm.leistung &gt; 0, _xlpm.leistung, 0)
)</f>
        <v>0</v>
      </c>
      <c r="L87" s="5">
        <f ca="1">_xlfn.LET(
    _xlpm.wärmeleistung, SUMIFS(
        INDIRECT("tabelle1[Wärmeleistung (75/65/20)  in W/Glied]"),
        INDIRECT("tabelle1[Heizkörper_Typ]"), clc_power!L$81,
        INDIRECT("tabelle1[Heizkörper_Subtyp]"), clc_power!L$82,
        INDIRECT("tabelle1[Höhe H in mm]"), clc_power!L$83,
        INDIRECT("tabelle1[Bautiefe T in mm]"), clc_power!L$84
    ),
    _xlpm.leistung, IN_rooms!W$62 * _xlpm.wärmeleistung * L$85,
    IF(_xlpm.leistung &gt; 0, _xlpm.leistung, 0)
)</f>
        <v>0</v>
      </c>
      <c r="M87" s="5">
        <f ca="1">_xlfn.LET(
    _xlpm.wärmeleistung, SUMIFS(
        INDIRECT("tabelle1[Wärmeleistung (75/65/20)  in W/Glied]"),
        INDIRECT("tabelle1[Heizkörper_Typ]"), clc_power!M$81,
        INDIRECT("tabelle1[Heizkörper_Subtyp]"), clc_power!M$82,
        INDIRECT("tabelle1[Höhe H in mm]"), clc_power!M$83,
        INDIRECT("tabelle1[Bautiefe T in mm]"), clc_power!M$84
    ),
    _xlpm.leistung, IN_rooms!X$62 * _xlpm.wärmeleistung * M$85,
    IF(_xlpm.leistung &gt; 0, _xlpm.leistung, 0)
)</f>
        <v>0</v>
      </c>
      <c r="N87" s="5">
        <f ca="1">_xlfn.LET(
    _xlpm.wärmeleistung, SUMIFS(
        INDIRECT("tabelle1[Wärmeleistung (75/65/20)  in W/Glied]"),
        INDIRECT("tabelle1[Heizkörper_Typ]"), clc_power!N$81,
        INDIRECT("tabelle1[Heizkörper_Subtyp]"), clc_power!N$82,
        INDIRECT("tabelle1[Höhe H in mm]"), clc_power!N$83,
        INDIRECT("tabelle1[Bautiefe T in mm]"), clc_power!N$84
    ),
    _xlpm.leistung, IN_rooms!Y$62 * _xlpm.wärmeleistung * N$85,
    IF(_xlpm.leistung &gt; 0, _xlpm.leistung, 0)
)</f>
        <v>0</v>
      </c>
      <c r="O87" s="5">
        <f ca="1">_xlfn.LET(
    _xlpm.wärmeleistung, SUMIFS(
        INDIRECT("tabelle1[Wärmeleistung (75/65/20)  in W/Glied]"),
        INDIRECT("tabelle1[Heizkörper_Typ]"), clc_power!O$81,
        INDIRECT("tabelle1[Heizkörper_Subtyp]"), clc_power!O$82,
        INDIRECT("tabelle1[Höhe H in mm]"), clc_power!O$83,
        INDIRECT("tabelle1[Bautiefe T in mm]"), clc_power!O$84
    ),
    _xlpm.leistung, IN_rooms!Z$62 * _xlpm.wärmeleistung * O$85,
    IF(_xlpm.leistung &gt; 0, _xlpm.leistung, 0)
)</f>
        <v>0</v>
      </c>
      <c r="P87" s="5">
        <f ca="1">_xlfn.LET(
    _xlpm.wärmeleistung, SUMIFS(
        INDIRECT("tabelle1[Wärmeleistung (75/65/20)  in W/Glied]"),
        INDIRECT("tabelle1[Heizkörper_Typ]"), clc_power!P$81,
        INDIRECT("tabelle1[Heizkörper_Subtyp]"), clc_power!P$82,
        INDIRECT("tabelle1[Höhe H in mm]"), clc_power!P$83,
        INDIRECT("tabelle1[Bautiefe T in mm]"), clc_power!P$84
    ),
    _xlpm.leistung, IN_rooms!AA$62 * _xlpm.wärmeleistung * P$85,
    IF(_xlpm.leistung &gt; 0, _xlpm.leistung, 0)
)</f>
        <v>0</v>
      </c>
      <c r="Q87" s="5">
        <f ca="1">_xlfn.LET(
    _xlpm.wärmeleistung, SUMIFS(
        INDIRECT("tabelle1[Wärmeleistung (75/65/20)  in W/Glied]"),
        INDIRECT("tabelle1[Heizkörper_Typ]"), clc_power!Q$81,
        INDIRECT("tabelle1[Heizkörper_Subtyp]"), clc_power!Q$82,
        INDIRECT("tabelle1[Höhe H in mm]"), clc_power!Q$83,
        INDIRECT("tabelle1[Bautiefe T in mm]"), clc_power!Q$84
    ),
    _xlpm.leistung, IN_rooms!AB$62 * _xlpm.wärmeleistung * Q$85,
    IF(_xlpm.leistung &gt; 0, _xlpm.leistung, 0)
)</f>
        <v>0</v>
      </c>
      <c r="R87" s="5">
        <f ca="1">_xlfn.LET(
    _xlpm.wärmeleistung, SUMIFS(
        INDIRECT("tabelle1[Wärmeleistung (75/65/20)  in W/Glied]"),
        INDIRECT("tabelle1[Heizkörper_Typ]"), clc_power!R$81,
        INDIRECT("tabelle1[Heizkörper_Subtyp]"), clc_power!R$82,
        INDIRECT("tabelle1[Höhe H in mm]"), clc_power!R$83,
        INDIRECT("tabelle1[Bautiefe T in mm]"), clc_power!R$84
    ),
    _xlpm.leistung, IN_rooms!AC$62 * _xlpm.wärmeleistung * R$85,
    IF(_xlpm.leistung &gt; 0, _xlpm.leistung, 0)
)</f>
        <v>0</v>
      </c>
      <c r="S87" s="5">
        <f ca="1">_xlfn.LET(
    _xlpm.wärmeleistung, SUMIFS(
        INDIRECT("tabelle1[Wärmeleistung (75/65/20)  in W/Glied]"),
        INDIRECT("tabelle1[Heizkörper_Typ]"), clc_power!S$81,
        INDIRECT("tabelle1[Heizkörper_Subtyp]"), clc_power!S$82,
        INDIRECT("tabelle1[Höhe H in mm]"), clc_power!S$83,
        INDIRECT("tabelle1[Bautiefe T in mm]"), clc_power!S$84
    ),
    _xlpm.leistung, IN_rooms!AD$62 * _xlpm.wärmeleistung * S$85,
    IF(_xlpm.leistung &gt; 0, _xlpm.leistung, 0)
)</f>
        <v>0</v>
      </c>
      <c r="T87" s="5">
        <f ca="1">_xlfn.LET(
    _xlpm.wärmeleistung, SUMIFS(
        INDIRECT("tabelle1[Wärmeleistung (75/65/20)  in W/Glied]"),
        INDIRECT("tabelle1[Heizkörper_Typ]"), clc_power!T$81,
        INDIRECT("tabelle1[Heizkörper_Subtyp]"), clc_power!T$82,
        INDIRECT("tabelle1[Höhe H in mm]"), clc_power!T$83,
        INDIRECT("tabelle1[Bautiefe T in mm]"), clc_power!T$84
    ),
    _xlpm.leistung, IN_rooms!AE$62 * _xlpm.wärmeleistung * T$85,
    IF(_xlpm.leistung &gt; 0, _xlpm.leistung, 0)
)</f>
        <v>0</v>
      </c>
      <c r="U87" s="5">
        <f ca="1">_xlfn.LET(
    _xlpm.wärmeleistung, SUMIFS(
        INDIRECT("tabelle1[Wärmeleistung (75/65/20)  in W/Glied]"),
        INDIRECT("tabelle1[Heizkörper_Typ]"), clc_power!U$81,
        INDIRECT("tabelle1[Heizkörper_Subtyp]"), clc_power!U$82,
        INDIRECT("tabelle1[Höhe H in mm]"), clc_power!U$83,
        INDIRECT("tabelle1[Bautiefe T in mm]"), clc_power!U$84
    ),
    _xlpm.leistung, IN_rooms!AF$62 * _xlpm.wärmeleistung * U$85,
    IF(_xlpm.leistung &gt; 0, _xlpm.leistung, 0)
)</f>
        <v>0</v>
      </c>
    </row>
    <row r="88" spans="1:21" ht="15.75" thickBot="1">
      <c r="A88" s="72" t="s">
        <v>569</v>
      </c>
      <c r="B88" s="72" t="s">
        <v>419</v>
      </c>
      <c r="C88" s="72" t="s">
        <v>150</v>
      </c>
      <c r="D88" s="72" t="s">
        <v>647</v>
      </c>
      <c r="E88" s="72" t="s">
        <v>26</v>
      </c>
      <c r="G88" s="5">
        <f>TVL_Ziel</f>
        <v>55</v>
      </c>
      <c r="H88" s="5">
        <f t="shared" ref="H88:U88" si="21">TVL_Ziel</f>
        <v>55</v>
      </c>
      <c r="I88" s="5">
        <f t="shared" si="21"/>
        <v>55</v>
      </c>
      <c r="J88" s="5">
        <f t="shared" si="21"/>
        <v>55</v>
      </c>
      <c r="K88" s="5">
        <f t="shared" si="21"/>
        <v>55</v>
      </c>
      <c r="L88" s="5">
        <f t="shared" si="21"/>
        <v>55</v>
      </c>
      <c r="M88" s="5">
        <f t="shared" si="21"/>
        <v>55</v>
      </c>
      <c r="N88" s="5">
        <f t="shared" si="21"/>
        <v>55</v>
      </c>
      <c r="O88" s="5">
        <f t="shared" si="21"/>
        <v>55</v>
      </c>
      <c r="P88" s="5">
        <f t="shared" si="21"/>
        <v>55</v>
      </c>
      <c r="Q88" s="5">
        <f t="shared" si="21"/>
        <v>55</v>
      </c>
      <c r="R88" s="5">
        <f t="shared" si="21"/>
        <v>55</v>
      </c>
      <c r="S88" s="5">
        <f t="shared" si="21"/>
        <v>55</v>
      </c>
      <c r="T88" s="5">
        <f t="shared" si="21"/>
        <v>55</v>
      </c>
      <c r="U88" s="5">
        <f t="shared" si="21"/>
        <v>55</v>
      </c>
    </row>
    <row r="89" spans="1:21" ht="15.75" thickBot="1">
      <c r="A89" s="72" t="s">
        <v>571</v>
      </c>
      <c r="B89" s="72" t="s">
        <v>419</v>
      </c>
      <c r="C89" s="72" t="s">
        <v>150</v>
      </c>
      <c r="D89" s="72" t="s">
        <v>648</v>
      </c>
      <c r="E89" s="72" t="s">
        <v>26</v>
      </c>
      <c r="G89" s="5">
        <f>TRL_Ziel</f>
        <v>45</v>
      </c>
      <c r="H89" s="5">
        <f t="shared" ref="H89:U89" si="22">TRL_Ziel</f>
        <v>45</v>
      </c>
      <c r="I89" s="5">
        <f t="shared" si="22"/>
        <v>45</v>
      </c>
      <c r="J89" s="5">
        <f t="shared" si="22"/>
        <v>45</v>
      </c>
      <c r="K89" s="5">
        <f t="shared" si="22"/>
        <v>45</v>
      </c>
      <c r="L89" s="5">
        <f t="shared" si="22"/>
        <v>45</v>
      </c>
      <c r="M89" s="5">
        <f t="shared" si="22"/>
        <v>45</v>
      </c>
      <c r="N89" s="5">
        <f t="shared" si="22"/>
        <v>45</v>
      </c>
      <c r="O89" s="5">
        <f t="shared" si="22"/>
        <v>45</v>
      </c>
      <c r="P89" s="5">
        <f t="shared" si="22"/>
        <v>45</v>
      </c>
      <c r="Q89" s="5">
        <f t="shared" si="22"/>
        <v>45</v>
      </c>
      <c r="R89" s="5">
        <f t="shared" si="22"/>
        <v>45</v>
      </c>
      <c r="S89" s="5">
        <f t="shared" si="22"/>
        <v>45</v>
      </c>
      <c r="T89" s="5">
        <f t="shared" si="22"/>
        <v>45</v>
      </c>
      <c r="U89" s="5">
        <f t="shared" si="22"/>
        <v>45</v>
      </c>
    </row>
    <row r="90" spans="1:21" ht="15.75" thickBot="1">
      <c r="A90" s="72" t="s">
        <v>573</v>
      </c>
      <c r="B90" s="72" t="s">
        <v>419</v>
      </c>
      <c r="C90" s="72" t="s">
        <v>150</v>
      </c>
      <c r="D90" s="72" t="s">
        <v>649</v>
      </c>
      <c r="E90" s="72" t="s">
        <v>575</v>
      </c>
      <c r="G90" s="34">
        <f>(G$88-G$89)/(LN((G$88-clc_load!I$10)/(G$89-clc_load!I$10)))</f>
        <v>49.83288654563971</v>
      </c>
      <c r="H90" s="34">
        <f>(H$88-H$89)/(LN((H$88-clc_load!J$10)/(H$89-clc_load!J$10)))</f>
        <v>49.83288654563971</v>
      </c>
      <c r="I90" s="34">
        <f>(I$88-I$89)/(LN((I$88-clc_load!K$10)/(I$89-clc_load!K$10)))</f>
        <v>49.83288654563971</v>
      </c>
      <c r="J90" s="34">
        <f>(J$88-J$89)/(LN((J$88-clc_load!L$10)/(J$89-clc_load!L$10)))</f>
        <v>49.83288654563971</v>
      </c>
      <c r="K90" s="34">
        <f>(K$88-K$89)/(LN((K$88-clc_load!M$10)/(K$89-clc_load!M$10)))</f>
        <v>49.83288654563971</v>
      </c>
      <c r="L90" s="34">
        <f>(L$88-L$89)/(LN((L$88-clc_load!N$10)/(L$89-clc_load!N$10)))</f>
        <v>49.83288654563971</v>
      </c>
      <c r="M90" s="34">
        <f>(M$88-M$89)/(LN((M$88-clc_load!O$10)/(M$89-clc_load!O$10)))</f>
        <v>49.83288654563971</v>
      </c>
      <c r="N90" s="34">
        <f>(N$88-N$89)/(LN((N$88-clc_load!P$10)/(N$89-clc_load!P$10)))</f>
        <v>49.83288654563971</v>
      </c>
      <c r="O90" s="34">
        <f>(O$88-O$89)/(LN((O$88-clc_load!Q$10)/(O$89-clc_load!Q$10)))</f>
        <v>49.83288654563971</v>
      </c>
      <c r="P90" s="34">
        <f>(P$88-P$89)/(LN((P$88-clc_load!R$10)/(P$89-clc_load!R$10)))</f>
        <v>49.83288654563971</v>
      </c>
      <c r="Q90" s="34">
        <f>(Q$88-Q$89)/(LN((Q$88-clc_load!S$10)/(Q$89-clc_load!S$10)))</f>
        <v>49.83288654563971</v>
      </c>
      <c r="R90" s="34">
        <f>(R$88-R$89)/(LN((R$88-clc_load!T$10)/(R$89-clc_load!T$10)))</f>
        <v>49.83288654563971</v>
      </c>
      <c r="S90" s="34">
        <f>(S$88-S$89)/(LN((S$88-clc_load!U$10)/(S$89-clc_load!U$10)))</f>
        <v>49.83288654563971</v>
      </c>
      <c r="T90" s="34">
        <f>(T$88-T$89)/(LN((T$88-clc_load!V$10)/(T$89-clc_load!V$10)))</f>
        <v>49.83288654563971</v>
      </c>
      <c r="U90" s="34">
        <f>(U$88-U$89)/(LN((U$88-clc_load!W$10)/(U$89-clc_load!W$10)))</f>
        <v>49.83288654563971</v>
      </c>
    </row>
    <row r="91" spans="1:21" ht="15.75" thickBot="1">
      <c r="A91" s="72" t="s">
        <v>576</v>
      </c>
      <c r="B91" s="72" t="s">
        <v>419</v>
      </c>
      <c r="C91" s="72" t="s">
        <v>150</v>
      </c>
      <c r="D91" s="72" t="s">
        <v>650</v>
      </c>
      <c r="E91" s="72" t="s">
        <v>31</v>
      </c>
      <c r="G91" s="5">
        <f t="shared" ref="G91:U91" ca="1" si="23">IF(G$87*((G$90/Log_ÜT_Norm)^G$86)&gt;0,
G$87*((G$90/Log_ÜT_Norm)^G$86),0)</f>
        <v>0</v>
      </c>
      <c r="H91" s="5">
        <f t="shared" ca="1" si="23"/>
        <v>0</v>
      </c>
      <c r="I91" s="5">
        <f t="shared" ca="1" si="23"/>
        <v>0</v>
      </c>
      <c r="J91" s="5">
        <f t="shared" ca="1" si="23"/>
        <v>0</v>
      </c>
      <c r="K91" s="5">
        <f t="shared" ca="1" si="23"/>
        <v>0</v>
      </c>
      <c r="L91" s="5">
        <f t="shared" ca="1" si="23"/>
        <v>0</v>
      </c>
      <c r="M91" s="5">
        <f t="shared" ca="1" si="23"/>
        <v>0</v>
      </c>
      <c r="N91" s="5">
        <f t="shared" ca="1" si="23"/>
        <v>0</v>
      </c>
      <c r="O91" s="5">
        <f t="shared" ca="1" si="23"/>
        <v>0</v>
      </c>
      <c r="P91" s="5">
        <f t="shared" ca="1" si="23"/>
        <v>0</v>
      </c>
      <c r="Q91" s="5">
        <f t="shared" ca="1" si="23"/>
        <v>0</v>
      </c>
      <c r="R91" s="5">
        <f t="shared" ca="1" si="23"/>
        <v>0</v>
      </c>
      <c r="S91" s="5">
        <f t="shared" ca="1" si="23"/>
        <v>0</v>
      </c>
      <c r="T91" s="5">
        <f t="shared" ca="1" si="23"/>
        <v>0</v>
      </c>
      <c r="U91" s="5">
        <f t="shared" ca="1" si="23"/>
        <v>0</v>
      </c>
    </row>
    <row r="92" spans="1:21" ht="15.75" thickBot="1">
      <c r="A92" s="103" t="s">
        <v>578</v>
      </c>
      <c r="B92" s="103" t="s">
        <v>419</v>
      </c>
      <c r="C92" s="103" t="s">
        <v>579</v>
      </c>
      <c r="D92" s="103" t="s">
        <v>651</v>
      </c>
      <c r="E92" s="103" t="s">
        <v>31</v>
      </c>
      <c r="G92" s="34">
        <f ca="1">_xlfn.LET(
    _xlpm.typ, "Flachheizkoerper_senkrecht_profiliert",
    _xlpm.subtyp, "Typ_33",
    _xlpm.f_höhe,IF(G$83&gt;900,1.2,1),
    _xlpm.höhe, _xlfn.XLOOKUP(G$83/_xlpm.f_höhe, Data_radiator!$G$5:$G$32, Data_radiator!$G$5:$G$32, 1000000, 1, 1),
    _xlpm.tiefe, 155,
    _xlpm.glieder, G$85,
    _xlpm.radiatorart, G$82,
    _xlpm.tempfaktor, IF(_xlpm.radiatorart = "Gussradiator", 50, 60),
    _xlpm.überschuss, G$90,
    _xlpm.leistung, IN_rooms!R$62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H92" s="34">
        <f ca="1">_xlfn.LET(
    _xlpm.typ, "Flachheizkoerper_senkrecht_profiliert",
    _xlpm.subtyp, "Typ_33",
    _xlpm.f_höhe,IF(H$83&gt;900,1.2,1),
    _xlpm.höhe, _xlfn.XLOOKUP(H$83/_xlpm.f_höhe, Data_radiator!$G$5:$G$32, Data_radiator!$G$5:$G$32, 1000000, 1, 1),
    _xlpm.tiefe, 155,
    _xlpm.glieder, H$85,
    _xlpm.radiatorart, H$82,
    _xlpm.tempfaktor, IF(_xlpm.radiatorart = "Gussradiator", 50, 60),
    _xlpm.überschuss, H$90,
    _xlpm.leistung, IN_rooms!S$62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I92" s="34">
        <f ca="1">_xlfn.LET(
    _xlpm.typ, "Flachheizkoerper_senkrecht_profiliert",
    _xlpm.subtyp, "Typ_33",
    _xlpm.f_höhe,IF(I$83&gt;900,1.2,1),
    _xlpm.höhe, _xlfn.XLOOKUP(I$83/_xlpm.f_höhe, Data_radiator!$G$5:$G$32, Data_radiator!$G$5:$G$32, 1000000, 1, 1),
    _xlpm.tiefe, 155,
    _xlpm.glieder, I$85,
    _xlpm.radiatorart, I$82,
    _xlpm.tempfaktor, IF(_xlpm.radiatorart = "Gussradiator", 50, 60),
    _xlpm.überschuss, I$90,
    _xlpm.leistung, IN_rooms!T$62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J92" s="34">
        <f ca="1">_xlfn.LET(
    _xlpm.typ, "Flachheizkoerper_senkrecht_profiliert",
    _xlpm.subtyp, "Typ_33",
    _xlpm.f_höhe,IF(J$83&gt;900,1.2,1),
    _xlpm.höhe, _xlfn.XLOOKUP(J$83/_xlpm.f_höhe, Data_radiator!$G$5:$G$32, Data_radiator!$G$5:$G$32, 1000000, 1, 1),
    _xlpm.tiefe, 155,
    _xlpm.glieder, J$85,
    _xlpm.radiatorart, J$82,
    _xlpm.tempfaktor, IF(_xlpm.radiatorart = "Gussradiator", 50, 60),
    _xlpm.überschuss, J$90,
    _xlpm.leistung, IN_rooms!U$62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K92" s="34">
        <f ca="1">_xlfn.LET(
    _xlpm.typ, "Flachheizkoerper_senkrecht_profiliert",
    _xlpm.subtyp, "Typ_33",
    _xlpm.f_höhe,IF(K$83&gt;900,1.2,1),
    _xlpm.höhe, _xlfn.XLOOKUP(K$83/_xlpm.f_höhe, Data_radiator!$G$5:$G$32, Data_radiator!$G$5:$G$32, 1000000, 1, 1),
    _xlpm.tiefe, 155,
    _xlpm.glieder, K$85,
    _xlpm.radiatorart, K$82,
    _xlpm.tempfaktor, IF(_xlpm.radiatorart = "Gussradiator", 50, 60),
    _xlpm.überschuss, K$90,
    _xlpm.leistung, IN_rooms!V$62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L92" s="34">
        <f ca="1">_xlfn.LET(
    _xlpm.typ, "Flachheizkoerper_senkrecht_profiliert",
    _xlpm.subtyp, "Typ_33",
    _xlpm.f_höhe,IF(L$83&gt;900,1.2,1),
    _xlpm.höhe, _xlfn.XLOOKUP(L$83/_xlpm.f_höhe, Data_radiator!$G$5:$G$32, Data_radiator!$G$5:$G$32, 1000000, 1, 1),
    _xlpm.tiefe, 155,
    _xlpm.glieder, L$85,
    _xlpm.radiatorart, L$82,
    _xlpm.tempfaktor, IF(_xlpm.radiatorart = "Gussradiator", 50, 60),
    _xlpm.überschuss, L$90,
    _xlpm.leistung, IN_rooms!W$62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M92" s="34">
        <f ca="1">_xlfn.LET(
    _xlpm.typ, "Flachheizkoerper_senkrecht_profiliert",
    _xlpm.subtyp, "Typ_33",
    _xlpm.f_höhe,IF(M$83&gt;900,1.2,1),
    _xlpm.höhe, _xlfn.XLOOKUP(M$83/_xlpm.f_höhe, Data_radiator!$G$5:$G$32, Data_radiator!$G$5:$G$32, 1000000, 1, 1),
    _xlpm.tiefe, 155,
    _xlpm.glieder, M$85,
    _xlpm.radiatorart, M$82,
    _xlpm.tempfaktor, IF(_xlpm.radiatorart = "Gussradiator", 50, 60),
    _xlpm.überschuss, M$90,
    _xlpm.leistung, IN_rooms!X$62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N92" s="34">
        <f ca="1">_xlfn.LET(
    _xlpm.typ, "Flachheizkoerper_senkrecht_profiliert",
    _xlpm.subtyp, "Typ_33",
    _xlpm.f_höhe,IF(N$83&gt;900,1.2,1),
    _xlpm.höhe, _xlfn.XLOOKUP(N$83/_xlpm.f_höhe, Data_radiator!$G$5:$G$32, Data_radiator!$G$5:$G$32, 1000000, 1, 1),
    _xlpm.tiefe, 155,
    _xlpm.glieder, N$85,
    _xlpm.radiatorart, N$82,
    _xlpm.tempfaktor, IF(_xlpm.radiatorart = "Gussradiator", 50, 60),
    _xlpm.überschuss, N$90,
    _xlpm.leistung, IN_rooms!Y$62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O92" s="34">
        <f ca="1">_xlfn.LET(
    _xlpm.typ, "Flachheizkoerper_senkrecht_profiliert",
    _xlpm.subtyp, "Typ_33",
    _xlpm.f_höhe,IF(O$83&gt;900,1.2,1),
    _xlpm.höhe, _xlfn.XLOOKUP(O$83/_xlpm.f_höhe, Data_radiator!$G$5:$G$32, Data_radiator!$G$5:$G$32, 1000000, 1, 1),
    _xlpm.tiefe, 155,
    _xlpm.glieder, O$85,
    _xlpm.radiatorart, O$82,
    _xlpm.tempfaktor, IF(_xlpm.radiatorart = "Gussradiator", 50, 60),
    _xlpm.überschuss, O$90,
    _xlpm.leistung, IN_rooms!Z$62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P92" s="34">
        <f ca="1">_xlfn.LET(
    _xlpm.typ, "Flachheizkoerper_senkrecht_profiliert",
    _xlpm.subtyp, "Typ_33",
    _xlpm.f_höhe,IF(P$83&gt;900,1.2,1),
    _xlpm.höhe, _xlfn.XLOOKUP(P$83/_xlpm.f_höhe, Data_radiator!$G$5:$G$32, Data_radiator!$G$5:$G$32, 1000000, 1, 1),
    _xlpm.tiefe, 155,
    _xlpm.glieder, P$85,
    _xlpm.radiatorart, P$82,
    _xlpm.tempfaktor, IF(_xlpm.radiatorart = "Gussradiator", 50, 60),
    _xlpm.überschuss, P$90,
    _xlpm.leistung, IN_rooms!AA$62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Q92" s="34">
        <f ca="1">_xlfn.LET(
    _xlpm.typ, "Flachheizkoerper_senkrecht_profiliert",
    _xlpm.subtyp, "Typ_33",
    _xlpm.f_höhe,IF(Q$83&gt;900,1.2,1),
    _xlpm.höhe, _xlfn.XLOOKUP(Q$83/_xlpm.f_höhe, Data_radiator!$G$5:$G$32, Data_radiator!$G$5:$G$32, 1000000, 1, 1),
    _xlpm.tiefe, 155,
    _xlpm.glieder, Q$85,
    _xlpm.radiatorart, Q$82,
    _xlpm.tempfaktor, IF(_xlpm.radiatorart = "Gussradiator", 50, 60),
    _xlpm.überschuss, Q$90,
    _xlpm.leistung, IN_rooms!AB$62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R92" s="34">
        <f ca="1">_xlfn.LET(
    _xlpm.typ, "Flachheizkoerper_senkrecht_profiliert",
    _xlpm.subtyp, "Typ_33",
    _xlpm.f_höhe,IF(R$83&gt;900,1.2,1),
    _xlpm.höhe, _xlfn.XLOOKUP(R$83/_xlpm.f_höhe, Data_radiator!$G$5:$G$32, Data_radiator!$G$5:$G$32, 1000000, 1, 1),
    _xlpm.tiefe, 155,
    _xlpm.glieder, R$85,
    _xlpm.radiatorart, R$82,
    _xlpm.tempfaktor, IF(_xlpm.radiatorart = "Gussradiator", 50, 60),
    _xlpm.überschuss, R$90,
    _xlpm.leistung, IN_rooms!AC$62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S92" s="34">
        <f ca="1">_xlfn.LET(
    _xlpm.typ, "Flachheizkoerper_senkrecht_profiliert",
    _xlpm.subtyp, "Typ_33",
    _xlpm.f_höhe,IF(S$83&gt;900,1.2,1),
    _xlpm.höhe, _xlfn.XLOOKUP(S$83/_xlpm.f_höhe, Data_radiator!$G$5:$G$32, Data_radiator!$G$5:$G$32, 1000000, 1, 1),
    _xlpm.tiefe, 155,
    _xlpm.glieder, S$85,
    _xlpm.radiatorart, S$82,
    _xlpm.tempfaktor, IF(_xlpm.radiatorart = "Gussradiator", 50, 60),
    _xlpm.überschuss, S$90,
    _xlpm.leistung, IN_rooms!AD$62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T92" s="34">
        <f ca="1">_xlfn.LET(
    _xlpm.typ, "Flachheizkoerper_senkrecht_profiliert",
    _xlpm.subtyp, "Typ_33",
    _xlpm.f_höhe,IF(T$83&gt;900,1.2,1),
    _xlpm.höhe, _xlfn.XLOOKUP(T$83/_xlpm.f_höhe, Data_radiator!$G$5:$G$32, Data_radiator!$G$5:$G$32, 1000000, 1, 1),
    _xlpm.tiefe, 155,
    _xlpm.glieder, T$85,
    _xlpm.radiatorart, T$82,
    _xlpm.tempfaktor, IF(_xlpm.radiatorart = "Gussradiator", 50, 60),
    _xlpm.überschuss, T$90,
    _xlpm.leistung, IN_rooms!AE$62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U92" s="34">
        <f ca="1">_xlfn.LET(
    _xlpm.typ, "Flachheizkoerper_senkrecht_profiliert",
    _xlpm.subtyp, "Typ_33",
    _xlpm.f_höhe,IF(U$83&gt;900,1.2,1),
    _xlpm.höhe, _xlfn.XLOOKUP(U$83/_xlpm.f_höhe, Data_radiator!$G$5:$G$32, Data_radiator!$G$5:$G$32, 1000000, 1, 1),
    _xlpm.tiefe, 155,
    _xlpm.glieder, U$85,
    _xlpm.radiatorart, U$82,
    _xlpm.tempfaktor, IF(_xlpm.radiatorart = "Gussradiator", 50, 60),
    _xlpm.überschuss, U$90,
    _xlpm.leistung, IN_rooms!AF$62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row>
    <row r="93" spans="1:21" ht="15.75" thickBot="1">
      <c r="A93" s="101" t="s">
        <v>405</v>
      </c>
      <c r="B93" s="101" t="s">
        <v>419</v>
      </c>
      <c r="C93" s="101" t="s">
        <v>154</v>
      </c>
      <c r="D93" s="101" t="s">
        <v>652</v>
      </c>
      <c r="E93" s="101"/>
      <c r="G93" s="5" t="str">
        <f>IF(IN_rooms!R$56="Rohrradiator",IN_rooms!R$56,"")</f>
        <v/>
      </c>
      <c r="H93" s="5" t="str">
        <f>IF(IN_rooms!S$56="Rohrradiator",IN_rooms!S$56,"")</f>
        <v/>
      </c>
      <c r="I93" s="5" t="str">
        <f>IF(IN_rooms!T$56="Rohrradiator",IN_rooms!T$56,"")</f>
        <v/>
      </c>
      <c r="J93" s="5" t="str">
        <f>IF(IN_rooms!U$56="Rohrradiator",IN_rooms!U$56,"")</f>
        <v/>
      </c>
      <c r="K93" s="5" t="str">
        <f>IF(IN_rooms!V$56="Rohrradiator",IN_rooms!V$56,"")</f>
        <v/>
      </c>
      <c r="L93" s="5" t="str">
        <f>IF(IN_rooms!W$56="Rohrradiator",IN_rooms!W$56,"")</f>
        <v/>
      </c>
      <c r="M93" s="5" t="str">
        <f>IF(IN_rooms!X$56="Rohrradiator",IN_rooms!X$56,"")</f>
        <v/>
      </c>
      <c r="N93" s="5" t="str">
        <f>IF(IN_rooms!Y$56="Rohrradiator",IN_rooms!Y$56,"")</f>
        <v/>
      </c>
      <c r="O93" s="5" t="str">
        <f>IF(IN_rooms!Z$56="Rohrradiator",IN_rooms!Z$56,"")</f>
        <v/>
      </c>
      <c r="P93" s="5" t="str">
        <f>IF(IN_rooms!AA$56="Rohrradiator",IN_rooms!AA$56,"")</f>
        <v/>
      </c>
      <c r="Q93" s="5" t="str">
        <f>IF(IN_rooms!AB$56="Rohrradiator",IN_rooms!AB$56,"")</f>
        <v/>
      </c>
      <c r="R93" s="5" t="str">
        <f>IF(IN_rooms!AC$56="Rohrradiator",IN_rooms!AC$56,"")</f>
        <v/>
      </c>
      <c r="S93" s="5" t="str">
        <f>IF(IN_rooms!AD$56="Rohrradiator",IN_rooms!AD$56,"")</f>
        <v/>
      </c>
      <c r="T93" s="5" t="str">
        <f>IF(IN_rooms!AE$56="Rohrradiator",IN_rooms!AE$56,"")</f>
        <v/>
      </c>
      <c r="U93" s="5" t="str">
        <f>IF(IN_rooms!AF$56="Rohrradiator",IN_rooms!AF$56,"")</f>
        <v/>
      </c>
    </row>
    <row r="94" spans="1:21" ht="15.75" thickBot="1">
      <c r="A94" s="101" t="s">
        <v>559</v>
      </c>
      <c r="B94" s="101" t="s">
        <v>419</v>
      </c>
      <c r="C94" s="101" t="s">
        <v>154</v>
      </c>
      <c r="D94" s="101" t="s">
        <v>653</v>
      </c>
      <c r="E94" s="101"/>
      <c r="G94" s="5">
        <f>IN_rooms!R$57</f>
        <v>0</v>
      </c>
      <c r="H94" s="5">
        <f>IN_rooms!S$57</f>
        <v>0</v>
      </c>
      <c r="I94" s="5">
        <f>IN_rooms!T$57</f>
        <v>0</v>
      </c>
      <c r="J94" s="5">
        <f>IN_rooms!U$57</f>
        <v>0</v>
      </c>
      <c r="K94" s="5">
        <f>IN_rooms!V$57</f>
        <v>0</v>
      </c>
      <c r="L94" s="5">
        <f>IN_rooms!W$57</f>
        <v>0</v>
      </c>
      <c r="M94" s="5">
        <f>IN_rooms!X$57</f>
        <v>0</v>
      </c>
      <c r="N94" s="5">
        <f>IN_rooms!Y$57</f>
        <v>0</v>
      </c>
      <c r="O94" s="5">
        <f>IN_rooms!Z$57</f>
        <v>0</v>
      </c>
      <c r="P94" s="5">
        <f>IN_rooms!AA$57</f>
        <v>0</v>
      </c>
      <c r="Q94" s="5">
        <f>IN_rooms!AB$57</f>
        <v>0</v>
      </c>
      <c r="R94" s="5">
        <f>IN_rooms!AC$57</f>
        <v>0</v>
      </c>
      <c r="S94" s="5">
        <f>IN_rooms!AD$57</f>
        <v>0</v>
      </c>
      <c r="T94" s="5">
        <f>IN_rooms!AE$57</f>
        <v>0</v>
      </c>
      <c r="U94" s="5">
        <f>IN_rooms!AF$57</f>
        <v>0</v>
      </c>
    </row>
    <row r="95" spans="1:21" ht="15.75" thickBot="1">
      <c r="A95" s="101" t="s">
        <v>561</v>
      </c>
      <c r="B95" s="101" t="s">
        <v>419</v>
      </c>
      <c r="C95" s="101" t="s">
        <v>154</v>
      </c>
      <c r="D95" s="101" t="s">
        <v>654</v>
      </c>
      <c r="E95" s="101" t="s">
        <v>409</v>
      </c>
      <c r="G95" s="5">
        <f>IN_rooms!R$58</f>
        <v>0</v>
      </c>
      <c r="H95" s="5">
        <f>IN_rooms!S$58</f>
        <v>0</v>
      </c>
      <c r="I95" s="5">
        <f>IN_rooms!T$58</f>
        <v>0</v>
      </c>
      <c r="J95" s="5">
        <f>IN_rooms!U$58</f>
        <v>0</v>
      </c>
      <c r="K95" s="5">
        <f>IN_rooms!V$58</f>
        <v>0</v>
      </c>
      <c r="L95" s="5">
        <f>IN_rooms!W$58</f>
        <v>0</v>
      </c>
      <c r="M95" s="5">
        <f>IN_rooms!X$58</f>
        <v>0</v>
      </c>
      <c r="N95" s="5">
        <f>IN_rooms!Y$58</f>
        <v>0</v>
      </c>
      <c r="O95" s="5">
        <f>IN_rooms!Z$58</f>
        <v>0</v>
      </c>
      <c r="P95" s="5">
        <f>IN_rooms!AA$58</f>
        <v>0</v>
      </c>
      <c r="Q95" s="5">
        <f>IN_rooms!AB$58</f>
        <v>0</v>
      </c>
      <c r="R95" s="5">
        <f>IN_rooms!AC$58</f>
        <v>0</v>
      </c>
      <c r="S95" s="5">
        <f>IN_rooms!AD$58</f>
        <v>0</v>
      </c>
      <c r="T95" s="5">
        <f>IN_rooms!AE$58</f>
        <v>0</v>
      </c>
      <c r="U95" s="5">
        <f>IN_rooms!AF$58</f>
        <v>0</v>
      </c>
    </row>
    <row r="96" spans="1:21" ht="15.75" thickBot="1">
      <c r="A96" s="101" t="s">
        <v>175</v>
      </c>
      <c r="B96" s="101" t="s">
        <v>419</v>
      </c>
      <c r="C96" s="101" t="s">
        <v>154</v>
      </c>
      <c r="D96" s="101" t="s">
        <v>655</v>
      </c>
      <c r="E96" s="101" t="s">
        <v>409</v>
      </c>
      <c r="G96" s="5" cm="1">
        <f t="array" ref="G96">IF(G94="Fensterbankradiator",
IF(IN_rooms!R$59=0,0,INDEX(Fensterbankradiator_b[],MATCH(MIN(ABS(Fensterbankradiator_b[]-IN_rooms!R$59)),ABS(Fensterbankradiator_b[]-IN_rooms!R$59),0))),
IN_rooms!R$59)</f>
        <v>0</v>
      </c>
      <c r="H96" s="5" cm="1">
        <f t="array" ref="H96">IF(H94="Fensterbankradiator",
IF(IN_rooms!S$59=0,0,INDEX(Fensterbankradiator_b[],MATCH(MIN(ABS(Fensterbankradiator_b[]-IN_rooms!S$59)),ABS(Fensterbankradiator_b[]-IN_rooms!S$59),0))),
IN_rooms!S$59)</f>
        <v>0</v>
      </c>
      <c r="I96" s="5" cm="1">
        <f t="array" ref="I96">IF(I94="Fensterbankradiator",
IF(IN_rooms!T$59=0,0,INDEX(Fensterbankradiator_b[],MATCH(MIN(ABS(Fensterbankradiator_b[]-IN_rooms!T$59)),ABS(Fensterbankradiator_b[]-IN_rooms!T$59),0))),
IN_rooms!T$59)</f>
        <v>0</v>
      </c>
      <c r="J96" s="5" cm="1">
        <f t="array" ref="J96">IF(J94="Fensterbankradiator",
IF(IN_rooms!U$59=0,0,INDEX(Fensterbankradiator_b[],MATCH(MIN(ABS(Fensterbankradiator_b[]-IN_rooms!U$59)),ABS(Fensterbankradiator_b[]-IN_rooms!U$59),0))),
IN_rooms!U$59)</f>
        <v>0</v>
      </c>
      <c r="K96" s="5" cm="1">
        <f t="array" ref="K96">IF(K94="Fensterbankradiator",
IF(IN_rooms!V$59=0,0,INDEX(Fensterbankradiator_b[],MATCH(MIN(ABS(Fensterbankradiator_b[]-IN_rooms!V$59)),ABS(Fensterbankradiator_b[]-IN_rooms!V$59),0))),
IN_rooms!V$59)</f>
        <v>0</v>
      </c>
      <c r="L96" s="5" cm="1">
        <f t="array" ref="L96">IF(L94="Fensterbankradiator",
IF(IN_rooms!W$59=0,0,INDEX(Fensterbankradiator_b[],MATCH(MIN(ABS(Fensterbankradiator_b[]-IN_rooms!W$59)),ABS(Fensterbankradiator_b[]-IN_rooms!W$59),0))),
IN_rooms!W$59)</f>
        <v>0</v>
      </c>
      <c r="M96" s="5" cm="1">
        <f t="array" ref="M96">IF(M94="Fensterbankradiator",
IF(IN_rooms!X$59=0,0,INDEX(Fensterbankradiator_b[],MATCH(MIN(ABS(Fensterbankradiator_b[]-IN_rooms!X$59)),ABS(Fensterbankradiator_b[]-IN_rooms!X$59),0))),
IN_rooms!X$59)</f>
        <v>0</v>
      </c>
      <c r="N96" s="5" cm="1">
        <f t="array" ref="N96">IF(N94="Fensterbankradiator",
IF(IN_rooms!Y$59=0,0,INDEX(Fensterbankradiator_b[],MATCH(MIN(ABS(Fensterbankradiator_b[]-IN_rooms!Y$59)),ABS(Fensterbankradiator_b[]-IN_rooms!Y$59),0))),
IN_rooms!Y$59)</f>
        <v>0</v>
      </c>
      <c r="O96" s="5" cm="1">
        <f t="array" ref="O96">IF(O94="Fensterbankradiator",
IF(IN_rooms!Z$59=0,0,INDEX(Fensterbankradiator_b[],MATCH(MIN(ABS(Fensterbankradiator_b[]-IN_rooms!Z$59)),ABS(Fensterbankradiator_b[]-IN_rooms!Z$59),0))),
IN_rooms!Z$59)</f>
        <v>0</v>
      </c>
      <c r="P96" s="5" cm="1">
        <f t="array" ref="P96">IF(P94="Fensterbankradiator",
IF(IN_rooms!AA$59=0,0,INDEX(Fensterbankradiator_b[],MATCH(MIN(ABS(Fensterbankradiator_b[]-IN_rooms!AA$59)),ABS(Fensterbankradiator_b[]-IN_rooms!AA$59),0))),
IN_rooms!AA$59)</f>
        <v>0</v>
      </c>
      <c r="Q96" s="5" cm="1">
        <f t="array" ref="Q96">IF(Q94="Fensterbankradiator",
IF(IN_rooms!AB$59=0,0,INDEX(Fensterbankradiator_b[],MATCH(MIN(ABS(Fensterbankradiator_b[]-IN_rooms!AB$59)),ABS(Fensterbankradiator_b[]-IN_rooms!AB$59),0))),
IN_rooms!AB$59)</f>
        <v>0</v>
      </c>
      <c r="R96" s="5" cm="1">
        <f t="array" ref="R96">IF(R94="Fensterbankradiator",
IF(IN_rooms!AC$59=0,0,INDEX(Fensterbankradiator_b[],MATCH(MIN(ABS(Fensterbankradiator_b[]-IN_rooms!AC$59)),ABS(Fensterbankradiator_b[]-IN_rooms!AC$59),0))),
IN_rooms!AC$59)</f>
        <v>0</v>
      </c>
      <c r="S96" s="5" cm="1">
        <f t="array" ref="S96">IF(S94="Fensterbankradiator",
IF(IN_rooms!AD$59=0,0,INDEX(Fensterbankradiator_b[],MATCH(MIN(ABS(Fensterbankradiator_b[]-IN_rooms!AD$59)),ABS(Fensterbankradiator_b[]-IN_rooms!AD$59),0))),
IN_rooms!AD$59)</f>
        <v>0</v>
      </c>
      <c r="T96" s="5" cm="1">
        <f t="array" ref="T96">IF(T94="Fensterbankradiator",
IF(IN_rooms!AE$59=0,0,INDEX(Fensterbankradiator_b[],MATCH(MIN(ABS(Fensterbankradiator_b[]-IN_rooms!AE$59)),ABS(Fensterbankradiator_b[]-IN_rooms!AE$59),0))),
IN_rooms!AE$59)</f>
        <v>0</v>
      </c>
      <c r="U96" s="5" cm="1">
        <f t="array" ref="U96">IF(U94="Fensterbankradiator",
IF(IN_rooms!AF$59=0,0,INDEX(Fensterbankradiator_b[],MATCH(MIN(ABS(Fensterbankradiator_b[]-IN_rooms!AF$59)),ABS(Fensterbankradiator_b[]-IN_rooms!AF$59),0))),
IN_rooms!AF$59)</f>
        <v>0</v>
      </c>
    </row>
    <row r="97" spans="1:21" ht="15.75" thickBot="1">
      <c r="A97" s="101" t="s">
        <v>412</v>
      </c>
      <c r="B97" s="101" t="s">
        <v>419</v>
      </c>
      <c r="C97" s="101" t="s">
        <v>154</v>
      </c>
      <c r="D97" s="101" t="s">
        <v>656</v>
      </c>
      <c r="E97" s="101" t="s">
        <v>409</v>
      </c>
      <c r="G97" s="5">
        <f>IN_rooms!R$60</f>
        <v>0</v>
      </c>
      <c r="H97" s="5">
        <f>IN_rooms!S$60</f>
        <v>0</v>
      </c>
      <c r="I97" s="5">
        <f>IN_rooms!T$60</f>
        <v>0</v>
      </c>
      <c r="J97" s="5">
        <f>IN_rooms!U$60</f>
        <v>0</v>
      </c>
      <c r="K97" s="5">
        <f>IN_rooms!V$60</f>
        <v>0</v>
      </c>
      <c r="L97" s="5">
        <f>IN_rooms!W$60</f>
        <v>0</v>
      </c>
      <c r="M97" s="5">
        <f>IN_rooms!X$60</f>
        <v>0</v>
      </c>
      <c r="N97" s="5">
        <f>IN_rooms!Y$60</f>
        <v>0</v>
      </c>
      <c r="O97" s="5">
        <f>IN_rooms!Z$60</f>
        <v>0</v>
      </c>
      <c r="P97" s="5">
        <f>IN_rooms!AA$60</f>
        <v>0</v>
      </c>
      <c r="Q97" s="5">
        <f>IN_rooms!AB$60</f>
        <v>0</v>
      </c>
      <c r="R97" s="5">
        <f>IN_rooms!AC$60</f>
        <v>0</v>
      </c>
      <c r="S97" s="5">
        <f>IN_rooms!AD$60</f>
        <v>0</v>
      </c>
      <c r="T97" s="5">
        <f>IN_rooms!AE$60</f>
        <v>0</v>
      </c>
      <c r="U97" s="5">
        <f>IN_rooms!AF$60</f>
        <v>0</v>
      </c>
    </row>
    <row r="98" spans="1:21" ht="15.75" thickBot="1">
      <c r="A98" s="101" t="s">
        <v>585</v>
      </c>
      <c r="B98" s="101" t="s">
        <v>419</v>
      </c>
      <c r="C98" s="101" t="s">
        <v>154</v>
      </c>
      <c r="D98" s="101" t="s">
        <v>657</v>
      </c>
      <c r="E98" s="101" t="s">
        <v>587</v>
      </c>
      <c r="G98" s="5">
        <f>IN_rooms!R$61</f>
        <v>0</v>
      </c>
      <c r="H98" s="5">
        <f>IN_rooms!S$61</f>
        <v>0</v>
      </c>
      <c r="I98" s="5">
        <f>IN_rooms!T$61</f>
        <v>0</v>
      </c>
      <c r="J98" s="5">
        <f>IN_rooms!U$61</f>
        <v>0</v>
      </c>
      <c r="K98" s="5">
        <f>IN_rooms!V$61</f>
        <v>0</v>
      </c>
      <c r="L98" s="5">
        <f>IN_rooms!W$61</f>
        <v>0</v>
      </c>
      <c r="M98" s="5">
        <f>IN_rooms!X$61</f>
        <v>0</v>
      </c>
      <c r="N98" s="5">
        <f>IN_rooms!Y$61</f>
        <v>0</v>
      </c>
      <c r="O98" s="5">
        <f>IN_rooms!Z$61</f>
        <v>0</v>
      </c>
      <c r="P98" s="5">
        <f>IN_rooms!AA$61</f>
        <v>0</v>
      </c>
      <c r="Q98" s="5">
        <f>IN_rooms!AB$61</f>
        <v>0</v>
      </c>
      <c r="R98" s="5">
        <f>IN_rooms!AC$61</f>
        <v>0</v>
      </c>
      <c r="S98" s="5">
        <f>IN_rooms!AD$61</f>
        <v>0</v>
      </c>
      <c r="T98" s="5">
        <f>IN_rooms!AE$61</f>
        <v>0</v>
      </c>
      <c r="U98" s="5">
        <f>IN_rooms!AF$61</f>
        <v>0</v>
      </c>
    </row>
    <row r="99" spans="1:21" ht="15.75" thickBot="1">
      <c r="A99" s="101" t="s">
        <v>565</v>
      </c>
      <c r="B99" s="101" t="s">
        <v>419</v>
      </c>
      <c r="C99" s="101" t="s">
        <v>154</v>
      </c>
      <c r="D99" s="101" t="s">
        <v>658</v>
      </c>
      <c r="E99" s="101"/>
      <c r="G99" s="5" cm="1">
        <f t="array" ref="G99">_xlfn.IFS(
         G$94 = "Stahlrohrradiator", 1.3,
         G$94 = "Fensterbankradiator", 1.3,
         G$94 = "Handtuchradiator", 1.21,
        G$93 = "", 0
    )</f>
        <v>0</v>
      </c>
      <c r="H99" s="5" cm="1">
        <f t="array" ref="H99">_xlfn.IFS(
         H$94 = "Stahlrohrradiator", 1.3,
         H$94 = "Fensterbankradiator", 1.3,
         H$94 = "Handtuchradiator", 1.21,
        H$93 = "", 0
    )</f>
        <v>0</v>
      </c>
      <c r="I99" s="5" cm="1">
        <f t="array" ref="I99">_xlfn.IFS(
         I$94 = "Stahlrohrradiator", 1.3,
         I$94 = "Fensterbankradiator", 1.3,
         I$94 = "Handtuchradiator", 1.21,
        I$93 = "", 0
    )</f>
        <v>0</v>
      </c>
      <c r="J99" s="5" cm="1">
        <f t="array" ref="J99">_xlfn.IFS(
         J$94 = "Stahlrohrradiator", 1.3,
         J$94 = "Fensterbankradiator", 1.3,
         J$94 = "Handtuchradiator", 1.21,
        J$93 = "", 0
    )</f>
        <v>0</v>
      </c>
      <c r="K99" s="5" cm="1">
        <f t="array" ref="K99">_xlfn.IFS(
         K$94 = "Stahlrohrradiator", 1.3,
         K$94 = "Fensterbankradiator", 1.3,
         K$94 = "Handtuchradiator", 1.21,
        K$93 = "", 0
    )</f>
        <v>0</v>
      </c>
      <c r="L99" s="5" cm="1">
        <f t="array" ref="L99">_xlfn.IFS(
         L$94 = "Stahlrohrradiator", 1.3,
         L$94 = "Fensterbankradiator", 1.3,
         L$94 = "Handtuchradiator", 1.21,
        L$93 = "", 0
    )</f>
        <v>0</v>
      </c>
      <c r="M99" s="5" cm="1">
        <f t="array" ref="M99">_xlfn.IFS(
         M$94 = "Stahlrohrradiator", 1.3,
         M$94 = "Fensterbankradiator", 1.3,
         M$94 = "Handtuchradiator", 1.21,
        M$93 = "", 0
    )</f>
        <v>0</v>
      </c>
      <c r="N99" s="5" cm="1">
        <f t="array" ref="N99">_xlfn.IFS(
         N$94 = "Stahlrohrradiator", 1.3,
         N$94 = "Fensterbankradiator", 1.3,
         N$94 = "Handtuchradiator", 1.21,
        N$93 = "", 0
    )</f>
        <v>0</v>
      </c>
      <c r="O99" s="5" cm="1">
        <f t="array" ref="O99">_xlfn.IFS(
         O$94 = "Stahlrohrradiator", 1.3,
         O$94 = "Fensterbankradiator", 1.3,
         O$94 = "Handtuchradiator", 1.21,
        O$93 = "", 0
    )</f>
        <v>0</v>
      </c>
      <c r="P99" s="5" cm="1">
        <f t="array" ref="P99">_xlfn.IFS(
         P$94 = "Stahlrohrradiator", 1.3,
         P$94 = "Fensterbankradiator", 1.3,
         P$94 = "Handtuchradiator", 1.21,
        P$93 = "", 0
    )</f>
        <v>0</v>
      </c>
      <c r="Q99" s="5" cm="1">
        <f t="array" ref="Q99">_xlfn.IFS(
         Q$94 = "Stahlrohrradiator", 1.3,
         Q$94 = "Fensterbankradiator", 1.3,
         Q$94 = "Handtuchradiator", 1.21,
        Q$93 = "", 0
    )</f>
        <v>0</v>
      </c>
      <c r="R99" s="5" cm="1">
        <f t="array" ref="R99">_xlfn.IFS(
         R$94 = "Stahlrohrradiator", 1.3,
         R$94 = "Fensterbankradiator", 1.3,
         R$94 = "Handtuchradiator", 1.21,
        R$93 = "", 0
    )</f>
        <v>0</v>
      </c>
      <c r="S99" s="5" cm="1">
        <f t="array" ref="S99">_xlfn.IFS(
         S$94 = "Stahlrohrradiator", 1.3,
         S$94 = "Fensterbankradiator", 1.3,
         S$94 = "Handtuchradiator", 1.21,
        S$93 = "", 0
    )</f>
        <v>0</v>
      </c>
      <c r="T99" s="5" cm="1">
        <f t="array" ref="T99">_xlfn.IFS(
         T$94 = "Stahlrohrradiator", 1.3,
         T$94 = "Fensterbankradiator", 1.3,
         T$94 = "Handtuchradiator", 1.21,
        T$93 = "", 0
    )</f>
        <v>0</v>
      </c>
      <c r="U99" s="5" cm="1">
        <f t="array" ref="U99">_xlfn.IFS(
         U$94 = "Stahlrohrradiator", 1.3,
         U$94 = "Fensterbankradiator", 1.3,
         U$94 = "Handtuchradiator", 1.21,
        U$93 = "", 0
    )</f>
        <v>0</v>
      </c>
    </row>
    <row r="100" spans="1:21" ht="15.75" thickBot="1">
      <c r="A100" s="101" t="s">
        <v>567</v>
      </c>
      <c r="B100" s="101" t="s">
        <v>419</v>
      </c>
      <c r="C100" s="101" t="s">
        <v>154</v>
      </c>
      <c r="D100" s="101" t="s">
        <v>659</v>
      </c>
      <c r="E100" s="101" t="s">
        <v>31</v>
      </c>
      <c r="G100" s="5" cm="1">
        <f t="array" aca="1" ref="G100" ca="1">_xlfn.LET(
    _xlpm.typ, clc_power!G$93,
    _xlpm.subtyp, clc_power!G$94,
    _xlpm.höhe, clc_power!G$95,
    _xlpm.breite, clc_power!G$96,
    _xlpm.tiefe, clc_power!G$97,
    _xlpm.faktor, clc_power!G$98,
    _xlpm.fläche, IN_rooms!R$58 * IN_rooms!R$59,
    _xlpm.radiatorart, G$94,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IF(IN_rooms!R$62 * _xlpm.leistung &gt; 0, IN_rooms!R$62 * _xlpm.leistung, 0)
)</f>
        <v>0</v>
      </c>
      <c r="H100" s="5" cm="1">
        <f t="array" aca="1" ref="H100" ca="1">_xlfn.LET(
    _xlpm.typ, clc_power!H$93,
    _xlpm.subtyp, clc_power!H$94,
    _xlpm.höhe, clc_power!H$95,
    _xlpm.breite, clc_power!H$96,
    _xlpm.tiefe, clc_power!H$97,
    _xlpm.faktor, clc_power!H$98,
    _xlpm.fläche, IN_rooms!S$58 * IN_rooms!S$59,
    _xlpm.radiatorart, H$94,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IF(IN_rooms!S$62 * _xlpm.leistung &gt; 0, IN_rooms!S$62 * _xlpm.leistung, 0)
)</f>
        <v>0</v>
      </c>
      <c r="I100" s="5" cm="1">
        <f t="array" aca="1" ref="I100" ca="1">_xlfn.LET(
    _xlpm.typ, clc_power!I$93,
    _xlpm.subtyp, clc_power!I$94,
    _xlpm.höhe, clc_power!I$95,
    _xlpm.breite, clc_power!I$96,
    _xlpm.tiefe, clc_power!I$97,
    _xlpm.faktor, clc_power!I$98,
    _xlpm.fläche, IN_rooms!T$58 * IN_rooms!T$59,
    _xlpm.radiatorart, I$94,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IF(IN_rooms!T$62 * _xlpm.leistung &gt; 0, IN_rooms!T$62 * _xlpm.leistung, 0)
)</f>
        <v>0</v>
      </c>
      <c r="J100" s="5" cm="1">
        <f t="array" aca="1" ref="J100" ca="1">_xlfn.LET(
    _xlpm.typ, clc_power!J$93,
    _xlpm.subtyp, clc_power!J$94,
    _xlpm.höhe, clc_power!J$95,
    _xlpm.breite, clc_power!J$96,
    _xlpm.tiefe, clc_power!J$97,
    _xlpm.faktor, clc_power!J$98,
    _xlpm.fläche, IN_rooms!U$58 * IN_rooms!U$59,
    _xlpm.radiatorart, J$94,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IF(IN_rooms!U$62 * _xlpm.leistung &gt; 0, IN_rooms!U$62 * _xlpm.leistung, 0)
)</f>
        <v>0</v>
      </c>
      <c r="K100" s="5" cm="1">
        <f t="array" aca="1" ref="K100" ca="1">_xlfn.LET(
    _xlpm.typ, clc_power!K$93,
    _xlpm.subtyp, clc_power!K$94,
    _xlpm.höhe, clc_power!K$95,
    _xlpm.breite, clc_power!K$96,
    _xlpm.tiefe, clc_power!K$97,
    _xlpm.faktor, clc_power!K$98,
    _xlpm.fläche, IN_rooms!V$58 * IN_rooms!V$59,
    _xlpm.radiatorart, K$94,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IF(IN_rooms!V$62 * _xlpm.leistung &gt; 0, IN_rooms!V$62 * _xlpm.leistung, 0)
)</f>
        <v>0</v>
      </c>
      <c r="L100" s="5" cm="1">
        <f t="array" aca="1" ref="L100" ca="1">_xlfn.LET(
    _xlpm.typ, clc_power!L$93,
    _xlpm.subtyp, clc_power!L$94,
    _xlpm.höhe, clc_power!L$95,
    _xlpm.breite, clc_power!L$96,
    _xlpm.tiefe, clc_power!L$97,
    _xlpm.faktor, clc_power!L$98,
    _xlpm.fläche, IN_rooms!W$58 * IN_rooms!W$59,
    _xlpm.radiatorart, L$94,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IF(IN_rooms!W$62 * _xlpm.leistung &gt; 0, IN_rooms!W$62 * _xlpm.leistung, 0)
)</f>
        <v>0</v>
      </c>
      <c r="M100" s="5" cm="1">
        <f t="array" aca="1" ref="M100" ca="1">_xlfn.LET(
    _xlpm.typ, clc_power!M$93,
    _xlpm.subtyp, clc_power!M$94,
    _xlpm.höhe, clc_power!M$95,
    _xlpm.breite, clc_power!M$96,
    _xlpm.tiefe, clc_power!M$97,
    _xlpm.faktor, clc_power!M$98,
    _xlpm.fläche, IN_rooms!X$58 * IN_rooms!X$59,
    _xlpm.radiatorart, M$94,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IF(IN_rooms!X$62 * _xlpm.leistung &gt; 0, IN_rooms!X$62 * _xlpm.leistung, 0)
)</f>
        <v>0</v>
      </c>
      <c r="N100" s="5" cm="1">
        <f t="array" aca="1" ref="N100" ca="1">_xlfn.LET(
    _xlpm.typ, clc_power!N$93,
    _xlpm.subtyp, clc_power!N$94,
    _xlpm.höhe, clc_power!N$95,
    _xlpm.breite, clc_power!N$96,
    _xlpm.tiefe, clc_power!N$97,
    _xlpm.faktor, clc_power!N$98,
    _xlpm.fläche, IN_rooms!Y$58 * IN_rooms!Y$59,
    _xlpm.radiatorart, N$94,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IF(IN_rooms!Y$62 * _xlpm.leistung &gt; 0, IN_rooms!Y$62 * _xlpm.leistung, 0)
)</f>
        <v>0</v>
      </c>
      <c r="O100" s="5" cm="1">
        <f t="array" aca="1" ref="O100" ca="1">_xlfn.LET(
    _xlpm.typ, clc_power!O$93,
    _xlpm.subtyp, clc_power!O$94,
    _xlpm.höhe, clc_power!O$95,
    _xlpm.breite, clc_power!O$96,
    _xlpm.tiefe, clc_power!O$97,
    _xlpm.faktor, clc_power!O$98,
    _xlpm.fläche, IN_rooms!Z$58 * IN_rooms!Z$59,
    _xlpm.radiatorart, O$94,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IF(IN_rooms!Z$62 * _xlpm.leistung &gt; 0, IN_rooms!Z$62 * _xlpm.leistung, 0)
)</f>
        <v>0</v>
      </c>
      <c r="P100" s="5" cm="1">
        <f t="array" aca="1" ref="P100" ca="1">_xlfn.LET(
    _xlpm.typ, clc_power!P$93,
    _xlpm.subtyp, clc_power!P$94,
    _xlpm.höhe, clc_power!P$95,
    _xlpm.breite, clc_power!P$96,
    _xlpm.tiefe, clc_power!P$97,
    _xlpm.faktor, clc_power!P$98,
    _xlpm.fläche, IN_rooms!AA$58 * IN_rooms!AA$59,
    _xlpm.radiatorart, P$94,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IF(IN_rooms!AA$62 * _xlpm.leistung &gt; 0, IN_rooms!AA$62 * _xlpm.leistung, 0)
)</f>
        <v>0</v>
      </c>
      <c r="Q100" s="5" cm="1">
        <f t="array" aca="1" ref="Q100" ca="1">_xlfn.LET(
    _xlpm.typ, clc_power!Q$93,
    _xlpm.subtyp, clc_power!Q$94,
    _xlpm.höhe, clc_power!Q$95,
    _xlpm.breite, clc_power!Q$96,
    _xlpm.tiefe, clc_power!Q$97,
    _xlpm.faktor, clc_power!Q$98,
    _xlpm.fläche, IN_rooms!AB$58 * IN_rooms!AB$59,
    _xlpm.radiatorart, Q$94,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IF(IN_rooms!AB$62 * _xlpm.leistung &gt; 0, IN_rooms!AB$62 * _xlpm.leistung, 0)
)</f>
        <v>0</v>
      </c>
      <c r="R100" s="5" cm="1">
        <f t="array" aca="1" ref="R100" ca="1">_xlfn.LET(
    _xlpm.typ, clc_power!R$93,
    _xlpm.subtyp, clc_power!R$94,
    _xlpm.höhe, clc_power!R$95,
    _xlpm.breite, clc_power!R$96,
    _xlpm.tiefe, clc_power!R$97,
    _xlpm.faktor, clc_power!R$98,
    _xlpm.fläche, IN_rooms!AC$58 * IN_rooms!AC$59,
    _xlpm.radiatorart, R$94,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IF(IN_rooms!AC$62 * _xlpm.leistung &gt; 0, IN_rooms!AC$62 * _xlpm.leistung, 0)
)</f>
        <v>0</v>
      </c>
      <c r="S100" s="5" cm="1">
        <f t="array" aca="1" ref="S100" ca="1">_xlfn.LET(
    _xlpm.typ, clc_power!S$93,
    _xlpm.subtyp, clc_power!S$94,
    _xlpm.höhe, clc_power!S$95,
    _xlpm.breite, clc_power!S$96,
    _xlpm.tiefe, clc_power!S$97,
    _xlpm.faktor, clc_power!S$98,
    _xlpm.fläche, IN_rooms!AD$58 * IN_rooms!AD$59,
    _xlpm.radiatorart, S$94,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IF(IN_rooms!AD$62 * _xlpm.leistung &gt; 0, IN_rooms!AD$62 * _xlpm.leistung, 0)
)</f>
        <v>0</v>
      </c>
      <c r="T100" s="5" cm="1">
        <f t="array" aca="1" ref="T100" ca="1">_xlfn.LET(
    _xlpm.typ, clc_power!T$93,
    _xlpm.subtyp, clc_power!T$94,
    _xlpm.höhe, clc_power!T$95,
    _xlpm.breite, clc_power!T$96,
    _xlpm.tiefe, clc_power!T$97,
    _xlpm.faktor, clc_power!T$98,
    _xlpm.fläche, IN_rooms!AE$58 * IN_rooms!AE$59,
    _xlpm.radiatorart, T$94,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IF(IN_rooms!AE$62 * _xlpm.leistung &gt; 0, IN_rooms!AE$62 * _xlpm.leistung, 0)
)</f>
        <v>0</v>
      </c>
      <c r="U100" s="5" cm="1">
        <f t="array" aca="1" ref="U100" ca="1">_xlfn.LET(
    _xlpm.typ, clc_power!U$93,
    _xlpm.subtyp, clc_power!U$94,
    _xlpm.höhe, clc_power!U$95,
    _xlpm.breite, clc_power!U$96,
    _xlpm.tiefe, clc_power!U$97,
    _xlpm.faktor, clc_power!U$98,
    _xlpm.fläche, IN_rooms!AF$58 * IN_rooms!AF$59,
    _xlpm.radiatorart, U$94,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IF(IN_rooms!AF$62 * _xlpm.leistung &gt; 0, IN_rooms!AF$62 * _xlpm.leistung, 0)
)</f>
        <v>0</v>
      </c>
    </row>
    <row r="101" spans="1:21" ht="15.75" thickBot="1">
      <c r="A101" s="101" t="s">
        <v>569</v>
      </c>
      <c r="B101" s="101" t="s">
        <v>419</v>
      </c>
      <c r="C101" s="101" t="s">
        <v>154</v>
      </c>
      <c r="D101" s="101" t="s">
        <v>660</v>
      </c>
      <c r="E101" s="101" t="s">
        <v>26</v>
      </c>
      <c r="G101" s="5">
        <f>TVL_Ziel</f>
        <v>55</v>
      </c>
      <c r="H101" s="5">
        <f t="shared" ref="H101:U101" si="24">TVL_Ziel</f>
        <v>55</v>
      </c>
      <c r="I101" s="5">
        <f t="shared" si="24"/>
        <v>55</v>
      </c>
      <c r="J101" s="5">
        <f t="shared" si="24"/>
        <v>55</v>
      </c>
      <c r="K101" s="5">
        <f t="shared" si="24"/>
        <v>55</v>
      </c>
      <c r="L101" s="5">
        <f t="shared" si="24"/>
        <v>55</v>
      </c>
      <c r="M101" s="5">
        <f t="shared" si="24"/>
        <v>55</v>
      </c>
      <c r="N101" s="5">
        <f t="shared" si="24"/>
        <v>55</v>
      </c>
      <c r="O101" s="5">
        <f t="shared" si="24"/>
        <v>55</v>
      </c>
      <c r="P101" s="5">
        <f t="shared" si="24"/>
        <v>55</v>
      </c>
      <c r="Q101" s="5">
        <f t="shared" si="24"/>
        <v>55</v>
      </c>
      <c r="R101" s="5">
        <f t="shared" si="24"/>
        <v>55</v>
      </c>
      <c r="S101" s="5">
        <f t="shared" si="24"/>
        <v>55</v>
      </c>
      <c r="T101" s="5">
        <f t="shared" si="24"/>
        <v>55</v>
      </c>
      <c r="U101" s="5">
        <f t="shared" si="24"/>
        <v>55</v>
      </c>
    </row>
    <row r="102" spans="1:21" ht="15.75" thickBot="1">
      <c r="A102" s="101" t="s">
        <v>571</v>
      </c>
      <c r="B102" s="101" t="s">
        <v>419</v>
      </c>
      <c r="C102" s="101" t="s">
        <v>154</v>
      </c>
      <c r="D102" s="101" t="s">
        <v>661</v>
      </c>
      <c r="E102" s="101" t="s">
        <v>26</v>
      </c>
      <c r="G102" s="5">
        <f>TRL_Ziel</f>
        <v>45</v>
      </c>
      <c r="H102" s="5">
        <f t="shared" ref="H102:U102" si="25">TRL_Ziel</f>
        <v>45</v>
      </c>
      <c r="I102" s="5">
        <f t="shared" si="25"/>
        <v>45</v>
      </c>
      <c r="J102" s="5">
        <f t="shared" si="25"/>
        <v>45</v>
      </c>
      <c r="K102" s="5">
        <f t="shared" si="25"/>
        <v>45</v>
      </c>
      <c r="L102" s="5">
        <f t="shared" si="25"/>
        <v>45</v>
      </c>
      <c r="M102" s="5">
        <f t="shared" si="25"/>
        <v>45</v>
      </c>
      <c r="N102" s="5">
        <f t="shared" si="25"/>
        <v>45</v>
      </c>
      <c r="O102" s="5">
        <f t="shared" si="25"/>
        <v>45</v>
      </c>
      <c r="P102" s="5">
        <f t="shared" si="25"/>
        <v>45</v>
      </c>
      <c r="Q102" s="5">
        <f t="shared" si="25"/>
        <v>45</v>
      </c>
      <c r="R102" s="5">
        <f t="shared" si="25"/>
        <v>45</v>
      </c>
      <c r="S102" s="5">
        <f t="shared" si="25"/>
        <v>45</v>
      </c>
      <c r="T102" s="5">
        <f t="shared" si="25"/>
        <v>45</v>
      </c>
      <c r="U102" s="5">
        <f t="shared" si="25"/>
        <v>45</v>
      </c>
    </row>
    <row r="103" spans="1:21" ht="15.75" thickBot="1">
      <c r="A103" s="101" t="s">
        <v>573</v>
      </c>
      <c r="B103" s="101" t="s">
        <v>419</v>
      </c>
      <c r="C103" s="101" t="s">
        <v>154</v>
      </c>
      <c r="D103" s="101" t="s">
        <v>662</v>
      </c>
      <c r="E103" s="101" t="s">
        <v>575</v>
      </c>
      <c r="G103" s="34">
        <f>(G$101-G$102)/(LN((G$101-clc_load!I$10)/(G$102-clc_load!I$10)))</f>
        <v>49.83288654563971</v>
      </c>
      <c r="H103" s="34">
        <f>(H$101-H$102)/(LN((H$101-clc_load!J$10)/(H$102-clc_load!J$10)))</f>
        <v>49.83288654563971</v>
      </c>
      <c r="I103" s="34">
        <f>(I$101-I$102)/(LN((I$101-clc_load!K$10)/(I$102-clc_load!K$10)))</f>
        <v>49.83288654563971</v>
      </c>
      <c r="J103" s="34">
        <f>(J$101-J$102)/(LN((J$101-clc_load!L$10)/(J$102-clc_load!L$10)))</f>
        <v>49.83288654563971</v>
      </c>
      <c r="K103" s="34">
        <f>(K$101-K$102)/(LN((K$101-clc_load!M$10)/(K$102-clc_load!M$10)))</f>
        <v>49.83288654563971</v>
      </c>
      <c r="L103" s="34">
        <f>(L$101-L$102)/(LN((L$101-clc_load!N$10)/(L$102-clc_load!N$10)))</f>
        <v>49.83288654563971</v>
      </c>
      <c r="M103" s="34">
        <f>(M$101-M$102)/(LN((M$101-clc_load!O$10)/(M$102-clc_load!O$10)))</f>
        <v>49.83288654563971</v>
      </c>
      <c r="N103" s="34">
        <f>(N$101-N$102)/(LN((N$101-clc_load!P$10)/(N$102-clc_load!P$10)))</f>
        <v>49.83288654563971</v>
      </c>
      <c r="O103" s="34">
        <f>(O$101-O$102)/(LN((O$101-clc_load!Q$10)/(O$102-clc_load!Q$10)))</f>
        <v>49.83288654563971</v>
      </c>
      <c r="P103" s="34">
        <f>(P$101-P$102)/(LN((P$101-clc_load!R$10)/(P$102-clc_load!R$10)))</f>
        <v>49.83288654563971</v>
      </c>
      <c r="Q103" s="34">
        <f>(Q$101-Q$102)/(LN((Q$101-clc_load!S$10)/(Q$102-clc_load!S$10)))</f>
        <v>49.83288654563971</v>
      </c>
      <c r="R103" s="34">
        <f>(R$101-R$102)/(LN((R$101-clc_load!T$10)/(R$102-clc_load!T$10)))</f>
        <v>49.83288654563971</v>
      </c>
      <c r="S103" s="34">
        <f>(S$101-S$102)/(LN((S$101-clc_load!U$10)/(S$102-clc_load!U$10)))</f>
        <v>49.83288654563971</v>
      </c>
      <c r="T103" s="34">
        <f>(T$101-T$102)/(LN((T$101-clc_load!V$10)/(T$102-clc_load!V$10)))</f>
        <v>49.83288654563971</v>
      </c>
      <c r="U103" s="34">
        <f>(U$101-U$102)/(LN((U$101-clc_load!W$10)/(U$102-clc_load!W$10)))</f>
        <v>49.83288654563971</v>
      </c>
    </row>
    <row r="104" spans="1:21" ht="15.75" thickBot="1">
      <c r="A104" s="101" t="s">
        <v>576</v>
      </c>
      <c r="B104" s="101" t="s">
        <v>419</v>
      </c>
      <c r="C104" s="101" t="s">
        <v>154</v>
      </c>
      <c r="D104" s="101" t="s">
        <v>663</v>
      </c>
      <c r="E104" s="101" t="s">
        <v>31</v>
      </c>
      <c r="G104" s="5">
        <f t="shared" ref="G104:U104" ca="1" si="26">IF(G$100*((G$103/Log_ÜT_Norm)^G$99)&gt;0,
G$100*((G$103/Log_ÜT_Norm)^G$99),0)</f>
        <v>0</v>
      </c>
      <c r="H104" s="5">
        <f t="shared" ca="1" si="26"/>
        <v>0</v>
      </c>
      <c r="I104" s="5">
        <f t="shared" ca="1" si="26"/>
        <v>0</v>
      </c>
      <c r="J104" s="5">
        <f t="shared" ca="1" si="26"/>
        <v>0</v>
      </c>
      <c r="K104" s="5">
        <f t="shared" ca="1" si="26"/>
        <v>0</v>
      </c>
      <c r="L104" s="5">
        <f t="shared" ca="1" si="26"/>
        <v>0</v>
      </c>
      <c r="M104" s="5">
        <f t="shared" ca="1" si="26"/>
        <v>0</v>
      </c>
      <c r="N104" s="5">
        <f t="shared" ca="1" si="26"/>
        <v>0</v>
      </c>
      <c r="O104" s="5">
        <f t="shared" ca="1" si="26"/>
        <v>0</v>
      </c>
      <c r="P104" s="5">
        <f t="shared" ca="1" si="26"/>
        <v>0</v>
      </c>
      <c r="Q104" s="5">
        <f t="shared" ca="1" si="26"/>
        <v>0</v>
      </c>
      <c r="R104" s="5">
        <f t="shared" ca="1" si="26"/>
        <v>0</v>
      </c>
      <c r="S104" s="5">
        <f t="shared" ca="1" si="26"/>
        <v>0</v>
      </c>
      <c r="T104" s="5">
        <f t="shared" ca="1" si="26"/>
        <v>0</v>
      </c>
      <c r="U104" s="5">
        <f t="shared" ca="1" si="26"/>
        <v>0</v>
      </c>
    </row>
    <row r="105" spans="1:21" ht="15.75" thickBot="1">
      <c r="A105" s="75" t="s">
        <v>578</v>
      </c>
      <c r="B105" s="75" t="s">
        <v>419</v>
      </c>
      <c r="C105" s="75" t="s">
        <v>579</v>
      </c>
      <c r="D105" s="75" t="s">
        <v>664</v>
      </c>
      <c r="E105" s="75" t="s">
        <v>31</v>
      </c>
      <c r="G105" s="34" cm="1">
        <f t="array" aca="1" ref="G105" ca="1">_xlfn.LET(
    _xlpm.typ, "Flachheizkoerper_senkrecht_profiliert",
    _xlpm.subtyp, "Typ_33",
    _xlpm.f_höhe,_xlfn.IFS(G$95&gt;1800,3,G$95&gt;900,2,G$95&lt;=900,1),
    _xlpm.höhe, _xlfn.XLOOKUP(G$95/_xlpm.f_höhe, Data_radiator!$G$5:$G$32, Data_radiator!$G$5:$G$32, 1000000, 1, 1),
    _xlpm.tiefe, 155,
    _xlpm.glieder, IF(G$94 = "Stahlrohrradiator", 45*G$98, G$96),
    _xlpm.faktor, G$103 / Log_ÜT_Norm,
    _xlpm.leistung, IN_rooms!R$62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H105" s="34" cm="1">
        <f t="array" aca="1" ref="H105" ca="1">_xlfn.LET(
    _xlpm.typ, "Flachheizkoerper_senkrecht_profiliert",
    _xlpm.subtyp, "Typ_33",
    _xlpm.f_höhe,_xlfn.IFS(H$95&gt;1800,3,H$95&gt;900,2,H$95&lt;=900,1),
    _xlpm.höhe, _xlfn.XLOOKUP(H$95/_xlpm.f_höhe, Data_radiator!$G$5:$G$32, Data_radiator!$G$5:$G$32, 1000000, 1, 1),
    _xlpm.tiefe, 155,
    _xlpm.glieder, IF(H$94 = "Stahlrohrradiator", 45*H$98, H$96),
    _xlpm.faktor, H$103 / Log_ÜT_Norm,
    _xlpm.leistung, IN_rooms!S$62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I105" s="34" cm="1">
        <f t="array" aca="1" ref="I105" ca="1">_xlfn.LET(
    _xlpm.typ, "Flachheizkoerper_senkrecht_profiliert",
    _xlpm.subtyp, "Typ_33",
    _xlpm.f_höhe,_xlfn.IFS(I$95&gt;1800,3,I$95&gt;900,2,I$95&lt;=900,1),
    _xlpm.höhe, _xlfn.XLOOKUP(I$95/_xlpm.f_höhe, Data_radiator!$G$5:$G$32, Data_radiator!$G$5:$G$32, 1000000, 1, 1),
    _xlpm.tiefe, 155,
    _xlpm.glieder, IF(I$94 = "Stahlrohrradiator", 45*I$98, I$96),
    _xlpm.faktor, I$103 / Log_ÜT_Norm,
    _xlpm.leistung, IN_rooms!T$62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J105" s="34" cm="1">
        <f t="array" aca="1" ref="J105" ca="1">_xlfn.LET(
    _xlpm.typ, "Flachheizkoerper_senkrecht_profiliert",
    _xlpm.subtyp, "Typ_33",
    _xlpm.f_höhe,_xlfn.IFS(J$95&gt;1800,3,J$95&gt;900,2,J$95&lt;=900,1),
    _xlpm.höhe, _xlfn.XLOOKUP(J$95/_xlpm.f_höhe, Data_radiator!$G$5:$G$32, Data_radiator!$G$5:$G$32, 1000000, 1, 1),
    _xlpm.tiefe, 155,
    _xlpm.glieder, IF(J$94 = "Stahlrohrradiator", 45*J$98, J$96),
    _xlpm.faktor, J$103 / Log_ÜT_Norm,
    _xlpm.leistung, IN_rooms!U$62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K105" s="34" cm="1">
        <f t="array" aca="1" ref="K105" ca="1">_xlfn.LET(
    _xlpm.typ, "Flachheizkoerper_senkrecht_profiliert",
    _xlpm.subtyp, "Typ_33",
    _xlpm.f_höhe,_xlfn.IFS(K$95&gt;1800,3,K$95&gt;900,2,K$95&lt;=900,1),
    _xlpm.höhe, _xlfn.XLOOKUP(K$95/_xlpm.f_höhe, Data_radiator!$G$5:$G$32, Data_radiator!$G$5:$G$32, 1000000, 1, 1),
    _xlpm.tiefe, 155,
    _xlpm.glieder, IF(K$94 = "Stahlrohrradiator", 45*K$98, K$96),
    _xlpm.faktor, K$103 / Log_ÜT_Norm,
    _xlpm.leistung, IN_rooms!V$62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L105" s="34" cm="1">
        <f t="array" aca="1" ref="L105" ca="1">_xlfn.LET(
    _xlpm.typ, "Flachheizkoerper_senkrecht_profiliert",
    _xlpm.subtyp, "Typ_33",
    _xlpm.f_höhe,_xlfn.IFS(L$95&gt;1800,3,L$95&gt;900,2,L$95&lt;=900,1),
    _xlpm.höhe, _xlfn.XLOOKUP(L$95/_xlpm.f_höhe, Data_radiator!$G$5:$G$32, Data_radiator!$G$5:$G$32, 1000000, 1, 1),
    _xlpm.tiefe, 155,
    _xlpm.glieder, IF(L$94 = "Stahlrohrradiator", 45*L$98, L$96),
    _xlpm.faktor, L$103 / Log_ÜT_Norm,
    _xlpm.leistung, IN_rooms!W$62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M105" s="34" cm="1">
        <f t="array" aca="1" ref="M105" ca="1">_xlfn.LET(
    _xlpm.typ, "Flachheizkoerper_senkrecht_profiliert",
    _xlpm.subtyp, "Typ_33",
    _xlpm.f_höhe,_xlfn.IFS(M$95&gt;1800,3,M$95&gt;900,2,M$95&lt;=900,1),
    _xlpm.höhe, _xlfn.XLOOKUP(M$95/_xlpm.f_höhe, Data_radiator!$G$5:$G$32, Data_radiator!$G$5:$G$32, 1000000, 1, 1),
    _xlpm.tiefe, 155,
    _xlpm.glieder, IF(M$94 = "Stahlrohrradiator", 45*M$98, M$96),
    _xlpm.faktor, M$103 / Log_ÜT_Norm,
    _xlpm.leistung, IN_rooms!X$62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N105" s="34" cm="1">
        <f t="array" aca="1" ref="N105" ca="1">_xlfn.LET(
    _xlpm.typ, "Flachheizkoerper_senkrecht_profiliert",
    _xlpm.subtyp, "Typ_33",
    _xlpm.f_höhe,_xlfn.IFS(N$95&gt;1800,3,N$95&gt;900,2,N$95&lt;=900,1),
    _xlpm.höhe, _xlfn.XLOOKUP(N$95/_xlpm.f_höhe, Data_radiator!$G$5:$G$32, Data_radiator!$G$5:$G$32, 1000000, 1, 1),
    _xlpm.tiefe, 155,
    _xlpm.glieder, IF(N$94 = "Stahlrohrradiator", 45*N$98, N$96),
    _xlpm.faktor, N$103 / Log_ÜT_Norm,
    _xlpm.leistung, IN_rooms!Y$62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O105" s="34" cm="1">
        <f t="array" aca="1" ref="O105" ca="1">_xlfn.LET(
    _xlpm.typ, "Flachheizkoerper_senkrecht_profiliert",
    _xlpm.subtyp, "Typ_33",
    _xlpm.f_höhe,_xlfn.IFS(O$95&gt;1800,3,O$95&gt;900,2,O$95&lt;=900,1),
    _xlpm.höhe, _xlfn.XLOOKUP(O$95/_xlpm.f_höhe, Data_radiator!$G$5:$G$32, Data_radiator!$G$5:$G$32, 1000000, 1, 1),
    _xlpm.tiefe, 155,
    _xlpm.glieder, IF(O$94 = "Stahlrohrradiator", 45*O$98, O$96),
    _xlpm.faktor, O$103 / Log_ÜT_Norm,
    _xlpm.leistung, IN_rooms!Z$62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P105" s="34" cm="1">
        <f t="array" aca="1" ref="P105" ca="1">_xlfn.LET(
    _xlpm.typ, "Flachheizkoerper_senkrecht_profiliert",
    _xlpm.subtyp, "Typ_33",
    _xlpm.f_höhe,_xlfn.IFS(P$95&gt;1800,3,P$95&gt;900,2,P$95&lt;=900,1),
    _xlpm.höhe, _xlfn.XLOOKUP(P$95/_xlpm.f_höhe, Data_radiator!$G$5:$G$32, Data_radiator!$G$5:$G$32, 1000000, 1, 1),
    _xlpm.tiefe, 155,
    _xlpm.glieder, IF(P$94 = "Stahlrohrradiator", 45*P$98, P$96),
    _xlpm.faktor, P$103 / Log_ÜT_Norm,
    _xlpm.leistung, IN_rooms!AA$62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Q105" s="34" cm="1">
        <f t="array" aca="1" ref="Q105" ca="1">_xlfn.LET(
    _xlpm.typ, "Flachheizkoerper_senkrecht_profiliert",
    _xlpm.subtyp, "Typ_33",
    _xlpm.f_höhe,_xlfn.IFS(Q$95&gt;1800,3,Q$95&gt;900,2,Q$95&lt;=900,1),
    _xlpm.höhe, _xlfn.XLOOKUP(Q$95/_xlpm.f_höhe, Data_radiator!$G$5:$G$32, Data_radiator!$G$5:$G$32, 1000000, 1, 1),
    _xlpm.tiefe, 155,
    _xlpm.glieder, IF(Q$94 = "Stahlrohrradiator", 45*Q$98, Q$96),
    _xlpm.faktor, Q$103 / Log_ÜT_Norm,
    _xlpm.leistung, IN_rooms!AB$62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R105" s="34" cm="1">
        <f t="array" aca="1" ref="R105" ca="1">_xlfn.LET(
    _xlpm.typ, "Flachheizkoerper_senkrecht_profiliert",
    _xlpm.subtyp, "Typ_33",
    _xlpm.f_höhe,_xlfn.IFS(R$95&gt;1800,3,R$95&gt;900,2,R$95&lt;=900,1),
    _xlpm.höhe, _xlfn.XLOOKUP(R$95/_xlpm.f_höhe, Data_radiator!$G$5:$G$32, Data_radiator!$G$5:$G$32, 1000000, 1, 1),
    _xlpm.tiefe, 155,
    _xlpm.glieder, IF(R$94 = "Stahlrohrradiator", 45*R$98, R$96),
    _xlpm.faktor, R$103 / Log_ÜT_Norm,
    _xlpm.leistung, IN_rooms!AC$62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S105" s="34" cm="1">
        <f t="array" aca="1" ref="S105" ca="1">_xlfn.LET(
    _xlpm.typ, "Flachheizkoerper_senkrecht_profiliert",
    _xlpm.subtyp, "Typ_33",
    _xlpm.f_höhe,_xlfn.IFS(S$95&gt;1800,3,S$95&gt;900,2,S$95&lt;=900,1),
    _xlpm.höhe, _xlfn.XLOOKUP(S$95/_xlpm.f_höhe, Data_radiator!$G$5:$G$32, Data_radiator!$G$5:$G$32, 1000000, 1, 1),
    _xlpm.tiefe, 155,
    _xlpm.glieder, IF(S$94 = "Stahlrohrradiator", 45*S$98, S$96),
    _xlpm.faktor, S$103 / Log_ÜT_Norm,
    _xlpm.leistung, IN_rooms!AD$62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T105" s="34" cm="1">
        <f t="array" aca="1" ref="T105" ca="1">_xlfn.LET(
    _xlpm.typ, "Flachheizkoerper_senkrecht_profiliert",
    _xlpm.subtyp, "Typ_33",
    _xlpm.f_höhe,_xlfn.IFS(T$95&gt;1800,3,T$95&gt;900,2,T$95&lt;=900,1),
    _xlpm.höhe, _xlfn.XLOOKUP(T$95/_xlpm.f_höhe, Data_radiator!$G$5:$G$32, Data_radiator!$G$5:$G$32, 1000000, 1, 1),
    _xlpm.tiefe, 155,
    _xlpm.glieder, IF(T$94 = "Stahlrohrradiator", 45*T$98, T$96),
    _xlpm.faktor, T$103 / Log_ÜT_Norm,
    _xlpm.leistung, IN_rooms!AE$62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U105" s="34" cm="1">
        <f t="array" aca="1" ref="U105" ca="1">_xlfn.LET(
    _xlpm.typ, "Flachheizkoerper_senkrecht_profiliert",
    _xlpm.subtyp, "Typ_33",
    _xlpm.f_höhe,_xlfn.IFS(U$95&gt;1800,3,U$95&gt;900,2,U$95&lt;=900,1),
    _xlpm.höhe, _xlfn.XLOOKUP(U$95/_xlpm.f_höhe, Data_radiator!$G$5:$G$32, Data_radiator!$G$5:$G$32, 1000000, 1, 1),
    _xlpm.tiefe, 155,
    _xlpm.glieder, IF(U$94 = "Stahlrohrradiator", 45*U$98, U$96),
    _xlpm.faktor, U$103 / Log_ÜT_Norm,
    _xlpm.leistung, IN_rooms!AF$62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row>
    <row r="106" spans="1:21" ht="15.75" hidden="1" thickBot="1">
      <c r="A106" s="104" t="s">
        <v>405</v>
      </c>
      <c r="B106" s="104" t="s">
        <v>419</v>
      </c>
      <c r="C106" s="104" t="s">
        <v>156</v>
      </c>
      <c r="D106" s="104"/>
      <c r="E106" s="104"/>
    </row>
    <row r="107" spans="1:21" ht="15.75" hidden="1" thickBot="1">
      <c r="A107" s="104" t="s">
        <v>559</v>
      </c>
      <c r="B107" s="104" t="s">
        <v>419</v>
      </c>
      <c r="C107" s="104" t="s">
        <v>156</v>
      </c>
      <c r="D107" s="104"/>
      <c r="E107" s="104"/>
    </row>
    <row r="108" spans="1:21" ht="15.75" hidden="1" thickBot="1">
      <c r="A108" s="104" t="s">
        <v>607</v>
      </c>
      <c r="B108" s="104" t="s">
        <v>419</v>
      </c>
      <c r="C108" s="104" t="s">
        <v>156</v>
      </c>
      <c r="D108" s="104"/>
      <c r="E108" s="104" t="s">
        <v>409</v>
      </c>
    </row>
    <row r="109" spans="1:21" ht="15.75" hidden="1" thickBot="1">
      <c r="A109" s="104" t="s">
        <v>608</v>
      </c>
      <c r="B109" s="104" t="s">
        <v>419</v>
      </c>
      <c r="C109" s="104" t="s">
        <v>156</v>
      </c>
      <c r="D109" s="104"/>
      <c r="E109" s="104" t="s">
        <v>33</v>
      </c>
    </row>
    <row r="110" spans="1:21" ht="15.75" hidden="1" thickBot="1">
      <c r="A110" s="104" t="s">
        <v>609</v>
      </c>
      <c r="B110" s="104" t="s">
        <v>419</v>
      </c>
      <c r="C110" s="104" t="s">
        <v>156</v>
      </c>
      <c r="D110" s="104"/>
      <c r="E110" s="104" t="s">
        <v>409</v>
      </c>
    </row>
    <row r="111" spans="1:21" ht="15.75" hidden="1" thickBot="1">
      <c r="A111" s="104" t="s">
        <v>610</v>
      </c>
      <c r="B111" s="104" t="s">
        <v>419</v>
      </c>
      <c r="C111" s="104" t="s">
        <v>156</v>
      </c>
      <c r="D111" s="104"/>
      <c r="E111" s="104" t="s">
        <v>409</v>
      </c>
    </row>
    <row r="112" spans="1:21" ht="15.75" hidden="1" thickBot="1">
      <c r="A112" s="104" t="s">
        <v>565</v>
      </c>
      <c r="B112" s="104" t="s">
        <v>419</v>
      </c>
      <c r="C112" s="104" t="s">
        <v>156</v>
      </c>
      <c r="D112" s="104"/>
      <c r="E112" s="104"/>
    </row>
    <row r="113" spans="1:21" ht="15.75" hidden="1" thickBot="1">
      <c r="A113" s="104" t="s">
        <v>611</v>
      </c>
      <c r="B113" s="104" t="s">
        <v>419</v>
      </c>
      <c r="C113" s="104" t="s">
        <v>156</v>
      </c>
      <c r="D113" s="104"/>
      <c r="E113" s="104" t="s">
        <v>575</v>
      </c>
    </row>
    <row r="114" spans="1:21" ht="15.75" hidden="1" thickBot="1">
      <c r="A114" s="104" t="s">
        <v>567</v>
      </c>
      <c r="B114" s="104" t="s">
        <v>419</v>
      </c>
      <c r="C114" s="104" t="s">
        <v>156</v>
      </c>
      <c r="D114" s="104"/>
      <c r="E114" s="104" t="s">
        <v>31</v>
      </c>
    </row>
    <row r="115" spans="1:21" ht="15.75" hidden="1" thickBot="1">
      <c r="A115" s="104" t="s">
        <v>569</v>
      </c>
      <c r="B115" s="104" t="s">
        <v>419</v>
      </c>
      <c r="C115" s="104" t="s">
        <v>156</v>
      </c>
      <c r="D115" s="104"/>
      <c r="E115" s="104" t="s">
        <v>26</v>
      </c>
    </row>
    <row r="116" spans="1:21" ht="15.75" hidden="1" thickBot="1">
      <c r="A116" s="104" t="s">
        <v>571</v>
      </c>
      <c r="B116" s="104" t="s">
        <v>419</v>
      </c>
      <c r="C116" s="104" t="s">
        <v>156</v>
      </c>
      <c r="D116" s="104"/>
      <c r="E116" s="104" t="s">
        <v>26</v>
      </c>
    </row>
    <row r="117" spans="1:21" ht="15.75" hidden="1" thickBot="1">
      <c r="A117" s="104" t="s">
        <v>573</v>
      </c>
      <c r="B117" s="104" t="s">
        <v>419</v>
      </c>
      <c r="C117" s="104" t="s">
        <v>156</v>
      </c>
      <c r="D117" s="104"/>
      <c r="E117" s="104" t="s">
        <v>575</v>
      </c>
    </row>
    <row r="118" spans="1:21" ht="15.75" hidden="1" thickBot="1">
      <c r="A118" s="104" t="s">
        <v>576</v>
      </c>
      <c r="B118" s="104" t="s">
        <v>419</v>
      </c>
      <c r="C118" s="104" t="s">
        <v>156</v>
      </c>
      <c r="D118" s="104"/>
      <c r="E118" s="104" t="s">
        <v>31</v>
      </c>
    </row>
    <row r="119" spans="1:21" ht="15.75" hidden="1" thickBot="1">
      <c r="A119" s="105" t="s">
        <v>578</v>
      </c>
      <c r="B119" s="105" t="s">
        <v>419</v>
      </c>
      <c r="C119" s="105" t="s">
        <v>579</v>
      </c>
      <c r="D119" s="105"/>
      <c r="E119" s="105" t="s">
        <v>31</v>
      </c>
    </row>
    <row r="120" spans="1:21" ht="15.75" thickBot="1">
      <c r="A120" s="106" t="s">
        <v>405</v>
      </c>
      <c r="B120" s="106" t="s">
        <v>419</v>
      </c>
      <c r="C120" s="106" t="s">
        <v>152</v>
      </c>
      <c r="D120" s="106" t="s">
        <v>665</v>
      </c>
      <c r="E120" s="106"/>
      <c r="G120" s="5" t="str">
        <f>IF(IN_rooms!R$56="Konvektor",IN_rooms!R$56,"")</f>
        <v/>
      </c>
      <c r="H120" s="5" t="str">
        <f>IF(IN_rooms!S$56="Konvektor",IN_rooms!S$56,"")</f>
        <v/>
      </c>
      <c r="I120" s="5" t="str">
        <f>IF(IN_rooms!T$56="Konvektor",IN_rooms!T$56,"")</f>
        <v/>
      </c>
      <c r="J120" s="5" t="str">
        <f>IF(IN_rooms!U$56="Konvektor",IN_rooms!U$56,"")</f>
        <v/>
      </c>
      <c r="K120" s="5" t="str">
        <f>IF(IN_rooms!V$56="Konvektor",IN_rooms!V$56,"")</f>
        <v/>
      </c>
      <c r="L120" s="5" t="str">
        <f>IF(IN_rooms!W$56="Konvektor",IN_rooms!W$56,"")</f>
        <v/>
      </c>
      <c r="M120" s="5" t="str">
        <f>IF(IN_rooms!X$56="Konvektor",IN_rooms!X$56,"")</f>
        <v/>
      </c>
      <c r="N120" s="5" t="str">
        <f>IF(IN_rooms!Y$56="Konvektor",IN_rooms!Y$56,"")</f>
        <v/>
      </c>
      <c r="O120" s="5" t="str">
        <f>IF(IN_rooms!Z$56="Konvektor",IN_rooms!Z$56,"")</f>
        <v/>
      </c>
      <c r="P120" s="5" t="str">
        <f>IF(IN_rooms!AA$56="Konvektor",IN_rooms!AA$56,"")</f>
        <v/>
      </c>
      <c r="Q120" s="5" t="str">
        <f>IF(IN_rooms!AB$56="Konvektor",IN_rooms!AB$56,"")</f>
        <v/>
      </c>
      <c r="R120" s="5" t="str">
        <f>IF(IN_rooms!AC$56="Konvektor",IN_rooms!AC$56,"")</f>
        <v/>
      </c>
      <c r="S120" s="5" t="str">
        <f>IF(IN_rooms!AD$56="Konvektor",IN_rooms!AD$56,"")</f>
        <v/>
      </c>
      <c r="T120" s="5" t="str">
        <f>IF(IN_rooms!AE$56="Konvektor",IN_rooms!AE$56,"")</f>
        <v/>
      </c>
      <c r="U120" s="5" t="str">
        <f>IF(IN_rooms!AF$56="Konvektor",IN_rooms!AF$56,"")</f>
        <v/>
      </c>
    </row>
    <row r="121" spans="1:21" ht="15.75" thickBot="1">
      <c r="A121" s="106" t="s">
        <v>559</v>
      </c>
      <c r="B121" s="106" t="s">
        <v>419</v>
      </c>
      <c r="C121" s="106" t="s">
        <v>152</v>
      </c>
      <c r="D121" s="106" t="s">
        <v>666</v>
      </c>
      <c r="E121" s="106"/>
      <c r="G121" s="5" t="str">
        <f>IF(G120&gt;"","Standardkonvektor","")</f>
        <v/>
      </c>
      <c r="H121" s="5" t="str">
        <f t="shared" ref="H121:U121" si="27">IF(H120&gt;"","Standardkonvektor","")</f>
        <v/>
      </c>
      <c r="I121" s="5" t="str">
        <f t="shared" si="27"/>
        <v/>
      </c>
      <c r="J121" s="5" t="str">
        <f t="shared" si="27"/>
        <v/>
      </c>
      <c r="K121" s="5" t="str">
        <f t="shared" si="27"/>
        <v/>
      </c>
      <c r="L121" s="5" t="str">
        <f t="shared" si="27"/>
        <v/>
      </c>
      <c r="M121" s="5" t="str">
        <f t="shared" si="27"/>
        <v/>
      </c>
      <c r="N121" s="5" t="str">
        <f t="shared" si="27"/>
        <v/>
      </c>
      <c r="O121" s="5" t="str">
        <f t="shared" si="27"/>
        <v/>
      </c>
      <c r="P121" s="5" t="str">
        <f t="shared" si="27"/>
        <v/>
      </c>
      <c r="Q121" s="5" t="str">
        <f t="shared" si="27"/>
        <v/>
      </c>
      <c r="R121" s="5" t="str">
        <f t="shared" si="27"/>
        <v/>
      </c>
      <c r="S121" s="5" t="str">
        <f t="shared" si="27"/>
        <v/>
      </c>
      <c r="T121" s="5" t="str">
        <f t="shared" si="27"/>
        <v/>
      </c>
      <c r="U121" s="5" t="str">
        <f t="shared" si="27"/>
        <v/>
      </c>
    </row>
    <row r="122" spans="1:21" ht="15.75" thickBot="1">
      <c r="A122" s="106" t="s">
        <v>561</v>
      </c>
      <c r="B122" s="106" t="s">
        <v>419</v>
      </c>
      <c r="C122" s="106" t="s">
        <v>152</v>
      </c>
      <c r="D122" s="106" t="s">
        <v>667</v>
      </c>
      <c r="E122" s="106" t="s">
        <v>409</v>
      </c>
      <c r="G122" s="5">
        <f>IN_rooms!R$58</f>
        <v>0</v>
      </c>
      <c r="H122" s="5">
        <f>IN_rooms!S$58</f>
        <v>0</v>
      </c>
      <c r="I122" s="5">
        <f>IN_rooms!T$58</f>
        <v>0</v>
      </c>
      <c r="J122" s="5">
        <f>IN_rooms!U$58</f>
        <v>0</v>
      </c>
      <c r="K122" s="5">
        <f>IN_rooms!V$58</f>
        <v>0</v>
      </c>
      <c r="L122" s="5">
        <f>IN_rooms!W$58</f>
        <v>0</v>
      </c>
      <c r="M122" s="5">
        <f>IN_rooms!X$58</f>
        <v>0</v>
      </c>
      <c r="N122" s="5">
        <f>IN_rooms!Y$58</f>
        <v>0</v>
      </c>
      <c r="O122" s="5">
        <f>IN_rooms!Z$58</f>
        <v>0</v>
      </c>
      <c r="P122" s="5">
        <f>IN_rooms!AA$58</f>
        <v>0</v>
      </c>
      <c r="Q122" s="5">
        <f>IN_rooms!AB$58</f>
        <v>0</v>
      </c>
      <c r="R122" s="5">
        <f>IN_rooms!AC$58</f>
        <v>0</v>
      </c>
      <c r="S122" s="5">
        <f>IN_rooms!AD$58</f>
        <v>0</v>
      </c>
      <c r="T122" s="5">
        <f>IN_rooms!AE$58</f>
        <v>0</v>
      </c>
      <c r="U122" s="5">
        <f>IN_rooms!AF$58</f>
        <v>0</v>
      </c>
    </row>
    <row r="123" spans="1:21" ht="15.75" thickBot="1">
      <c r="A123" s="106" t="s">
        <v>175</v>
      </c>
      <c r="B123" s="106" t="s">
        <v>419</v>
      </c>
      <c r="C123" s="106" t="s">
        <v>152</v>
      </c>
      <c r="D123" s="106" t="s">
        <v>668</v>
      </c>
      <c r="E123" s="106" t="s">
        <v>409</v>
      </c>
      <c r="G123" s="5">
        <f>IN_rooms!R$59</f>
        <v>0</v>
      </c>
      <c r="H123" s="5">
        <f>IN_rooms!S$59</f>
        <v>0</v>
      </c>
      <c r="I123" s="5">
        <f>IN_rooms!T$59</f>
        <v>0</v>
      </c>
      <c r="J123" s="5">
        <f>IN_rooms!U$59</f>
        <v>0</v>
      </c>
      <c r="K123" s="5">
        <f>IN_rooms!V$59</f>
        <v>0</v>
      </c>
      <c r="L123" s="5">
        <f>IN_rooms!W$59</f>
        <v>0</v>
      </c>
      <c r="M123" s="5">
        <f>IN_rooms!X$59</f>
        <v>0</v>
      </c>
      <c r="N123" s="5">
        <f>IN_rooms!Y$59</f>
        <v>0</v>
      </c>
      <c r="O123" s="5">
        <f>IN_rooms!Z$59</f>
        <v>0</v>
      </c>
      <c r="P123" s="5">
        <f>IN_rooms!AA$59</f>
        <v>0</v>
      </c>
      <c r="Q123" s="5">
        <f>IN_rooms!AB$59</f>
        <v>0</v>
      </c>
      <c r="R123" s="5">
        <f>IN_rooms!AC$59</f>
        <v>0</v>
      </c>
      <c r="S123" s="5">
        <f>IN_rooms!AD$59</f>
        <v>0</v>
      </c>
      <c r="T123" s="5">
        <f>IN_rooms!AE$59</f>
        <v>0</v>
      </c>
      <c r="U123" s="5">
        <f>IN_rooms!AF$59</f>
        <v>0</v>
      </c>
    </row>
    <row r="124" spans="1:21" ht="15.75" thickBot="1">
      <c r="A124" s="106" t="s">
        <v>412</v>
      </c>
      <c r="B124" s="106" t="s">
        <v>419</v>
      </c>
      <c r="C124" s="106" t="s">
        <v>152</v>
      </c>
      <c r="D124" s="106" t="s">
        <v>669</v>
      </c>
      <c r="E124" s="106" t="s">
        <v>409</v>
      </c>
      <c r="G124" s="5">
        <f>IN_rooms!R$60</f>
        <v>0</v>
      </c>
      <c r="H124" s="5">
        <f>IN_rooms!S$60</f>
        <v>0</v>
      </c>
      <c r="I124" s="5">
        <f>IN_rooms!T$60</f>
        <v>0</v>
      </c>
      <c r="J124" s="5">
        <f>IN_rooms!U$60</f>
        <v>0</v>
      </c>
      <c r="K124" s="5">
        <f>IN_rooms!V$60</f>
        <v>0</v>
      </c>
      <c r="L124" s="5">
        <f>IN_rooms!W$60</f>
        <v>0</v>
      </c>
      <c r="M124" s="5">
        <f>IN_rooms!X$60</f>
        <v>0</v>
      </c>
      <c r="N124" s="5">
        <f>IN_rooms!Y$60</f>
        <v>0</v>
      </c>
      <c r="O124" s="5">
        <f>IN_rooms!Z$60</f>
        <v>0</v>
      </c>
      <c r="P124" s="5">
        <f>IN_rooms!AA$60</f>
        <v>0</v>
      </c>
      <c r="Q124" s="5">
        <f>IN_rooms!AB$60</f>
        <v>0</v>
      </c>
      <c r="R124" s="5">
        <f>IN_rooms!AC$60</f>
        <v>0</v>
      </c>
      <c r="S124" s="5">
        <f>IN_rooms!AD$60</f>
        <v>0</v>
      </c>
      <c r="T124" s="5">
        <f>IN_rooms!AE$60</f>
        <v>0</v>
      </c>
      <c r="U124" s="5">
        <f>IN_rooms!AF$60</f>
        <v>0</v>
      </c>
    </row>
    <row r="125" spans="1:21" ht="15.75" thickBot="1">
      <c r="A125" s="106" t="s">
        <v>565</v>
      </c>
      <c r="B125" s="106" t="s">
        <v>419</v>
      </c>
      <c r="C125" s="106" t="s">
        <v>152</v>
      </c>
      <c r="D125" s="106" t="s">
        <v>670</v>
      </c>
      <c r="E125" s="106"/>
      <c r="G125" s="5">
        <f ca="1">_xlfn.LET(
    _xlpm.typ, clc_power!G$120,
    _xlpm.subtyp, clc_power!G$121,
    _xlpm.höhe, clc_power!G$122,
    _xlpm.tiefe, clc_power!G$124,
    SUMIFS(
        INDIRECT("tabelle1[Heizkörperexponent n ]"),
        INDIRECT("tabelle1[Heizkörper_Typ]"), _xlpm.typ,
        INDIRECT("tabelle1[Heizkörper_Subtyp]"), _xlpm.subtyp,
        INDIRECT("tabelle1[Höhe H in mm]"), _xlpm.höhe,
        INDIRECT("tabelle1[Bautiefe T in mm]"), _xlpm.tiefe
    )
)</f>
        <v>0</v>
      </c>
      <c r="H125" s="5">
        <f ca="1">_xlfn.LET(
    _xlpm.typ, clc_power!H$120,
    _xlpm.subtyp, clc_power!H$121,
    _xlpm.höhe, clc_power!H$122,
    _xlpm.tiefe, clc_power!H$124,
    SUMIFS(
        INDIRECT("tabelle1[Heizkörperexponent n ]"),
        INDIRECT("tabelle1[Heizkörper_Typ]"), _xlpm.typ,
        INDIRECT("tabelle1[Heizkörper_Subtyp]"), _xlpm.subtyp,
        INDIRECT("tabelle1[Höhe H in mm]"), _xlpm.höhe,
        INDIRECT("tabelle1[Bautiefe T in mm]"), _xlpm.tiefe
    )
)</f>
        <v>0</v>
      </c>
      <c r="I125" s="5">
        <f ca="1">_xlfn.LET(
    _xlpm.typ, clc_power!I$120,
    _xlpm.subtyp, clc_power!I$121,
    _xlpm.höhe, clc_power!I$122,
    _xlpm.tiefe, clc_power!I$124,
    SUMIFS(
        INDIRECT("tabelle1[Heizkörperexponent n ]"),
        INDIRECT("tabelle1[Heizkörper_Typ]"), _xlpm.typ,
        INDIRECT("tabelle1[Heizkörper_Subtyp]"), _xlpm.subtyp,
        INDIRECT("tabelle1[Höhe H in mm]"), _xlpm.höhe,
        INDIRECT("tabelle1[Bautiefe T in mm]"), _xlpm.tiefe
    )
)</f>
        <v>0</v>
      </c>
      <c r="J125" s="5">
        <f ca="1">_xlfn.LET(
    _xlpm.typ, clc_power!J$120,
    _xlpm.subtyp, clc_power!J$121,
    _xlpm.höhe, clc_power!J$122,
    _xlpm.tiefe, clc_power!J$124,
    SUMIFS(
        INDIRECT("tabelle1[Heizkörperexponent n ]"),
        INDIRECT("tabelle1[Heizkörper_Typ]"), _xlpm.typ,
        INDIRECT("tabelle1[Heizkörper_Subtyp]"), _xlpm.subtyp,
        INDIRECT("tabelle1[Höhe H in mm]"), _xlpm.höhe,
        INDIRECT("tabelle1[Bautiefe T in mm]"), _xlpm.tiefe
    )
)</f>
        <v>0</v>
      </c>
      <c r="K125" s="5">
        <f ca="1">_xlfn.LET(
    _xlpm.typ, clc_power!K$120,
    _xlpm.subtyp, clc_power!K$121,
    _xlpm.höhe, clc_power!K$122,
    _xlpm.tiefe, clc_power!K$124,
    SUMIFS(
        INDIRECT("tabelle1[Heizkörperexponent n ]"),
        INDIRECT("tabelle1[Heizkörper_Typ]"), _xlpm.typ,
        INDIRECT("tabelle1[Heizkörper_Subtyp]"), _xlpm.subtyp,
        INDIRECT("tabelle1[Höhe H in mm]"), _xlpm.höhe,
        INDIRECT("tabelle1[Bautiefe T in mm]"), _xlpm.tiefe
    )
)</f>
        <v>0</v>
      </c>
      <c r="L125" s="5">
        <f ca="1">_xlfn.LET(
    _xlpm.typ, clc_power!L$120,
    _xlpm.subtyp, clc_power!L$121,
    _xlpm.höhe, clc_power!L$122,
    _xlpm.tiefe, clc_power!L$124,
    SUMIFS(
        INDIRECT("tabelle1[Heizkörperexponent n ]"),
        INDIRECT("tabelle1[Heizkörper_Typ]"), _xlpm.typ,
        INDIRECT("tabelle1[Heizkörper_Subtyp]"), _xlpm.subtyp,
        INDIRECT("tabelle1[Höhe H in mm]"), _xlpm.höhe,
        INDIRECT("tabelle1[Bautiefe T in mm]"), _xlpm.tiefe
    )
)</f>
        <v>0</v>
      </c>
      <c r="M125" s="5">
        <f ca="1">_xlfn.LET(
    _xlpm.typ, clc_power!M$120,
    _xlpm.subtyp, clc_power!M$121,
    _xlpm.höhe, clc_power!M$122,
    _xlpm.tiefe, clc_power!M$124,
    SUMIFS(
        INDIRECT("tabelle1[Heizkörperexponent n ]"),
        INDIRECT("tabelle1[Heizkörper_Typ]"), _xlpm.typ,
        INDIRECT("tabelle1[Heizkörper_Subtyp]"), _xlpm.subtyp,
        INDIRECT("tabelle1[Höhe H in mm]"), _xlpm.höhe,
        INDIRECT("tabelle1[Bautiefe T in mm]"), _xlpm.tiefe
    )
)</f>
        <v>0</v>
      </c>
      <c r="N125" s="5">
        <f ca="1">_xlfn.LET(
    _xlpm.typ, clc_power!N$120,
    _xlpm.subtyp, clc_power!N$121,
    _xlpm.höhe, clc_power!N$122,
    _xlpm.tiefe, clc_power!N$124,
    SUMIFS(
        INDIRECT("tabelle1[Heizkörperexponent n ]"),
        INDIRECT("tabelle1[Heizkörper_Typ]"), _xlpm.typ,
        INDIRECT("tabelle1[Heizkörper_Subtyp]"), _xlpm.subtyp,
        INDIRECT("tabelle1[Höhe H in mm]"), _xlpm.höhe,
        INDIRECT("tabelle1[Bautiefe T in mm]"), _xlpm.tiefe
    )
)</f>
        <v>0</v>
      </c>
      <c r="O125" s="5">
        <f ca="1">_xlfn.LET(
    _xlpm.typ, clc_power!O$120,
    _xlpm.subtyp, clc_power!O$121,
    _xlpm.höhe, clc_power!O$122,
    _xlpm.tiefe, clc_power!O$124,
    SUMIFS(
        INDIRECT("tabelle1[Heizkörperexponent n ]"),
        INDIRECT("tabelle1[Heizkörper_Typ]"), _xlpm.typ,
        INDIRECT("tabelle1[Heizkörper_Subtyp]"), _xlpm.subtyp,
        INDIRECT("tabelle1[Höhe H in mm]"), _xlpm.höhe,
        INDIRECT("tabelle1[Bautiefe T in mm]"), _xlpm.tiefe
    )
)</f>
        <v>0</v>
      </c>
      <c r="P125" s="5">
        <f ca="1">_xlfn.LET(
    _xlpm.typ, clc_power!P$120,
    _xlpm.subtyp, clc_power!P$121,
    _xlpm.höhe, clc_power!P$122,
    _xlpm.tiefe, clc_power!P$124,
    SUMIFS(
        INDIRECT("tabelle1[Heizkörperexponent n ]"),
        INDIRECT("tabelle1[Heizkörper_Typ]"), _xlpm.typ,
        INDIRECT("tabelle1[Heizkörper_Subtyp]"), _xlpm.subtyp,
        INDIRECT("tabelle1[Höhe H in mm]"), _xlpm.höhe,
        INDIRECT("tabelle1[Bautiefe T in mm]"), _xlpm.tiefe
    )
)</f>
        <v>0</v>
      </c>
      <c r="Q125" s="5">
        <f ca="1">_xlfn.LET(
    _xlpm.typ, clc_power!Q$120,
    _xlpm.subtyp, clc_power!Q$121,
    _xlpm.höhe, clc_power!Q$122,
    _xlpm.tiefe, clc_power!Q$124,
    SUMIFS(
        INDIRECT("tabelle1[Heizkörperexponent n ]"),
        INDIRECT("tabelle1[Heizkörper_Typ]"), _xlpm.typ,
        INDIRECT("tabelle1[Heizkörper_Subtyp]"), _xlpm.subtyp,
        INDIRECT("tabelle1[Höhe H in mm]"), _xlpm.höhe,
        INDIRECT("tabelle1[Bautiefe T in mm]"), _xlpm.tiefe
    )
)</f>
        <v>0</v>
      </c>
      <c r="R125" s="5">
        <f ca="1">_xlfn.LET(
    _xlpm.typ, clc_power!R$120,
    _xlpm.subtyp, clc_power!R$121,
    _xlpm.höhe, clc_power!R$122,
    _xlpm.tiefe, clc_power!R$124,
    SUMIFS(
        INDIRECT("tabelle1[Heizkörperexponent n ]"),
        INDIRECT("tabelle1[Heizkörper_Typ]"), _xlpm.typ,
        INDIRECT("tabelle1[Heizkörper_Subtyp]"), _xlpm.subtyp,
        INDIRECT("tabelle1[Höhe H in mm]"), _xlpm.höhe,
        INDIRECT("tabelle1[Bautiefe T in mm]"), _xlpm.tiefe
    )
)</f>
        <v>0</v>
      </c>
      <c r="S125" s="5">
        <f ca="1">_xlfn.LET(
    _xlpm.typ, clc_power!S$120,
    _xlpm.subtyp, clc_power!S$121,
    _xlpm.höhe, clc_power!S$122,
    _xlpm.tiefe, clc_power!S$124,
    SUMIFS(
        INDIRECT("tabelle1[Heizkörperexponent n ]"),
        INDIRECT("tabelle1[Heizkörper_Typ]"), _xlpm.typ,
        INDIRECT("tabelle1[Heizkörper_Subtyp]"), _xlpm.subtyp,
        INDIRECT("tabelle1[Höhe H in mm]"), _xlpm.höhe,
        INDIRECT("tabelle1[Bautiefe T in mm]"), _xlpm.tiefe
    )
)</f>
        <v>0</v>
      </c>
      <c r="T125" s="5">
        <f ca="1">_xlfn.LET(
    _xlpm.typ, clc_power!T$120,
    _xlpm.subtyp, clc_power!T$121,
    _xlpm.höhe, clc_power!T$122,
    _xlpm.tiefe, clc_power!T$124,
    SUMIFS(
        INDIRECT("tabelle1[Heizkörperexponent n ]"),
        INDIRECT("tabelle1[Heizkörper_Typ]"), _xlpm.typ,
        INDIRECT("tabelle1[Heizkörper_Subtyp]"), _xlpm.subtyp,
        INDIRECT("tabelle1[Höhe H in mm]"), _xlpm.höhe,
        INDIRECT("tabelle1[Bautiefe T in mm]"), _xlpm.tiefe
    )
)</f>
        <v>0</v>
      </c>
      <c r="U125" s="5">
        <f ca="1">_xlfn.LET(
    _xlpm.typ, clc_power!U$120,
    _xlpm.subtyp, clc_power!U$121,
    _xlpm.höhe, clc_power!U$122,
    _xlpm.tiefe, clc_power!U$124,
    SUMIFS(
        INDIRECT("tabelle1[Heizkörperexponent n ]"),
        INDIRECT("tabelle1[Heizkörper_Typ]"), _xlpm.typ,
        INDIRECT("tabelle1[Heizkörper_Subtyp]"), _xlpm.subtyp,
        INDIRECT("tabelle1[Höhe H in mm]"), _xlpm.höhe,
        INDIRECT("tabelle1[Bautiefe T in mm]"), _xlpm.tiefe
    )
)</f>
        <v>0</v>
      </c>
    </row>
    <row r="126" spans="1:21" ht="15.75" thickBot="1">
      <c r="A126" s="106" t="s">
        <v>567</v>
      </c>
      <c r="B126" s="106" t="s">
        <v>419</v>
      </c>
      <c r="C126" s="106" t="s">
        <v>152</v>
      </c>
      <c r="D126" s="106" t="s">
        <v>671</v>
      </c>
      <c r="E126" s="106" t="s">
        <v>31</v>
      </c>
      <c r="G126" s="5">
        <f ca="1">_xlfn.LET(
    _xlpm.anzahl, IN_rooms!R$62,
    _xlpm.typ, clc_power!G$120,
    _xlpm.subtyp, clc_power!G$121,
    _xlpm.höhe, clc_power!G$122,
    _xlpm.breite, clc_power!G$123,
    _xlpm.tiefe, clc_power!G$124,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H126" s="5">
        <f ca="1">_xlfn.LET(
    _xlpm.anzahl, IN_rooms!S$62,
    _xlpm.typ, clc_power!H$120,
    _xlpm.subtyp, clc_power!H$121,
    _xlpm.höhe, clc_power!H$122,
    _xlpm.breite, clc_power!H$123,
    _xlpm.tiefe, clc_power!H$124,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I126" s="5">
        <f ca="1">_xlfn.LET(
    _xlpm.anzahl, IN_rooms!T$62,
    _xlpm.typ, clc_power!I$120,
    _xlpm.subtyp, clc_power!I$121,
    _xlpm.höhe, clc_power!I$122,
    _xlpm.breite, clc_power!I$123,
    _xlpm.tiefe, clc_power!I$124,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J126" s="5">
        <f ca="1">_xlfn.LET(
    _xlpm.anzahl, IN_rooms!U$62,
    _xlpm.typ, clc_power!J$120,
    _xlpm.subtyp, clc_power!J$121,
    _xlpm.höhe, clc_power!J$122,
    _xlpm.breite, clc_power!J$123,
    _xlpm.tiefe, clc_power!J$124,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K126" s="5">
        <f ca="1">_xlfn.LET(
    _xlpm.anzahl, IN_rooms!V$62,
    _xlpm.typ, clc_power!K$120,
    _xlpm.subtyp, clc_power!K$121,
    _xlpm.höhe, clc_power!K$122,
    _xlpm.breite, clc_power!K$123,
    _xlpm.tiefe, clc_power!K$124,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L126" s="5">
        <f ca="1">_xlfn.LET(
    _xlpm.anzahl, IN_rooms!W$62,
    _xlpm.typ, clc_power!L$120,
    _xlpm.subtyp, clc_power!L$121,
    _xlpm.höhe, clc_power!L$122,
    _xlpm.breite, clc_power!L$123,
    _xlpm.tiefe, clc_power!L$124,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M126" s="5">
        <f ca="1">_xlfn.LET(
    _xlpm.anzahl, IN_rooms!X$62,
    _xlpm.typ, clc_power!M$120,
    _xlpm.subtyp, clc_power!M$121,
    _xlpm.höhe, clc_power!M$122,
    _xlpm.breite, clc_power!M$123,
    _xlpm.tiefe, clc_power!M$124,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N126" s="5">
        <f ca="1">_xlfn.LET(
    _xlpm.anzahl, IN_rooms!Y$62,
    _xlpm.typ, clc_power!N$120,
    _xlpm.subtyp, clc_power!N$121,
    _xlpm.höhe, clc_power!N$122,
    _xlpm.breite, clc_power!N$123,
    _xlpm.tiefe, clc_power!N$124,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O126" s="5">
        <f ca="1">_xlfn.LET(
    _xlpm.anzahl, IN_rooms!Z$62,
    _xlpm.typ, clc_power!O$120,
    _xlpm.subtyp, clc_power!O$121,
    _xlpm.höhe, clc_power!O$122,
    _xlpm.breite, clc_power!O$123,
    _xlpm.tiefe, clc_power!O$124,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P126" s="5">
        <f ca="1">_xlfn.LET(
    _xlpm.anzahl, IN_rooms!AA$62,
    _xlpm.typ, clc_power!P$120,
    _xlpm.subtyp, clc_power!P$121,
    _xlpm.höhe, clc_power!P$122,
    _xlpm.breite, clc_power!P$123,
    _xlpm.tiefe, clc_power!P$124,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Q126" s="5">
        <f ca="1">_xlfn.LET(
    _xlpm.anzahl, IN_rooms!AB$62,
    _xlpm.typ, clc_power!Q$120,
    _xlpm.subtyp, clc_power!Q$121,
    _xlpm.höhe, clc_power!Q$122,
    _xlpm.breite, clc_power!Q$123,
    _xlpm.tiefe, clc_power!Q$124,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R126" s="5">
        <f ca="1">_xlfn.LET(
    _xlpm.anzahl, IN_rooms!AC$62,
    _xlpm.typ, clc_power!R$120,
    _xlpm.subtyp, clc_power!R$121,
    _xlpm.höhe, clc_power!R$122,
    _xlpm.breite, clc_power!R$123,
    _xlpm.tiefe, clc_power!R$124,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S126" s="5">
        <f ca="1">_xlfn.LET(
    _xlpm.anzahl, IN_rooms!AD$62,
    _xlpm.typ, clc_power!S$120,
    _xlpm.subtyp, clc_power!S$121,
    _xlpm.höhe, clc_power!S$122,
    _xlpm.breite, clc_power!S$123,
    _xlpm.tiefe, clc_power!S$124,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T126" s="5">
        <f ca="1">_xlfn.LET(
    _xlpm.anzahl, IN_rooms!AE$62,
    _xlpm.typ, clc_power!T$120,
    _xlpm.subtyp, clc_power!T$121,
    _xlpm.höhe, clc_power!T$122,
    _xlpm.breite, clc_power!T$123,
    _xlpm.tiefe, clc_power!T$124,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U126" s="5">
        <f ca="1">_xlfn.LET(
    _xlpm.anzahl, IN_rooms!AF$62,
    _xlpm.typ, clc_power!U$120,
    _xlpm.subtyp, clc_power!U$121,
    _xlpm.höhe, clc_power!U$122,
    _xlpm.breite, clc_power!U$123,
    _xlpm.tiefe, clc_power!U$124,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row>
    <row r="127" spans="1:21" ht="15.75" thickBot="1">
      <c r="A127" s="106" t="s">
        <v>569</v>
      </c>
      <c r="B127" s="106" t="s">
        <v>419</v>
      </c>
      <c r="C127" s="106" t="s">
        <v>152</v>
      </c>
      <c r="D127" s="106" t="s">
        <v>619</v>
      </c>
      <c r="E127" s="106" t="s">
        <v>26</v>
      </c>
      <c r="G127" s="5">
        <f>TVL_Ziel</f>
        <v>55</v>
      </c>
      <c r="H127" s="5">
        <f t="shared" ref="H127:U127" si="28">TVL_Ziel</f>
        <v>55</v>
      </c>
      <c r="I127" s="5">
        <f t="shared" si="28"/>
        <v>55</v>
      </c>
      <c r="J127" s="5">
        <f t="shared" si="28"/>
        <v>55</v>
      </c>
      <c r="K127" s="5">
        <f t="shared" si="28"/>
        <v>55</v>
      </c>
      <c r="L127" s="5">
        <f t="shared" si="28"/>
        <v>55</v>
      </c>
      <c r="M127" s="5">
        <f t="shared" si="28"/>
        <v>55</v>
      </c>
      <c r="N127" s="5">
        <f t="shared" si="28"/>
        <v>55</v>
      </c>
      <c r="O127" s="5">
        <f t="shared" si="28"/>
        <v>55</v>
      </c>
      <c r="P127" s="5">
        <f t="shared" si="28"/>
        <v>55</v>
      </c>
      <c r="Q127" s="5">
        <f t="shared" si="28"/>
        <v>55</v>
      </c>
      <c r="R127" s="5">
        <f t="shared" si="28"/>
        <v>55</v>
      </c>
      <c r="S127" s="5">
        <f t="shared" si="28"/>
        <v>55</v>
      </c>
      <c r="T127" s="5">
        <f t="shared" si="28"/>
        <v>55</v>
      </c>
      <c r="U127" s="5">
        <f t="shared" si="28"/>
        <v>55</v>
      </c>
    </row>
    <row r="128" spans="1:21" ht="15.75" thickBot="1">
      <c r="A128" s="106" t="s">
        <v>571</v>
      </c>
      <c r="B128" s="106" t="s">
        <v>419</v>
      </c>
      <c r="C128" s="106" t="s">
        <v>152</v>
      </c>
      <c r="D128" s="106" t="s">
        <v>620</v>
      </c>
      <c r="E128" s="106" t="s">
        <v>26</v>
      </c>
      <c r="G128" s="5">
        <f>TRL_Ziel</f>
        <v>45</v>
      </c>
      <c r="H128" s="5">
        <f t="shared" ref="H128:U128" si="29">TRL_Ziel</f>
        <v>45</v>
      </c>
      <c r="I128" s="5">
        <f t="shared" si="29"/>
        <v>45</v>
      </c>
      <c r="J128" s="5">
        <f t="shared" si="29"/>
        <v>45</v>
      </c>
      <c r="K128" s="5">
        <f t="shared" si="29"/>
        <v>45</v>
      </c>
      <c r="L128" s="5">
        <f t="shared" si="29"/>
        <v>45</v>
      </c>
      <c r="M128" s="5">
        <f t="shared" si="29"/>
        <v>45</v>
      </c>
      <c r="N128" s="5">
        <f t="shared" si="29"/>
        <v>45</v>
      </c>
      <c r="O128" s="5">
        <f t="shared" si="29"/>
        <v>45</v>
      </c>
      <c r="P128" s="5">
        <f t="shared" si="29"/>
        <v>45</v>
      </c>
      <c r="Q128" s="5">
        <f t="shared" si="29"/>
        <v>45</v>
      </c>
      <c r="R128" s="5">
        <f t="shared" si="29"/>
        <v>45</v>
      </c>
      <c r="S128" s="5">
        <f t="shared" si="29"/>
        <v>45</v>
      </c>
      <c r="T128" s="5">
        <f t="shared" si="29"/>
        <v>45</v>
      </c>
      <c r="U128" s="5">
        <f t="shared" si="29"/>
        <v>45</v>
      </c>
    </row>
    <row r="129" spans="1:21" ht="15.75" thickBot="1">
      <c r="A129" s="106" t="s">
        <v>573</v>
      </c>
      <c r="B129" s="106" t="s">
        <v>419</v>
      </c>
      <c r="C129" s="106" t="s">
        <v>152</v>
      </c>
      <c r="D129" s="106" t="s">
        <v>672</v>
      </c>
      <c r="E129" s="106" t="s">
        <v>575</v>
      </c>
      <c r="G129" s="34">
        <f>(G$127-G$128)/(LN((G$127-clc_load!I$10)/(clc_power!G$128-clc_load!I$10)))</f>
        <v>49.83288654563971</v>
      </c>
      <c r="H129" s="34">
        <f>(H$127-H$128)/(LN((H$127-clc_load!J$10)/(clc_power!H$128-clc_load!J$10)))</f>
        <v>49.83288654563971</v>
      </c>
      <c r="I129" s="34">
        <f>(I$127-I$128)/(LN((I$127-clc_load!K$10)/(clc_power!I$128-clc_load!K$10)))</f>
        <v>49.83288654563971</v>
      </c>
      <c r="J129" s="34">
        <f>(J$127-J$128)/(LN((J$127-clc_load!L$10)/(clc_power!J$128-clc_load!L$10)))</f>
        <v>49.83288654563971</v>
      </c>
      <c r="K129" s="34">
        <f>(K$127-K$128)/(LN((K$127-clc_load!M$10)/(clc_power!K$128-clc_load!M$10)))</f>
        <v>49.83288654563971</v>
      </c>
      <c r="L129" s="34">
        <f>(L$127-L$128)/(LN((L$127-clc_load!N$10)/(clc_power!L$128-clc_load!N$10)))</f>
        <v>49.83288654563971</v>
      </c>
      <c r="M129" s="34">
        <f>(M$127-M$128)/(LN((M$127-clc_load!O$10)/(clc_power!M$128-clc_load!O$10)))</f>
        <v>49.83288654563971</v>
      </c>
      <c r="N129" s="34">
        <f>(N$127-N$128)/(LN((N$127-clc_load!P$10)/(clc_power!N$128-clc_load!P$10)))</f>
        <v>49.83288654563971</v>
      </c>
      <c r="O129" s="34">
        <f>(O$127-O$128)/(LN((O$127-clc_load!Q$10)/(clc_power!O$128-clc_load!Q$10)))</f>
        <v>49.83288654563971</v>
      </c>
      <c r="P129" s="34">
        <f>(P$127-P$128)/(LN((P$127-clc_load!R$10)/(clc_power!P$128-clc_load!R$10)))</f>
        <v>49.83288654563971</v>
      </c>
      <c r="Q129" s="34">
        <f>(Q$127-Q$128)/(LN((Q$127-clc_load!S$10)/(clc_power!Q$128-clc_load!S$10)))</f>
        <v>49.83288654563971</v>
      </c>
      <c r="R129" s="34">
        <f>(R$127-R$128)/(LN((R$127-clc_load!T$10)/(clc_power!R$128-clc_load!T$10)))</f>
        <v>49.83288654563971</v>
      </c>
      <c r="S129" s="34">
        <f>(S$127-S$128)/(LN((S$127-clc_load!U$10)/(clc_power!S$128-clc_load!U$10)))</f>
        <v>49.83288654563971</v>
      </c>
      <c r="T129" s="34">
        <f>(T$127-T$128)/(LN((T$127-clc_load!V$10)/(clc_power!T$128-clc_load!V$10)))</f>
        <v>49.83288654563971</v>
      </c>
      <c r="U129" s="34">
        <f>(U$127-U$128)/(LN((U$127-clc_load!W$10)/(clc_power!U$128-clc_load!W$10)))</f>
        <v>49.83288654563971</v>
      </c>
    </row>
    <row r="130" spans="1:21" ht="15.75" thickBot="1">
      <c r="A130" s="106" t="s">
        <v>576</v>
      </c>
      <c r="B130" s="106" t="s">
        <v>419</v>
      </c>
      <c r="C130" s="106" t="s">
        <v>152</v>
      </c>
      <c r="D130" s="106" t="s">
        <v>673</v>
      </c>
      <c r="E130" s="106" t="s">
        <v>31</v>
      </c>
      <c r="G130" s="34">
        <f t="shared" ref="G130:U130" ca="1" si="30">IF(G$126*((G$129/Log_ÜT_Norm)^G$125)&gt;0,
G$126*((G$129/Log_ÜT_Norm)^G$125),0)</f>
        <v>0</v>
      </c>
      <c r="H130" s="34">
        <f t="shared" ca="1" si="30"/>
        <v>0</v>
      </c>
      <c r="I130" s="34">
        <f t="shared" ca="1" si="30"/>
        <v>0</v>
      </c>
      <c r="J130" s="34">
        <f t="shared" ca="1" si="30"/>
        <v>0</v>
      </c>
      <c r="K130" s="34">
        <f t="shared" ca="1" si="30"/>
        <v>0</v>
      </c>
      <c r="L130" s="34">
        <f t="shared" ca="1" si="30"/>
        <v>0</v>
      </c>
      <c r="M130" s="34">
        <f t="shared" ca="1" si="30"/>
        <v>0</v>
      </c>
      <c r="N130" s="34">
        <f t="shared" ca="1" si="30"/>
        <v>0</v>
      </c>
      <c r="O130" s="34">
        <f t="shared" ca="1" si="30"/>
        <v>0</v>
      </c>
      <c r="P130" s="34">
        <f t="shared" ca="1" si="30"/>
        <v>0</v>
      </c>
      <c r="Q130" s="34">
        <f t="shared" ca="1" si="30"/>
        <v>0</v>
      </c>
      <c r="R130" s="34">
        <f t="shared" ca="1" si="30"/>
        <v>0</v>
      </c>
      <c r="S130" s="34">
        <f t="shared" ca="1" si="30"/>
        <v>0</v>
      </c>
      <c r="T130" s="34">
        <f t="shared" ca="1" si="30"/>
        <v>0</v>
      </c>
      <c r="U130" s="34">
        <f t="shared" ca="1" si="30"/>
        <v>0</v>
      </c>
    </row>
    <row r="131" spans="1:21" ht="15.75" thickBot="1">
      <c r="A131" s="107" t="s">
        <v>578</v>
      </c>
      <c r="B131" s="107" t="s">
        <v>419</v>
      </c>
      <c r="C131" s="107" t="s">
        <v>579</v>
      </c>
      <c r="D131" s="107" t="s">
        <v>674</v>
      </c>
      <c r="E131" s="107" t="s">
        <v>31</v>
      </c>
      <c r="G131" s="34">
        <f ca="1">_xlfn.LET(
    _xlpm.typ, "Flachheizkoerper_senkrecht_profiliert",
    _xlpm.subtyp, "Typ_33",
    _xlpm.höhe, _xlfn.XLOOKUP(G$122, Data_radiator!$G$5:$G$32, Data_radiator!$G$5:$G$32, 1000000, 1, 1),
    _xlpm.tiefe, 155,
    _xlpm.breite, G$123 / 1000,
    _xlpm.exponentFaktor, G$129 / Log_ÜT_Norm,
    _xlpm.anzahl, IN_rooms!R$62,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H131" s="34">
        <f ca="1">_xlfn.LET(
    _xlpm.typ, "Flachheizkoerper_senkrecht_profiliert",
    _xlpm.subtyp, "Typ_33",
    _xlpm.höhe, _xlfn.XLOOKUP(H$122, Data_radiator!$G$5:$G$32, Data_radiator!$G$5:$G$32, 1000000, 1, 1),
    _xlpm.tiefe, 155,
    _xlpm.breite, H$123 / 1000,
    _xlpm.exponentFaktor, H$129 / Log_ÜT_Norm,
    _xlpm.anzahl, IN_rooms!S$62,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I131" s="34">
        <f ca="1">_xlfn.LET(
    _xlpm.typ, "Flachheizkoerper_senkrecht_profiliert",
    _xlpm.subtyp, "Typ_33",
    _xlpm.höhe, _xlfn.XLOOKUP(I$122, Data_radiator!$G$5:$G$32, Data_radiator!$G$5:$G$32, 1000000, 1, 1),
    _xlpm.tiefe, 155,
    _xlpm.breite, I$123 / 1000,
    _xlpm.exponentFaktor, I$129 / Log_ÜT_Norm,
    _xlpm.anzahl, IN_rooms!T$62,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J131" s="34">
        <f ca="1">_xlfn.LET(
    _xlpm.typ, "Flachheizkoerper_senkrecht_profiliert",
    _xlpm.subtyp, "Typ_33",
    _xlpm.höhe, _xlfn.XLOOKUP(J$122, Data_radiator!$G$5:$G$32, Data_radiator!$G$5:$G$32, 1000000, 1, 1),
    _xlpm.tiefe, 155,
    _xlpm.breite, J$123 / 1000,
    _xlpm.exponentFaktor, J$129 / Log_ÜT_Norm,
    _xlpm.anzahl, IN_rooms!U$62,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K131" s="34">
        <f ca="1">_xlfn.LET(
    _xlpm.typ, "Flachheizkoerper_senkrecht_profiliert",
    _xlpm.subtyp, "Typ_33",
    _xlpm.höhe, _xlfn.XLOOKUP(K$122, Data_radiator!$G$5:$G$32, Data_radiator!$G$5:$G$32, 1000000, 1, 1),
    _xlpm.tiefe, 155,
    _xlpm.breite, K$123 / 1000,
    _xlpm.exponentFaktor, K$129 / Log_ÜT_Norm,
    _xlpm.anzahl, IN_rooms!V$62,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L131" s="34">
        <f ca="1">_xlfn.LET(
    _xlpm.typ, "Flachheizkoerper_senkrecht_profiliert",
    _xlpm.subtyp, "Typ_33",
    _xlpm.höhe, _xlfn.XLOOKUP(L$122, Data_radiator!$G$5:$G$32, Data_radiator!$G$5:$G$32, 1000000, 1, 1),
    _xlpm.tiefe, 155,
    _xlpm.breite, L$123 / 1000,
    _xlpm.exponentFaktor, L$129 / Log_ÜT_Norm,
    _xlpm.anzahl, IN_rooms!W$62,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M131" s="34">
        <f ca="1">_xlfn.LET(
    _xlpm.typ, "Flachheizkoerper_senkrecht_profiliert",
    _xlpm.subtyp, "Typ_33",
    _xlpm.höhe, _xlfn.XLOOKUP(M$122, Data_radiator!$G$5:$G$32, Data_radiator!$G$5:$G$32, 1000000, 1, 1),
    _xlpm.tiefe, 155,
    _xlpm.breite, M$123 / 1000,
    _xlpm.exponentFaktor, M$129 / Log_ÜT_Norm,
    _xlpm.anzahl, IN_rooms!X$62,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N131" s="34">
        <f ca="1">_xlfn.LET(
    _xlpm.typ, "Flachheizkoerper_senkrecht_profiliert",
    _xlpm.subtyp, "Typ_33",
    _xlpm.höhe, _xlfn.XLOOKUP(N$122, Data_radiator!$G$5:$G$32, Data_radiator!$G$5:$G$32, 1000000, 1, 1),
    _xlpm.tiefe, 155,
    _xlpm.breite, N$123 / 1000,
    _xlpm.exponentFaktor, N$129 / Log_ÜT_Norm,
    _xlpm.anzahl, IN_rooms!Y$62,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O131" s="34">
        <f ca="1">_xlfn.LET(
    _xlpm.typ, "Flachheizkoerper_senkrecht_profiliert",
    _xlpm.subtyp, "Typ_33",
    _xlpm.höhe, _xlfn.XLOOKUP(O$122, Data_radiator!$G$5:$G$32, Data_radiator!$G$5:$G$32, 1000000, 1, 1),
    _xlpm.tiefe, 155,
    _xlpm.breite, O$123 / 1000,
    _xlpm.exponentFaktor, O$129 / Log_ÜT_Norm,
    _xlpm.anzahl, IN_rooms!Z$62,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P131" s="34">
        <f ca="1">_xlfn.LET(
    _xlpm.typ, "Flachheizkoerper_senkrecht_profiliert",
    _xlpm.subtyp, "Typ_33",
    _xlpm.höhe, _xlfn.XLOOKUP(P$122, Data_radiator!$G$5:$G$32, Data_radiator!$G$5:$G$32, 1000000, 1, 1),
    _xlpm.tiefe, 155,
    _xlpm.breite, P$123 / 1000,
    _xlpm.exponentFaktor, P$129 / Log_ÜT_Norm,
    _xlpm.anzahl, IN_rooms!AA$62,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Q131" s="34">
        <f ca="1">_xlfn.LET(
    _xlpm.typ, "Flachheizkoerper_senkrecht_profiliert",
    _xlpm.subtyp, "Typ_33",
    _xlpm.höhe, _xlfn.XLOOKUP(Q$122, Data_radiator!$G$5:$G$32, Data_radiator!$G$5:$G$32, 1000000, 1, 1),
    _xlpm.tiefe, 155,
    _xlpm.breite, Q$123 / 1000,
    _xlpm.exponentFaktor, Q$129 / Log_ÜT_Norm,
    _xlpm.anzahl, IN_rooms!AB$62,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R131" s="34">
        <f ca="1">_xlfn.LET(
    _xlpm.typ, "Flachheizkoerper_senkrecht_profiliert",
    _xlpm.subtyp, "Typ_33",
    _xlpm.höhe, _xlfn.XLOOKUP(R$122, Data_radiator!$G$5:$G$32, Data_radiator!$G$5:$G$32, 1000000, 1, 1),
    _xlpm.tiefe, 155,
    _xlpm.breite, R$123 / 1000,
    _xlpm.exponentFaktor, R$129 / Log_ÜT_Norm,
    _xlpm.anzahl, IN_rooms!AC$62,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S131" s="34">
        <f ca="1">_xlfn.LET(
    _xlpm.typ, "Flachheizkoerper_senkrecht_profiliert",
    _xlpm.subtyp, "Typ_33",
    _xlpm.höhe, _xlfn.XLOOKUP(S$122, Data_radiator!$G$5:$G$32, Data_radiator!$G$5:$G$32, 1000000, 1, 1),
    _xlpm.tiefe, 155,
    _xlpm.breite, S$123 / 1000,
    _xlpm.exponentFaktor, S$129 / Log_ÜT_Norm,
    _xlpm.anzahl, IN_rooms!AD$62,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T131" s="34">
        <f ca="1">_xlfn.LET(
    _xlpm.typ, "Flachheizkoerper_senkrecht_profiliert",
    _xlpm.subtyp, "Typ_33",
    _xlpm.höhe, _xlfn.XLOOKUP(T$122, Data_radiator!$G$5:$G$32, Data_radiator!$G$5:$G$32, 1000000, 1, 1),
    _xlpm.tiefe, 155,
    _xlpm.breite, T$123 / 1000,
    _xlpm.exponentFaktor, T$129 / Log_ÜT_Norm,
    _xlpm.anzahl, IN_rooms!AE$62,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U131" s="34">
        <f ca="1">_xlfn.LET(
    _xlpm.typ, "Flachheizkoerper_senkrecht_profiliert",
    _xlpm.subtyp, "Typ_33",
    _xlpm.höhe, _xlfn.XLOOKUP(U$122, Data_radiator!$G$5:$G$32, Data_radiator!$G$5:$G$32, 1000000, 1, 1),
    _xlpm.tiefe, 155,
    _xlpm.breite, U$123 / 1000,
    _xlpm.exponentFaktor, U$129 / Log_ÜT_Norm,
    _xlpm.anzahl, IN_rooms!AF$62,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row>
    <row r="132" spans="1:21" ht="15.75" thickBot="1">
      <c r="A132" s="110" t="s">
        <v>624</v>
      </c>
      <c r="B132" s="110" t="s">
        <v>419</v>
      </c>
      <c r="C132" s="110"/>
      <c r="D132" s="110" t="s">
        <v>625</v>
      </c>
      <c r="E132" s="110" t="s">
        <v>31</v>
      </c>
      <c r="F132" s="6"/>
      <c r="G132" s="123" t="str">
        <f>IF(G69&gt;"",G79,IF(G81&gt;"",G91,IF(G93&gt;"",G104,IF(G120&gt;"",G130,""))))</f>
        <v/>
      </c>
      <c r="H132" s="123" t="str">
        <f t="shared" ref="H132:U132" si="31">IF(H69&gt;"",H79,IF(H81&gt;"",H91,IF(H93&gt;"",H104,IF(H120&gt;"",H130,""))))</f>
        <v/>
      </c>
      <c r="I132" s="123" t="str">
        <f t="shared" si="31"/>
        <v/>
      </c>
      <c r="J132" s="123" t="str">
        <f t="shared" si="31"/>
        <v/>
      </c>
      <c r="K132" s="123" t="str">
        <f t="shared" si="31"/>
        <v/>
      </c>
      <c r="L132" s="123" t="str">
        <f t="shared" si="31"/>
        <v/>
      </c>
      <c r="M132" s="123" t="str">
        <f t="shared" si="31"/>
        <v/>
      </c>
      <c r="N132" s="123" t="str">
        <f t="shared" si="31"/>
        <v/>
      </c>
      <c r="O132" s="123" t="str">
        <f t="shared" si="31"/>
        <v/>
      </c>
      <c r="P132" s="123" t="str">
        <f t="shared" si="31"/>
        <v/>
      </c>
      <c r="Q132" s="123" t="str">
        <f t="shared" si="31"/>
        <v/>
      </c>
      <c r="R132" s="123" t="str">
        <f t="shared" si="31"/>
        <v/>
      </c>
      <c r="S132" s="123" t="str">
        <f t="shared" si="31"/>
        <v/>
      </c>
      <c r="T132" s="123" t="str">
        <f t="shared" si="31"/>
        <v/>
      </c>
      <c r="U132" s="123" t="str">
        <f t="shared" si="31"/>
        <v/>
      </c>
    </row>
    <row r="133" spans="1:21" ht="15.75" thickBot="1">
      <c r="A133" s="110" t="s">
        <v>626</v>
      </c>
      <c r="B133" s="110" t="s">
        <v>419</v>
      </c>
      <c r="C133" s="110" t="s">
        <v>627</v>
      </c>
      <c r="D133" s="110" t="s">
        <v>628</v>
      </c>
      <c r="E133" s="110" t="s">
        <v>31</v>
      </c>
      <c r="F133" s="6"/>
      <c r="G133" s="123" t="str">
        <f>IF(G69&gt;"",G80,IF(G81&gt;"",G92,IF(G93&gt;"",G105,IF(G120&gt;"",G131,""))))</f>
        <v/>
      </c>
      <c r="H133" s="123" t="str">
        <f t="shared" ref="H133:U133" si="32">IF(H69&gt;"",H80,IF(H81&gt;"",H92,IF(H93&gt;"",H105,IF(H120&gt;"",H131,""))))</f>
        <v/>
      </c>
      <c r="I133" s="123" t="str">
        <f t="shared" si="32"/>
        <v/>
      </c>
      <c r="J133" s="123" t="str">
        <f t="shared" si="32"/>
        <v/>
      </c>
      <c r="K133" s="123" t="str">
        <f t="shared" si="32"/>
        <v/>
      </c>
      <c r="L133" s="123" t="str">
        <f t="shared" si="32"/>
        <v/>
      </c>
      <c r="M133" s="123" t="str">
        <f t="shared" si="32"/>
        <v/>
      </c>
      <c r="N133" s="123" t="str">
        <f t="shared" si="32"/>
        <v/>
      </c>
      <c r="O133" s="123" t="str">
        <f t="shared" si="32"/>
        <v/>
      </c>
      <c r="P133" s="123" t="str">
        <f t="shared" si="32"/>
        <v/>
      </c>
      <c r="Q133" s="123" t="str">
        <f t="shared" si="32"/>
        <v/>
      </c>
      <c r="R133" s="123" t="str">
        <f t="shared" si="32"/>
        <v/>
      </c>
      <c r="S133" s="123" t="str">
        <f t="shared" si="32"/>
        <v/>
      </c>
      <c r="T133" s="123" t="str">
        <f t="shared" si="32"/>
        <v/>
      </c>
      <c r="U133" s="123" t="str">
        <f t="shared" si="32"/>
        <v/>
      </c>
    </row>
    <row r="134" spans="1:21" ht="15.75" thickBot="1">
      <c r="G134" s="108"/>
      <c r="H134" s="108"/>
      <c r="I134" s="108"/>
      <c r="J134" s="108"/>
      <c r="K134" s="108"/>
      <c r="L134" s="108"/>
      <c r="M134" s="108"/>
      <c r="N134" s="108"/>
      <c r="O134" s="108"/>
      <c r="P134" s="108"/>
      <c r="Q134" s="108"/>
      <c r="R134" s="108"/>
      <c r="S134" s="108"/>
      <c r="T134" s="108"/>
      <c r="U134" s="108"/>
    </row>
    <row r="135" spans="1:21" ht="15.75" thickBot="1">
      <c r="G135" s="108"/>
      <c r="H135" s="108"/>
      <c r="I135" s="108"/>
      <c r="J135" s="108"/>
      <c r="K135" s="108"/>
      <c r="L135" s="108"/>
      <c r="M135" s="108"/>
      <c r="N135" s="108"/>
      <c r="O135" s="108"/>
      <c r="P135" s="108"/>
      <c r="Q135" s="108"/>
      <c r="R135" s="108"/>
      <c r="S135" s="108"/>
      <c r="T135" s="108"/>
      <c r="U135" s="108"/>
    </row>
    <row r="136" spans="1:21" ht="15.75" thickBot="1">
      <c r="A136" s="27" t="s">
        <v>405</v>
      </c>
      <c r="B136" s="27" t="s">
        <v>429</v>
      </c>
      <c r="C136" s="27" t="s">
        <v>148</v>
      </c>
      <c r="D136" s="27" t="s">
        <v>675</v>
      </c>
      <c r="E136" s="27"/>
      <c r="G136" s="5" t="str">
        <f>IF(OR(IN_rooms!R$63="Flachheizkoerper_glatt",IN_rooms!R$63="Flachheizkoerper_senkrecht_profiliert"),IN_rooms!R$63,"")</f>
        <v/>
      </c>
      <c r="H136" s="5" t="str">
        <f>IF(OR(IN_rooms!S$63="Flachheizkoerper_glatt",IN_rooms!S$63="Flachheizkoerper_senkrecht_profiliert"),IN_rooms!S$63,"")</f>
        <v/>
      </c>
      <c r="I136" s="5" t="str">
        <f>IF(OR(IN_rooms!T$63="Flachheizkoerper_glatt",IN_rooms!T$63="Flachheizkoerper_senkrecht_profiliert"),IN_rooms!T$63,"")</f>
        <v/>
      </c>
      <c r="J136" s="5" t="str">
        <f>IF(OR(IN_rooms!U$63="Flachheizkoerper_glatt",IN_rooms!U$63="Flachheizkoerper_senkrecht_profiliert"),IN_rooms!U$63,"")</f>
        <v/>
      </c>
      <c r="K136" s="5" t="str">
        <f>IF(OR(IN_rooms!V$63="Flachheizkoerper_glatt",IN_rooms!V$63="Flachheizkoerper_senkrecht_profiliert"),IN_rooms!V$63,"")</f>
        <v/>
      </c>
      <c r="L136" s="5" t="str">
        <f>IF(OR(IN_rooms!W$63="Flachheizkoerper_glatt",IN_rooms!W$63="Flachheizkoerper_senkrecht_profiliert"),IN_rooms!W$63,"")</f>
        <v/>
      </c>
      <c r="M136" s="5" t="str">
        <f>IF(OR(IN_rooms!X$63="Flachheizkoerper_glatt",IN_rooms!X$63="Flachheizkoerper_senkrecht_profiliert"),IN_rooms!X$63,"")</f>
        <v/>
      </c>
      <c r="N136" s="5" t="str">
        <f>IF(OR(IN_rooms!Y$63="Flachheizkoerper_glatt",IN_rooms!Y$63="Flachheizkoerper_senkrecht_profiliert"),IN_rooms!Y$63,"")</f>
        <v/>
      </c>
      <c r="O136" s="5" t="str">
        <f>IF(OR(IN_rooms!Z$63="Flachheizkoerper_glatt",IN_rooms!Z$63="Flachheizkoerper_senkrecht_profiliert"),IN_rooms!Z$63,"")</f>
        <v/>
      </c>
      <c r="P136" s="5" t="str">
        <f>IF(OR(IN_rooms!AA$63="Flachheizkoerper_glatt",IN_rooms!AA$63="Flachheizkoerper_senkrecht_profiliert"),IN_rooms!AA$63,"")</f>
        <v/>
      </c>
      <c r="Q136" s="5" t="str">
        <f>IF(OR(IN_rooms!AB$63="Flachheizkoerper_glatt",IN_rooms!AB$63="Flachheizkoerper_senkrecht_profiliert"),IN_rooms!AB$63,"")</f>
        <v/>
      </c>
      <c r="R136" s="5" t="str">
        <f>IF(OR(IN_rooms!AC$63="Flachheizkoerper_glatt",IN_rooms!AC$63="Flachheizkoerper_senkrecht_profiliert"),IN_rooms!AC$63,"")</f>
        <v/>
      </c>
      <c r="S136" s="5" t="str">
        <f>IF(OR(IN_rooms!AD$63="Flachheizkoerper_glatt",IN_rooms!AD$63="Flachheizkoerper_senkrecht_profiliert"),IN_rooms!AD$63,"")</f>
        <v/>
      </c>
      <c r="T136" s="5" t="str">
        <f>IF(OR(IN_rooms!AE$63="Flachheizkoerper_glatt",IN_rooms!AE$63="Flachheizkoerper_senkrecht_profiliert"),IN_rooms!AE$63,"")</f>
        <v/>
      </c>
      <c r="U136" s="5" t="str">
        <f>IF(OR(IN_rooms!AF$63="Flachheizkoerper_glatt",IN_rooms!AF$63="Flachheizkoerper_senkrecht_profiliert"),IN_rooms!AF$63,"")</f>
        <v/>
      </c>
    </row>
    <row r="137" spans="1:21" ht="15.75" thickBot="1">
      <c r="A137" s="27" t="s">
        <v>559</v>
      </c>
      <c r="B137" s="27" t="s">
        <v>429</v>
      </c>
      <c r="C137" s="27" t="s">
        <v>148</v>
      </c>
      <c r="D137" s="27" t="s">
        <v>676</v>
      </c>
      <c r="E137" s="27"/>
      <c r="G137" s="5">
        <f>IN_rooms!R$64</f>
        <v>0</v>
      </c>
      <c r="H137" s="5">
        <f>IN_rooms!S$64</f>
        <v>0</v>
      </c>
      <c r="I137" s="5">
        <f>IN_rooms!T$64</f>
        <v>0</v>
      </c>
      <c r="J137" s="5">
        <f>IN_rooms!U$64</f>
        <v>0</v>
      </c>
      <c r="K137" s="5">
        <f>IN_rooms!V$64</f>
        <v>0</v>
      </c>
      <c r="L137" s="5">
        <f>IN_rooms!W$64</f>
        <v>0</v>
      </c>
      <c r="M137" s="5">
        <f>IN_rooms!X$64</f>
        <v>0</v>
      </c>
      <c r="N137" s="5">
        <f>IN_rooms!Y$64</f>
        <v>0</v>
      </c>
      <c r="O137" s="5">
        <f>IN_rooms!Z$64</f>
        <v>0</v>
      </c>
      <c r="P137" s="5">
        <f>IN_rooms!AA$64</f>
        <v>0</v>
      </c>
      <c r="Q137" s="5">
        <f>IN_rooms!AB$64</f>
        <v>0</v>
      </c>
      <c r="R137" s="5">
        <f>IN_rooms!AC$64</f>
        <v>0</v>
      </c>
      <c r="S137" s="5">
        <f>IN_rooms!AD$64</f>
        <v>0</v>
      </c>
      <c r="T137" s="5">
        <f>IN_rooms!AE$64</f>
        <v>0</v>
      </c>
      <c r="U137" s="5">
        <f>IN_rooms!AF$64</f>
        <v>0</v>
      </c>
    </row>
    <row r="138" spans="1:21" ht="15.75" thickBot="1">
      <c r="A138" s="27" t="s">
        <v>561</v>
      </c>
      <c r="B138" s="27" t="s">
        <v>429</v>
      </c>
      <c r="C138" s="27" t="s">
        <v>148</v>
      </c>
      <c r="D138" s="27" t="s">
        <v>677</v>
      </c>
      <c r="E138" s="27" t="s">
        <v>409</v>
      </c>
      <c r="G138" s="5">
        <f>IN_rooms!R$65</f>
        <v>0</v>
      </c>
      <c r="H138" s="5">
        <f>IN_rooms!S$65</f>
        <v>0</v>
      </c>
      <c r="I138" s="5">
        <f>IN_rooms!T$65</f>
        <v>0</v>
      </c>
      <c r="J138" s="5">
        <f>IN_rooms!U$65</f>
        <v>0</v>
      </c>
      <c r="K138" s="5">
        <f>IN_rooms!V$65</f>
        <v>0</v>
      </c>
      <c r="L138" s="5">
        <f>IN_rooms!W$65</f>
        <v>0</v>
      </c>
      <c r="M138" s="5">
        <f>IN_rooms!X$65</f>
        <v>0</v>
      </c>
      <c r="N138" s="5">
        <f>IN_rooms!Y$65</f>
        <v>0</v>
      </c>
      <c r="O138" s="5">
        <f>IN_rooms!Z$65</f>
        <v>0</v>
      </c>
      <c r="P138" s="5">
        <f>IN_rooms!AA$65</f>
        <v>0</v>
      </c>
      <c r="Q138" s="5">
        <f>IN_rooms!AB$65</f>
        <v>0</v>
      </c>
      <c r="R138" s="5">
        <f>IN_rooms!AC$65</f>
        <v>0</v>
      </c>
      <c r="S138" s="5">
        <f>IN_rooms!AD$65</f>
        <v>0</v>
      </c>
      <c r="T138" s="5">
        <f>IN_rooms!AE$65</f>
        <v>0</v>
      </c>
      <c r="U138" s="5">
        <f>IN_rooms!AF$65</f>
        <v>0</v>
      </c>
    </row>
    <row r="139" spans="1:21" ht="15.75" thickBot="1">
      <c r="A139" s="27" t="s">
        <v>175</v>
      </c>
      <c r="B139" s="27" t="s">
        <v>429</v>
      </c>
      <c r="C139" s="27" t="s">
        <v>148</v>
      </c>
      <c r="D139" s="27" t="s">
        <v>678</v>
      </c>
      <c r="E139" s="27" t="s">
        <v>409</v>
      </c>
      <c r="G139" s="5">
        <f>IN_rooms!R$66</f>
        <v>0</v>
      </c>
      <c r="H139" s="5">
        <f>IN_rooms!S$66</f>
        <v>0</v>
      </c>
      <c r="I139" s="5">
        <f>IN_rooms!T$66</f>
        <v>0</v>
      </c>
      <c r="J139" s="5">
        <f>IN_rooms!U$66</f>
        <v>0</v>
      </c>
      <c r="K139" s="5">
        <f>IN_rooms!V$66</f>
        <v>0</v>
      </c>
      <c r="L139" s="5">
        <f>IN_rooms!W$66</f>
        <v>0</v>
      </c>
      <c r="M139" s="5">
        <f>IN_rooms!X$66</f>
        <v>0</v>
      </c>
      <c r="N139" s="5">
        <f>IN_rooms!Y$66</f>
        <v>0</v>
      </c>
      <c r="O139" s="5">
        <f>IN_rooms!Z$66</f>
        <v>0</v>
      </c>
      <c r="P139" s="5">
        <f>IN_rooms!AA$66</f>
        <v>0</v>
      </c>
      <c r="Q139" s="5">
        <f>IN_rooms!AB$66</f>
        <v>0</v>
      </c>
      <c r="R139" s="5">
        <f>IN_rooms!AC$66</f>
        <v>0</v>
      </c>
      <c r="S139" s="5">
        <f>IN_rooms!AD$66</f>
        <v>0</v>
      </c>
      <c r="T139" s="5">
        <f>IN_rooms!AE$66</f>
        <v>0</v>
      </c>
      <c r="U139" s="5">
        <f>IN_rooms!AF$66</f>
        <v>0</v>
      </c>
    </row>
    <row r="140" spans="1:21" ht="15.75" thickBot="1">
      <c r="A140" s="27" t="s">
        <v>412</v>
      </c>
      <c r="B140" s="27" t="s">
        <v>429</v>
      </c>
      <c r="C140" s="27" t="s">
        <v>148</v>
      </c>
      <c r="D140" s="27" t="s">
        <v>679</v>
      </c>
      <c r="E140" s="27" t="s">
        <v>409</v>
      </c>
      <c r="G140" s="5">
        <f>IF(G137=0,0,_xlfn.XLOOKUP(G137&amp;"_Tiefe",Daten!$K$14:$Q$14,Daten!$K$15:$Q$15))</f>
        <v>0</v>
      </c>
      <c r="H140" s="5">
        <f>IF(H137=0,0,_xlfn.XLOOKUP(H137&amp;"_Tiefe",Daten!$K$14:$Q$14,Daten!$K$15:$Q$15))</f>
        <v>0</v>
      </c>
      <c r="I140" s="5">
        <f>IF(I137=0,0,_xlfn.XLOOKUP(I137&amp;"_Tiefe",Daten!$K$14:$Q$14,Daten!$K$15:$Q$15))</f>
        <v>0</v>
      </c>
      <c r="J140" s="5">
        <f>IF(J137=0,0,_xlfn.XLOOKUP(J137&amp;"_Tiefe",Daten!$K$14:$Q$14,Daten!$K$15:$Q$15))</f>
        <v>0</v>
      </c>
      <c r="K140" s="5">
        <f>IF(K137=0,0,_xlfn.XLOOKUP(K137&amp;"_Tiefe",Daten!$K$14:$Q$14,Daten!$K$15:$Q$15))</f>
        <v>0</v>
      </c>
      <c r="L140" s="5">
        <f>IF(L137=0,0,_xlfn.XLOOKUP(L137&amp;"_Tiefe",Daten!$K$14:$Q$14,Daten!$K$15:$Q$15))</f>
        <v>0</v>
      </c>
      <c r="M140" s="5">
        <f>IF(M137=0,0,_xlfn.XLOOKUP(M137&amp;"_Tiefe",Daten!$K$14:$Q$14,Daten!$K$15:$Q$15))</f>
        <v>0</v>
      </c>
      <c r="N140" s="5">
        <f>IF(N137=0,0,_xlfn.XLOOKUP(N137&amp;"_Tiefe",Daten!$K$14:$Q$14,Daten!$K$15:$Q$15))</f>
        <v>0</v>
      </c>
      <c r="O140" s="5">
        <f>IF(O137=0,0,_xlfn.XLOOKUP(O137&amp;"_Tiefe",Daten!$K$14:$Q$14,Daten!$K$15:$Q$15))</f>
        <v>0</v>
      </c>
      <c r="P140" s="5">
        <f>IF(P137=0,0,_xlfn.XLOOKUP(P137&amp;"_Tiefe",Daten!$K$14:$Q$14,Daten!$K$15:$Q$15))</f>
        <v>0</v>
      </c>
      <c r="Q140" s="5">
        <f>IF(Q137=0,0,_xlfn.XLOOKUP(Q137&amp;"_Tiefe",Daten!$K$14:$Q$14,Daten!$K$15:$Q$15))</f>
        <v>0</v>
      </c>
      <c r="R140" s="5">
        <f>IF(R137=0,0,_xlfn.XLOOKUP(R137&amp;"_Tiefe",Daten!$K$14:$Q$14,Daten!$K$15:$Q$15))</f>
        <v>0</v>
      </c>
      <c r="S140" s="5">
        <f>IF(S137=0,0,_xlfn.XLOOKUP(S137&amp;"_Tiefe",Daten!$K$14:$Q$14,Daten!$K$15:$Q$15))</f>
        <v>0</v>
      </c>
      <c r="T140" s="5">
        <f>IF(T137=0,0,_xlfn.XLOOKUP(T137&amp;"_Tiefe",Daten!$K$14:$Q$14,Daten!$K$15:$Q$15))</f>
        <v>0</v>
      </c>
      <c r="U140" s="5">
        <f>IF(U137=0,0,_xlfn.XLOOKUP(U137&amp;"_Tiefe",Daten!$K$14:$Q$14,Daten!$K$15:$Q$15))</f>
        <v>0</v>
      </c>
    </row>
    <row r="141" spans="1:21" ht="15.75" thickBot="1">
      <c r="A141" s="27" t="s">
        <v>565</v>
      </c>
      <c r="B141" s="27" t="s">
        <v>429</v>
      </c>
      <c r="C141" s="27" t="s">
        <v>148</v>
      </c>
      <c r="D141" s="27" t="s">
        <v>680</v>
      </c>
      <c r="E141" s="27"/>
      <c r="G141" s="5">
        <f ca="1">SUMIFS(
  INDIRECT("tabelle1[Heizkörperexponent n ]"),
  INDIRECT("tabelle1[Heizkörper_Typ]"), clc_power!G$136,
  INDIRECT("tabelle1[Heizkörper_Subtyp]"), clc_power!G$137,
  INDIRECT("tabelle1[Höhe H in mm]"), clc_power!G$138,
  INDIRECT("tabelle1[Bautiefe T in mm]"), clc_power!G$140
)</f>
        <v>0</v>
      </c>
      <c r="H141" s="5">
        <f ca="1">SUMIFS(
  INDIRECT("tabelle1[Heizkörperexponent n ]"),
  INDIRECT("tabelle1[Heizkörper_Typ]"), clc_power!H$136,
  INDIRECT("tabelle1[Heizkörper_Subtyp]"), clc_power!H$137,
  INDIRECT("tabelle1[Höhe H in mm]"), clc_power!H$138,
  INDIRECT("tabelle1[Bautiefe T in mm]"), clc_power!H$140
)</f>
        <v>0</v>
      </c>
      <c r="I141" s="5">
        <f ca="1">SUMIFS(
  INDIRECT("tabelle1[Heizkörperexponent n ]"),
  INDIRECT("tabelle1[Heizkörper_Typ]"), clc_power!I$136,
  INDIRECT("tabelle1[Heizkörper_Subtyp]"), clc_power!I$137,
  INDIRECT("tabelle1[Höhe H in mm]"), clc_power!I$138,
  INDIRECT("tabelle1[Bautiefe T in mm]"), clc_power!I$140
)</f>
        <v>0</v>
      </c>
      <c r="J141" s="5">
        <f ca="1">SUMIFS(
  INDIRECT("tabelle1[Heizkörperexponent n ]"),
  INDIRECT("tabelle1[Heizkörper_Typ]"), clc_power!J$136,
  INDIRECT("tabelle1[Heizkörper_Subtyp]"), clc_power!J$137,
  INDIRECT("tabelle1[Höhe H in mm]"), clc_power!J$138,
  INDIRECT("tabelle1[Bautiefe T in mm]"), clc_power!J$140
)</f>
        <v>0</v>
      </c>
      <c r="K141" s="5">
        <f ca="1">SUMIFS(
  INDIRECT("tabelle1[Heizkörperexponent n ]"),
  INDIRECT("tabelle1[Heizkörper_Typ]"), clc_power!K$136,
  INDIRECT("tabelle1[Heizkörper_Subtyp]"), clc_power!K$137,
  INDIRECT("tabelle1[Höhe H in mm]"), clc_power!K$138,
  INDIRECT("tabelle1[Bautiefe T in mm]"), clc_power!K$140
)</f>
        <v>0</v>
      </c>
      <c r="L141" s="5">
        <f ca="1">SUMIFS(
  INDIRECT("tabelle1[Heizkörperexponent n ]"),
  INDIRECT("tabelle1[Heizkörper_Typ]"), clc_power!L$136,
  INDIRECT("tabelle1[Heizkörper_Subtyp]"), clc_power!L$137,
  INDIRECT("tabelle1[Höhe H in mm]"), clc_power!L$138,
  INDIRECT("tabelle1[Bautiefe T in mm]"), clc_power!L$140
)</f>
        <v>0</v>
      </c>
      <c r="M141" s="5">
        <f ca="1">SUMIFS(
  INDIRECT("tabelle1[Heizkörperexponent n ]"),
  INDIRECT("tabelle1[Heizkörper_Typ]"), clc_power!M$136,
  INDIRECT("tabelle1[Heizkörper_Subtyp]"), clc_power!M$137,
  INDIRECT("tabelle1[Höhe H in mm]"), clc_power!M$138,
  INDIRECT("tabelle1[Bautiefe T in mm]"), clc_power!M$140
)</f>
        <v>0</v>
      </c>
      <c r="N141" s="5">
        <f ca="1">SUMIFS(
  INDIRECT("tabelle1[Heizkörperexponent n ]"),
  INDIRECT("tabelle1[Heizkörper_Typ]"), clc_power!N$136,
  INDIRECT("tabelle1[Heizkörper_Subtyp]"), clc_power!N$137,
  INDIRECT("tabelle1[Höhe H in mm]"), clc_power!N$138,
  INDIRECT("tabelle1[Bautiefe T in mm]"), clc_power!N$140
)</f>
        <v>0</v>
      </c>
      <c r="O141" s="5">
        <f ca="1">SUMIFS(
  INDIRECT("tabelle1[Heizkörperexponent n ]"),
  INDIRECT("tabelle1[Heizkörper_Typ]"), clc_power!O$136,
  INDIRECT("tabelle1[Heizkörper_Subtyp]"), clc_power!O$137,
  INDIRECT("tabelle1[Höhe H in mm]"), clc_power!O$138,
  INDIRECT("tabelle1[Bautiefe T in mm]"), clc_power!O$140
)</f>
        <v>0</v>
      </c>
      <c r="P141" s="5">
        <f ca="1">SUMIFS(
  INDIRECT("tabelle1[Heizkörperexponent n ]"),
  INDIRECT("tabelle1[Heizkörper_Typ]"), clc_power!P$136,
  INDIRECT("tabelle1[Heizkörper_Subtyp]"), clc_power!P$137,
  INDIRECT("tabelle1[Höhe H in mm]"), clc_power!P$138,
  INDIRECT("tabelle1[Bautiefe T in mm]"), clc_power!P$140
)</f>
        <v>0</v>
      </c>
      <c r="Q141" s="5">
        <f ca="1">SUMIFS(
  INDIRECT("tabelle1[Heizkörperexponent n ]"),
  INDIRECT("tabelle1[Heizkörper_Typ]"), clc_power!Q$136,
  INDIRECT("tabelle1[Heizkörper_Subtyp]"), clc_power!Q$137,
  INDIRECT("tabelle1[Höhe H in mm]"), clc_power!Q$138,
  INDIRECT("tabelle1[Bautiefe T in mm]"), clc_power!Q$140
)</f>
        <v>0</v>
      </c>
      <c r="R141" s="5">
        <f ca="1">SUMIFS(
  INDIRECT("tabelle1[Heizkörperexponent n ]"),
  INDIRECT("tabelle1[Heizkörper_Typ]"), clc_power!R$136,
  INDIRECT("tabelle1[Heizkörper_Subtyp]"), clc_power!R$137,
  INDIRECT("tabelle1[Höhe H in mm]"), clc_power!R$138,
  INDIRECT("tabelle1[Bautiefe T in mm]"), clc_power!R$140
)</f>
        <v>0</v>
      </c>
      <c r="S141" s="5">
        <f ca="1">SUMIFS(
  INDIRECT("tabelle1[Heizkörperexponent n ]"),
  INDIRECT("tabelle1[Heizkörper_Typ]"), clc_power!S$136,
  INDIRECT("tabelle1[Heizkörper_Subtyp]"), clc_power!S$137,
  INDIRECT("tabelle1[Höhe H in mm]"), clc_power!S$138,
  INDIRECT("tabelle1[Bautiefe T in mm]"), clc_power!S$140
)</f>
        <v>0</v>
      </c>
      <c r="T141" s="5">
        <f ca="1">SUMIFS(
  INDIRECT("tabelle1[Heizkörperexponent n ]"),
  INDIRECT("tabelle1[Heizkörper_Typ]"), clc_power!T$136,
  INDIRECT("tabelle1[Heizkörper_Subtyp]"), clc_power!T$137,
  INDIRECT("tabelle1[Höhe H in mm]"), clc_power!T$138,
  INDIRECT("tabelle1[Bautiefe T in mm]"), clc_power!T$140
)</f>
        <v>0</v>
      </c>
      <c r="U141" s="5">
        <f ca="1">SUMIFS(
  INDIRECT("tabelle1[Heizkörperexponent n ]"),
  INDIRECT("tabelle1[Heizkörper_Typ]"), clc_power!U$136,
  INDIRECT("tabelle1[Heizkörper_Subtyp]"), clc_power!U$137,
  INDIRECT("tabelle1[Höhe H in mm]"), clc_power!U$138,
  INDIRECT("tabelle1[Bautiefe T in mm]"), clc_power!U$140
)</f>
        <v>0</v>
      </c>
    </row>
    <row r="142" spans="1:21" ht="15.75" thickBot="1">
      <c r="A142" s="27" t="s">
        <v>567</v>
      </c>
      <c r="B142" s="27" t="s">
        <v>429</v>
      </c>
      <c r="C142" s="27" t="s">
        <v>148</v>
      </c>
      <c r="D142" s="27" t="s">
        <v>681</v>
      </c>
      <c r="E142" s="27" t="s">
        <v>31</v>
      </c>
      <c r="G142" s="5">
        <f ca="1">_xlfn.LET(
  _xlpm.leistung, IN_rooms!R$69 * SUMIFS(
    INDIRECT("tabelle1[Wärmeleistung (75/65/20)  in W/m]"),
    INDIRECT("tabelle1[Heizkörper_Typ]"), clc_power!G$136,
    INDIRECT("tabelle1[Heizkörper_Subtyp]"), clc_power!G$137,
    INDIRECT("tabelle1[Höhe H in mm]"), clc_power!G$138,
    INDIRECT("tabelle1[Bautiefe T in mm]"), clc_power!G$140  ) * G$139 / 1000,
  IF(_xlpm.leistung &gt; 0, _xlpm.leistung, 0)
)</f>
        <v>0</v>
      </c>
      <c r="H142" s="5">
        <f ca="1">_xlfn.LET(
  _xlpm.leistung, IN_rooms!S$69 * SUMIFS(
    INDIRECT("tabelle1[Wärmeleistung (75/65/20)  in W/m]"),
    INDIRECT("tabelle1[Heizkörper_Typ]"), clc_power!H$136,
    INDIRECT("tabelle1[Heizkörper_Subtyp]"), clc_power!H$137,
    INDIRECT("tabelle1[Höhe H in mm]"), clc_power!H$138,
    INDIRECT("tabelle1[Bautiefe T in mm]"), clc_power!H$140  ) * H$139 / 1000,
  IF(_xlpm.leistung &gt; 0, _xlpm.leistung, 0)
)</f>
        <v>0</v>
      </c>
      <c r="I142" s="5">
        <f ca="1">_xlfn.LET(
  _xlpm.leistung, IN_rooms!T$69 * SUMIFS(
    INDIRECT("tabelle1[Wärmeleistung (75/65/20)  in W/m]"),
    INDIRECT("tabelle1[Heizkörper_Typ]"), clc_power!I$136,
    INDIRECT("tabelle1[Heizkörper_Subtyp]"), clc_power!I$137,
    INDIRECT("tabelle1[Höhe H in mm]"), clc_power!I$138,
    INDIRECT("tabelle1[Bautiefe T in mm]"), clc_power!I$140  ) * I$139 / 1000,
  IF(_xlpm.leistung &gt; 0, _xlpm.leistung, 0)
)</f>
        <v>0</v>
      </c>
      <c r="J142" s="5">
        <f ca="1">_xlfn.LET(
  _xlpm.leistung, IN_rooms!U$69 * SUMIFS(
    INDIRECT("tabelle1[Wärmeleistung (75/65/20)  in W/m]"),
    INDIRECT("tabelle1[Heizkörper_Typ]"), clc_power!J$136,
    INDIRECT("tabelle1[Heizkörper_Subtyp]"), clc_power!J$137,
    INDIRECT("tabelle1[Höhe H in mm]"), clc_power!J$138,
    INDIRECT("tabelle1[Bautiefe T in mm]"), clc_power!J$140  ) * J$139 / 1000,
  IF(_xlpm.leistung &gt; 0, _xlpm.leistung, 0)
)</f>
        <v>0</v>
      </c>
      <c r="K142" s="5">
        <f ca="1">_xlfn.LET(
  _xlpm.leistung, IN_rooms!V$69 * SUMIFS(
    INDIRECT("tabelle1[Wärmeleistung (75/65/20)  in W/m]"),
    INDIRECT("tabelle1[Heizkörper_Typ]"), clc_power!K$136,
    INDIRECT("tabelle1[Heizkörper_Subtyp]"), clc_power!K$137,
    INDIRECT("tabelle1[Höhe H in mm]"), clc_power!K$138,
    INDIRECT("tabelle1[Bautiefe T in mm]"), clc_power!K$140  ) * K$139 / 1000,
  IF(_xlpm.leistung &gt; 0, _xlpm.leistung, 0)
)</f>
        <v>0</v>
      </c>
      <c r="L142" s="5">
        <f ca="1">_xlfn.LET(
  _xlpm.leistung, IN_rooms!W$69 * SUMIFS(
    INDIRECT("tabelle1[Wärmeleistung (75/65/20)  in W/m]"),
    INDIRECT("tabelle1[Heizkörper_Typ]"), clc_power!L$136,
    INDIRECT("tabelle1[Heizkörper_Subtyp]"), clc_power!L$137,
    INDIRECT("tabelle1[Höhe H in mm]"), clc_power!L$138,
    INDIRECT("tabelle1[Bautiefe T in mm]"), clc_power!L$140  ) * L$139 / 1000,
  IF(_xlpm.leistung &gt; 0, _xlpm.leistung, 0)
)</f>
        <v>0</v>
      </c>
      <c r="M142" s="5">
        <f ca="1">_xlfn.LET(
  _xlpm.leistung, IN_rooms!X$69 * SUMIFS(
    INDIRECT("tabelle1[Wärmeleistung (75/65/20)  in W/m]"),
    INDIRECT("tabelle1[Heizkörper_Typ]"), clc_power!M$136,
    INDIRECT("tabelle1[Heizkörper_Subtyp]"), clc_power!M$137,
    INDIRECT("tabelle1[Höhe H in mm]"), clc_power!M$138,
    INDIRECT("tabelle1[Bautiefe T in mm]"), clc_power!M$140  ) * M$139 / 1000,
  IF(_xlpm.leistung &gt; 0, _xlpm.leistung, 0)
)</f>
        <v>0</v>
      </c>
      <c r="N142" s="5">
        <f ca="1">_xlfn.LET(
  _xlpm.leistung, IN_rooms!Y$69 * SUMIFS(
    INDIRECT("tabelle1[Wärmeleistung (75/65/20)  in W/m]"),
    INDIRECT("tabelle1[Heizkörper_Typ]"), clc_power!N$136,
    INDIRECT("tabelle1[Heizkörper_Subtyp]"), clc_power!N$137,
    INDIRECT("tabelle1[Höhe H in mm]"), clc_power!N$138,
    INDIRECT("tabelle1[Bautiefe T in mm]"), clc_power!N$140  ) * N$139 / 1000,
  IF(_xlpm.leistung &gt; 0, _xlpm.leistung, 0)
)</f>
        <v>0</v>
      </c>
      <c r="O142" s="5">
        <f ca="1">_xlfn.LET(
  _xlpm.leistung, IN_rooms!Z$69 * SUMIFS(
    INDIRECT("tabelle1[Wärmeleistung (75/65/20)  in W/m]"),
    INDIRECT("tabelle1[Heizkörper_Typ]"), clc_power!O$136,
    INDIRECT("tabelle1[Heizkörper_Subtyp]"), clc_power!O$137,
    INDIRECT("tabelle1[Höhe H in mm]"), clc_power!O$138,
    INDIRECT("tabelle1[Bautiefe T in mm]"), clc_power!O$140  ) * O$139 / 1000,
  IF(_xlpm.leistung &gt; 0, _xlpm.leistung, 0)
)</f>
        <v>0</v>
      </c>
      <c r="P142" s="5">
        <f ca="1">_xlfn.LET(
  _xlpm.leistung, IN_rooms!AA$69 * SUMIFS(
    INDIRECT("tabelle1[Wärmeleistung (75/65/20)  in W/m]"),
    INDIRECT("tabelle1[Heizkörper_Typ]"), clc_power!P$136,
    INDIRECT("tabelle1[Heizkörper_Subtyp]"), clc_power!P$137,
    INDIRECT("tabelle1[Höhe H in mm]"), clc_power!P$138,
    INDIRECT("tabelle1[Bautiefe T in mm]"), clc_power!P$140  ) * P$139 / 1000,
  IF(_xlpm.leistung &gt; 0, _xlpm.leistung, 0)
)</f>
        <v>0</v>
      </c>
      <c r="Q142" s="5">
        <f ca="1">_xlfn.LET(
  _xlpm.leistung, IN_rooms!AB$69 * SUMIFS(
    INDIRECT("tabelle1[Wärmeleistung (75/65/20)  in W/m]"),
    INDIRECT("tabelle1[Heizkörper_Typ]"), clc_power!Q$136,
    INDIRECT("tabelle1[Heizkörper_Subtyp]"), clc_power!Q$137,
    INDIRECT("tabelle1[Höhe H in mm]"), clc_power!Q$138,
    INDIRECT("tabelle1[Bautiefe T in mm]"), clc_power!Q$140  ) * Q$139 / 1000,
  IF(_xlpm.leistung &gt; 0, _xlpm.leistung, 0)
)</f>
        <v>0</v>
      </c>
      <c r="R142" s="5">
        <f ca="1">_xlfn.LET(
  _xlpm.leistung, IN_rooms!AC$69 * SUMIFS(
    INDIRECT("tabelle1[Wärmeleistung (75/65/20)  in W/m]"),
    INDIRECT("tabelle1[Heizkörper_Typ]"), clc_power!R$136,
    INDIRECT("tabelle1[Heizkörper_Subtyp]"), clc_power!R$137,
    INDIRECT("tabelle1[Höhe H in mm]"), clc_power!R$138,
    INDIRECT("tabelle1[Bautiefe T in mm]"), clc_power!R$140  ) * R$139 / 1000,
  IF(_xlpm.leistung &gt; 0, _xlpm.leistung, 0)
)</f>
        <v>0</v>
      </c>
      <c r="S142" s="5">
        <f ca="1">_xlfn.LET(
  _xlpm.leistung, IN_rooms!AD$69 * SUMIFS(
    INDIRECT("tabelle1[Wärmeleistung (75/65/20)  in W/m]"),
    INDIRECT("tabelle1[Heizkörper_Typ]"), clc_power!S$136,
    INDIRECT("tabelle1[Heizkörper_Subtyp]"), clc_power!S$137,
    INDIRECT("tabelle1[Höhe H in mm]"), clc_power!S$138,
    INDIRECT("tabelle1[Bautiefe T in mm]"), clc_power!S$140  ) * S$139 / 1000,
  IF(_xlpm.leistung &gt; 0, _xlpm.leistung, 0)
)</f>
        <v>0</v>
      </c>
      <c r="T142" s="5">
        <f ca="1">_xlfn.LET(
  _xlpm.leistung, IN_rooms!AE$69 * SUMIFS(
    INDIRECT("tabelle1[Wärmeleistung (75/65/20)  in W/m]"),
    INDIRECT("tabelle1[Heizkörper_Typ]"), clc_power!T$136,
    INDIRECT("tabelle1[Heizkörper_Subtyp]"), clc_power!T$137,
    INDIRECT("tabelle1[Höhe H in mm]"), clc_power!T$138,
    INDIRECT("tabelle1[Bautiefe T in mm]"), clc_power!T$140  ) * T$139 / 1000,
  IF(_xlpm.leistung &gt; 0, _xlpm.leistung, 0)
)</f>
        <v>0</v>
      </c>
      <c r="U142" s="5">
        <f ca="1">_xlfn.LET(
  _xlpm.leistung, IN_rooms!AF$69 * SUMIFS(
    INDIRECT("tabelle1[Wärmeleistung (75/65/20)  in W/m]"),
    INDIRECT("tabelle1[Heizkörper_Typ]"), clc_power!U$136,
    INDIRECT("tabelle1[Heizkörper_Subtyp]"), clc_power!U$137,
    INDIRECT("tabelle1[Höhe H in mm]"), clc_power!U$138,
    INDIRECT("tabelle1[Bautiefe T in mm]"), clc_power!U$140  ) * U$139 / 1000,
  IF(_xlpm.leistung &gt; 0, _xlpm.leistung, 0)
)</f>
        <v>0</v>
      </c>
    </row>
    <row r="143" spans="1:21" ht="15.75" thickBot="1">
      <c r="A143" s="27" t="s">
        <v>569</v>
      </c>
      <c r="B143" s="27" t="s">
        <v>429</v>
      </c>
      <c r="C143" s="27" t="s">
        <v>148</v>
      </c>
      <c r="D143" s="27" t="s">
        <v>682</v>
      </c>
      <c r="E143" s="27" t="s">
        <v>26</v>
      </c>
      <c r="G143" s="5">
        <f>TVL_Ziel</f>
        <v>55</v>
      </c>
      <c r="H143" s="5">
        <f t="shared" ref="H143:U143" si="33">TVL_Ziel</f>
        <v>55</v>
      </c>
      <c r="I143" s="5">
        <f t="shared" si="33"/>
        <v>55</v>
      </c>
      <c r="J143" s="5">
        <f t="shared" si="33"/>
        <v>55</v>
      </c>
      <c r="K143" s="5">
        <f t="shared" si="33"/>
        <v>55</v>
      </c>
      <c r="L143" s="5">
        <f t="shared" si="33"/>
        <v>55</v>
      </c>
      <c r="M143" s="5">
        <f t="shared" si="33"/>
        <v>55</v>
      </c>
      <c r="N143" s="5">
        <f t="shared" si="33"/>
        <v>55</v>
      </c>
      <c r="O143" s="5">
        <f t="shared" si="33"/>
        <v>55</v>
      </c>
      <c r="P143" s="5">
        <f t="shared" si="33"/>
        <v>55</v>
      </c>
      <c r="Q143" s="5">
        <f t="shared" si="33"/>
        <v>55</v>
      </c>
      <c r="R143" s="5">
        <f t="shared" si="33"/>
        <v>55</v>
      </c>
      <c r="S143" s="5">
        <f t="shared" si="33"/>
        <v>55</v>
      </c>
      <c r="T143" s="5">
        <f t="shared" si="33"/>
        <v>55</v>
      </c>
      <c r="U143" s="5">
        <f t="shared" si="33"/>
        <v>55</v>
      </c>
    </row>
    <row r="144" spans="1:21" ht="15.75" thickBot="1">
      <c r="A144" s="27" t="s">
        <v>571</v>
      </c>
      <c r="B144" s="27" t="s">
        <v>429</v>
      </c>
      <c r="C144" s="27" t="s">
        <v>148</v>
      </c>
      <c r="D144" s="27" t="s">
        <v>683</v>
      </c>
      <c r="E144" s="27" t="s">
        <v>26</v>
      </c>
      <c r="G144" s="5">
        <f>TRL_Ziel</f>
        <v>45</v>
      </c>
      <c r="H144" s="5">
        <f t="shared" ref="H144:U144" si="34">TRL_Ziel</f>
        <v>45</v>
      </c>
      <c r="I144" s="5">
        <f t="shared" si="34"/>
        <v>45</v>
      </c>
      <c r="J144" s="5">
        <f t="shared" si="34"/>
        <v>45</v>
      </c>
      <c r="K144" s="5">
        <f t="shared" si="34"/>
        <v>45</v>
      </c>
      <c r="L144" s="5">
        <f t="shared" si="34"/>
        <v>45</v>
      </c>
      <c r="M144" s="5">
        <f t="shared" si="34"/>
        <v>45</v>
      </c>
      <c r="N144" s="5">
        <f t="shared" si="34"/>
        <v>45</v>
      </c>
      <c r="O144" s="5">
        <f t="shared" si="34"/>
        <v>45</v>
      </c>
      <c r="P144" s="5">
        <f t="shared" si="34"/>
        <v>45</v>
      </c>
      <c r="Q144" s="5">
        <f t="shared" si="34"/>
        <v>45</v>
      </c>
      <c r="R144" s="5">
        <f t="shared" si="34"/>
        <v>45</v>
      </c>
      <c r="S144" s="5">
        <f t="shared" si="34"/>
        <v>45</v>
      </c>
      <c r="T144" s="5">
        <f t="shared" si="34"/>
        <v>45</v>
      </c>
      <c r="U144" s="5">
        <f t="shared" si="34"/>
        <v>45</v>
      </c>
    </row>
    <row r="145" spans="1:21" ht="15.75" thickBot="1">
      <c r="A145" s="27" t="s">
        <v>573</v>
      </c>
      <c r="B145" s="27" t="s">
        <v>429</v>
      </c>
      <c r="C145" s="27" t="s">
        <v>148</v>
      </c>
      <c r="D145" s="27" t="s">
        <v>684</v>
      </c>
      <c r="E145" s="27" t="s">
        <v>575</v>
      </c>
      <c r="G145" s="34">
        <f>(G$143-G$144)/(LN((G$143-clc_load!I$10)/(G$144-clc_load!I$10)))</f>
        <v>49.83288654563971</v>
      </c>
      <c r="H145" s="34">
        <f>(H$143-H$144)/(LN((H$143-clc_load!J$10)/(H$144-clc_load!J$10)))</f>
        <v>49.83288654563971</v>
      </c>
      <c r="I145" s="34">
        <f>(I$143-I$144)/(LN((I$143-clc_load!K$10)/(I$144-clc_load!K$10)))</f>
        <v>49.83288654563971</v>
      </c>
      <c r="J145" s="34">
        <f>(J$143-J$144)/(LN((J$143-clc_load!L$10)/(J$144-clc_load!L$10)))</f>
        <v>49.83288654563971</v>
      </c>
      <c r="K145" s="34">
        <f>(K$143-K$144)/(LN((K$143-clc_load!M$10)/(K$144-clc_load!M$10)))</f>
        <v>49.83288654563971</v>
      </c>
      <c r="L145" s="34">
        <f>(L$143-L$144)/(LN((L$143-clc_load!N$10)/(L$144-clc_load!N$10)))</f>
        <v>49.83288654563971</v>
      </c>
      <c r="M145" s="34">
        <f>(M$143-M$144)/(LN((M$143-clc_load!O$10)/(M$144-clc_load!O$10)))</f>
        <v>49.83288654563971</v>
      </c>
      <c r="N145" s="34">
        <f>(N$143-N$144)/(LN((N$143-clc_load!P$10)/(N$144-clc_load!P$10)))</f>
        <v>49.83288654563971</v>
      </c>
      <c r="O145" s="34">
        <f>(O$143-O$144)/(LN((O$143-clc_load!Q$10)/(O$144-clc_load!Q$10)))</f>
        <v>49.83288654563971</v>
      </c>
      <c r="P145" s="34">
        <f>(P$143-P$144)/(LN((P$143-clc_load!R$10)/(P$144-clc_load!R$10)))</f>
        <v>49.83288654563971</v>
      </c>
      <c r="Q145" s="34">
        <f>(Q$143-Q$144)/(LN((Q$143-clc_load!S$10)/(Q$144-clc_load!S$10)))</f>
        <v>49.83288654563971</v>
      </c>
      <c r="R145" s="34">
        <f>(R$143-R$144)/(LN((R$143-clc_load!T$10)/(R$144-clc_load!T$10)))</f>
        <v>49.83288654563971</v>
      </c>
      <c r="S145" s="34">
        <f>(S$143-S$144)/(LN((S$143-clc_load!U$10)/(S$144-clc_load!U$10)))</f>
        <v>49.83288654563971</v>
      </c>
      <c r="T145" s="34">
        <f>(T$143-T$144)/(LN((T$143-clc_load!V$10)/(T$144-clc_load!V$10)))</f>
        <v>49.83288654563971</v>
      </c>
      <c r="U145" s="34">
        <f>(U$143-U$144)/(LN((U$143-clc_load!W$10)/(U$144-clc_load!W$10)))</f>
        <v>49.83288654563971</v>
      </c>
    </row>
    <row r="146" spans="1:21" ht="15.75" thickBot="1">
      <c r="A146" s="27" t="s">
        <v>576</v>
      </c>
      <c r="B146" s="27" t="s">
        <v>429</v>
      </c>
      <c r="C146" s="27" t="s">
        <v>148</v>
      </c>
      <c r="D146" s="27" t="s">
        <v>685</v>
      </c>
      <c r="E146" s="27" t="s">
        <v>31</v>
      </c>
      <c r="G146" s="5">
        <f t="shared" ref="G146:U146" ca="1" si="35">IF(G$142*((G$145/Log_ÜT_Norm)^G$141)&gt;0,
G$142*((G$145/Log_ÜT_Norm)^G$141),0)</f>
        <v>0</v>
      </c>
      <c r="H146" s="5">
        <f t="shared" ca="1" si="35"/>
        <v>0</v>
      </c>
      <c r="I146" s="5">
        <f t="shared" ca="1" si="35"/>
        <v>0</v>
      </c>
      <c r="J146" s="5">
        <f t="shared" ca="1" si="35"/>
        <v>0</v>
      </c>
      <c r="K146" s="5">
        <f t="shared" ca="1" si="35"/>
        <v>0</v>
      </c>
      <c r="L146" s="5">
        <f t="shared" ca="1" si="35"/>
        <v>0</v>
      </c>
      <c r="M146" s="5">
        <f t="shared" ca="1" si="35"/>
        <v>0</v>
      </c>
      <c r="N146" s="5">
        <f t="shared" ca="1" si="35"/>
        <v>0</v>
      </c>
      <c r="O146" s="5">
        <f t="shared" ca="1" si="35"/>
        <v>0</v>
      </c>
      <c r="P146" s="5">
        <f t="shared" ca="1" si="35"/>
        <v>0</v>
      </c>
      <c r="Q146" s="5">
        <f t="shared" ca="1" si="35"/>
        <v>0</v>
      </c>
      <c r="R146" s="5">
        <f t="shared" ca="1" si="35"/>
        <v>0</v>
      </c>
      <c r="S146" s="5">
        <f t="shared" ca="1" si="35"/>
        <v>0</v>
      </c>
      <c r="T146" s="5">
        <f t="shared" ca="1" si="35"/>
        <v>0</v>
      </c>
      <c r="U146" s="5">
        <f t="shared" ca="1" si="35"/>
        <v>0</v>
      </c>
    </row>
    <row r="147" spans="1:21" ht="15.75" thickBot="1">
      <c r="A147" s="102" t="s">
        <v>578</v>
      </c>
      <c r="B147" s="102" t="s">
        <v>429</v>
      </c>
      <c r="C147" s="102" t="s">
        <v>579</v>
      </c>
      <c r="D147" s="102" t="s">
        <v>686</v>
      </c>
      <c r="E147" s="102" t="s">
        <v>31</v>
      </c>
      <c r="G147" s="34">
        <f ca="1">_xlfn.LET(
    _xlpm.leistung, IN_rooms!R$69 * SUMIFS(
        INDIRECT("tabelle1[Wärmeleistung (75/65/20)  in W/m]"),
        INDIRECT("tabelle1[Heizkörper_Typ]"), "Flachheizkoerper_senkrecht_profiliert",
        INDIRECT("tabelle1[Heizkörper_Subtyp]"), "Typ_33",
        INDIRECT("tabelle1[Höhe H in mm]"), G$138,
        INDIRECT("tabelle1[Bautiefe T in mm]"), 155
    ) * G$139 / 1000 * ((G$145 / Log_ÜT_Norm) ^ SUMIFS(
        INDIRECT("tabelle1[Heizkörperexponent n ]"),
        INDIRECT("tabelle1[Heizkörper_Typ]"), "Flachheizkoerper_senkrecht_profiliert",
        INDIRECT("tabelle1[Heizkörper_Subtyp]"), "Typ_33",
        INDIRECT("tabelle1[Höhe H in mm]"), G$138,
        INDIRECT("tabelle1[Bautiefe T in mm]"), 155
    )),
    IF(_xlpm.leistung &gt; 0, _xlpm.leistung, 0)
)</f>
        <v>0</v>
      </c>
      <c r="H147" s="34">
        <f ca="1">_xlfn.LET(
    _xlpm.leistung, IN_rooms!S$69 * SUMIFS(
        INDIRECT("tabelle1[Wärmeleistung (75/65/20)  in W/m]"),
        INDIRECT("tabelle1[Heizkörper_Typ]"), "Flachheizkoerper_senkrecht_profiliert",
        INDIRECT("tabelle1[Heizkörper_Subtyp]"), "Typ_33",
        INDIRECT("tabelle1[Höhe H in mm]"), H$138,
        INDIRECT("tabelle1[Bautiefe T in mm]"), 155
    ) * H$139 / 1000 * ((H$145 / Log_ÜT_Norm) ^ SUMIFS(
        INDIRECT("tabelle1[Heizkörperexponent n ]"),
        INDIRECT("tabelle1[Heizkörper_Typ]"), "Flachheizkoerper_senkrecht_profiliert",
        INDIRECT("tabelle1[Heizkörper_Subtyp]"), "Typ_33",
        INDIRECT("tabelle1[Höhe H in mm]"), H$138,
        INDIRECT("tabelle1[Bautiefe T in mm]"), 155
    )),
    IF(_xlpm.leistung &gt; 0, _xlpm.leistung, 0)
)</f>
        <v>0</v>
      </c>
      <c r="I147" s="34">
        <f ca="1">_xlfn.LET(
    _xlpm.leistung, IN_rooms!T$69 * SUMIFS(
        INDIRECT("tabelle1[Wärmeleistung (75/65/20)  in W/m]"),
        INDIRECT("tabelle1[Heizkörper_Typ]"), "Flachheizkoerper_senkrecht_profiliert",
        INDIRECT("tabelle1[Heizkörper_Subtyp]"), "Typ_33",
        INDIRECT("tabelle1[Höhe H in mm]"), I$138,
        INDIRECT("tabelle1[Bautiefe T in mm]"), 155
    ) * I$139 / 1000 * ((I$145 / Log_ÜT_Norm) ^ SUMIFS(
        INDIRECT("tabelle1[Heizkörperexponent n ]"),
        INDIRECT("tabelle1[Heizkörper_Typ]"), "Flachheizkoerper_senkrecht_profiliert",
        INDIRECT("tabelle1[Heizkörper_Subtyp]"), "Typ_33",
        INDIRECT("tabelle1[Höhe H in mm]"), I$138,
        INDIRECT("tabelle1[Bautiefe T in mm]"), 155
    )),
    IF(_xlpm.leistung &gt; 0, _xlpm.leistung, 0)
)</f>
        <v>0</v>
      </c>
      <c r="J147" s="34">
        <f ca="1">_xlfn.LET(
    _xlpm.leistung, IN_rooms!U$69 * SUMIFS(
        INDIRECT("tabelle1[Wärmeleistung (75/65/20)  in W/m]"),
        INDIRECT("tabelle1[Heizkörper_Typ]"), "Flachheizkoerper_senkrecht_profiliert",
        INDIRECT("tabelle1[Heizkörper_Subtyp]"), "Typ_33",
        INDIRECT("tabelle1[Höhe H in mm]"), J$138,
        INDIRECT("tabelle1[Bautiefe T in mm]"), 155
    ) * J$139 / 1000 * ((J$145 / Log_ÜT_Norm) ^ SUMIFS(
        INDIRECT("tabelle1[Heizkörperexponent n ]"),
        INDIRECT("tabelle1[Heizkörper_Typ]"), "Flachheizkoerper_senkrecht_profiliert",
        INDIRECT("tabelle1[Heizkörper_Subtyp]"), "Typ_33",
        INDIRECT("tabelle1[Höhe H in mm]"), J$138,
        INDIRECT("tabelle1[Bautiefe T in mm]"), 155
    )),
    IF(_xlpm.leistung &gt; 0, _xlpm.leistung, 0)
)</f>
        <v>0</v>
      </c>
      <c r="K147" s="34">
        <f ca="1">_xlfn.LET(
    _xlpm.leistung, IN_rooms!V$69 * SUMIFS(
        INDIRECT("tabelle1[Wärmeleistung (75/65/20)  in W/m]"),
        INDIRECT("tabelle1[Heizkörper_Typ]"), "Flachheizkoerper_senkrecht_profiliert",
        INDIRECT("tabelle1[Heizkörper_Subtyp]"), "Typ_33",
        INDIRECT("tabelle1[Höhe H in mm]"), K$138,
        INDIRECT("tabelle1[Bautiefe T in mm]"), 155
    ) * K$139 / 1000 * ((K$145 / Log_ÜT_Norm) ^ SUMIFS(
        INDIRECT("tabelle1[Heizkörperexponent n ]"),
        INDIRECT("tabelle1[Heizkörper_Typ]"), "Flachheizkoerper_senkrecht_profiliert",
        INDIRECT("tabelle1[Heizkörper_Subtyp]"), "Typ_33",
        INDIRECT("tabelle1[Höhe H in mm]"), K$138,
        INDIRECT("tabelle1[Bautiefe T in mm]"), 155
    )),
    IF(_xlpm.leistung &gt; 0, _xlpm.leistung, 0)
)</f>
        <v>0</v>
      </c>
      <c r="L147" s="34">
        <f ca="1">_xlfn.LET(
    _xlpm.leistung, IN_rooms!W$69 * SUMIFS(
        INDIRECT("tabelle1[Wärmeleistung (75/65/20)  in W/m]"),
        INDIRECT("tabelle1[Heizkörper_Typ]"), "Flachheizkoerper_senkrecht_profiliert",
        INDIRECT("tabelle1[Heizkörper_Subtyp]"), "Typ_33",
        INDIRECT("tabelle1[Höhe H in mm]"), L$138,
        INDIRECT("tabelle1[Bautiefe T in mm]"), 155
    ) * L$139 / 1000 * ((L$145 / Log_ÜT_Norm) ^ SUMIFS(
        INDIRECT("tabelle1[Heizkörperexponent n ]"),
        INDIRECT("tabelle1[Heizkörper_Typ]"), "Flachheizkoerper_senkrecht_profiliert",
        INDIRECT("tabelle1[Heizkörper_Subtyp]"), "Typ_33",
        INDIRECT("tabelle1[Höhe H in mm]"), L$138,
        INDIRECT("tabelle1[Bautiefe T in mm]"), 155
    )),
    IF(_xlpm.leistung &gt; 0, _xlpm.leistung, 0)
)</f>
        <v>0</v>
      </c>
      <c r="M147" s="34">
        <f ca="1">_xlfn.LET(
    _xlpm.leistung, IN_rooms!X$69 * SUMIFS(
        INDIRECT("tabelle1[Wärmeleistung (75/65/20)  in W/m]"),
        INDIRECT("tabelle1[Heizkörper_Typ]"), "Flachheizkoerper_senkrecht_profiliert",
        INDIRECT("tabelle1[Heizkörper_Subtyp]"), "Typ_33",
        INDIRECT("tabelle1[Höhe H in mm]"), M$138,
        INDIRECT("tabelle1[Bautiefe T in mm]"), 155
    ) * M$139 / 1000 * ((M$145 / Log_ÜT_Norm) ^ SUMIFS(
        INDIRECT("tabelle1[Heizkörperexponent n ]"),
        INDIRECT("tabelle1[Heizkörper_Typ]"), "Flachheizkoerper_senkrecht_profiliert",
        INDIRECT("tabelle1[Heizkörper_Subtyp]"), "Typ_33",
        INDIRECT("tabelle1[Höhe H in mm]"), M$138,
        INDIRECT("tabelle1[Bautiefe T in mm]"), 155
    )),
    IF(_xlpm.leistung &gt; 0, _xlpm.leistung, 0)
)</f>
        <v>0</v>
      </c>
      <c r="N147" s="34">
        <f ca="1">_xlfn.LET(
    _xlpm.leistung, IN_rooms!Y$69 * SUMIFS(
        INDIRECT("tabelle1[Wärmeleistung (75/65/20)  in W/m]"),
        INDIRECT("tabelle1[Heizkörper_Typ]"), "Flachheizkoerper_senkrecht_profiliert",
        INDIRECT("tabelle1[Heizkörper_Subtyp]"), "Typ_33",
        INDIRECT("tabelle1[Höhe H in mm]"), N$138,
        INDIRECT("tabelle1[Bautiefe T in mm]"), 155
    ) * N$139 / 1000 * ((N$145 / Log_ÜT_Norm) ^ SUMIFS(
        INDIRECT("tabelle1[Heizkörperexponent n ]"),
        INDIRECT("tabelle1[Heizkörper_Typ]"), "Flachheizkoerper_senkrecht_profiliert",
        INDIRECT("tabelle1[Heizkörper_Subtyp]"), "Typ_33",
        INDIRECT("tabelle1[Höhe H in mm]"), N$138,
        INDIRECT("tabelle1[Bautiefe T in mm]"), 155
    )),
    IF(_xlpm.leistung &gt; 0, _xlpm.leistung, 0)
)</f>
        <v>0</v>
      </c>
      <c r="O147" s="34">
        <f ca="1">_xlfn.LET(
    _xlpm.leistung, IN_rooms!Z$69 * SUMIFS(
        INDIRECT("tabelle1[Wärmeleistung (75/65/20)  in W/m]"),
        INDIRECT("tabelle1[Heizkörper_Typ]"), "Flachheizkoerper_senkrecht_profiliert",
        INDIRECT("tabelle1[Heizkörper_Subtyp]"), "Typ_33",
        INDIRECT("tabelle1[Höhe H in mm]"), O$138,
        INDIRECT("tabelle1[Bautiefe T in mm]"), 155
    ) * O$139 / 1000 * ((O$145 / Log_ÜT_Norm) ^ SUMIFS(
        INDIRECT("tabelle1[Heizkörperexponent n ]"),
        INDIRECT("tabelle1[Heizkörper_Typ]"), "Flachheizkoerper_senkrecht_profiliert",
        INDIRECT("tabelle1[Heizkörper_Subtyp]"), "Typ_33",
        INDIRECT("tabelle1[Höhe H in mm]"), O$138,
        INDIRECT("tabelle1[Bautiefe T in mm]"), 155
    )),
    IF(_xlpm.leistung &gt; 0, _xlpm.leistung, 0)
)</f>
        <v>0</v>
      </c>
      <c r="P147" s="34">
        <f ca="1">_xlfn.LET(
    _xlpm.leistung, IN_rooms!AA$69 * SUMIFS(
        INDIRECT("tabelle1[Wärmeleistung (75/65/20)  in W/m]"),
        INDIRECT("tabelle1[Heizkörper_Typ]"), "Flachheizkoerper_senkrecht_profiliert",
        INDIRECT("tabelle1[Heizkörper_Subtyp]"), "Typ_33",
        INDIRECT("tabelle1[Höhe H in mm]"), P$138,
        INDIRECT("tabelle1[Bautiefe T in mm]"), 155
    ) * P$139 / 1000 * ((P$145 / Log_ÜT_Norm) ^ SUMIFS(
        INDIRECT("tabelle1[Heizkörperexponent n ]"),
        INDIRECT("tabelle1[Heizkörper_Typ]"), "Flachheizkoerper_senkrecht_profiliert",
        INDIRECT("tabelle1[Heizkörper_Subtyp]"), "Typ_33",
        INDIRECT("tabelle1[Höhe H in mm]"), P$138,
        INDIRECT("tabelle1[Bautiefe T in mm]"), 155
    )),
    IF(_xlpm.leistung &gt; 0, _xlpm.leistung, 0)
)</f>
        <v>0</v>
      </c>
      <c r="Q147" s="34">
        <f ca="1">_xlfn.LET(
    _xlpm.leistung, IN_rooms!AB$69 * SUMIFS(
        INDIRECT("tabelle1[Wärmeleistung (75/65/20)  in W/m]"),
        INDIRECT("tabelle1[Heizkörper_Typ]"), "Flachheizkoerper_senkrecht_profiliert",
        INDIRECT("tabelle1[Heizkörper_Subtyp]"), "Typ_33",
        INDIRECT("tabelle1[Höhe H in mm]"), Q$138,
        INDIRECT("tabelle1[Bautiefe T in mm]"), 155
    ) * Q$139 / 1000 * ((Q$145 / Log_ÜT_Norm) ^ SUMIFS(
        INDIRECT("tabelle1[Heizkörperexponent n ]"),
        INDIRECT("tabelle1[Heizkörper_Typ]"), "Flachheizkoerper_senkrecht_profiliert",
        INDIRECT("tabelle1[Heizkörper_Subtyp]"), "Typ_33",
        INDIRECT("tabelle1[Höhe H in mm]"), Q$138,
        INDIRECT("tabelle1[Bautiefe T in mm]"), 155
    )),
    IF(_xlpm.leistung &gt; 0, _xlpm.leistung, 0)
)</f>
        <v>0</v>
      </c>
      <c r="R147" s="34">
        <f ca="1">_xlfn.LET(
    _xlpm.leistung, IN_rooms!AC$69 * SUMIFS(
        INDIRECT("tabelle1[Wärmeleistung (75/65/20)  in W/m]"),
        INDIRECT("tabelle1[Heizkörper_Typ]"), "Flachheizkoerper_senkrecht_profiliert",
        INDIRECT("tabelle1[Heizkörper_Subtyp]"), "Typ_33",
        INDIRECT("tabelle1[Höhe H in mm]"), R$138,
        INDIRECT("tabelle1[Bautiefe T in mm]"), 155
    ) * R$139 / 1000 * ((R$145 / Log_ÜT_Norm) ^ SUMIFS(
        INDIRECT("tabelle1[Heizkörperexponent n ]"),
        INDIRECT("tabelle1[Heizkörper_Typ]"), "Flachheizkoerper_senkrecht_profiliert",
        INDIRECT("tabelle1[Heizkörper_Subtyp]"), "Typ_33",
        INDIRECT("tabelle1[Höhe H in mm]"), R$138,
        INDIRECT("tabelle1[Bautiefe T in mm]"), 155
    )),
    IF(_xlpm.leistung &gt; 0, _xlpm.leistung, 0)
)</f>
        <v>0</v>
      </c>
      <c r="S147" s="34">
        <f ca="1">_xlfn.LET(
    _xlpm.leistung, IN_rooms!AD$69 * SUMIFS(
        INDIRECT("tabelle1[Wärmeleistung (75/65/20)  in W/m]"),
        INDIRECT("tabelle1[Heizkörper_Typ]"), "Flachheizkoerper_senkrecht_profiliert",
        INDIRECT("tabelle1[Heizkörper_Subtyp]"), "Typ_33",
        INDIRECT("tabelle1[Höhe H in mm]"), S$138,
        INDIRECT("tabelle1[Bautiefe T in mm]"), 155
    ) * S$139 / 1000 * ((S$145 / Log_ÜT_Norm) ^ SUMIFS(
        INDIRECT("tabelle1[Heizkörperexponent n ]"),
        INDIRECT("tabelle1[Heizkörper_Typ]"), "Flachheizkoerper_senkrecht_profiliert",
        INDIRECT("tabelle1[Heizkörper_Subtyp]"), "Typ_33",
        INDIRECT("tabelle1[Höhe H in mm]"), S$138,
        INDIRECT("tabelle1[Bautiefe T in mm]"), 155
    )),
    IF(_xlpm.leistung &gt; 0, _xlpm.leistung, 0)
)</f>
        <v>0</v>
      </c>
      <c r="T147" s="34">
        <f ca="1">_xlfn.LET(
    _xlpm.leistung, IN_rooms!AE$69 * SUMIFS(
        INDIRECT("tabelle1[Wärmeleistung (75/65/20)  in W/m]"),
        INDIRECT("tabelle1[Heizkörper_Typ]"), "Flachheizkoerper_senkrecht_profiliert",
        INDIRECT("tabelle1[Heizkörper_Subtyp]"), "Typ_33",
        INDIRECT("tabelle1[Höhe H in mm]"), T$138,
        INDIRECT("tabelle1[Bautiefe T in mm]"), 155
    ) * T$139 / 1000 * ((T$145 / Log_ÜT_Norm) ^ SUMIFS(
        INDIRECT("tabelle1[Heizkörperexponent n ]"),
        INDIRECT("tabelle1[Heizkörper_Typ]"), "Flachheizkoerper_senkrecht_profiliert",
        INDIRECT("tabelle1[Heizkörper_Subtyp]"), "Typ_33",
        INDIRECT("tabelle1[Höhe H in mm]"), T$138,
        INDIRECT("tabelle1[Bautiefe T in mm]"), 155
    )),
    IF(_xlpm.leistung &gt; 0, _xlpm.leistung, 0)
)</f>
        <v>0</v>
      </c>
      <c r="U147" s="34">
        <f ca="1">_xlfn.LET(
    _xlpm.leistung, IN_rooms!AF$69 * SUMIFS(
        INDIRECT("tabelle1[Wärmeleistung (75/65/20)  in W/m]"),
        INDIRECT("tabelle1[Heizkörper_Typ]"), "Flachheizkoerper_senkrecht_profiliert",
        INDIRECT("tabelle1[Heizkörper_Subtyp]"), "Typ_33",
        INDIRECT("tabelle1[Höhe H in mm]"), U$138,
        INDIRECT("tabelle1[Bautiefe T in mm]"), 155
    ) * U$139 / 1000 * ((U$145 / Log_ÜT_Norm) ^ SUMIFS(
        INDIRECT("tabelle1[Heizkörperexponent n ]"),
        INDIRECT("tabelle1[Heizkörper_Typ]"), "Flachheizkoerper_senkrecht_profiliert",
        INDIRECT("tabelle1[Heizkörper_Subtyp]"), "Typ_33",
        INDIRECT("tabelle1[Höhe H in mm]"), U$138,
        INDIRECT("tabelle1[Bautiefe T in mm]"), 155
    )),
    IF(_xlpm.leistung &gt; 0, _xlpm.leistung, 0)
)</f>
        <v>0</v>
      </c>
    </row>
    <row r="148" spans="1:21" ht="15.75" thickBot="1">
      <c r="A148" s="72" t="s">
        <v>405</v>
      </c>
      <c r="B148" s="72" t="s">
        <v>429</v>
      </c>
      <c r="C148" s="72" t="s">
        <v>150</v>
      </c>
      <c r="D148" s="72" t="s">
        <v>687</v>
      </c>
      <c r="E148" s="72"/>
      <c r="G148" s="5" t="str">
        <f>IF(IN_rooms!R$63="Gliederheizkörper",IN_rooms!R$63,"")</f>
        <v/>
      </c>
      <c r="H148" s="5" t="str">
        <f>IF(IN_rooms!S$63="Gliederheizkörper",IN_rooms!S$63,"")</f>
        <v/>
      </c>
      <c r="I148" s="5" t="str">
        <f>IF(IN_rooms!T$63="Gliederheizkörper",IN_rooms!T$63,"")</f>
        <v/>
      </c>
      <c r="J148" s="5" t="str">
        <f>IF(IN_rooms!U$63="Gliederheizkörper",IN_rooms!U$63,"")</f>
        <v/>
      </c>
      <c r="K148" s="5" t="str">
        <f>IF(IN_rooms!V$63="Gliederheizkörper",IN_rooms!V$63,"")</f>
        <v/>
      </c>
      <c r="L148" s="5" t="str">
        <f>IF(IN_rooms!W$63="Gliederheizkörper",IN_rooms!W$63,"")</f>
        <v/>
      </c>
      <c r="M148" s="5" t="str">
        <f>IF(IN_rooms!X$63="Gliederheizkörper",IN_rooms!X$63,"")</f>
        <v/>
      </c>
      <c r="N148" s="5" t="str">
        <f>IF(IN_rooms!Y$63="Gliederheizkörper",IN_rooms!Y$63,"")</f>
        <v/>
      </c>
      <c r="O148" s="5" t="str">
        <f>IF(IN_rooms!Z$63="Gliederheizkörper",IN_rooms!Z$63,"")</f>
        <v/>
      </c>
      <c r="P148" s="5" t="str">
        <f>IF(IN_rooms!AA$63="Gliederheizkörper",IN_rooms!AA$63,"")</f>
        <v/>
      </c>
      <c r="Q148" s="5" t="str">
        <f>IF(IN_rooms!AB$63="Gliederheizkörper",IN_rooms!AB$63,"")</f>
        <v/>
      </c>
      <c r="R148" s="5" t="str">
        <f>IF(IN_rooms!AC$63="Gliederheizkörper",IN_rooms!AC$63,"")</f>
        <v/>
      </c>
      <c r="S148" s="5" t="str">
        <f>IF(IN_rooms!AD$63="Gliederheizkörper",IN_rooms!AD$63,"")</f>
        <v/>
      </c>
      <c r="T148" s="5" t="str">
        <f>IF(IN_rooms!AE$63="Gliederheizkörper",IN_rooms!AE$63,"")</f>
        <v/>
      </c>
      <c r="U148" s="5" t="str">
        <f>IF(IN_rooms!AF$63="Gliederheizkörper",IN_rooms!AF$63,"")</f>
        <v/>
      </c>
    </row>
    <row r="149" spans="1:21" ht="15.75" thickBot="1">
      <c r="A149" s="72" t="s">
        <v>559</v>
      </c>
      <c r="B149" s="72" t="s">
        <v>429</v>
      </c>
      <c r="C149" s="72" t="s">
        <v>150</v>
      </c>
      <c r="D149" s="72" t="s">
        <v>688</v>
      </c>
      <c r="E149" s="72"/>
      <c r="G149" s="5">
        <f>IN_rooms!R$64</f>
        <v>0</v>
      </c>
      <c r="H149" s="5">
        <f>IN_rooms!S$64</f>
        <v>0</v>
      </c>
      <c r="I149" s="5">
        <f>IN_rooms!T$64</f>
        <v>0</v>
      </c>
      <c r="J149" s="5">
        <f>IN_rooms!U$64</f>
        <v>0</v>
      </c>
      <c r="K149" s="5">
        <f>IN_rooms!V$64</f>
        <v>0</v>
      </c>
      <c r="L149" s="5">
        <f>IN_rooms!W$64</f>
        <v>0</v>
      </c>
      <c r="M149" s="5">
        <f>IN_rooms!X$64</f>
        <v>0</v>
      </c>
      <c r="N149" s="5">
        <f>IN_rooms!Y$64</f>
        <v>0</v>
      </c>
      <c r="O149" s="5">
        <f>IN_rooms!Z$64</f>
        <v>0</v>
      </c>
      <c r="P149" s="5">
        <f>IN_rooms!AA$64</f>
        <v>0</v>
      </c>
      <c r="Q149" s="5">
        <f>IN_rooms!AB$64</f>
        <v>0</v>
      </c>
      <c r="R149" s="5">
        <f>IN_rooms!AC$64</f>
        <v>0</v>
      </c>
      <c r="S149" s="5">
        <f>IN_rooms!AD$64</f>
        <v>0</v>
      </c>
      <c r="T149" s="5">
        <f>IN_rooms!AE$64</f>
        <v>0</v>
      </c>
      <c r="U149" s="5">
        <f>IN_rooms!AF$64</f>
        <v>0</v>
      </c>
    </row>
    <row r="150" spans="1:21" ht="15.75" thickBot="1">
      <c r="A150" s="72" t="s">
        <v>561</v>
      </c>
      <c r="B150" s="72" t="s">
        <v>429</v>
      </c>
      <c r="C150" s="72" t="s">
        <v>150</v>
      </c>
      <c r="D150" s="72" t="s">
        <v>689</v>
      </c>
      <c r="E150" s="72" t="s">
        <v>409</v>
      </c>
      <c r="G150" s="5">
        <f>IN_rooms!R$65</f>
        <v>0</v>
      </c>
      <c r="H150" s="5">
        <f>IN_rooms!S$65</f>
        <v>0</v>
      </c>
      <c r="I150" s="5">
        <f>IN_rooms!T$65</f>
        <v>0</v>
      </c>
      <c r="J150" s="5">
        <f>IN_rooms!U$65</f>
        <v>0</v>
      </c>
      <c r="K150" s="5">
        <f>IN_rooms!V$65</f>
        <v>0</v>
      </c>
      <c r="L150" s="5">
        <f>IN_rooms!W$65</f>
        <v>0</v>
      </c>
      <c r="M150" s="5">
        <f>IN_rooms!X$65</f>
        <v>0</v>
      </c>
      <c r="N150" s="5">
        <f>IN_rooms!Y$65</f>
        <v>0</v>
      </c>
      <c r="O150" s="5">
        <f>IN_rooms!Z$65</f>
        <v>0</v>
      </c>
      <c r="P150" s="5">
        <f>IN_rooms!AA$65</f>
        <v>0</v>
      </c>
      <c r="Q150" s="5">
        <f>IN_rooms!AB$65</f>
        <v>0</v>
      </c>
      <c r="R150" s="5">
        <f>IN_rooms!AC$65</f>
        <v>0</v>
      </c>
      <c r="S150" s="5">
        <f>IN_rooms!AD$65</f>
        <v>0</v>
      </c>
      <c r="T150" s="5">
        <f>IN_rooms!AE$65</f>
        <v>0</v>
      </c>
      <c r="U150" s="5">
        <f>IN_rooms!AF$65</f>
        <v>0</v>
      </c>
    </row>
    <row r="151" spans="1:21" ht="15.75" thickBot="1">
      <c r="A151" s="72" t="s">
        <v>412</v>
      </c>
      <c r="B151" s="72" t="s">
        <v>429</v>
      </c>
      <c r="C151" s="72" t="s">
        <v>150</v>
      </c>
      <c r="D151" s="72" t="s">
        <v>690</v>
      </c>
      <c r="E151" s="72" t="s">
        <v>409</v>
      </c>
      <c r="G151" s="5" cm="1">
        <f t="array" ref="G151">_xlfn.IFS(IN_rooms!R$67=0,0,
G149 = "Stahlradiator",
INDEX(Daten!$AF$13:$AF$23,_xlfn.XMATCH(MIN(IF(Daten!$AE$13:$AE$23=G150,ABS(Daten!$AF$13:$AF$23-IN_rooms!R$67))),
                                  IF(Daten!$AE$13:$AE$23=G150,ABS(Daten!$AF$13:$AF$23-IN_rooms!R$67)),
                                  0)),
G149 = "Gussradiator",
INDEX(Daten!$AD$13:$AD$25,_xlfn.XMATCH(MIN(IF(Daten!$AC$13:$AC$25=G150,ABS(Daten!$AD$13:$AD$25-IN_rooms!R$67))),
                                   IF(Daten!$AC$13:$AC$25=G150,ABS(Daten!$AD$13:$AD$25-IN_rooms!R$67)),
                                   0)),
TRUE, IN_rooms!R$67)</f>
        <v>0</v>
      </c>
      <c r="H151" s="5" cm="1">
        <f t="array" ref="H151">_xlfn.IFS(IN_rooms!S$67=0,0,
H149 = "Stahlradiator",
INDEX(Daten!$AF$13:$AF$23,_xlfn.XMATCH(MIN(IF(Daten!$AE$13:$AE$23=H150,ABS(Daten!$AF$13:$AF$23-IN_rooms!S$67))),
                                  IF(Daten!$AE$13:$AE$23=H150,ABS(Daten!$AF$13:$AF$23-IN_rooms!S$67)),
                                  0)),
H149 = "Gussradiator",
INDEX(Daten!$AD$13:$AD$25,_xlfn.XMATCH(MIN(IF(Daten!$AC$13:$AC$25=H150,ABS(Daten!$AD$13:$AD$25-IN_rooms!S$67))),
                                   IF(Daten!$AC$13:$AC$25=H150,ABS(Daten!$AD$13:$AD$25-IN_rooms!S$67)),
                                   0)),
TRUE, IN_rooms!S$67)</f>
        <v>0</v>
      </c>
      <c r="I151" s="5" cm="1">
        <f t="array" ref="I151">_xlfn.IFS(IN_rooms!T$67=0,0,
I149 = "Stahlradiator",
INDEX(Daten!$AF$13:$AF$23,_xlfn.XMATCH(MIN(IF(Daten!$AE$13:$AE$23=I150,ABS(Daten!$AF$13:$AF$23-IN_rooms!T$67))),
                                  IF(Daten!$AE$13:$AE$23=I150,ABS(Daten!$AF$13:$AF$23-IN_rooms!T$67)),
                                  0)),
I149 = "Gussradiator",
INDEX(Daten!$AD$13:$AD$25,_xlfn.XMATCH(MIN(IF(Daten!$AC$13:$AC$25=I150,ABS(Daten!$AD$13:$AD$25-IN_rooms!T$67))),
                                   IF(Daten!$AC$13:$AC$25=I150,ABS(Daten!$AD$13:$AD$25-IN_rooms!T$67)),
                                   0)),
TRUE, IN_rooms!T$67)</f>
        <v>0</v>
      </c>
      <c r="J151" s="5" cm="1">
        <f t="array" ref="J151">_xlfn.IFS(IN_rooms!U$67=0,0,
J149 = "Stahlradiator",
INDEX(Daten!$AF$13:$AF$23,_xlfn.XMATCH(MIN(IF(Daten!$AE$13:$AE$23=J150,ABS(Daten!$AF$13:$AF$23-IN_rooms!U$67))),
                                  IF(Daten!$AE$13:$AE$23=J150,ABS(Daten!$AF$13:$AF$23-IN_rooms!U$67)),
                                  0)),
J149 = "Gussradiator",
INDEX(Daten!$AD$13:$AD$25,_xlfn.XMATCH(MIN(IF(Daten!$AC$13:$AC$25=J150,ABS(Daten!$AD$13:$AD$25-IN_rooms!U$67))),
                                   IF(Daten!$AC$13:$AC$25=J150,ABS(Daten!$AD$13:$AD$25-IN_rooms!U$67)),
                                   0)),
TRUE, IN_rooms!U$67)</f>
        <v>0</v>
      </c>
      <c r="K151" s="5" cm="1">
        <f t="array" ref="K151">_xlfn.IFS(IN_rooms!V$67=0,0,
K149 = "Stahlradiator",
INDEX(Daten!$AF$13:$AF$23,_xlfn.XMATCH(MIN(IF(Daten!$AE$13:$AE$23=K150,ABS(Daten!$AF$13:$AF$23-IN_rooms!V$67))),
                                  IF(Daten!$AE$13:$AE$23=K150,ABS(Daten!$AF$13:$AF$23-IN_rooms!V$67)),
                                  0)),
K149 = "Gussradiator",
INDEX(Daten!$AD$13:$AD$25,_xlfn.XMATCH(MIN(IF(Daten!$AC$13:$AC$25=K150,ABS(Daten!$AD$13:$AD$25-IN_rooms!V$67))),
                                   IF(Daten!$AC$13:$AC$25=K150,ABS(Daten!$AD$13:$AD$25-IN_rooms!V$67)),
                                   0)),
TRUE, IN_rooms!V$67)</f>
        <v>0</v>
      </c>
      <c r="L151" s="5" cm="1">
        <f t="array" ref="L151">_xlfn.IFS(IN_rooms!W$67=0,0,
L149 = "Stahlradiator",
INDEX(Daten!$AF$13:$AF$23,_xlfn.XMATCH(MIN(IF(Daten!$AE$13:$AE$23=L150,ABS(Daten!$AF$13:$AF$23-IN_rooms!W$67))),
                                  IF(Daten!$AE$13:$AE$23=L150,ABS(Daten!$AF$13:$AF$23-IN_rooms!W$67)),
                                  0)),
L149 = "Gussradiator",
INDEX(Daten!$AD$13:$AD$25,_xlfn.XMATCH(MIN(IF(Daten!$AC$13:$AC$25=L150,ABS(Daten!$AD$13:$AD$25-IN_rooms!W$67))),
                                   IF(Daten!$AC$13:$AC$25=L150,ABS(Daten!$AD$13:$AD$25-IN_rooms!W$67)),
                                   0)),
TRUE, IN_rooms!W$67)</f>
        <v>0</v>
      </c>
      <c r="M151" s="5" cm="1">
        <f t="array" ref="M151">_xlfn.IFS(IN_rooms!X$67=0,0,
M149 = "Stahlradiator",
INDEX(Daten!$AF$13:$AF$23,_xlfn.XMATCH(MIN(IF(Daten!$AE$13:$AE$23=M150,ABS(Daten!$AF$13:$AF$23-IN_rooms!X$67))),
                                  IF(Daten!$AE$13:$AE$23=M150,ABS(Daten!$AF$13:$AF$23-IN_rooms!X$67)),
                                  0)),
M149 = "Gussradiator",
INDEX(Daten!$AD$13:$AD$25,_xlfn.XMATCH(MIN(IF(Daten!$AC$13:$AC$25=M150,ABS(Daten!$AD$13:$AD$25-IN_rooms!X$67))),
                                   IF(Daten!$AC$13:$AC$25=M150,ABS(Daten!$AD$13:$AD$25-IN_rooms!X$67)),
                                   0)),
TRUE, IN_rooms!X$67)</f>
        <v>0</v>
      </c>
      <c r="N151" s="5" cm="1">
        <f t="array" ref="N151">_xlfn.IFS(IN_rooms!Y$67=0,0,
N149 = "Stahlradiator",
INDEX(Daten!$AF$13:$AF$23,_xlfn.XMATCH(MIN(IF(Daten!$AE$13:$AE$23=N150,ABS(Daten!$AF$13:$AF$23-IN_rooms!Y$67))),
                                  IF(Daten!$AE$13:$AE$23=N150,ABS(Daten!$AF$13:$AF$23-IN_rooms!Y$67)),
                                  0)),
N149 = "Gussradiator",
INDEX(Daten!$AD$13:$AD$25,_xlfn.XMATCH(MIN(IF(Daten!$AC$13:$AC$25=N150,ABS(Daten!$AD$13:$AD$25-IN_rooms!Y$67))),
                                   IF(Daten!$AC$13:$AC$25=N150,ABS(Daten!$AD$13:$AD$25-IN_rooms!Y$67)),
                                   0)),
TRUE, IN_rooms!Y$67)</f>
        <v>0</v>
      </c>
      <c r="O151" s="5" cm="1">
        <f t="array" ref="O151">_xlfn.IFS(IN_rooms!Z$67=0,0,
O149 = "Stahlradiator",
INDEX(Daten!$AF$13:$AF$23,_xlfn.XMATCH(MIN(IF(Daten!$AE$13:$AE$23=O150,ABS(Daten!$AF$13:$AF$23-IN_rooms!Z$67))),
                                  IF(Daten!$AE$13:$AE$23=O150,ABS(Daten!$AF$13:$AF$23-IN_rooms!Z$67)),
                                  0)),
O149 = "Gussradiator",
INDEX(Daten!$AD$13:$AD$25,_xlfn.XMATCH(MIN(IF(Daten!$AC$13:$AC$25=O150,ABS(Daten!$AD$13:$AD$25-IN_rooms!Z$67))),
                                   IF(Daten!$AC$13:$AC$25=O150,ABS(Daten!$AD$13:$AD$25-IN_rooms!Z$67)),
                                   0)),
TRUE, IN_rooms!Z$67)</f>
        <v>0</v>
      </c>
      <c r="P151" s="5" cm="1">
        <f t="array" ref="P151">_xlfn.IFS(IN_rooms!AA$67=0,0,
P149 = "Stahlradiator",
INDEX(Daten!$AF$13:$AF$23,_xlfn.XMATCH(MIN(IF(Daten!$AE$13:$AE$23=P150,ABS(Daten!$AF$13:$AF$23-IN_rooms!AA$67))),
                                  IF(Daten!$AE$13:$AE$23=P150,ABS(Daten!$AF$13:$AF$23-IN_rooms!AA$67)),
                                  0)),
P149 = "Gussradiator",
INDEX(Daten!$AD$13:$AD$25,_xlfn.XMATCH(MIN(IF(Daten!$AC$13:$AC$25=P150,ABS(Daten!$AD$13:$AD$25-IN_rooms!AA$67))),
                                   IF(Daten!$AC$13:$AC$25=P150,ABS(Daten!$AD$13:$AD$25-IN_rooms!AA$67)),
                                   0)),
TRUE, IN_rooms!AA$67)</f>
        <v>0</v>
      </c>
      <c r="Q151" s="5" cm="1">
        <f t="array" ref="Q151">_xlfn.IFS(IN_rooms!AB$67=0,0,
Q149 = "Stahlradiator",
INDEX(Daten!$AF$13:$AF$23,_xlfn.XMATCH(MIN(IF(Daten!$AE$13:$AE$23=Q150,ABS(Daten!$AF$13:$AF$23-IN_rooms!AB$67))),
                                  IF(Daten!$AE$13:$AE$23=Q150,ABS(Daten!$AF$13:$AF$23-IN_rooms!AB$67)),
                                  0)),
Q149 = "Gussradiator",
INDEX(Daten!$AD$13:$AD$25,_xlfn.XMATCH(MIN(IF(Daten!$AC$13:$AC$25=Q150,ABS(Daten!$AD$13:$AD$25-IN_rooms!AB$67))),
                                   IF(Daten!$AC$13:$AC$25=Q150,ABS(Daten!$AD$13:$AD$25-IN_rooms!AB$67)),
                                   0)),
TRUE, IN_rooms!AB$67)</f>
        <v>0</v>
      </c>
      <c r="R151" s="5" cm="1">
        <f t="array" ref="R151">_xlfn.IFS(IN_rooms!AC$67=0,0,
R149 = "Stahlradiator",
INDEX(Daten!$AF$13:$AF$23,_xlfn.XMATCH(MIN(IF(Daten!$AE$13:$AE$23=R150,ABS(Daten!$AF$13:$AF$23-IN_rooms!AC$67))),
                                  IF(Daten!$AE$13:$AE$23=R150,ABS(Daten!$AF$13:$AF$23-IN_rooms!AC$67)),
                                  0)),
R149 = "Gussradiator",
INDEX(Daten!$AD$13:$AD$25,_xlfn.XMATCH(MIN(IF(Daten!$AC$13:$AC$25=R150,ABS(Daten!$AD$13:$AD$25-IN_rooms!AC$67))),
                                   IF(Daten!$AC$13:$AC$25=R150,ABS(Daten!$AD$13:$AD$25-IN_rooms!AC$67)),
                                   0)),
TRUE, IN_rooms!AC$67)</f>
        <v>0</v>
      </c>
      <c r="S151" s="5" cm="1">
        <f t="array" ref="S151">_xlfn.IFS(IN_rooms!AD$67=0,0,
S149 = "Stahlradiator",
INDEX(Daten!$AF$13:$AF$23,_xlfn.XMATCH(MIN(IF(Daten!$AE$13:$AE$23=S150,ABS(Daten!$AF$13:$AF$23-IN_rooms!AD$67))),
                                  IF(Daten!$AE$13:$AE$23=S150,ABS(Daten!$AF$13:$AF$23-IN_rooms!AD$67)),
                                  0)),
S149 = "Gussradiator",
INDEX(Daten!$AD$13:$AD$25,_xlfn.XMATCH(MIN(IF(Daten!$AC$13:$AC$25=S150,ABS(Daten!$AD$13:$AD$25-IN_rooms!AD$67))),
                                   IF(Daten!$AC$13:$AC$25=S150,ABS(Daten!$AD$13:$AD$25-IN_rooms!AD$67)),
                                   0)),
TRUE, IN_rooms!AD$67)</f>
        <v>0</v>
      </c>
      <c r="T151" s="5" cm="1">
        <f t="array" ref="T151">_xlfn.IFS(IN_rooms!AE$67=0,0,
T149 = "Stahlradiator",
INDEX(Daten!$AF$13:$AF$23,_xlfn.XMATCH(MIN(IF(Daten!$AE$13:$AE$23=T150,ABS(Daten!$AF$13:$AF$23-IN_rooms!AE$67))),
                                  IF(Daten!$AE$13:$AE$23=T150,ABS(Daten!$AF$13:$AF$23-IN_rooms!AE$67)),
                                  0)),
T149 = "Gussradiator",
INDEX(Daten!$AD$13:$AD$25,_xlfn.XMATCH(MIN(IF(Daten!$AC$13:$AC$25=T150,ABS(Daten!$AD$13:$AD$25-IN_rooms!AE$67))),
                                   IF(Daten!$AC$13:$AC$25=T150,ABS(Daten!$AD$13:$AD$25-IN_rooms!AE$67)),
                                   0)),
TRUE, IN_rooms!AE$67)</f>
        <v>0</v>
      </c>
      <c r="U151" s="5" cm="1">
        <f t="array" ref="U151">_xlfn.IFS(IN_rooms!AF$67=0,0,
U149 = "Stahlradiator",
INDEX(Daten!$AF$13:$AF$23,_xlfn.XMATCH(MIN(IF(Daten!$AE$13:$AE$23=U150,ABS(Daten!$AF$13:$AF$23-IN_rooms!AF$67))),
                                  IF(Daten!$AE$13:$AE$23=U150,ABS(Daten!$AF$13:$AF$23-IN_rooms!AF$67)),
                                  0)),
U149 = "Gussradiator",
INDEX(Daten!$AD$13:$AD$25,_xlfn.XMATCH(MIN(IF(Daten!$AC$13:$AC$25=U150,ABS(Daten!$AD$13:$AD$25-IN_rooms!AF$67))),
                                   IF(Daten!$AC$13:$AC$25=U150,ABS(Daten!$AD$13:$AD$25-IN_rooms!AF$67)),
                                   0)),
TRUE, IN_rooms!AF$67)</f>
        <v>0</v>
      </c>
    </row>
    <row r="152" spans="1:21" ht="15.75" thickBot="1">
      <c r="A152" s="72" t="s">
        <v>585</v>
      </c>
      <c r="B152" s="72" t="s">
        <v>429</v>
      </c>
      <c r="C152" s="72" t="s">
        <v>150</v>
      </c>
      <c r="D152" s="72" t="s">
        <v>691</v>
      </c>
      <c r="E152" s="72" t="s">
        <v>587</v>
      </c>
      <c r="G152" s="5">
        <f>IN_rooms!R$68</f>
        <v>0</v>
      </c>
      <c r="H152" s="5">
        <f>IN_rooms!S$68</f>
        <v>0</v>
      </c>
      <c r="I152" s="5">
        <f>IN_rooms!T$68</f>
        <v>0</v>
      </c>
      <c r="J152" s="5">
        <f>IN_rooms!U$68</f>
        <v>0</v>
      </c>
      <c r="K152" s="5">
        <f>IN_rooms!V$68</f>
        <v>0</v>
      </c>
      <c r="L152" s="5">
        <f>IN_rooms!W$68</f>
        <v>0</v>
      </c>
      <c r="M152" s="5">
        <f>IN_rooms!X$68</f>
        <v>0</v>
      </c>
      <c r="N152" s="5">
        <f>IN_rooms!Y$68</f>
        <v>0</v>
      </c>
      <c r="O152" s="5">
        <f>IN_rooms!Z$68</f>
        <v>0</v>
      </c>
      <c r="P152" s="5">
        <f>IN_rooms!AA$68</f>
        <v>0</v>
      </c>
      <c r="Q152" s="5">
        <f>IN_rooms!AB$68</f>
        <v>0</v>
      </c>
      <c r="R152" s="5">
        <f>IN_rooms!AC$68</f>
        <v>0</v>
      </c>
      <c r="S152" s="5">
        <f>IN_rooms!AD$68</f>
        <v>0</v>
      </c>
      <c r="T152" s="5">
        <f>IN_rooms!AE$68</f>
        <v>0</v>
      </c>
      <c r="U152" s="5">
        <f>IN_rooms!AF$68</f>
        <v>0</v>
      </c>
    </row>
    <row r="153" spans="1:21" ht="15.75" thickBot="1">
      <c r="A153" s="72" t="s">
        <v>565</v>
      </c>
      <c r="B153" s="72" t="s">
        <v>429</v>
      </c>
      <c r="C153" s="72" t="s">
        <v>150</v>
      </c>
      <c r="D153" s="72" t="s">
        <v>435</v>
      </c>
      <c r="E153" s="72"/>
      <c r="G153" s="5">
        <f>1.3</f>
        <v>1.3</v>
      </c>
      <c r="H153" s="5">
        <f t="shared" ref="H153:U153" si="36">1.3</f>
        <v>1.3</v>
      </c>
      <c r="I153" s="5">
        <f t="shared" si="36"/>
        <v>1.3</v>
      </c>
      <c r="J153" s="5">
        <f t="shared" si="36"/>
        <v>1.3</v>
      </c>
      <c r="K153" s="5">
        <f t="shared" si="36"/>
        <v>1.3</v>
      </c>
      <c r="L153" s="5">
        <f t="shared" si="36"/>
        <v>1.3</v>
      </c>
      <c r="M153" s="5">
        <f t="shared" si="36"/>
        <v>1.3</v>
      </c>
      <c r="N153" s="5">
        <f t="shared" si="36"/>
        <v>1.3</v>
      </c>
      <c r="O153" s="5">
        <f t="shared" si="36"/>
        <v>1.3</v>
      </c>
      <c r="P153" s="5">
        <f t="shared" si="36"/>
        <v>1.3</v>
      </c>
      <c r="Q153" s="5">
        <f t="shared" si="36"/>
        <v>1.3</v>
      </c>
      <c r="R153" s="5">
        <f t="shared" si="36"/>
        <v>1.3</v>
      </c>
      <c r="S153" s="5">
        <f t="shared" si="36"/>
        <v>1.3</v>
      </c>
      <c r="T153" s="5">
        <f t="shared" si="36"/>
        <v>1.3</v>
      </c>
      <c r="U153" s="5">
        <f t="shared" si="36"/>
        <v>1.3</v>
      </c>
    </row>
    <row r="154" spans="1:21" ht="15.75" thickBot="1">
      <c r="A154" s="72" t="s">
        <v>567</v>
      </c>
      <c r="B154" s="72" t="s">
        <v>429</v>
      </c>
      <c r="C154" s="72" t="s">
        <v>150</v>
      </c>
      <c r="D154" s="72" t="s">
        <v>692</v>
      </c>
      <c r="E154" s="72" t="s">
        <v>31</v>
      </c>
      <c r="G154" s="5">
        <f ca="1">_xlfn.LET(
    _xlpm.wärmeleistung, SUMIFS(
        INDIRECT("tabelle1[Wärmeleistung (75/65/20)  in W/Glied]"),
        INDIRECT("tabelle1[Heizkörper_Typ]"), clc_power!G$148,
        INDIRECT("tabelle1[Heizkörper_Subtyp]"), clc_power!G$149,
        INDIRECT("tabelle1[Höhe H in mm]"), clc_power!G$150,
        INDIRECT("tabelle1[Bautiefe T in mm]"), clc_power!G$151
    ),
    _xlpm.leistung, IN_rooms!R$69 * _xlpm.wärmeleistung * G$152,
    IF(_xlpm.leistung &gt; 0, _xlpm.leistung, 0)
)</f>
        <v>0</v>
      </c>
      <c r="H154" s="5">
        <f ca="1">_xlfn.LET(
    _xlpm.wärmeleistung, SUMIFS(
        INDIRECT("tabelle1[Wärmeleistung (75/65/20)  in W/Glied]"),
        INDIRECT("tabelle1[Heizkörper_Typ]"), clc_power!H$148,
        INDIRECT("tabelle1[Heizkörper_Subtyp]"), clc_power!H$149,
        INDIRECT("tabelle1[Höhe H in mm]"), clc_power!H$150,
        INDIRECT("tabelle1[Bautiefe T in mm]"), clc_power!H$151
    ),
    _xlpm.leistung, IN_rooms!S$69 * _xlpm.wärmeleistung * H$152,
    IF(_xlpm.leistung &gt; 0, _xlpm.leistung, 0)
)</f>
        <v>0</v>
      </c>
      <c r="I154" s="5">
        <f ca="1">_xlfn.LET(
    _xlpm.wärmeleistung, SUMIFS(
        INDIRECT("tabelle1[Wärmeleistung (75/65/20)  in W/Glied]"),
        INDIRECT("tabelle1[Heizkörper_Typ]"), clc_power!I$148,
        INDIRECT("tabelle1[Heizkörper_Subtyp]"), clc_power!I$149,
        INDIRECT("tabelle1[Höhe H in mm]"), clc_power!I$150,
        INDIRECT("tabelle1[Bautiefe T in mm]"), clc_power!I$151
    ),
    _xlpm.leistung, IN_rooms!T$69 * _xlpm.wärmeleistung * I$152,
    IF(_xlpm.leistung &gt; 0, _xlpm.leistung, 0)
)</f>
        <v>0</v>
      </c>
      <c r="J154" s="5">
        <f ca="1">_xlfn.LET(
    _xlpm.wärmeleistung, SUMIFS(
        INDIRECT("tabelle1[Wärmeleistung (75/65/20)  in W/Glied]"),
        INDIRECT("tabelle1[Heizkörper_Typ]"), clc_power!J$148,
        INDIRECT("tabelle1[Heizkörper_Subtyp]"), clc_power!J$149,
        INDIRECT("tabelle1[Höhe H in mm]"), clc_power!J$150,
        INDIRECT("tabelle1[Bautiefe T in mm]"), clc_power!J$151
    ),
    _xlpm.leistung, IN_rooms!U$69 * _xlpm.wärmeleistung * J$152,
    IF(_xlpm.leistung &gt; 0, _xlpm.leistung, 0)
)</f>
        <v>0</v>
      </c>
      <c r="K154" s="5">
        <f ca="1">_xlfn.LET(
    _xlpm.wärmeleistung, SUMIFS(
        INDIRECT("tabelle1[Wärmeleistung (75/65/20)  in W/Glied]"),
        INDIRECT("tabelle1[Heizkörper_Typ]"), clc_power!K$148,
        INDIRECT("tabelle1[Heizkörper_Subtyp]"), clc_power!K$149,
        INDIRECT("tabelle1[Höhe H in mm]"), clc_power!K$150,
        INDIRECT("tabelle1[Bautiefe T in mm]"), clc_power!K$151
    ),
    _xlpm.leistung, IN_rooms!V$69 * _xlpm.wärmeleistung * K$152,
    IF(_xlpm.leistung &gt; 0, _xlpm.leistung, 0)
)</f>
        <v>0</v>
      </c>
      <c r="L154" s="5">
        <f ca="1">_xlfn.LET(
    _xlpm.wärmeleistung, SUMIFS(
        INDIRECT("tabelle1[Wärmeleistung (75/65/20)  in W/Glied]"),
        INDIRECT("tabelle1[Heizkörper_Typ]"), clc_power!L$148,
        INDIRECT("tabelle1[Heizkörper_Subtyp]"), clc_power!L$149,
        INDIRECT("tabelle1[Höhe H in mm]"), clc_power!L$150,
        INDIRECT("tabelle1[Bautiefe T in mm]"), clc_power!L$151
    ),
    _xlpm.leistung, IN_rooms!W$69 * _xlpm.wärmeleistung * L$152,
    IF(_xlpm.leistung &gt; 0, _xlpm.leistung, 0)
)</f>
        <v>0</v>
      </c>
      <c r="M154" s="5">
        <f ca="1">_xlfn.LET(
    _xlpm.wärmeleistung, SUMIFS(
        INDIRECT("tabelle1[Wärmeleistung (75/65/20)  in W/Glied]"),
        INDIRECT("tabelle1[Heizkörper_Typ]"), clc_power!M$148,
        INDIRECT("tabelle1[Heizkörper_Subtyp]"), clc_power!M$149,
        INDIRECT("tabelle1[Höhe H in mm]"), clc_power!M$150,
        INDIRECT("tabelle1[Bautiefe T in mm]"), clc_power!M$151
    ),
    _xlpm.leistung, IN_rooms!X$69 * _xlpm.wärmeleistung * M$152,
    IF(_xlpm.leistung &gt; 0, _xlpm.leistung, 0)
)</f>
        <v>0</v>
      </c>
      <c r="N154" s="5">
        <f ca="1">_xlfn.LET(
    _xlpm.wärmeleistung, SUMIFS(
        INDIRECT("tabelle1[Wärmeleistung (75/65/20)  in W/Glied]"),
        INDIRECT("tabelle1[Heizkörper_Typ]"), clc_power!N$148,
        INDIRECT("tabelle1[Heizkörper_Subtyp]"), clc_power!N$149,
        INDIRECT("tabelle1[Höhe H in mm]"), clc_power!N$150,
        INDIRECT("tabelle1[Bautiefe T in mm]"), clc_power!N$151
    ),
    _xlpm.leistung, IN_rooms!Y$69 * _xlpm.wärmeleistung * N$152,
    IF(_xlpm.leistung &gt; 0, _xlpm.leistung, 0)
)</f>
        <v>0</v>
      </c>
      <c r="O154" s="5">
        <f ca="1">_xlfn.LET(
    _xlpm.wärmeleistung, SUMIFS(
        INDIRECT("tabelle1[Wärmeleistung (75/65/20)  in W/Glied]"),
        INDIRECT("tabelle1[Heizkörper_Typ]"), clc_power!O$148,
        INDIRECT("tabelle1[Heizkörper_Subtyp]"), clc_power!O$149,
        INDIRECT("tabelle1[Höhe H in mm]"), clc_power!O$150,
        INDIRECT("tabelle1[Bautiefe T in mm]"), clc_power!O$151
    ),
    _xlpm.leistung, IN_rooms!Z$69 * _xlpm.wärmeleistung * O$152,
    IF(_xlpm.leistung &gt; 0, _xlpm.leistung, 0)
)</f>
        <v>0</v>
      </c>
      <c r="P154" s="5">
        <f ca="1">_xlfn.LET(
    _xlpm.wärmeleistung, SUMIFS(
        INDIRECT("tabelle1[Wärmeleistung (75/65/20)  in W/Glied]"),
        INDIRECT("tabelle1[Heizkörper_Typ]"), clc_power!P$148,
        INDIRECT("tabelle1[Heizkörper_Subtyp]"), clc_power!P$149,
        INDIRECT("tabelle1[Höhe H in mm]"), clc_power!P$150,
        INDIRECT("tabelle1[Bautiefe T in mm]"), clc_power!P$151
    ),
    _xlpm.leistung, IN_rooms!AA$69 * _xlpm.wärmeleistung * P$152,
    IF(_xlpm.leistung &gt; 0, _xlpm.leistung, 0)
)</f>
        <v>0</v>
      </c>
      <c r="Q154" s="5">
        <f ca="1">_xlfn.LET(
    _xlpm.wärmeleistung, SUMIFS(
        INDIRECT("tabelle1[Wärmeleistung (75/65/20)  in W/Glied]"),
        INDIRECT("tabelle1[Heizkörper_Typ]"), clc_power!Q$148,
        INDIRECT("tabelle1[Heizkörper_Subtyp]"), clc_power!Q$149,
        INDIRECT("tabelle1[Höhe H in mm]"), clc_power!Q$150,
        INDIRECT("tabelle1[Bautiefe T in mm]"), clc_power!Q$151
    ),
    _xlpm.leistung, IN_rooms!AB$69 * _xlpm.wärmeleistung * Q$152,
    IF(_xlpm.leistung &gt; 0, _xlpm.leistung, 0)
)</f>
        <v>0</v>
      </c>
      <c r="R154" s="5">
        <f ca="1">_xlfn.LET(
    _xlpm.wärmeleistung, SUMIFS(
        INDIRECT("tabelle1[Wärmeleistung (75/65/20)  in W/Glied]"),
        INDIRECT("tabelle1[Heizkörper_Typ]"), clc_power!R$148,
        INDIRECT("tabelle1[Heizkörper_Subtyp]"), clc_power!R$149,
        INDIRECT("tabelle1[Höhe H in mm]"), clc_power!R$150,
        INDIRECT("tabelle1[Bautiefe T in mm]"), clc_power!R$151
    ),
    _xlpm.leistung, IN_rooms!AC$69 * _xlpm.wärmeleistung * R$152,
    IF(_xlpm.leistung &gt; 0, _xlpm.leistung, 0)
)</f>
        <v>0</v>
      </c>
      <c r="S154" s="5">
        <f ca="1">_xlfn.LET(
    _xlpm.wärmeleistung, SUMIFS(
        INDIRECT("tabelle1[Wärmeleistung (75/65/20)  in W/Glied]"),
        INDIRECT("tabelle1[Heizkörper_Typ]"), clc_power!S$148,
        INDIRECT("tabelle1[Heizkörper_Subtyp]"), clc_power!S$149,
        INDIRECT("tabelle1[Höhe H in mm]"), clc_power!S$150,
        INDIRECT("tabelle1[Bautiefe T in mm]"), clc_power!S$151
    ),
    _xlpm.leistung, IN_rooms!AD$69 * _xlpm.wärmeleistung * S$152,
    IF(_xlpm.leistung &gt; 0, _xlpm.leistung, 0)
)</f>
        <v>0</v>
      </c>
      <c r="T154" s="5">
        <f ca="1">_xlfn.LET(
    _xlpm.wärmeleistung, SUMIFS(
        INDIRECT("tabelle1[Wärmeleistung (75/65/20)  in W/Glied]"),
        INDIRECT("tabelle1[Heizkörper_Typ]"), clc_power!T$148,
        INDIRECT("tabelle1[Heizkörper_Subtyp]"), clc_power!T$149,
        INDIRECT("tabelle1[Höhe H in mm]"), clc_power!T$150,
        INDIRECT("tabelle1[Bautiefe T in mm]"), clc_power!T$151
    ),
    _xlpm.leistung, IN_rooms!AE$69 * _xlpm.wärmeleistung * T$152,
    IF(_xlpm.leistung &gt; 0, _xlpm.leistung, 0)
)</f>
        <v>0</v>
      </c>
      <c r="U154" s="5">
        <f ca="1">_xlfn.LET(
    _xlpm.wärmeleistung, SUMIFS(
        INDIRECT("tabelle1[Wärmeleistung (75/65/20)  in W/Glied]"),
        INDIRECT("tabelle1[Heizkörper_Typ]"), clc_power!U$148,
        INDIRECT("tabelle1[Heizkörper_Subtyp]"), clc_power!U$149,
        INDIRECT("tabelle1[Höhe H in mm]"), clc_power!U$150,
        INDIRECT("tabelle1[Bautiefe T in mm]"), clc_power!U$151
    ),
    _xlpm.leistung, IN_rooms!AF$69 * _xlpm.wärmeleistung * U$152,
    IF(_xlpm.leistung &gt; 0, _xlpm.leistung, 0)
)</f>
        <v>0</v>
      </c>
    </row>
    <row r="155" spans="1:21" ht="15.75" thickBot="1">
      <c r="A155" s="72" t="s">
        <v>569</v>
      </c>
      <c r="B155" s="72" t="s">
        <v>429</v>
      </c>
      <c r="C155" s="72" t="s">
        <v>150</v>
      </c>
      <c r="D155" s="72" t="s">
        <v>693</v>
      </c>
      <c r="E155" s="72" t="s">
        <v>26</v>
      </c>
      <c r="G155" s="5">
        <f>TVL_Ziel</f>
        <v>55</v>
      </c>
      <c r="H155" s="5">
        <f t="shared" ref="H155:U155" si="37">TVL_Ziel</f>
        <v>55</v>
      </c>
      <c r="I155" s="5">
        <f t="shared" si="37"/>
        <v>55</v>
      </c>
      <c r="J155" s="5">
        <f t="shared" si="37"/>
        <v>55</v>
      </c>
      <c r="K155" s="5">
        <f t="shared" si="37"/>
        <v>55</v>
      </c>
      <c r="L155" s="5">
        <f t="shared" si="37"/>
        <v>55</v>
      </c>
      <c r="M155" s="5">
        <f t="shared" si="37"/>
        <v>55</v>
      </c>
      <c r="N155" s="5">
        <f t="shared" si="37"/>
        <v>55</v>
      </c>
      <c r="O155" s="5">
        <f t="shared" si="37"/>
        <v>55</v>
      </c>
      <c r="P155" s="5">
        <f t="shared" si="37"/>
        <v>55</v>
      </c>
      <c r="Q155" s="5">
        <f t="shared" si="37"/>
        <v>55</v>
      </c>
      <c r="R155" s="5">
        <f t="shared" si="37"/>
        <v>55</v>
      </c>
      <c r="S155" s="5">
        <f t="shared" si="37"/>
        <v>55</v>
      </c>
      <c r="T155" s="5">
        <f t="shared" si="37"/>
        <v>55</v>
      </c>
      <c r="U155" s="5">
        <f t="shared" si="37"/>
        <v>55</v>
      </c>
    </row>
    <row r="156" spans="1:21" ht="15.75" thickBot="1">
      <c r="A156" s="72" t="s">
        <v>571</v>
      </c>
      <c r="B156" s="72" t="s">
        <v>429</v>
      </c>
      <c r="C156" s="72" t="s">
        <v>150</v>
      </c>
      <c r="D156" s="72" t="s">
        <v>694</v>
      </c>
      <c r="E156" s="72" t="s">
        <v>26</v>
      </c>
      <c r="G156" s="5">
        <f>TRL_Ziel</f>
        <v>45</v>
      </c>
      <c r="H156" s="5">
        <f t="shared" ref="H156:U156" si="38">TRL_Ziel</f>
        <v>45</v>
      </c>
      <c r="I156" s="5">
        <f t="shared" si="38"/>
        <v>45</v>
      </c>
      <c r="J156" s="5">
        <f t="shared" si="38"/>
        <v>45</v>
      </c>
      <c r="K156" s="5">
        <f t="shared" si="38"/>
        <v>45</v>
      </c>
      <c r="L156" s="5">
        <f t="shared" si="38"/>
        <v>45</v>
      </c>
      <c r="M156" s="5">
        <f t="shared" si="38"/>
        <v>45</v>
      </c>
      <c r="N156" s="5">
        <f t="shared" si="38"/>
        <v>45</v>
      </c>
      <c r="O156" s="5">
        <f t="shared" si="38"/>
        <v>45</v>
      </c>
      <c r="P156" s="5">
        <f t="shared" si="38"/>
        <v>45</v>
      </c>
      <c r="Q156" s="5">
        <f t="shared" si="38"/>
        <v>45</v>
      </c>
      <c r="R156" s="5">
        <f t="shared" si="38"/>
        <v>45</v>
      </c>
      <c r="S156" s="5">
        <f t="shared" si="38"/>
        <v>45</v>
      </c>
      <c r="T156" s="5">
        <f t="shared" si="38"/>
        <v>45</v>
      </c>
      <c r="U156" s="5">
        <f t="shared" si="38"/>
        <v>45</v>
      </c>
    </row>
    <row r="157" spans="1:21" ht="15.75" thickBot="1">
      <c r="A157" s="72" t="s">
        <v>573</v>
      </c>
      <c r="B157" s="72" t="s">
        <v>429</v>
      </c>
      <c r="C157" s="72" t="s">
        <v>150</v>
      </c>
      <c r="D157" s="72" t="s">
        <v>695</v>
      </c>
      <c r="E157" s="72" t="s">
        <v>575</v>
      </c>
      <c r="G157" s="34">
        <f>(G$155-G$156)/(LN((G$155-clc_load!I$10)/(G$156-clc_load!I$10)))</f>
        <v>49.83288654563971</v>
      </c>
      <c r="H157" s="34">
        <f>(H$155-H$156)/(LN((H$155-clc_load!J$10)/(H$156-clc_load!J$10)))</f>
        <v>49.83288654563971</v>
      </c>
      <c r="I157" s="34">
        <f>(I$155-I$156)/(LN((I$155-clc_load!K$10)/(I$156-clc_load!K$10)))</f>
        <v>49.83288654563971</v>
      </c>
      <c r="J157" s="34">
        <f>(J$155-J$156)/(LN((J$155-clc_load!L$10)/(J$156-clc_load!L$10)))</f>
        <v>49.83288654563971</v>
      </c>
      <c r="K157" s="34">
        <f>(K$155-K$156)/(LN((K$155-clc_load!M$10)/(K$156-clc_load!M$10)))</f>
        <v>49.83288654563971</v>
      </c>
      <c r="L157" s="34">
        <f>(L$155-L$156)/(LN((L$155-clc_load!N$10)/(L$156-clc_load!N$10)))</f>
        <v>49.83288654563971</v>
      </c>
      <c r="M157" s="34">
        <f>(M$155-M$156)/(LN((M$155-clc_load!O$10)/(M$156-clc_load!O$10)))</f>
        <v>49.83288654563971</v>
      </c>
      <c r="N157" s="34">
        <f>(N$155-N$156)/(LN((N$155-clc_load!P$10)/(N$156-clc_load!P$10)))</f>
        <v>49.83288654563971</v>
      </c>
      <c r="O157" s="34">
        <f>(O$155-O$156)/(LN((O$155-clc_load!Q$10)/(O$156-clc_load!Q$10)))</f>
        <v>49.83288654563971</v>
      </c>
      <c r="P157" s="34">
        <f>(P$155-P$156)/(LN((P$155-clc_load!R$10)/(P$156-clc_load!R$10)))</f>
        <v>49.83288654563971</v>
      </c>
      <c r="Q157" s="34">
        <f>(Q$155-Q$156)/(LN((Q$155-clc_load!S$10)/(Q$156-clc_load!S$10)))</f>
        <v>49.83288654563971</v>
      </c>
      <c r="R157" s="34">
        <f>(R$155-R$156)/(LN((R$155-clc_load!T$10)/(R$156-clc_load!T$10)))</f>
        <v>49.83288654563971</v>
      </c>
      <c r="S157" s="34">
        <f>(S$155-S$156)/(LN((S$155-clc_load!U$10)/(S$156-clc_load!U$10)))</f>
        <v>49.83288654563971</v>
      </c>
      <c r="T157" s="34">
        <f>(T$155-T$156)/(LN((T$155-clc_load!V$10)/(T$156-clc_load!V$10)))</f>
        <v>49.83288654563971</v>
      </c>
      <c r="U157" s="34">
        <f>(U$155-U$156)/(LN((U$155-clc_load!W$10)/(U$156-clc_load!W$10)))</f>
        <v>49.83288654563971</v>
      </c>
    </row>
    <row r="158" spans="1:21" ht="15.75" thickBot="1">
      <c r="A158" s="72" t="s">
        <v>576</v>
      </c>
      <c r="B158" s="72" t="s">
        <v>429</v>
      </c>
      <c r="C158" s="72" t="s">
        <v>150</v>
      </c>
      <c r="D158" s="72" t="s">
        <v>696</v>
      </c>
      <c r="E158" s="72" t="s">
        <v>31</v>
      </c>
      <c r="G158" s="5">
        <f t="shared" ref="G158:U158" ca="1" si="39">IF(G$154*((G$157/Log_ÜT_Norm)^G$153)&gt;0,
G$154*((G$157/Log_ÜT_Norm)^G$153),0)</f>
        <v>0</v>
      </c>
      <c r="H158" s="5">
        <f t="shared" ca="1" si="39"/>
        <v>0</v>
      </c>
      <c r="I158" s="5">
        <f t="shared" ca="1" si="39"/>
        <v>0</v>
      </c>
      <c r="J158" s="5">
        <f t="shared" ca="1" si="39"/>
        <v>0</v>
      </c>
      <c r="K158" s="5">
        <f t="shared" ca="1" si="39"/>
        <v>0</v>
      </c>
      <c r="L158" s="5">
        <f t="shared" ca="1" si="39"/>
        <v>0</v>
      </c>
      <c r="M158" s="5">
        <f t="shared" ca="1" si="39"/>
        <v>0</v>
      </c>
      <c r="N158" s="5">
        <f t="shared" ca="1" si="39"/>
        <v>0</v>
      </c>
      <c r="O158" s="5">
        <f t="shared" ca="1" si="39"/>
        <v>0</v>
      </c>
      <c r="P158" s="5">
        <f t="shared" ca="1" si="39"/>
        <v>0</v>
      </c>
      <c r="Q158" s="5">
        <f t="shared" ca="1" si="39"/>
        <v>0</v>
      </c>
      <c r="R158" s="5">
        <f t="shared" ca="1" si="39"/>
        <v>0</v>
      </c>
      <c r="S158" s="5">
        <f t="shared" ca="1" si="39"/>
        <v>0</v>
      </c>
      <c r="T158" s="5">
        <f t="shared" ca="1" si="39"/>
        <v>0</v>
      </c>
      <c r="U158" s="5">
        <f t="shared" ca="1" si="39"/>
        <v>0</v>
      </c>
    </row>
    <row r="159" spans="1:21" ht="15.75" thickBot="1">
      <c r="A159" s="103" t="s">
        <v>578</v>
      </c>
      <c r="B159" s="103" t="s">
        <v>429</v>
      </c>
      <c r="C159" s="103" t="s">
        <v>579</v>
      </c>
      <c r="D159" s="103" t="s">
        <v>697</v>
      </c>
      <c r="E159" s="103" t="s">
        <v>31</v>
      </c>
      <c r="G159" s="34">
        <f ca="1">_xlfn.LET(
    _xlpm.typ, "Flachheizkoerper_senkrecht_profiliert",
    _xlpm.subtyp, "Typ_33",
    _xlpm.f_höhe,IF(G$150&gt;900,1.2,1),
    _xlpm.höhe, _xlfn.XLOOKUP(G$150/_xlpm.f_höhe, Data_radiator!$G$5:$G$32, Data_radiator!$G$5:$G$32, 1000000, 1, 1),
    _xlpm.tiefe, 155,
    _xlpm.glieder, G$152,
    _xlpm.radiatorart, G$149,
    _xlpm.tempfaktor, IF(_xlpm.radiatorart = "Gussradiator", 50, 60),
    _xlpm.überschuss, G$157,
    _xlpm.leistung, IN_rooms!R$69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H159" s="34">
        <f ca="1">_xlfn.LET(
    _xlpm.typ, "Flachheizkoerper_senkrecht_profiliert",
    _xlpm.subtyp, "Typ_33",
    _xlpm.f_höhe,IF(H$150&gt;900,1.2,1),
    _xlpm.höhe, _xlfn.XLOOKUP(H$150/_xlpm.f_höhe, Data_radiator!$G$5:$G$32, Data_radiator!$G$5:$G$32, 1000000, 1, 1),
    _xlpm.tiefe, 155,
    _xlpm.glieder, H$152,
    _xlpm.radiatorart, H$149,
    _xlpm.tempfaktor, IF(_xlpm.radiatorart = "Gussradiator", 50, 60),
    _xlpm.überschuss, H$157,
    _xlpm.leistung, IN_rooms!S$69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I159" s="34">
        <f ca="1">_xlfn.LET(
    _xlpm.typ, "Flachheizkoerper_senkrecht_profiliert",
    _xlpm.subtyp, "Typ_33",
    _xlpm.f_höhe,IF(I$150&gt;900,1.2,1),
    _xlpm.höhe, _xlfn.XLOOKUP(I$150/_xlpm.f_höhe, Data_radiator!$G$5:$G$32, Data_radiator!$G$5:$G$32, 1000000, 1, 1),
    _xlpm.tiefe, 155,
    _xlpm.glieder, I$152,
    _xlpm.radiatorart, I$149,
    _xlpm.tempfaktor, IF(_xlpm.radiatorart = "Gussradiator", 50, 60),
    _xlpm.überschuss, I$157,
    _xlpm.leistung, IN_rooms!T$69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J159" s="34">
        <f ca="1">_xlfn.LET(
    _xlpm.typ, "Flachheizkoerper_senkrecht_profiliert",
    _xlpm.subtyp, "Typ_33",
    _xlpm.f_höhe,IF(J$150&gt;900,1.2,1),
    _xlpm.höhe, _xlfn.XLOOKUP(J$150/_xlpm.f_höhe, Data_radiator!$G$5:$G$32, Data_radiator!$G$5:$G$32, 1000000, 1, 1),
    _xlpm.tiefe, 155,
    _xlpm.glieder, J$152,
    _xlpm.radiatorart, J$149,
    _xlpm.tempfaktor, IF(_xlpm.radiatorart = "Gussradiator", 50, 60),
    _xlpm.überschuss, J$157,
    _xlpm.leistung, IN_rooms!U$69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K159" s="34">
        <f ca="1">_xlfn.LET(
    _xlpm.typ, "Flachheizkoerper_senkrecht_profiliert",
    _xlpm.subtyp, "Typ_33",
    _xlpm.f_höhe,IF(K$150&gt;900,1.2,1),
    _xlpm.höhe, _xlfn.XLOOKUP(K$150/_xlpm.f_höhe, Data_radiator!$G$5:$G$32, Data_radiator!$G$5:$G$32, 1000000, 1, 1),
    _xlpm.tiefe, 155,
    _xlpm.glieder, K$152,
    _xlpm.radiatorart, K$149,
    _xlpm.tempfaktor, IF(_xlpm.radiatorart = "Gussradiator", 50, 60),
    _xlpm.überschuss, K$157,
    _xlpm.leistung, IN_rooms!V$69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L159" s="34">
        <f ca="1">_xlfn.LET(
    _xlpm.typ, "Flachheizkoerper_senkrecht_profiliert",
    _xlpm.subtyp, "Typ_33",
    _xlpm.f_höhe,IF(L$150&gt;900,1.2,1),
    _xlpm.höhe, _xlfn.XLOOKUP(L$150/_xlpm.f_höhe, Data_radiator!$G$5:$G$32, Data_radiator!$G$5:$G$32, 1000000, 1, 1),
    _xlpm.tiefe, 155,
    _xlpm.glieder, L$152,
    _xlpm.radiatorart, L$149,
    _xlpm.tempfaktor, IF(_xlpm.radiatorart = "Gussradiator", 50, 60),
    _xlpm.überschuss, L$157,
    _xlpm.leistung, IN_rooms!W$69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M159" s="34">
        <f ca="1">_xlfn.LET(
    _xlpm.typ, "Flachheizkoerper_senkrecht_profiliert",
    _xlpm.subtyp, "Typ_33",
    _xlpm.f_höhe,IF(M$150&gt;900,1.2,1),
    _xlpm.höhe, _xlfn.XLOOKUP(M$150/_xlpm.f_höhe, Data_radiator!$G$5:$G$32, Data_radiator!$G$5:$G$32, 1000000, 1, 1),
    _xlpm.tiefe, 155,
    _xlpm.glieder, M$152,
    _xlpm.radiatorart, M$149,
    _xlpm.tempfaktor, IF(_xlpm.radiatorart = "Gussradiator", 50, 60),
    _xlpm.überschuss, M$157,
    _xlpm.leistung, IN_rooms!X$69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N159" s="34">
        <f ca="1">_xlfn.LET(
    _xlpm.typ, "Flachheizkoerper_senkrecht_profiliert",
    _xlpm.subtyp, "Typ_33",
    _xlpm.f_höhe,IF(N$150&gt;900,1.2,1),
    _xlpm.höhe, _xlfn.XLOOKUP(N$150/_xlpm.f_höhe, Data_radiator!$G$5:$G$32, Data_radiator!$G$5:$G$32, 1000000, 1, 1),
    _xlpm.tiefe, 155,
    _xlpm.glieder, N$152,
    _xlpm.radiatorart, N$149,
    _xlpm.tempfaktor, IF(_xlpm.radiatorart = "Gussradiator", 50, 60),
    _xlpm.überschuss, N$157,
    _xlpm.leistung, IN_rooms!Y$69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O159" s="34">
        <f ca="1">_xlfn.LET(
    _xlpm.typ, "Flachheizkoerper_senkrecht_profiliert",
    _xlpm.subtyp, "Typ_33",
    _xlpm.f_höhe,IF(O$150&gt;900,1.2,1),
    _xlpm.höhe, _xlfn.XLOOKUP(O$150/_xlpm.f_höhe, Data_radiator!$G$5:$G$32, Data_radiator!$G$5:$G$32, 1000000, 1, 1),
    _xlpm.tiefe, 155,
    _xlpm.glieder, O$152,
    _xlpm.radiatorart, O$149,
    _xlpm.tempfaktor, IF(_xlpm.radiatorart = "Gussradiator", 50, 60),
    _xlpm.überschuss, O$157,
    _xlpm.leistung, IN_rooms!Z$69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P159" s="34">
        <f ca="1">_xlfn.LET(
    _xlpm.typ, "Flachheizkoerper_senkrecht_profiliert",
    _xlpm.subtyp, "Typ_33",
    _xlpm.f_höhe,IF(P$150&gt;900,1.2,1),
    _xlpm.höhe, _xlfn.XLOOKUP(P$150/_xlpm.f_höhe, Data_radiator!$G$5:$G$32, Data_radiator!$G$5:$G$32, 1000000, 1, 1),
    _xlpm.tiefe, 155,
    _xlpm.glieder, P$152,
    _xlpm.radiatorart, P$149,
    _xlpm.tempfaktor, IF(_xlpm.radiatorart = "Gussradiator", 50, 60),
    _xlpm.überschuss, P$157,
    _xlpm.leistung, IN_rooms!AA$69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Q159" s="34">
        <f ca="1">_xlfn.LET(
    _xlpm.typ, "Flachheizkoerper_senkrecht_profiliert",
    _xlpm.subtyp, "Typ_33",
    _xlpm.f_höhe,IF(Q$150&gt;900,1.2,1),
    _xlpm.höhe, _xlfn.XLOOKUP(Q$150/_xlpm.f_höhe, Data_radiator!$G$5:$G$32, Data_radiator!$G$5:$G$32, 1000000, 1, 1),
    _xlpm.tiefe, 155,
    _xlpm.glieder, Q$152,
    _xlpm.radiatorart, Q$149,
    _xlpm.tempfaktor, IF(_xlpm.radiatorart = "Gussradiator", 50, 60),
    _xlpm.überschuss, Q$157,
    _xlpm.leistung, IN_rooms!AB$69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R159" s="34">
        <f ca="1">_xlfn.LET(
    _xlpm.typ, "Flachheizkoerper_senkrecht_profiliert",
    _xlpm.subtyp, "Typ_33",
    _xlpm.f_höhe,IF(R$150&gt;900,1.2,1),
    _xlpm.höhe, _xlfn.XLOOKUP(R$150/_xlpm.f_höhe, Data_radiator!$G$5:$G$32, Data_radiator!$G$5:$G$32, 1000000, 1, 1),
    _xlpm.tiefe, 155,
    _xlpm.glieder, R$152,
    _xlpm.radiatorart, R$149,
    _xlpm.tempfaktor, IF(_xlpm.radiatorart = "Gussradiator", 50, 60),
    _xlpm.überschuss, R$157,
    _xlpm.leistung, IN_rooms!AC$69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S159" s="34">
        <f ca="1">_xlfn.LET(
    _xlpm.typ, "Flachheizkoerper_senkrecht_profiliert",
    _xlpm.subtyp, "Typ_33",
    _xlpm.f_höhe,IF(S$150&gt;900,1.2,1),
    _xlpm.höhe, _xlfn.XLOOKUP(S$150/_xlpm.f_höhe, Data_radiator!$G$5:$G$32, Data_radiator!$G$5:$G$32, 1000000, 1, 1),
    _xlpm.tiefe, 155,
    _xlpm.glieder, S$152,
    _xlpm.radiatorart, S$149,
    _xlpm.tempfaktor, IF(_xlpm.radiatorart = "Gussradiator", 50, 60),
    _xlpm.überschuss, S$157,
    _xlpm.leistung, IN_rooms!AD$69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T159" s="34">
        <f ca="1">_xlfn.LET(
    _xlpm.typ, "Flachheizkoerper_senkrecht_profiliert",
    _xlpm.subtyp, "Typ_33",
    _xlpm.f_höhe,IF(T$150&gt;900,1.2,1),
    _xlpm.höhe, _xlfn.XLOOKUP(T$150/_xlpm.f_höhe, Data_radiator!$G$5:$G$32, Data_radiator!$G$5:$G$32, 1000000, 1, 1),
    _xlpm.tiefe, 155,
    _xlpm.glieder, T$152,
    _xlpm.radiatorart, T$149,
    _xlpm.tempfaktor, IF(_xlpm.radiatorart = "Gussradiator", 50, 60),
    _xlpm.überschuss, T$157,
    _xlpm.leistung, IN_rooms!AE$69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c r="U159" s="34">
        <f ca="1">_xlfn.LET(
    _xlpm.typ, "Flachheizkoerper_senkrecht_profiliert",
    _xlpm.subtyp, "Typ_33",
    _xlpm.f_höhe,IF(U$150&gt;900,1.2,1),
    _xlpm.höhe, _xlfn.XLOOKUP(U$150/_xlpm.f_höhe, Data_radiator!$G$5:$G$32, Data_radiator!$G$5:$G$32, 1000000, 1, 1),
    _xlpm.tiefe, 155,
    _xlpm.glieder, U$152,
    _xlpm.radiatorart, U$149,
    _xlpm.tempfaktor, IF(_xlpm.radiatorart = "Gussradiator", 50, 60),
    _xlpm.überschuss, U$157,
    _xlpm.leistung, IN_rooms!AF$69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_xlpm.leistung*_xlpm.f_höhe, 0)
)</f>
        <v>0</v>
      </c>
    </row>
    <row r="160" spans="1:21" ht="15.75" thickBot="1">
      <c r="A160" s="101" t="s">
        <v>405</v>
      </c>
      <c r="B160" s="101" t="s">
        <v>429</v>
      </c>
      <c r="C160" s="101" t="s">
        <v>154</v>
      </c>
      <c r="D160" s="101" t="s">
        <v>698</v>
      </c>
      <c r="E160" s="101"/>
      <c r="G160" s="5" t="str">
        <f>IF(IN_rooms!R$63="Rohrradiator",IN_rooms!R$63,"")</f>
        <v/>
      </c>
      <c r="H160" s="5" t="str">
        <f>IF(IN_rooms!S$63="Rohrradiator",IN_rooms!S$63,"")</f>
        <v/>
      </c>
      <c r="I160" s="5" t="str">
        <f>IF(IN_rooms!T$63="Rohrradiator",IN_rooms!T$63,"")</f>
        <v/>
      </c>
      <c r="J160" s="5" t="str">
        <f>IF(IN_rooms!U$63="Rohrradiator",IN_rooms!U$63,"")</f>
        <v/>
      </c>
      <c r="K160" s="5" t="str">
        <f>IF(IN_rooms!V$63="Rohrradiator",IN_rooms!V$63,"")</f>
        <v/>
      </c>
      <c r="L160" s="5" t="str">
        <f>IF(IN_rooms!W$63="Rohrradiator",IN_rooms!W$63,"")</f>
        <v/>
      </c>
      <c r="M160" s="5" t="str">
        <f>IF(IN_rooms!X$63="Rohrradiator",IN_rooms!X$63,"")</f>
        <v/>
      </c>
      <c r="N160" s="5" t="str">
        <f>IF(IN_rooms!Y$63="Rohrradiator",IN_rooms!Y$63,"")</f>
        <v/>
      </c>
      <c r="O160" s="5" t="str">
        <f>IF(IN_rooms!Z$63="Rohrradiator",IN_rooms!Z$63,"")</f>
        <v/>
      </c>
      <c r="P160" s="5" t="str">
        <f>IF(IN_rooms!AA$63="Rohrradiator",IN_rooms!AA$63,"")</f>
        <v/>
      </c>
      <c r="Q160" s="5" t="str">
        <f>IF(IN_rooms!AB$63="Rohrradiator",IN_rooms!AB$63,"")</f>
        <v/>
      </c>
      <c r="R160" s="5" t="str">
        <f>IF(IN_rooms!AC$63="Rohrradiator",IN_rooms!AC$63,"")</f>
        <v/>
      </c>
      <c r="S160" s="5" t="str">
        <f>IF(IN_rooms!AD$63="Rohrradiator",IN_rooms!AD$63,"")</f>
        <v/>
      </c>
      <c r="T160" s="5" t="str">
        <f>IF(IN_rooms!AE$63="Rohrradiator",IN_rooms!AE$63,"")</f>
        <v/>
      </c>
      <c r="U160" s="5" t="str">
        <f>IF(IN_rooms!AF$63="Rohrradiator",IN_rooms!AF$63,"")</f>
        <v/>
      </c>
    </row>
    <row r="161" spans="1:21" ht="15.75" thickBot="1">
      <c r="A161" s="101" t="s">
        <v>559</v>
      </c>
      <c r="B161" s="101" t="s">
        <v>429</v>
      </c>
      <c r="C161" s="101" t="s">
        <v>154</v>
      </c>
      <c r="D161" s="101" t="s">
        <v>699</v>
      </c>
      <c r="E161" s="101"/>
      <c r="G161" s="5">
        <f>IN_rooms!R$64</f>
        <v>0</v>
      </c>
      <c r="H161" s="5">
        <f>IN_rooms!S$64</f>
        <v>0</v>
      </c>
      <c r="I161" s="5">
        <f>IN_rooms!T$64</f>
        <v>0</v>
      </c>
      <c r="J161" s="5">
        <f>IN_rooms!U$64</f>
        <v>0</v>
      </c>
      <c r="K161" s="5">
        <f>IN_rooms!V$64</f>
        <v>0</v>
      </c>
      <c r="L161" s="5">
        <f>IN_rooms!W$64</f>
        <v>0</v>
      </c>
      <c r="M161" s="5">
        <f>IN_rooms!X$64</f>
        <v>0</v>
      </c>
      <c r="N161" s="5">
        <f>IN_rooms!Y$64</f>
        <v>0</v>
      </c>
      <c r="O161" s="5">
        <f>IN_rooms!Z$64</f>
        <v>0</v>
      </c>
      <c r="P161" s="5">
        <f>IN_rooms!AA$64</f>
        <v>0</v>
      </c>
      <c r="Q161" s="5">
        <f>IN_rooms!AB$64</f>
        <v>0</v>
      </c>
      <c r="R161" s="5">
        <f>IN_rooms!AC$64</f>
        <v>0</v>
      </c>
      <c r="S161" s="5">
        <f>IN_rooms!AD$64</f>
        <v>0</v>
      </c>
      <c r="T161" s="5">
        <f>IN_rooms!AE$64</f>
        <v>0</v>
      </c>
      <c r="U161" s="5">
        <f>IN_rooms!AF$64</f>
        <v>0</v>
      </c>
    </row>
    <row r="162" spans="1:21" ht="15.75" thickBot="1">
      <c r="A162" s="101" t="s">
        <v>561</v>
      </c>
      <c r="B162" s="101" t="s">
        <v>429</v>
      </c>
      <c r="C162" s="101" t="s">
        <v>154</v>
      </c>
      <c r="D162" s="101" t="s">
        <v>700</v>
      </c>
      <c r="E162" s="101" t="s">
        <v>409</v>
      </c>
      <c r="G162" s="5">
        <f>IN_rooms!R$65</f>
        <v>0</v>
      </c>
      <c r="H162" s="5">
        <f>IN_rooms!S$65</f>
        <v>0</v>
      </c>
      <c r="I162" s="5">
        <f>IN_rooms!T$65</f>
        <v>0</v>
      </c>
      <c r="J162" s="5">
        <f>IN_rooms!U$65</f>
        <v>0</v>
      </c>
      <c r="K162" s="5">
        <f>IN_rooms!V$65</f>
        <v>0</v>
      </c>
      <c r="L162" s="5">
        <f>IN_rooms!W$65</f>
        <v>0</v>
      </c>
      <c r="M162" s="5">
        <f>IN_rooms!X$65</f>
        <v>0</v>
      </c>
      <c r="N162" s="5">
        <f>IN_rooms!Y$65</f>
        <v>0</v>
      </c>
      <c r="O162" s="5">
        <f>IN_rooms!Z$65</f>
        <v>0</v>
      </c>
      <c r="P162" s="5">
        <f>IN_rooms!AA$65</f>
        <v>0</v>
      </c>
      <c r="Q162" s="5">
        <f>IN_rooms!AB$65</f>
        <v>0</v>
      </c>
      <c r="R162" s="5">
        <f>IN_rooms!AC$65</f>
        <v>0</v>
      </c>
      <c r="S162" s="5">
        <f>IN_rooms!AD$65</f>
        <v>0</v>
      </c>
      <c r="T162" s="5">
        <f>IN_rooms!AE$65</f>
        <v>0</v>
      </c>
      <c r="U162" s="5">
        <f>IN_rooms!AF$65</f>
        <v>0</v>
      </c>
    </row>
    <row r="163" spans="1:21" ht="15.75" thickBot="1">
      <c r="A163" s="101" t="s">
        <v>175</v>
      </c>
      <c r="B163" s="101" t="s">
        <v>429</v>
      </c>
      <c r="C163" s="101" t="s">
        <v>154</v>
      </c>
      <c r="D163" s="101" t="s">
        <v>701</v>
      </c>
      <c r="E163" s="101" t="s">
        <v>409</v>
      </c>
      <c r="G163" s="5" cm="1">
        <f t="array" ref="G163">IF(G161="Fensterbankradiator",
IF(IN_rooms!R$66=0,0,INDEX(Fensterbankradiator_b[],MATCH(MIN(ABS(Fensterbankradiator_b[]-IN_rooms!R$66)),ABS(Fensterbankradiator_b[]-IN_rooms!R$66),0))),
IN_rooms!R$66)</f>
        <v>0</v>
      </c>
      <c r="H163" s="5" cm="1">
        <f t="array" ref="H163">IF(H161="Fensterbankradiator",
IF(IN_rooms!S$66=0,0,INDEX(Fensterbankradiator_b[],MATCH(MIN(ABS(Fensterbankradiator_b[]-IN_rooms!S$66)),ABS(Fensterbankradiator_b[]-IN_rooms!S$66),0))),
IN_rooms!S$66)</f>
        <v>0</v>
      </c>
      <c r="I163" s="5" cm="1">
        <f t="array" ref="I163">IF(I161="Fensterbankradiator",
IF(IN_rooms!T$66=0,0,INDEX(Fensterbankradiator_b[],MATCH(MIN(ABS(Fensterbankradiator_b[]-IN_rooms!T$66)),ABS(Fensterbankradiator_b[]-IN_rooms!T$66),0))),
IN_rooms!T$66)</f>
        <v>0</v>
      </c>
      <c r="J163" s="5" cm="1">
        <f t="array" ref="J163">IF(J161="Fensterbankradiator",
IF(IN_rooms!U$66=0,0,INDEX(Fensterbankradiator_b[],MATCH(MIN(ABS(Fensterbankradiator_b[]-IN_rooms!U$66)),ABS(Fensterbankradiator_b[]-IN_rooms!U$66),0))),
IN_rooms!U$66)</f>
        <v>0</v>
      </c>
      <c r="K163" s="5" cm="1">
        <f t="array" ref="K163">IF(K161="Fensterbankradiator",
IF(IN_rooms!V$66=0,0,INDEX(Fensterbankradiator_b[],MATCH(MIN(ABS(Fensterbankradiator_b[]-IN_rooms!V$66)),ABS(Fensterbankradiator_b[]-IN_rooms!V$66),0))),
IN_rooms!V$66)</f>
        <v>0</v>
      </c>
      <c r="L163" s="5" cm="1">
        <f t="array" ref="L163">IF(L161="Fensterbankradiator",
IF(IN_rooms!W$66=0,0,INDEX(Fensterbankradiator_b[],MATCH(MIN(ABS(Fensterbankradiator_b[]-IN_rooms!W$66)),ABS(Fensterbankradiator_b[]-IN_rooms!W$66),0))),
IN_rooms!W$66)</f>
        <v>0</v>
      </c>
      <c r="M163" s="5" cm="1">
        <f t="array" ref="M163">IF(M161="Fensterbankradiator",
IF(IN_rooms!X$66=0,0,INDEX(Fensterbankradiator_b[],MATCH(MIN(ABS(Fensterbankradiator_b[]-IN_rooms!X$66)),ABS(Fensterbankradiator_b[]-IN_rooms!X$66),0))),
IN_rooms!X$66)</f>
        <v>0</v>
      </c>
      <c r="N163" s="5" cm="1">
        <f t="array" ref="N163">IF(N161="Fensterbankradiator",
IF(IN_rooms!Y$66=0,0,INDEX(Fensterbankradiator_b[],MATCH(MIN(ABS(Fensterbankradiator_b[]-IN_rooms!Y$66)),ABS(Fensterbankradiator_b[]-IN_rooms!Y$66),0))),
IN_rooms!Y$66)</f>
        <v>0</v>
      </c>
      <c r="O163" s="5" cm="1">
        <f t="array" ref="O163">IF(O161="Fensterbankradiator",
IF(IN_rooms!Z$66=0,0,INDEX(Fensterbankradiator_b[],MATCH(MIN(ABS(Fensterbankradiator_b[]-IN_rooms!Z$66)),ABS(Fensterbankradiator_b[]-IN_rooms!Z$66),0))),
IN_rooms!Z$66)</f>
        <v>0</v>
      </c>
      <c r="P163" s="5" cm="1">
        <f t="array" ref="P163">IF(P161="Fensterbankradiator",
IF(IN_rooms!AA$66=0,0,INDEX(Fensterbankradiator_b[],MATCH(MIN(ABS(Fensterbankradiator_b[]-IN_rooms!AA$66)),ABS(Fensterbankradiator_b[]-IN_rooms!AA$66),0))),
IN_rooms!AA$66)</f>
        <v>0</v>
      </c>
      <c r="Q163" s="5" cm="1">
        <f t="array" ref="Q163">IF(Q161="Fensterbankradiator",
IF(IN_rooms!AB$66=0,0,INDEX(Fensterbankradiator_b[],MATCH(MIN(ABS(Fensterbankradiator_b[]-IN_rooms!AB$66)),ABS(Fensterbankradiator_b[]-IN_rooms!AB$66),0))),
IN_rooms!AB$66)</f>
        <v>0</v>
      </c>
      <c r="R163" s="5" cm="1">
        <f t="array" ref="R163">IF(R161="Fensterbankradiator",
IF(IN_rooms!AC$66=0,0,INDEX(Fensterbankradiator_b[],MATCH(MIN(ABS(Fensterbankradiator_b[]-IN_rooms!AC$66)),ABS(Fensterbankradiator_b[]-IN_rooms!AC$66),0))),
IN_rooms!AC$66)</f>
        <v>0</v>
      </c>
      <c r="S163" s="5" cm="1">
        <f t="array" ref="S163">IF(S161="Fensterbankradiator",
IF(IN_rooms!AD$66=0,0,INDEX(Fensterbankradiator_b[],MATCH(MIN(ABS(Fensterbankradiator_b[]-IN_rooms!AD$66)),ABS(Fensterbankradiator_b[]-IN_rooms!AD$66),0))),
IN_rooms!AD$66)</f>
        <v>0</v>
      </c>
      <c r="T163" s="5" cm="1">
        <f t="array" ref="T163">IF(T161="Fensterbankradiator",
IF(IN_rooms!AE$66=0,0,INDEX(Fensterbankradiator_b[],MATCH(MIN(ABS(Fensterbankradiator_b[]-IN_rooms!AE$66)),ABS(Fensterbankradiator_b[]-IN_rooms!AE$66),0))),
IN_rooms!AE$66)</f>
        <v>0</v>
      </c>
      <c r="U163" s="5" cm="1">
        <f t="array" ref="U163">IF(U161="Fensterbankradiator",
IF(IN_rooms!AF$66=0,0,INDEX(Fensterbankradiator_b[],MATCH(MIN(ABS(Fensterbankradiator_b[]-IN_rooms!AF$66)),ABS(Fensterbankradiator_b[]-IN_rooms!AF$66),0))),
IN_rooms!AF$66)</f>
        <v>0</v>
      </c>
    </row>
    <row r="164" spans="1:21" ht="15.75" thickBot="1">
      <c r="A164" s="101" t="s">
        <v>412</v>
      </c>
      <c r="B164" s="101" t="s">
        <v>429</v>
      </c>
      <c r="C164" s="101" t="s">
        <v>154</v>
      </c>
      <c r="D164" s="101" t="s">
        <v>702</v>
      </c>
      <c r="E164" s="101" t="s">
        <v>409</v>
      </c>
      <c r="G164" s="5">
        <f>IN_rooms!R$67</f>
        <v>0</v>
      </c>
      <c r="H164" s="5">
        <f>IN_rooms!S$67</f>
        <v>0</v>
      </c>
      <c r="I164" s="5">
        <f>IN_rooms!T$67</f>
        <v>0</v>
      </c>
      <c r="J164" s="5">
        <f>IN_rooms!U$67</f>
        <v>0</v>
      </c>
      <c r="K164" s="5">
        <f>IN_rooms!V$67</f>
        <v>0</v>
      </c>
      <c r="L164" s="5">
        <f>IN_rooms!W$67</f>
        <v>0</v>
      </c>
      <c r="M164" s="5">
        <f>IN_rooms!X$67</f>
        <v>0</v>
      </c>
      <c r="N164" s="5">
        <f>IN_rooms!Y$67</f>
        <v>0</v>
      </c>
      <c r="O164" s="5">
        <f>IN_rooms!Z$67</f>
        <v>0</v>
      </c>
      <c r="P164" s="5">
        <f>IN_rooms!AA$67</f>
        <v>0</v>
      </c>
      <c r="Q164" s="5">
        <f>IN_rooms!AB$67</f>
        <v>0</v>
      </c>
      <c r="R164" s="5">
        <f>IN_rooms!AC$67</f>
        <v>0</v>
      </c>
      <c r="S164" s="5">
        <f>IN_rooms!AD$67</f>
        <v>0</v>
      </c>
      <c r="T164" s="5">
        <f>IN_rooms!AE$67</f>
        <v>0</v>
      </c>
      <c r="U164" s="5">
        <f>IN_rooms!AF$67</f>
        <v>0</v>
      </c>
    </row>
    <row r="165" spans="1:21" ht="15.75" thickBot="1">
      <c r="A165" s="101" t="s">
        <v>585</v>
      </c>
      <c r="B165" s="101" t="s">
        <v>429</v>
      </c>
      <c r="C165" s="101" t="s">
        <v>154</v>
      </c>
      <c r="D165" s="101" t="s">
        <v>703</v>
      </c>
      <c r="E165" s="101" t="s">
        <v>587</v>
      </c>
      <c r="G165" s="5">
        <f>IN_rooms!R$68</f>
        <v>0</v>
      </c>
      <c r="H165" s="5">
        <f>IN_rooms!S$68</f>
        <v>0</v>
      </c>
      <c r="I165" s="5">
        <f>IN_rooms!T$68</f>
        <v>0</v>
      </c>
      <c r="J165" s="5">
        <f>IN_rooms!U$68</f>
        <v>0</v>
      </c>
      <c r="K165" s="5">
        <f>IN_rooms!V$68</f>
        <v>0</v>
      </c>
      <c r="L165" s="5">
        <f>IN_rooms!W$68</f>
        <v>0</v>
      </c>
      <c r="M165" s="5">
        <f>IN_rooms!X$68</f>
        <v>0</v>
      </c>
      <c r="N165" s="5">
        <f>IN_rooms!Y$68</f>
        <v>0</v>
      </c>
      <c r="O165" s="5">
        <f>IN_rooms!Z$68</f>
        <v>0</v>
      </c>
      <c r="P165" s="5">
        <f>IN_rooms!AA$68</f>
        <v>0</v>
      </c>
      <c r="Q165" s="5">
        <f>IN_rooms!AB$68</f>
        <v>0</v>
      </c>
      <c r="R165" s="5">
        <f>IN_rooms!AC$68</f>
        <v>0</v>
      </c>
      <c r="S165" s="5">
        <f>IN_rooms!AD$68</f>
        <v>0</v>
      </c>
      <c r="T165" s="5">
        <f>IN_rooms!AE$68</f>
        <v>0</v>
      </c>
      <c r="U165" s="5">
        <f>IN_rooms!AF$68</f>
        <v>0</v>
      </c>
    </row>
    <row r="166" spans="1:21" ht="15.75" thickBot="1">
      <c r="A166" s="101" t="s">
        <v>565</v>
      </c>
      <c r="B166" s="101" t="s">
        <v>429</v>
      </c>
      <c r="C166" s="101" t="s">
        <v>154</v>
      </c>
      <c r="D166" s="101" t="s">
        <v>704</v>
      </c>
      <c r="E166" s="101"/>
      <c r="G166" s="5" cm="1">
        <f t="array" ref="G166">_xlfn.IFS(
        G$161 = "Stahlrohrradiator", 1.3,
        G$161 = "Fensterbankradiator", 1.3,
        G$161 = "Handtuchradiator", 1.21,
         G$160 = "", 0
    )</f>
        <v>0</v>
      </c>
      <c r="H166" s="5" cm="1">
        <f t="array" ref="H166">_xlfn.IFS(
        H$161 = "Stahlrohrradiator", 1.3,
        H$161 = "Fensterbankradiator", 1.3,
        H$161 = "Handtuchradiator", 1.21,
         H$160 = "", 0
    )</f>
        <v>0</v>
      </c>
      <c r="I166" s="5" cm="1">
        <f t="array" ref="I166">_xlfn.IFS(
        I$161 = "Stahlrohrradiator", 1.3,
        I$161 = "Fensterbankradiator", 1.3,
        I$161 = "Handtuchradiator", 1.21,
         I$160 = "", 0
    )</f>
        <v>0</v>
      </c>
      <c r="J166" s="5" cm="1">
        <f t="array" ref="J166">_xlfn.IFS(
        J$161 = "Stahlrohrradiator", 1.3,
        J$161 = "Fensterbankradiator", 1.3,
        J$161 = "Handtuchradiator", 1.21,
         J$160 = "", 0
    )</f>
        <v>0</v>
      </c>
      <c r="K166" s="5" cm="1">
        <f t="array" ref="K166">_xlfn.IFS(
        K$161 = "Stahlrohrradiator", 1.3,
        K$161 = "Fensterbankradiator", 1.3,
        K$161 = "Handtuchradiator", 1.21,
         K$160 = "", 0
    )</f>
        <v>0</v>
      </c>
      <c r="L166" s="5" cm="1">
        <f t="array" ref="L166">_xlfn.IFS(
        L$161 = "Stahlrohrradiator", 1.3,
        L$161 = "Fensterbankradiator", 1.3,
        L$161 = "Handtuchradiator", 1.21,
         L$160 = "", 0
    )</f>
        <v>0</v>
      </c>
      <c r="M166" s="5" cm="1">
        <f t="array" ref="M166">_xlfn.IFS(
        M$161 = "Stahlrohrradiator", 1.3,
        M$161 = "Fensterbankradiator", 1.3,
        M$161 = "Handtuchradiator", 1.21,
         M$160 = "", 0
    )</f>
        <v>0</v>
      </c>
      <c r="N166" s="5" cm="1">
        <f t="array" ref="N166">_xlfn.IFS(
        N$161 = "Stahlrohrradiator", 1.3,
        N$161 = "Fensterbankradiator", 1.3,
        N$161 = "Handtuchradiator", 1.21,
         N$160 = "", 0
    )</f>
        <v>0</v>
      </c>
      <c r="O166" s="5" cm="1">
        <f t="array" ref="O166">_xlfn.IFS(
        O$161 = "Stahlrohrradiator", 1.3,
        O$161 = "Fensterbankradiator", 1.3,
        O$161 = "Handtuchradiator", 1.21,
         O$160 = "", 0
    )</f>
        <v>0</v>
      </c>
      <c r="P166" s="5" cm="1">
        <f t="array" ref="P166">_xlfn.IFS(
        P$161 = "Stahlrohrradiator", 1.3,
        P$161 = "Fensterbankradiator", 1.3,
        P$161 = "Handtuchradiator", 1.21,
         P$160 = "", 0
    )</f>
        <v>0</v>
      </c>
      <c r="Q166" s="5" cm="1">
        <f t="array" ref="Q166">_xlfn.IFS(
        Q$161 = "Stahlrohrradiator", 1.3,
        Q$161 = "Fensterbankradiator", 1.3,
        Q$161 = "Handtuchradiator", 1.21,
         Q$160 = "", 0
    )</f>
        <v>0</v>
      </c>
      <c r="R166" s="5" cm="1">
        <f t="array" ref="R166">_xlfn.IFS(
        R$161 = "Stahlrohrradiator", 1.3,
        R$161 = "Fensterbankradiator", 1.3,
        R$161 = "Handtuchradiator", 1.21,
         R$160 = "", 0
    )</f>
        <v>0</v>
      </c>
      <c r="S166" s="5" cm="1">
        <f t="array" ref="S166">_xlfn.IFS(
        S$161 = "Stahlrohrradiator", 1.3,
        S$161 = "Fensterbankradiator", 1.3,
        S$161 = "Handtuchradiator", 1.21,
         S$160 = "", 0
    )</f>
        <v>0</v>
      </c>
      <c r="T166" s="5" cm="1">
        <f t="array" ref="T166">_xlfn.IFS(
        T$161 = "Stahlrohrradiator", 1.3,
        T$161 = "Fensterbankradiator", 1.3,
        T$161 = "Handtuchradiator", 1.21,
         T$160 = "", 0
    )</f>
        <v>0</v>
      </c>
      <c r="U166" s="5" cm="1">
        <f t="array" ref="U166">_xlfn.IFS(
        U$161 = "Stahlrohrradiator", 1.3,
        U$161 = "Fensterbankradiator", 1.3,
        U$161 = "Handtuchradiator", 1.21,
         U$160 = "", 0
    )</f>
        <v>0</v>
      </c>
    </row>
    <row r="167" spans="1:21" ht="15.75" thickBot="1">
      <c r="A167" s="101" t="s">
        <v>567</v>
      </c>
      <c r="B167" s="101" t="s">
        <v>429</v>
      </c>
      <c r="C167" s="101" t="s">
        <v>154</v>
      </c>
      <c r="D167" s="101" t="s">
        <v>705</v>
      </c>
      <c r="E167" s="101" t="s">
        <v>31</v>
      </c>
      <c r="G167" s="5" cm="1">
        <f t="array" aca="1" ref="G167" ca="1">_xlfn.LET(
    _xlpm.typ, clc_power!G$160,
    _xlpm.subtyp, clc_power!G$161,
    _xlpm.höhe, clc_power!G$162,
    _xlpm.breite, clc_power!G$166,
    _xlpm.tiefe, clc_power!G$164,
    _xlpm.faktor, clc_power!G$165,
    _xlpm.fläche, IN_rooms!R$65 * IN_rooms!R$66,
    _xlpm.radiatorart, G$161,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IF(IN_rooms!R$69 * _xlpm.leistung &gt; 0, IN_rooms!R$69 * _xlpm.leistung, 0)
)</f>
        <v>0</v>
      </c>
      <c r="H167" s="5" cm="1">
        <f t="array" aca="1" ref="H167" ca="1">_xlfn.LET(
    _xlpm.typ, clc_power!H$160,
    _xlpm.subtyp, clc_power!H$161,
    _xlpm.höhe, clc_power!H$162,
    _xlpm.breite, clc_power!H$166,
    _xlpm.tiefe, clc_power!H$164,
    _xlpm.faktor, clc_power!H$165,
    _xlpm.fläche, IN_rooms!S$65 * IN_rooms!S$66,
    _xlpm.radiatorart, H$161,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IF(IN_rooms!S$69 * _xlpm.leistung &gt; 0, IN_rooms!S$69 * _xlpm.leistung, 0)
)</f>
        <v>0</v>
      </c>
      <c r="I167" s="5" cm="1">
        <f t="array" aca="1" ref="I167" ca="1">_xlfn.LET(
    _xlpm.typ, clc_power!I$160,
    _xlpm.subtyp, clc_power!I$161,
    _xlpm.höhe, clc_power!I$162,
    _xlpm.breite, clc_power!I$166,
    _xlpm.tiefe, clc_power!I$164,
    _xlpm.faktor, clc_power!I$165,
    _xlpm.fläche, IN_rooms!T$65 * IN_rooms!T$66,
    _xlpm.radiatorart, I$161,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IF(IN_rooms!T$69 * _xlpm.leistung &gt; 0, IN_rooms!T$69 * _xlpm.leistung, 0)
)</f>
        <v>0</v>
      </c>
      <c r="J167" s="5" cm="1">
        <f t="array" aca="1" ref="J167" ca="1">_xlfn.LET(
    _xlpm.typ, clc_power!J$160,
    _xlpm.subtyp, clc_power!J$161,
    _xlpm.höhe, clc_power!J$162,
    _xlpm.breite, clc_power!J$166,
    _xlpm.tiefe, clc_power!J$164,
    _xlpm.faktor, clc_power!J$165,
    _xlpm.fläche, IN_rooms!U$65 * IN_rooms!U$66,
    _xlpm.radiatorart, J$161,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IF(IN_rooms!U$69 * _xlpm.leistung &gt; 0, IN_rooms!U$69 * _xlpm.leistung, 0)
)</f>
        <v>0</v>
      </c>
      <c r="K167" s="5" cm="1">
        <f t="array" aca="1" ref="K167" ca="1">_xlfn.LET(
    _xlpm.typ, clc_power!K$160,
    _xlpm.subtyp, clc_power!K$161,
    _xlpm.höhe, clc_power!K$162,
    _xlpm.breite, clc_power!K$166,
    _xlpm.tiefe, clc_power!K$164,
    _xlpm.faktor, clc_power!K$165,
    _xlpm.fläche, IN_rooms!V$65 * IN_rooms!V$66,
    _xlpm.radiatorart, K$161,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IF(IN_rooms!V$69 * _xlpm.leistung &gt; 0, IN_rooms!V$69 * _xlpm.leistung, 0)
)</f>
        <v>0</v>
      </c>
      <c r="L167" s="5" cm="1">
        <f t="array" aca="1" ref="L167" ca="1">_xlfn.LET(
    _xlpm.typ, clc_power!L$160,
    _xlpm.subtyp, clc_power!L$161,
    _xlpm.höhe, clc_power!L$162,
    _xlpm.breite, clc_power!L$166,
    _xlpm.tiefe, clc_power!L$164,
    _xlpm.faktor, clc_power!L$165,
    _xlpm.fläche, IN_rooms!W$65 * IN_rooms!W$66,
    _xlpm.radiatorart, L$161,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IF(IN_rooms!W$69 * _xlpm.leistung &gt; 0, IN_rooms!W$69 * _xlpm.leistung, 0)
)</f>
        <v>0</v>
      </c>
      <c r="M167" s="5" cm="1">
        <f t="array" aca="1" ref="M167" ca="1">_xlfn.LET(
    _xlpm.typ, clc_power!M$160,
    _xlpm.subtyp, clc_power!M$161,
    _xlpm.höhe, clc_power!M$162,
    _xlpm.breite, clc_power!M$166,
    _xlpm.tiefe, clc_power!M$164,
    _xlpm.faktor, clc_power!M$165,
    _xlpm.fläche, IN_rooms!X$65 * IN_rooms!X$66,
    _xlpm.radiatorart, M$161,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IF(IN_rooms!X$69 * _xlpm.leistung &gt; 0, IN_rooms!X$69 * _xlpm.leistung, 0)
)</f>
        <v>0</v>
      </c>
      <c r="N167" s="5" cm="1">
        <f t="array" aca="1" ref="N167" ca="1">_xlfn.LET(
    _xlpm.typ, clc_power!N$160,
    _xlpm.subtyp, clc_power!N$161,
    _xlpm.höhe, clc_power!N$162,
    _xlpm.breite, clc_power!N$166,
    _xlpm.tiefe, clc_power!N$164,
    _xlpm.faktor, clc_power!N$165,
    _xlpm.fläche, IN_rooms!Y$65 * IN_rooms!Y$66,
    _xlpm.radiatorart, N$161,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IF(IN_rooms!Y$69 * _xlpm.leistung &gt; 0, IN_rooms!Y$69 * _xlpm.leistung, 0)
)</f>
        <v>0</v>
      </c>
      <c r="O167" s="5" cm="1">
        <f t="array" aca="1" ref="O167" ca="1">_xlfn.LET(
    _xlpm.typ, clc_power!O$160,
    _xlpm.subtyp, clc_power!O$161,
    _xlpm.höhe, clc_power!O$162,
    _xlpm.breite, clc_power!O$166,
    _xlpm.tiefe, clc_power!O$164,
    _xlpm.faktor, clc_power!O$165,
    _xlpm.fläche, IN_rooms!Z$65 * IN_rooms!Z$66,
    _xlpm.radiatorart, O$161,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IF(IN_rooms!Z$69 * _xlpm.leistung &gt; 0, IN_rooms!Z$69 * _xlpm.leistung, 0)
)</f>
        <v>0</v>
      </c>
      <c r="P167" s="5" cm="1">
        <f t="array" aca="1" ref="P167" ca="1">_xlfn.LET(
    _xlpm.typ, clc_power!P$160,
    _xlpm.subtyp, clc_power!P$161,
    _xlpm.höhe, clc_power!P$162,
    _xlpm.breite, clc_power!P$166,
    _xlpm.tiefe, clc_power!P$164,
    _xlpm.faktor, clc_power!P$165,
    _xlpm.fläche, IN_rooms!AA$65 * IN_rooms!AA$66,
    _xlpm.radiatorart, P$161,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IF(IN_rooms!AA$69 * _xlpm.leistung &gt; 0, IN_rooms!AA$69 * _xlpm.leistung, 0)
)</f>
        <v>0</v>
      </c>
      <c r="Q167" s="5" cm="1">
        <f t="array" aca="1" ref="Q167" ca="1">_xlfn.LET(
    _xlpm.typ, clc_power!Q$160,
    _xlpm.subtyp, clc_power!Q$161,
    _xlpm.höhe, clc_power!Q$162,
    _xlpm.breite, clc_power!Q$166,
    _xlpm.tiefe, clc_power!Q$164,
    _xlpm.faktor, clc_power!Q$165,
    _xlpm.fläche, IN_rooms!AB$65 * IN_rooms!AB$66,
    _xlpm.radiatorart, Q$161,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IF(IN_rooms!AB$69 * _xlpm.leistung &gt; 0, IN_rooms!AB$69 * _xlpm.leistung, 0)
)</f>
        <v>0</v>
      </c>
      <c r="R167" s="5" cm="1">
        <f t="array" aca="1" ref="R167" ca="1">_xlfn.LET(
    _xlpm.typ, clc_power!R$160,
    _xlpm.subtyp, clc_power!R$161,
    _xlpm.höhe, clc_power!R$162,
    _xlpm.breite, clc_power!R$166,
    _xlpm.tiefe, clc_power!R$164,
    _xlpm.faktor, clc_power!R$165,
    _xlpm.fläche, IN_rooms!AC$65 * IN_rooms!AC$66,
    _xlpm.radiatorart, R$161,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IF(IN_rooms!AC$69 * _xlpm.leistung &gt; 0, IN_rooms!AC$69 * _xlpm.leistung, 0)
)</f>
        <v>0</v>
      </c>
      <c r="S167" s="5" cm="1">
        <f t="array" aca="1" ref="S167" ca="1">_xlfn.LET(
    _xlpm.typ, clc_power!S$160,
    _xlpm.subtyp, clc_power!S$161,
    _xlpm.höhe, clc_power!S$162,
    _xlpm.breite, clc_power!S$166,
    _xlpm.tiefe, clc_power!S$164,
    _xlpm.faktor, clc_power!S$165,
    _xlpm.fläche, IN_rooms!AD$65 * IN_rooms!AD$66,
    _xlpm.radiatorart, S$161,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IF(IN_rooms!AD$69 * _xlpm.leistung &gt; 0, IN_rooms!AD$69 * _xlpm.leistung, 0)
)</f>
        <v>0</v>
      </c>
      <c r="T167" s="5" cm="1">
        <f t="array" aca="1" ref="T167" ca="1">_xlfn.LET(
    _xlpm.typ, clc_power!T$160,
    _xlpm.subtyp, clc_power!T$161,
    _xlpm.höhe, clc_power!T$162,
    _xlpm.breite, clc_power!T$166,
    _xlpm.tiefe, clc_power!T$164,
    _xlpm.faktor, clc_power!T$165,
    _xlpm.fläche, IN_rooms!AE$65 * IN_rooms!AE$66,
    _xlpm.radiatorart, T$161,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IF(IN_rooms!AE$69 * _xlpm.leistung &gt; 0, IN_rooms!AE$69 * _xlpm.leistung, 0)
)</f>
        <v>0</v>
      </c>
      <c r="U167" s="5" cm="1">
        <f t="array" aca="1" ref="U167" ca="1">_xlfn.LET(
    _xlpm.typ, clc_power!U$160,
    _xlpm.subtyp, clc_power!U$161,
    _xlpm.höhe, clc_power!U$162,
    _xlpm.breite, clc_power!U$166,
    _xlpm.tiefe, clc_power!U$164,
    _xlpm.faktor, clc_power!U$165,
    _xlpm.fläche, IN_rooms!AF$65 * IN_rooms!AF$66,
    _xlpm.radiatorart, U$161,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IF(IN_rooms!AF$69 * _xlpm.leistung &gt; 0, IN_rooms!AF$69 * _xlpm.leistung, 0)
)</f>
        <v>0</v>
      </c>
    </row>
    <row r="168" spans="1:21" ht="15.75" thickBot="1">
      <c r="A168" s="101" t="s">
        <v>569</v>
      </c>
      <c r="B168" s="101" t="s">
        <v>429</v>
      </c>
      <c r="C168" s="101" t="s">
        <v>154</v>
      </c>
      <c r="D168" s="101" t="s">
        <v>706</v>
      </c>
      <c r="E168" s="101" t="s">
        <v>26</v>
      </c>
      <c r="G168" s="5">
        <f>TVL_Ziel</f>
        <v>55</v>
      </c>
      <c r="H168" s="5">
        <f t="shared" ref="H168:U168" si="40">TVL_Ziel</f>
        <v>55</v>
      </c>
      <c r="I168" s="5">
        <f t="shared" si="40"/>
        <v>55</v>
      </c>
      <c r="J168" s="5">
        <f t="shared" si="40"/>
        <v>55</v>
      </c>
      <c r="K168" s="5">
        <f t="shared" si="40"/>
        <v>55</v>
      </c>
      <c r="L168" s="5">
        <f t="shared" si="40"/>
        <v>55</v>
      </c>
      <c r="M168" s="5">
        <f t="shared" si="40"/>
        <v>55</v>
      </c>
      <c r="N168" s="5">
        <f t="shared" si="40"/>
        <v>55</v>
      </c>
      <c r="O168" s="5">
        <f t="shared" si="40"/>
        <v>55</v>
      </c>
      <c r="P168" s="5">
        <f t="shared" si="40"/>
        <v>55</v>
      </c>
      <c r="Q168" s="5">
        <f t="shared" si="40"/>
        <v>55</v>
      </c>
      <c r="R168" s="5">
        <f t="shared" si="40"/>
        <v>55</v>
      </c>
      <c r="S168" s="5">
        <f t="shared" si="40"/>
        <v>55</v>
      </c>
      <c r="T168" s="5">
        <f t="shared" si="40"/>
        <v>55</v>
      </c>
      <c r="U168" s="5">
        <f t="shared" si="40"/>
        <v>55</v>
      </c>
    </row>
    <row r="169" spans="1:21" ht="15.75" thickBot="1">
      <c r="A169" s="101" t="s">
        <v>571</v>
      </c>
      <c r="B169" s="101" t="s">
        <v>429</v>
      </c>
      <c r="C169" s="101" t="s">
        <v>154</v>
      </c>
      <c r="D169" s="101" t="s">
        <v>707</v>
      </c>
      <c r="E169" s="101" t="s">
        <v>26</v>
      </c>
      <c r="G169" s="5">
        <f>TRL_Ziel</f>
        <v>45</v>
      </c>
      <c r="H169" s="5">
        <f t="shared" ref="H169:U169" si="41">TRL_Ziel</f>
        <v>45</v>
      </c>
      <c r="I169" s="5">
        <f t="shared" si="41"/>
        <v>45</v>
      </c>
      <c r="J169" s="5">
        <f t="shared" si="41"/>
        <v>45</v>
      </c>
      <c r="K169" s="5">
        <f t="shared" si="41"/>
        <v>45</v>
      </c>
      <c r="L169" s="5">
        <f t="shared" si="41"/>
        <v>45</v>
      </c>
      <c r="M169" s="5">
        <f t="shared" si="41"/>
        <v>45</v>
      </c>
      <c r="N169" s="5">
        <f t="shared" si="41"/>
        <v>45</v>
      </c>
      <c r="O169" s="5">
        <f t="shared" si="41"/>
        <v>45</v>
      </c>
      <c r="P169" s="5">
        <f t="shared" si="41"/>
        <v>45</v>
      </c>
      <c r="Q169" s="5">
        <f t="shared" si="41"/>
        <v>45</v>
      </c>
      <c r="R169" s="5">
        <f t="shared" si="41"/>
        <v>45</v>
      </c>
      <c r="S169" s="5">
        <f t="shared" si="41"/>
        <v>45</v>
      </c>
      <c r="T169" s="5">
        <f t="shared" si="41"/>
        <v>45</v>
      </c>
      <c r="U169" s="5">
        <f t="shared" si="41"/>
        <v>45</v>
      </c>
    </row>
    <row r="170" spans="1:21" ht="15.75" thickBot="1">
      <c r="A170" s="101" t="s">
        <v>573</v>
      </c>
      <c r="B170" s="101" t="s">
        <v>429</v>
      </c>
      <c r="C170" s="101" t="s">
        <v>154</v>
      </c>
      <c r="D170" s="101" t="s">
        <v>708</v>
      </c>
      <c r="E170" s="101" t="s">
        <v>575</v>
      </c>
      <c r="G170" s="34">
        <f>(G$168-G$169)/(LN((G$168-clc_load!I$10)/(G$169-clc_load!I$10)))</f>
        <v>49.83288654563971</v>
      </c>
      <c r="H170" s="34">
        <f>(H$168-H$169)/(LN((H$168-clc_load!J$10)/(H$169-clc_load!J$10)))</f>
        <v>49.83288654563971</v>
      </c>
      <c r="I170" s="34">
        <f>(I$168-I$169)/(LN((I$168-clc_load!K$10)/(I$169-clc_load!K$10)))</f>
        <v>49.83288654563971</v>
      </c>
      <c r="J170" s="34">
        <f>(J$168-J$169)/(LN((J$168-clc_load!L$10)/(J$169-clc_load!L$10)))</f>
        <v>49.83288654563971</v>
      </c>
      <c r="K170" s="34">
        <f>(K$168-K$169)/(LN((K$168-clc_load!M$10)/(K$169-clc_load!M$10)))</f>
        <v>49.83288654563971</v>
      </c>
      <c r="L170" s="34">
        <f>(L$168-L$169)/(LN((L$168-clc_load!N$10)/(L$169-clc_load!N$10)))</f>
        <v>49.83288654563971</v>
      </c>
      <c r="M170" s="34">
        <f>(M$168-M$169)/(LN((M$168-clc_load!O$10)/(M$169-clc_load!O$10)))</f>
        <v>49.83288654563971</v>
      </c>
      <c r="N170" s="34">
        <f>(N$168-N$169)/(LN((N$168-clc_load!P$10)/(N$169-clc_load!P$10)))</f>
        <v>49.83288654563971</v>
      </c>
      <c r="O170" s="34">
        <f>(O$168-O$169)/(LN((O$168-clc_load!Q$10)/(O$169-clc_load!Q$10)))</f>
        <v>49.83288654563971</v>
      </c>
      <c r="P170" s="34">
        <f>(P$168-P$169)/(LN((P$168-clc_load!R$10)/(P$169-clc_load!R$10)))</f>
        <v>49.83288654563971</v>
      </c>
      <c r="Q170" s="34">
        <f>(Q$168-Q$169)/(LN((Q$168-clc_load!S$10)/(Q$169-clc_load!S$10)))</f>
        <v>49.83288654563971</v>
      </c>
      <c r="R170" s="34">
        <f>(R$168-R$169)/(LN((R$168-clc_load!T$10)/(R$169-clc_load!T$10)))</f>
        <v>49.83288654563971</v>
      </c>
      <c r="S170" s="34">
        <f>(S$168-S$169)/(LN((S$168-clc_load!U$10)/(S$169-clc_load!U$10)))</f>
        <v>49.83288654563971</v>
      </c>
      <c r="T170" s="34">
        <f>(T$168-T$169)/(LN((T$168-clc_load!V$10)/(T$169-clc_load!V$10)))</f>
        <v>49.83288654563971</v>
      </c>
      <c r="U170" s="34">
        <f>(U$168-U$169)/(LN((U$168-clc_load!W$10)/(U$169-clc_load!W$10)))</f>
        <v>49.83288654563971</v>
      </c>
    </row>
    <row r="171" spans="1:21" ht="15.75" thickBot="1">
      <c r="A171" s="101" t="s">
        <v>576</v>
      </c>
      <c r="B171" s="101" t="s">
        <v>429</v>
      </c>
      <c r="C171" s="101" t="s">
        <v>154</v>
      </c>
      <c r="D171" s="101" t="s">
        <v>709</v>
      </c>
      <c r="E171" s="101" t="s">
        <v>31</v>
      </c>
      <c r="G171" s="5">
        <f ca="1">G$167*((G$170/Log_ÜT_Norm)^G$166)</f>
        <v>0</v>
      </c>
      <c r="H171" s="5">
        <f t="shared" ref="H171:U171" ca="1" si="42">H$167*((H$170/Log_ÜT_Norm)^H$166)</f>
        <v>0</v>
      </c>
      <c r="I171" s="5">
        <f t="shared" ca="1" si="42"/>
        <v>0</v>
      </c>
      <c r="J171" s="5">
        <f t="shared" ca="1" si="42"/>
        <v>0</v>
      </c>
      <c r="K171" s="5">
        <f t="shared" ca="1" si="42"/>
        <v>0</v>
      </c>
      <c r="L171" s="5">
        <f t="shared" ca="1" si="42"/>
        <v>0</v>
      </c>
      <c r="M171" s="5">
        <f t="shared" ca="1" si="42"/>
        <v>0</v>
      </c>
      <c r="N171" s="5">
        <f t="shared" ca="1" si="42"/>
        <v>0</v>
      </c>
      <c r="O171" s="5">
        <f t="shared" ca="1" si="42"/>
        <v>0</v>
      </c>
      <c r="P171" s="5">
        <f t="shared" ca="1" si="42"/>
        <v>0</v>
      </c>
      <c r="Q171" s="5">
        <f t="shared" ca="1" si="42"/>
        <v>0</v>
      </c>
      <c r="R171" s="5">
        <f t="shared" ca="1" si="42"/>
        <v>0</v>
      </c>
      <c r="S171" s="5">
        <f t="shared" ca="1" si="42"/>
        <v>0</v>
      </c>
      <c r="T171" s="5">
        <f t="shared" ca="1" si="42"/>
        <v>0</v>
      </c>
      <c r="U171" s="5">
        <f t="shared" ca="1" si="42"/>
        <v>0</v>
      </c>
    </row>
    <row r="172" spans="1:21" ht="15.75" thickBot="1">
      <c r="A172" s="75" t="s">
        <v>578</v>
      </c>
      <c r="B172" s="75" t="s">
        <v>429</v>
      </c>
      <c r="C172" s="75" t="s">
        <v>579</v>
      </c>
      <c r="D172" s="75" t="s">
        <v>710</v>
      </c>
      <c r="E172" s="75" t="s">
        <v>31</v>
      </c>
      <c r="G172" s="34" cm="1">
        <f t="array" aca="1" ref="G172" ca="1">_xlfn.LET(
    _xlpm.typ, "Flachheizkoerper_senkrecht_profiliert",
    _xlpm.subtyp, "Typ_33",
    _xlpm.f_höhe,_xlfn.IFS(G$162&gt;1800,3,G$162&gt;900,2,G$162&lt;=900,1),
    _xlpm.höhe, _xlfn.XLOOKUP(G$162/_xlpm.f_höhe, Data_radiator!$G$5:$G$32, Data_radiator!$G$5:$G$32, 1000000, 1, 1),
    _xlpm.tiefe, 155,
    _xlpm.glieder, IF(G$161 = "Stahlrohrradiator", 45*G$165, G$163),
    _xlpm.faktor, G$170 / Log_ÜT_Norm,
    _xlpm.leistung, IN_rooms!R$69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H172" s="34" cm="1">
        <f t="array" aca="1" ref="H172" ca="1">_xlfn.LET(
    _xlpm.typ, "Flachheizkoerper_senkrecht_profiliert",
    _xlpm.subtyp, "Typ_33",
    _xlpm.f_höhe,_xlfn.IFS(H$162&gt;1800,3,H$162&gt;900,2,H$162&lt;=900,1),
    _xlpm.höhe, _xlfn.XLOOKUP(H$162/_xlpm.f_höhe, Data_radiator!$G$5:$G$32, Data_radiator!$G$5:$G$32, 1000000, 1, 1),
    _xlpm.tiefe, 155,
    _xlpm.glieder, IF(H$161 = "Stahlrohrradiator", 45*H$165, H$163),
    _xlpm.faktor, H$170 / Log_ÜT_Norm,
    _xlpm.leistung, IN_rooms!S$69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I172" s="34" cm="1">
        <f t="array" aca="1" ref="I172" ca="1">_xlfn.LET(
    _xlpm.typ, "Flachheizkoerper_senkrecht_profiliert",
    _xlpm.subtyp, "Typ_33",
    _xlpm.f_höhe,_xlfn.IFS(I$162&gt;1800,3,I$162&gt;900,2,I$162&lt;=900,1),
    _xlpm.höhe, _xlfn.XLOOKUP(I$162/_xlpm.f_höhe, Data_radiator!$G$5:$G$32, Data_radiator!$G$5:$G$32, 1000000, 1, 1),
    _xlpm.tiefe, 155,
    _xlpm.glieder, IF(I$161 = "Stahlrohrradiator", 45*I$165, I$163),
    _xlpm.faktor, I$170 / Log_ÜT_Norm,
    _xlpm.leistung, IN_rooms!T$69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J172" s="34" cm="1">
        <f t="array" aca="1" ref="J172" ca="1">_xlfn.LET(
    _xlpm.typ, "Flachheizkoerper_senkrecht_profiliert",
    _xlpm.subtyp, "Typ_33",
    _xlpm.f_höhe,_xlfn.IFS(J$162&gt;1800,3,J$162&gt;900,2,J$162&lt;=900,1),
    _xlpm.höhe, _xlfn.XLOOKUP(J$162/_xlpm.f_höhe, Data_radiator!$G$5:$G$32, Data_radiator!$G$5:$G$32, 1000000, 1, 1),
    _xlpm.tiefe, 155,
    _xlpm.glieder, IF(J$161 = "Stahlrohrradiator", 45*J$165, J$163),
    _xlpm.faktor, J$170 / Log_ÜT_Norm,
    _xlpm.leistung, IN_rooms!U$69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K172" s="34" cm="1">
        <f t="array" aca="1" ref="K172" ca="1">_xlfn.LET(
    _xlpm.typ, "Flachheizkoerper_senkrecht_profiliert",
    _xlpm.subtyp, "Typ_33",
    _xlpm.f_höhe,_xlfn.IFS(K$162&gt;1800,3,K$162&gt;900,2,K$162&lt;=900,1),
    _xlpm.höhe, _xlfn.XLOOKUP(K$162/_xlpm.f_höhe, Data_radiator!$G$5:$G$32, Data_radiator!$G$5:$G$32, 1000000, 1, 1),
    _xlpm.tiefe, 155,
    _xlpm.glieder, IF(K$161 = "Stahlrohrradiator", 45*K$165, K$163),
    _xlpm.faktor, K$170 / Log_ÜT_Norm,
    _xlpm.leistung, IN_rooms!V$69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L172" s="34" cm="1">
        <f t="array" aca="1" ref="L172" ca="1">_xlfn.LET(
    _xlpm.typ, "Flachheizkoerper_senkrecht_profiliert",
    _xlpm.subtyp, "Typ_33",
    _xlpm.f_höhe,_xlfn.IFS(L$162&gt;1800,3,L$162&gt;900,2,L$162&lt;=900,1),
    _xlpm.höhe, _xlfn.XLOOKUP(L$162/_xlpm.f_höhe, Data_radiator!$G$5:$G$32, Data_radiator!$G$5:$G$32, 1000000, 1, 1),
    _xlpm.tiefe, 155,
    _xlpm.glieder, IF(L$161 = "Stahlrohrradiator", 45*L$165, L$163),
    _xlpm.faktor, L$170 / Log_ÜT_Norm,
    _xlpm.leistung, IN_rooms!W$69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M172" s="34" cm="1">
        <f t="array" aca="1" ref="M172" ca="1">_xlfn.LET(
    _xlpm.typ, "Flachheizkoerper_senkrecht_profiliert",
    _xlpm.subtyp, "Typ_33",
    _xlpm.f_höhe,_xlfn.IFS(M$162&gt;1800,3,M$162&gt;900,2,M$162&lt;=900,1),
    _xlpm.höhe, _xlfn.XLOOKUP(M$162/_xlpm.f_höhe, Data_radiator!$G$5:$G$32, Data_radiator!$G$5:$G$32, 1000000, 1, 1),
    _xlpm.tiefe, 155,
    _xlpm.glieder, IF(M$161 = "Stahlrohrradiator", 45*M$165, M$163),
    _xlpm.faktor, M$170 / Log_ÜT_Norm,
    _xlpm.leistung, IN_rooms!X$69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N172" s="34" cm="1">
        <f t="array" aca="1" ref="N172" ca="1">_xlfn.LET(
    _xlpm.typ, "Flachheizkoerper_senkrecht_profiliert",
    _xlpm.subtyp, "Typ_33",
    _xlpm.f_höhe,_xlfn.IFS(N$162&gt;1800,3,N$162&gt;900,2,N$162&lt;=900,1),
    _xlpm.höhe, _xlfn.XLOOKUP(N$162/_xlpm.f_höhe, Data_radiator!$G$5:$G$32, Data_radiator!$G$5:$G$32, 1000000, 1, 1),
    _xlpm.tiefe, 155,
    _xlpm.glieder, IF(N$161 = "Stahlrohrradiator", 45*N$165, N$163),
    _xlpm.faktor, N$170 / Log_ÜT_Norm,
    _xlpm.leistung, IN_rooms!Y$69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O172" s="34" cm="1">
        <f t="array" aca="1" ref="O172" ca="1">_xlfn.LET(
    _xlpm.typ, "Flachheizkoerper_senkrecht_profiliert",
    _xlpm.subtyp, "Typ_33",
    _xlpm.f_höhe,_xlfn.IFS(O$162&gt;1800,3,O$162&gt;900,2,O$162&lt;=900,1),
    _xlpm.höhe, _xlfn.XLOOKUP(O$162/_xlpm.f_höhe, Data_radiator!$G$5:$G$32, Data_radiator!$G$5:$G$32, 1000000, 1, 1),
    _xlpm.tiefe, 155,
    _xlpm.glieder, IF(O$161 = "Stahlrohrradiator", 45*O$165, O$163),
    _xlpm.faktor, O$170 / Log_ÜT_Norm,
    _xlpm.leistung, IN_rooms!Z$69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P172" s="34" cm="1">
        <f t="array" aca="1" ref="P172" ca="1">_xlfn.LET(
    _xlpm.typ, "Flachheizkoerper_senkrecht_profiliert",
    _xlpm.subtyp, "Typ_33",
    _xlpm.f_höhe,_xlfn.IFS(P$162&gt;1800,3,P$162&gt;900,2,P$162&lt;=900,1),
    _xlpm.höhe, _xlfn.XLOOKUP(P$162/_xlpm.f_höhe, Data_radiator!$G$5:$G$32, Data_radiator!$G$5:$G$32, 1000000, 1, 1),
    _xlpm.tiefe, 155,
    _xlpm.glieder, IF(P$161 = "Stahlrohrradiator", 45*P$165, P$163),
    _xlpm.faktor, P$170 / Log_ÜT_Norm,
    _xlpm.leistung, IN_rooms!AA$69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Q172" s="34" cm="1">
        <f t="array" aca="1" ref="Q172" ca="1">_xlfn.LET(
    _xlpm.typ, "Flachheizkoerper_senkrecht_profiliert",
    _xlpm.subtyp, "Typ_33",
    _xlpm.f_höhe,_xlfn.IFS(Q$162&gt;1800,3,Q$162&gt;900,2,Q$162&lt;=900,1),
    _xlpm.höhe, _xlfn.XLOOKUP(Q$162/_xlpm.f_höhe, Data_radiator!$G$5:$G$32, Data_radiator!$G$5:$G$32, 1000000, 1, 1),
    _xlpm.tiefe, 155,
    _xlpm.glieder, IF(Q$161 = "Stahlrohrradiator", 45*Q$165, Q$163),
    _xlpm.faktor, Q$170 / Log_ÜT_Norm,
    _xlpm.leistung, IN_rooms!AB$69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R172" s="34" cm="1">
        <f t="array" aca="1" ref="R172" ca="1">_xlfn.LET(
    _xlpm.typ, "Flachheizkoerper_senkrecht_profiliert",
    _xlpm.subtyp, "Typ_33",
    _xlpm.f_höhe,_xlfn.IFS(R$162&gt;1800,3,R$162&gt;900,2,R$162&lt;=900,1),
    _xlpm.höhe, _xlfn.XLOOKUP(R$162/_xlpm.f_höhe, Data_radiator!$G$5:$G$32, Data_radiator!$G$5:$G$32, 1000000, 1, 1),
    _xlpm.tiefe, 155,
    _xlpm.glieder, IF(R$161 = "Stahlrohrradiator", 45*R$165, R$163),
    _xlpm.faktor, R$170 / Log_ÜT_Norm,
    _xlpm.leistung, IN_rooms!AC$69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S172" s="34" cm="1">
        <f t="array" aca="1" ref="S172" ca="1">_xlfn.LET(
    _xlpm.typ, "Flachheizkoerper_senkrecht_profiliert",
    _xlpm.subtyp, "Typ_33",
    _xlpm.f_höhe,_xlfn.IFS(S$162&gt;1800,3,S$162&gt;900,2,S$162&lt;=900,1),
    _xlpm.höhe, _xlfn.XLOOKUP(S$162/_xlpm.f_höhe, Data_radiator!$G$5:$G$32, Data_radiator!$G$5:$G$32, 1000000, 1, 1),
    _xlpm.tiefe, 155,
    _xlpm.glieder, IF(S$161 = "Stahlrohrradiator", 45*S$165, S$163),
    _xlpm.faktor, S$170 / Log_ÜT_Norm,
    _xlpm.leistung, IN_rooms!AD$69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T172" s="34" cm="1">
        <f t="array" aca="1" ref="T172" ca="1">_xlfn.LET(
    _xlpm.typ, "Flachheizkoerper_senkrecht_profiliert",
    _xlpm.subtyp, "Typ_33",
    _xlpm.f_höhe,_xlfn.IFS(T$162&gt;1800,3,T$162&gt;900,2,T$162&lt;=900,1),
    _xlpm.höhe, _xlfn.XLOOKUP(T$162/_xlpm.f_höhe, Data_radiator!$G$5:$G$32, Data_radiator!$G$5:$G$32, 1000000, 1, 1),
    _xlpm.tiefe, 155,
    _xlpm.glieder, IF(T$161 = "Stahlrohrradiator", 45*T$165, T$163),
    _xlpm.faktor, T$170 / Log_ÜT_Norm,
    _xlpm.leistung, IN_rooms!AE$69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c r="U172" s="34" cm="1">
        <f t="array" aca="1" ref="U172" ca="1">_xlfn.LET(
    _xlpm.typ, "Flachheizkoerper_senkrecht_profiliert",
    _xlpm.subtyp, "Typ_33",
    _xlpm.f_höhe,_xlfn.IFS(U$162&gt;1800,3,U$162&gt;900,2,U$162&lt;=900,1),
    _xlpm.höhe, _xlfn.XLOOKUP(U$162/_xlpm.f_höhe, Data_radiator!$G$5:$G$32, Data_radiator!$G$5:$G$32, 1000000, 1, 1),
    _xlpm.tiefe, 155,
    _xlpm.glieder, IF(U$161 = "Stahlrohrradiator", 45*U$165, U$163),
    _xlpm.faktor, U$170 / Log_ÜT_Norm,
    _xlpm.leistung, IN_rooms!AF$69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_xlpm.leistung*_xlpm.f_höhe, 0)
)</f>
        <v>0</v>
      </c>
    </row>
    <row r="173" spans="1:21" ht="15.75" hidden="1" thickBot="1">
      <c r="A173" s="104" t="s">
        <v>405</v>
      </c>
      <c r="B173" s="104" t="s">
        <v>429</v>
      </c>
      <c r="C173" s="104" t="s">
        <v>156</v>
      </c>
      <c r="D173" s="104"/>
      <c r="E173" s="104"/>
    </row>
    <row r="174" spans="1:21" ht="15.75" hidden="1" thickBot="1">
      <c r="A174" s="104" t="s">
        <v>559</v>
      </c>
      <c r="B174" s="104" t="s">
        <v>429</v>
      </c>
      <c r="C174" s="104" t="s">
        <v>156</v>
      </c>
      <c r="D174" s="104"/>
      <c r="E174" s="104"/>
    </row>
    <row r="175" spans="1:21" ht="15.75" hidden="1" thickBot="1">
      <c r="A175" s="104" t="s">
        <v>607</v>
      </c>
      <c r="B175" s="104" t="s">
        <v>429</v>
      </c>
      <c r="C175" s="104" t="s">
        <v>156</v>
      </c>
      <c r="D175" s="104"/>
      <c r="E175" s="104" t="s">
        <v>409</v>
      </c>
    </row>
    <row r="176" spans="1:21" ht="15.75" hidden="1" thickBot="1">
      <c r="A176" s="104" t="s">
        <v>608</v>
      </c>
      <c r="B176" s="104" t="s">
        <v>429</v>
      </c>
      <c r="C176" s="104" t="s">
        <v>156</v>
      </c>
      <c r="D176" s="104"/>
      <c r="E176" s="104" t="s">
        <v>33</v>
      </c>
    </row>
    <row r="177" spans="1:21" ht="15.75" hidden="1" thickBot="1">
      <c r="A177" s="104" t="s">
        <v>609</v>
      </c>
      <c r="B177" s="104" t="s">
        <v>429</v>
      </c>
      <c r="C177" s="104" t="s">
        <v>156</v>
      </c>
      <c r="D177" s="104"/>
      <c r="E177" s="104" t="s">
        <v>409</v>
      </c>
    </row>
    <row r="178" spans="1:21" ht="15.75" hidden="1" thickBot="1">
      <c r="A178" s="104" t="s">
        <v>610</v>
      </c>
      <c r="B178" s="104" t="s">
        <v>429</v>
      </c>
      <c r="C178" s="104" t="s">
        <v>156</v>
      </c>
      <c r="D178" s="104"/>
      <c r="E178" s="104" t="s">
        <v>409</v>
      </c>
    </row>
    <row r="179" spans="1:21" ht="15.75" hidden="1" thickBot="1">
      <c r="A179" s="104" t="s">
        <v>565</v>
      </c>
      <c r="B179" s="104" t="s">
        <v>429</v>
      </c>
      <c r="C179" s="104" t="s">
        <v>156</v>
      </c>
      <c r="D179" s="104"/>
      <c r="E179" s="104"/>
    </row>
    <row r="180" spans="1:21" ht="15.75" hidden="1" thickBot="1">
      <c r="A180" s="104" t="s">
        <v>611</v>
      </c>
      <c r="B180" s="104" t="s">
        <v>429</v>
      </c>
      <c r="C180" s="104" t="s">
        <v>156</v>
      </c>
      <c r="D180" s="104"/>
      <c r="E180" s="104" t="s">
        <v>575</v>
      </c>
    </row>
    <row r="181" spans="1:21" ht="15.75" hidden="1" thickBot="1">
      <c r="A181" s="104" t="s">
        <v>567</v>
      </c>
      <c r="B181" s="104" t="s">
        <v>429</v>
      </c>
      <c r="C181" s="104" t="s">
        <v>156</v>
      </c>
      <c r="D181" s="104"/>
      <c r="E181" s="104" t="s">
        <v>31</v>
      </c>
    </row>
    <row r="182" spans="1:21" ht="15.75" hidden="1" thickBot="1">
      <c r="A182" s="104" t="s">
        <v>569</v>
      </c>
      <c r="B182" s="104" t="s">
        <v>429</v>
      </c>
      <c r="C182" s="104" t="s">
        <v>156</v>
      </c>
      <c r="D182" s="104"/>
      <c r="E182" s="104" t="s">
        <v>26</v>
      </c>
    </row>
    <row r="183" spans="1:21" ht="15.75" hidden="1" thickBot="1">
      <c r="A183" s="104" t="s">
        <v>571</v>
      </c>
      <c r="B183" s="104" t="s">
        <v>429</v>
      </c>
      <c r="C183" s="104" t="s">
        <v>156</v>
      </c>
      <c r="D183" s="104"/>
      <c r="E183" s="104" t="s">
        <v>26</v>
      </c>
    </row>
    <row r="184" spans="1:21" ht="15.75" hidden="1" thickBot="1">
      <c r="A184" s="104" t="s">
        <v>573</v>
      </c>
      <c r="B184" s="104" t="s">
        <v>429</v>
      </c>
      <c r="C184" s="104" t="s">
        <v>156</v>
      </c>
      <c r="D184" s="104"/>
      <c r="E184" s="104" t="s">
        <v>575</v>
      </c>
    </row>
    <row r="185" spans="1:21" ht="15.75" hidden="1" thickBot="1">
      <c r="A185" s="104" t="s">
        <v>576</v>
      </c>
      <c r="B185" s="104" t="s">
        <v>429</v>
      </c>
      <c r="C185" s="104" t="s">
        <v>156</v>
      </c>
      <c r="D185" s="104"/>
      <c r="E185" s="104" t="s">
        <v>31</v>
      </c>
    </row>
    <row r="186" spans="1:21" ht="15.75" hidden="1" thickBot="1">
      <c r="A186" s="105" t="s">
        <v>578</v>
      </c>
      <c r="B186" s="105" t="s">
        <v>429</v>
      </c>
      <c r="C186" s="105" t="s">
        <v>579</v>
      </c>
      <c r="D186" s="105"/>
      <c r="E186" s="105" t="s">
        <v>31</v>
      </c>
    </row>
    <row r="187" spans="1:21" ht="15.75" thickBot="1">
      <c r="A187" s="106" t="s">
        <v>405</v>
      </c>
      <c r="B187" s="106" t="s">
        <v>429</v>
      </c>
      <c r="C187" s="106" t="s">
        <v>152</v>
      </c>
      <c r="D187" s="106" t="s">
        <v>711</v>
      </c>
      <c r="E187" s="106"/>
      <c r="G187" s="5" t="str">
        <f>IF(IN_rooms!R$63="Konvektor",IN_rooms!R$63,"")</f>
        <v/>
      </c>
      <c r="H187" s="5" t="str">
        <f>IF(IN_rooms!S$63="Konvektor",IN_rooms!S$63,"")</f>
        <v/>
      </c>
      <c r="I187" s="5" t="str">
        <f>IF(IN_rooms!T$63="Konvektor",IN_rooms!T$63,"")</f>
        <v/>
      </c>
      <c r="J187" s="5" t="str">
        <f>IF(IN_rooms!U$63="Konvektor",IN_rooms!U$63,"")</f>
        <v/>
      </c>
      <c r="K187" s="5" t="str">
        <f>IF(IN_rooms!V$63="Konvektor",IN_rooms!V$63,"")</f>
        <v/>
      </c>
      <c r="L187" s="5" t="str">
        <f>IF(IN_rooms!W$63="Konvektor",IN_rooms!W$63,"")</f>
        <v/>
      </c>
      <c r="M187" s="5" t="str">
        <f>IF(IN_rooms!X$63="Konvektor",IN_rooms!X$63,"")</f>
        <v/>
      </c>
      <c r="N187" s="5" t="str">
        <f>IF(IN_rooms!Y$63="Konvektor",IN_rooms!Y$63,"")</f>
        <v/>
      </c>
      <c r="O187" s="5" t="str">
        <f>IF(IN_rooms!Z$63="Konvektor",IN_rooms!Z$63,"")</f>
        <v/>
      </c>
      <c r="P187" s="5" t="str">
        <f>IF(IN_rooms!AA$63="Konvektor",IN_rooms!AA$63,"")</f>
        <v/>
      </c>
      <c r="Q187" s="5" t="str">
        <f>IF(IN_rooms!AB$63="Konvektor",IN_rooms!AB$63,"")</f>
        <v/>
      </c>
      <c r="R187" s="5" t="str">
        <f>IF(IN_rooms!AC$63="Konvektor",IN_rooms!AC$63,"")</f>
        <v/>
      </c>
      <c r="S187" s="5" t="str">
        <f>IF(IN_rooms!AD$63="Konvektor",IN_rooms!AD$63,"")</f>
        <v/>
      </c>
      <c r="T187" s="5" t="str">
        <f>IF(IN_rooms!AE$63="Konvektor",IN_rooms!AE$63,"")</f>
        <v/>
      </c>
      <c r="U187" s="5" t="str">
        <f>IF(IN_rooms!AF$63="Konvektor",IN_rooms!AF$63,"")</f>
        <v/>
      </c>
    </row>
    <row r="188" spans="1:21" ht="15.75" thickBot="1">
      <c r="A188" s="106" t="s">
        <v>559</v>
      </c>
      <c r="B188" s="106" t="s">
        <v>429</v>
      </c>
      <c r="C188" s="106" t="s">
        <v>152</v>
      </c>
      <c r="D188" s="106" t="s">
        <v>712</v>
      </c>
      <c r="E188" s="106"/>
      <c r="G188" s="5" t="str">
        <f>IF(G187&gt;"","Standardkonvektor","")</f>
        <v/>
      </c>
      <c r="H188" s="5" t="str">
        <f t="shared" ref="H188:U188" si="43">IF(H187&gt;"","Standardkonvektor","")</f>
        <v/>
      </c>
      <c r="I188" s="5" t="str">
        <f t="shared" si="43"/>
        <v/>
      </c>
      <c r="J188" s="5" t="str">
        <f t="shared" si="43"/>
        <v/>
      </c>
      <c r="K188" s="5" t="str">
        <f t="shared" si="43"/>
        <v/>
      </c>
      <c r="L188" s="5" t="str">
        <f t="shared" si="43"/>
        <v/>
      </c>
      <c r="M188" s="5" t="str">
        <f t="shared" si="43"/>
        <v/>
      </c>
      <c r="N188" s="5" t="str">
        <f t="shared" si="43"/>
        <v/>
      </c>
      <c r="O188" s="5" t="str">
        <f t="shared" si="43"/>
        <v/>
      </c>
      <c r="P188" s="5" t="str">
        <f t="shared" si="43"/>
        <v/>
      </c>
      <c r="Q188" s="5" t="str">
        <f t="shared" si="43"/>
        <v/>
      </c>
      <c r="R188" s="5" t="str">
        <f t="shared" si="43"/>
        <v/>
      </c>
      <c r="S188" s="5" t="str">
        <f t="shared" si="43"/>
        <v/>
      </c>
      <c r="T188" s="5" t="str">
        <f t="shared" si="43"/>
        <v/>
      </c>
      <c r="U188" s="5" t="str">
        <f t="shared" si="43"/>
        <v/>
      </c>
    </row>
    <row r="189" spans="1:21" ht="15.75" thickBot="1">
      <c r="A189" s="106" t="s">
        <v>561</v>
      </c>
      <c r="B189" s="106" t="s">
        <v>429</v>
      </c>
      <c r="C189" s="106" t="s">
        <v>152</v>
      </c>
      <c r="D189" s="106" t="s">
        <v>713</v>
      </c>
      <c r="E189" s="106" t="s">
        <v>409</v>
      </c>
      <c r="G189" s="5">
        <f>IN_rooms!R$65</f>
        <v>0</v>
      </c>
      <c r="H189" s="5">
        <f>IN_rooms!S$65</f>
        <v>0</v>
      </c>
      <c r="I189" s="5">
        <f>IN_rooms!T$65</f>
        <v>0</v>
      </c>
      <c r="J189" s="5">
        <f>IN_rooms!U$65</f>
        <v>0</v>
      </c>
      <c r="K189" s="5">
        <f>IN_rooms!V$65</f>
        <v>0</v>
      </c>
      <c r="L189" s="5">
        <f>IN_rooms!W$65</f>
        <v>0</v>
      </c>
      <c r="M189" s="5">
        <f>IN_rooms!X$65</f>
        <v>0</v>
      </c>
      <c r="N189" s="5">
        <f>IN_rooms!Y$65</f>
        <v>0</v>
      </c>
      <c r="O189" s="5">
        <f>IN_rooms!Z$65</f>
        <v>0</v>
      </c>
      <c r="P189" s="5">
        <f>IN_rooms!AA$65</f>
        <v>0</v>
      </c>
      <c r="Q189" s="5">
        <f>IN_rooms!AB$65</f>
        <v>0</v>
      </c>
      <c r="R189" s="5">
        <f>IN_rooms!AC$65</f>
        <v>0</v>
      </c>
      <c r="S189" s="5">
        <f>IN_rooms!AD$65</f>
        <v>0</v>
      </c>
      <c r="T189" s="5">
        <f>IN_rooms!AE$65</f>
        <v>0</v>
      </c>
      <c r="U189" s="5">
        <f>IN_rooms!AF$65</f>
        <v>0</v>
      </c>
    </row>
    <row r="190" spans="1:21" ht="15.75" thickBot="1">
      <c r="A190" s="106" t="s">
        <v>175</v>
      </c>
      <c r="B190" s="106" t="s">
        <v>429</v>
      </c>
      <c r="C190" s="106" t="s">
        <v>152</v>
      </c>
      <c r="D190" s="106" t="s">
        <v>714</v>
      </c>
      <c r="E190" s="106" t="s">
        <v>409</v>
      </c>
      <c r="G190" s="5">
        <f>IN_rooms!R$66</f>
        <v>0</v>
      </c>
      <c r="H190" s="5">
        <f>IN_rooms!S$66</f>
        <v>0</v>
      </c>
      <c r="I190" s="5">
        <f>IN_rooms!T$66</f>
        <v>0</v>
      </c>
      <c r="J190" s="5">
        <f>IN_rooms!U$66</f>
        <v>0</v>
      </c>
      <c r="K190" s="5">
        <f>IN_rooms!V$66</f>
        <v>0</v>
      </c>
      <c r="L190" s="5">
        <f>IN_rooms!W$66</f>
        <v>0</v>
      </c>
      <c r="M190" s="5">
        <f>IN_rooms!X$66</f>
        <v>0</v>
      </c>
      <c r="N190" s="5">
        <f>IN_rooms!Y$66</f>
        <v>0</v>
      </c>
      <c r="O190" s="5">
        <f>IN_rooms!Z$66</f>
        <v>0</v>
      </c>
      <c r="P190" s="5">
        <f>IN_rooms!AA$66</f>
        <v>0</v>
      </c>
      <c r="Q190" s="5">
        <f>IN_rooms!AB$66</f>
        <v>0</v>
      </c>
      <c r="R190" s="5">
        <f>IN_rooms!AC$66</f>
        <v>0</v>
      </c>
      <c r="S190" s="5">
        <f>IN_rooms!AD$66</f>
        <v>0</v>
      </c>
      <c r="T190" s="5">
        <f>IN_rooms!AE$66</f>
        <v>0</v>
      </c>
      <c r="U190" s="5">
        <f>IN_rooms!AF$66</f>
        <v>0</v>
      </c>
    </row>
    <row r="191" spans="1:21" ht="15.75" thickBot="1">
      <c r="A191" s="106" t="s">
        <v>412</v>
      </c>
      <c r="B191" s="106" t="s">
        <v>429</v>
      </c>
      <c r="C191" s="106" t="s">
        <v>152</v>
      </c>
      <c r="D191" s="106" t="s">
        <v>715</v>
      </c>
      <c r="E191" s="106" t="s">
        <v>409</v>
      </c>
      <c r="G191" s="5">
        <f>IN_rooms!R$67</f>
        <v>0</v>
      </c>
      <c r="H191" s="5">
        <f>IN_rooms!S$67</f>
        <v>0</v>
      </c>
      <c r="I191" s="5">
        <f>IN_rooms!T$67</f>
        <v>0</v>
      </c>
      <c r="J191" s="5">
        <f>IN_rooms!U$67</f>
        <v>0</v>
      </c>
      <c r="K191" s="5">
        <f>IN_rooms!V$67</f>
        <v>0</v>
      </c>
      <c r="L191" s="5">
        <f>IN_rooms!W$67</f>
        <v>0</v>
      </c>
      <c r="M191" s="5">
        <f>IN_rooms!X$67</f>
        <v>0</v>
      </c>
      <c r="N191" s="5">
        <f>IN_rooms!Y$67</f>
        <v>0</v>
      </c>
      <c r="O191" s="5">
        <f>IN_rooms!Z$67</f>
        <v>0</v>
      </c>
      <c r="P191" s="5">
        <f>IN_rooms!AA$67</f>
        <v>0</v>
      </c>
      <c r="Q191" s="5">
        <f>IN_rooms!AB$67</f>
        <v>0</v>
      </c>
      <c r="R191" s="5">
        <f>IN_rooms!AC$67</f>
        <v>0</v>
      </c>
      <c r="S191" s="5">
        <f>IN_rooms!AD$67</f>
        <v>0</v>
      </c>
      <c r="T191" s="5">
        <f>IN_rooms!AE$67</f>
        <v>0</v>
      </c>
      <c r="U191" s="5">
        <f>IN_rooms!AF$67</f>
        <v>0</v>
      </c>
    </row>
    <row r="192" spans="1:21" ht="15.75" thickBot="1">
      <c r="A192" s="106" t="s">
        <v>565</v>
      </c>
      <c r="B192" s="106" t="s">
        <v>429</v>
      </c>
      <c r="C192" s="106" t="s">
        <v>152</v>
      </c>
      <c r="D192" s="106" t="s">
        <v>716</v>
      </c>
      <c r="E192" s="106"/>
      <c r="G192" s="5">
        <f ca="1">_xlfn.LET(
    _xlpm.typ, clc_power!G$187,
    _xlpm.subtyp, clc_power!G$188,
    _xlpm.höhe, clc_power!G$189,
    _xlpm.tiefe, clc_power!G$191,
    SUMIFS(
        INDIRECT("tabelle1[Heizkörperexponent n ]"),
        INDIRECT("tabelle1[Heizkörper_Typ]"), _xlpm.typ,
        INDIRECT("tabelle1[Heizkörper_Subtyp]"), _xlpm.subtyp,
        INDIRECT("tabelle1[Höhe H in mm]"), _xlpm.höhe,
        INDIRECT("tabelle1[Bautiefe T in mm]"), _xlpm.tiefe
    )
)</f>
        <v>0</v>
      </c>
      <c r="H192" s="5">
        <f ca="1">_xlfn.LET(
    _xlpm.typ, clc_power!H$187,
    _xlpm.subtyp, clc_power!H$188,
    _xlpm.höhe, clc_power!H$189,
    _xlpm.tiefe, clc_power!H$191,
    SUMIFS(
        INDIRECT("tabelle1[Heizkörperexponent n ]"),
        INDIRECT("tabelle1[Heizkörper_Typ]"), _xlpm.typ,
        INDIRECT("tabelle1[Heizkörper_Subtyp]"), _xlpm.subtyp,
        INDIRECT("tabelle1[Höhe H in mm]"), _xlpm.höhe,
        INDIRECT("tabelle1[Bautiefe T in mm]"), _xlpm.tiefe
    )
)</f>
        <v>0</v>
      </c>
      <c r="I192" s="5">
        <f ca="1">_xlfn.LET(
    _xlpm.typ, clc_power!I$187,
    _xlpm.subtyp, clc_power!I$188,
    _xlpm.höhe, clc_power!I$189,
    _xlpm.tiefe, clc_power!I$191,
    SUMIFS(
        INDIRECT("tabelle1[Heizkörperexponent n ]"),
        INDIRECT("tabelle1[Heizkörper_Typ]"), _xlpm.typ,
        INDIRECT("tabelle1[Heizkörper_Subtyp]"), _xlpm.subtyp,
        INDIRECT("tabelle1[Höhe H in mm]"), _xlpm.höhe,
        INDIRECT("tabelle1[Bautiefe T in mm]"), _xlpm.tiefe
    )
)</f>
        <v>0</v>
      </c>
      <c r="J192" s="5">
        <f ca="1">_xlfn.LET(
    _xlpm.typ, clc_power!J$187,
    _xlpm.subtyp, clc_power!J$188,
    _xlpm.höhe, clc_power!J$189,
    _xlpm.tiefe, clc_power!J$191,
    SUMIFS(
        INDIRECT("tabelle1[Heizkörperexponent n ]"),
        INDIRECT("tabelle1[Heizkörper_Typ]"), _xlpm.typ,
        INDIRECT("tabelle1[Heizkörper_Subtyp]"), _xlpm.subtyp,
        INDIRECT("tabelle1[Höhe H in mm]"), _xlpm.höhe,
        INDIRECT("tabelle1[Bautiefe T in mm]"), _xlpm.tiefe
    )
)</f>
        <v>0</v>
      </c>
      <c r="K192" s="5">
        <f ca="1">_xlfn.LET(
    _xlpm.typ, clc_power!K$187,
    _xlpm.subtyp, clc_power!K$188,
    _xlpm.höhe, clc_power!K$189,
    _xlpm.tiefe, clc_power!K$191,
    SUMIFS(
        INDIRECT("tabelle1[Heizkörperexponent n ]"),
        INDIRECT("tabelle1[Heizkörper_Typ]"), _xlpm.typ,
        INDIRECT("tabelle1[Heizkörper_Subtyp]"), _xlpm.subtyp,
        INDIRECT("tabelle1[Höhe H in mm]"), _xlpm.höhe,
        INDIRECT("tabelle1[Bautiefe T in mm]"), _xlpm.tiefe
    )
)</f>
        <v>0</v>
      </c>
      <c r="L192" s="5">
        <f ca="1">_xlfn.LET(
    _xlpm.typ, clc_power!L$187,
    _xlpm.subtyp, clc_power!L$188,
    _xlpm.höhe, clc_power!L$189,
    _xlpm.tiefe, clc_power!L$191,
    SUMIFS(
        INDIRECT("tabelle1[Heizkörperexponent n ]"),
        INDIRECT("tabelle1[Heizkörper_Typ]"), _xlpm.typ,
        INDIRECT("tabelle1[Heizkörper_Subtyp]"), _xlpm.subtyp,
        INDIRECT("tabelle1[Höhe H in mm]"), _xlpm.höhe,
        INDIRECT("tabelle1[Bautiefe T in mm]"), _xlpm.tiefe
    )
)</f>
        <v>0</v>
      </c>
      <c r="M192" s="5">
        <f ca="1">_xlfn.LET(
    _xlpm.typ, clc_power!M$187,
    _xlpm.subtyp, clc_power!M$188,
    _xlpm.höhe, clc_power!M$189,
    _xlpm.tiefe, clc_power!M$191,
    SUMIFS(
        INDIRECT("tabelle1[Heizkörperexponent n ]"),
        INDIRECT("tabelle1[Heizkörper_Typ]"), _xlpm.typ,
        INDIRECT("tabelle1[Heizkörper_Subtyp]"), _xlpm.subtyp,
        INDIRECT("tabelle1[Höhe H in mm]"), _xlpm.höhe,
        INDIRECT("tabelle1[Bautiefe T in mm]"), _xlpm.tiefe
    )
)</f>
        <v>0</v>
      </c>
      <c r="N192" s="5">
        <f ca="1">_xlfn.LET(
    _xlpm.typ, clc_power!N$187,
    _xlpm.subtyp, clc_power!N$188,
    _xlpm.höhe, clc_power!N$189,
    _xlpm.tiefe, clc_power!N$191,
    SUMIFS(
        INDIRECT("tabelle1[Heizkörperexponent n ]"),
        INDIRECT("tabelle1[Heizkörper_Typ]"), _xlpm.typ,
        INDIRECT("tabelle1[Heizkörper_Subtyp]"), _xlpm.subtyp,
        INDIRECT("tabelle1[Höhe H in mm]"), _xlpm.höhe,
        INDIRECT("tabelle1[Bautiefe T in mm]"), _xlpm.tiefe
    )
)</f>
        <v>0</v>
      </c>
      <c r="O192" s="5">
        <f ca="1">_xlfn.LET(
    _xlpm.typ, clc_power!O$187,
    _xlpm.subtyp, clc_power!O$188,
    _xlpm.höhe, clc_power!O$189,
    _xlpm.tiefe, clc_power!O$191,
    SUMIFS(
        INDIRECT("tabelle1[Heizkörperexponent n ]"),
        INDIRECT("tabelle1[Heizkörper_Typ]"), _xlpm.typ,
        INDIRECT("tabelle1[Heizkörper_Subtyp]"), _xlpm.subtyp,
        INDIRECT("tabelle1[Höhe H in mm]"), _xlpm.höhe,
        INDIRECT("tabelle1[Bautiefe T in mm]"), _xlpm.tiefe
    )
)</f>
        <v>0</v>
      </c>
      <c r="P192" s="5">
        <f ca="1">_xlfn.LET(
    _xlpm.typ, clc_power!P$187,
    _xlpm.subtyp, clc_power!P$188,
    _xlpm.höhe, clc_power!P$189,
    _xlpm.tiefe, clc_power!P$191,
    SUMIFS(
        INDIRECT("tabelle1[Heizkörperexponent n ]"),
        INDIRECT("tabelle1[Heizkörper_Typ]"), _xlpm.typ,
        INDIRECT("tabelle1[Heizkörper_Subtyp]"), _xlpm.subtyp,
        INDIRECT("tabelle1[Höhe H in mm]"), _xlpm.höhe,
        INDIRECT("tabelle1[Bautiefe T in mm]"), _xlpm.tiefe
    )
)</f>
        <v>0</v>
      </c>
      <c r="Q192" s="5">
        <f ca="1">_xlfn.LET(
    _xlpm.typ, clc_power!Q$187,
    _xlpm.subtyp, clc_power!Q$188,
    _xlpm.höhe, clc_power!Q$189,
    _xlpm.tiefe, clc_power!Q$191,
    SUMIFS(
        INDIRECT("tabelle1[Heizkörperexponent n ]"),
        INDIRECT("tabelle1[Heizkörper_Typ]"), _xlpm.typ,
        INDIRECT("tabelle1[Heizkörper_Subtyp]"), _xlpm.subtyp,
        INDIRECT("tabelle1[Höhe H in mm]"), _xlpm.höhe,
        INDIRECT("tabelle1[Bautiefe T in mm]"), _xlpm.tiefe
    )
)</f>
        <v>0</v>
      </c>
      <c r="R192" s="5">
        <f ca="1">_xlfn.LET(
    _xlpm.typ, clc_power!R$187,
    _xlpm.subtyp, clc_power!R$188,
    _xlpm.höhe, clc_power!R$189,
    _xlpm.tiefe, clc_power!R$191,
    SUMIFS(
        INDIRECT("tabelle1[Heizkörperexponent n ]"),
        INDIRECT("tabelle1[Heizkörper_Typ]"), _xlpm.typ,
        INDIRECT("tabelle1[Heizkörper_Subtyp]"), _xlpm.subtyp,
        INDIRECT("tabelle1[Höhe H in mm]"), _xlpm.höhe,
        INDIRECT("tabelle1[Bautiefe T in mm]"), _xlpm.tiefe
    )
)</f>
        <v>0</v>
      </c>
      <c r="S192" s="5">
        <f ca="1">_xlfn.LET(
    _xlpm.typ, clc_power!S$187,
    _xlpm.subtyp, clc_power!S$188,
    _xlpm.höhe, clc_power!S$189,
    _xlpm.tiefe, clc_power!S$191,
    SUMIFS(
        INDIRECT("tabelle1[Heizkörperexponent n ]"),
        INDIRECT("tabelle1[Heizkörper_Typ]"), _xlpm.typ,
        INDIRECT("tabelle1[Heizkörper_Subtyp]"), _xlpm.subtyp,
        INDIRECT("tabelle1[Höhe H in mm]"), _xlpm.höhe,
        INDIRECT("tabelle1[Bautiefe T in mm]"), _xlpm.tiefe
    )
)</f>
        <v>0</v>
      </c>
      <c r="T192" s="5">
        <f ca="1">_xlfn.LET(
    _xlpm.typ, clc_power!T$187,
    _xlpm.subtyp, clc_power!T$188,
    _xlpm.höhe, clc_power!T$189,
    _xlpm.tiefe, clc_power!T$191,
    SUMIFS(
        INDIRECT("tabelle1[Heizkörperexponent n ]"),
        INDIRECT("tabelle1[Heizkörper_Typ]"), _xlpm.typ,
        INDIRECT("tabelle1[Heizkörper_Subtyp]"), _xlpm.subtyp,
        INDIRECT("tabelle1[Höhe H in mm]"), _xlpm.höhe,
        INDIRECT("tabelle1[Bautiefe T in mm]"), _xlpm.tiefe
    )
)</f>
        <v>0</v>
      </c>
      <c r="U192" s="5">
        <f ca="1">_xlfn.LET(
    _xlpm.typ, clc_power!U$187,
    _xlpm.subtyp, clc_power!U$188,
    _xlpm.höhe, clc_power!U$189,
    _xlpm.tiefe, clc_power!U$191,
    SUMIFS(
        INDIRECT("tabelle1[Heizkörperexponent n ]"),
        INDIRECT("tabelle1[Heizkörper_Typ]"), _xlpm.typ,
        INDIRECT("tabelle1[Heizkörper_Subtyp]"), _xlpm.subtyp,
        INDIRECT("tabelle1[Höhe H in mm]"), _xlpm.höhe,
        INDIRECT("tabelle1[Bautiefe T in mm]"), _xlpm.tiefe
    )
)</f>
        <v>0</v>
      </c>
    </row>
    <row r="193" spans="1:21" ht="15.75" thickBot="1">
      <c r="A193" s="106" t="s">
        <v>567</v>
      </c>
      <c r="B193" s="106" t="s">
        <v>429</v>
      </c>
      <c r="C193" s="106" t="s">
        <v>152</v>
      </c>
      <c r="D193" s="106" t="s">
        <v>717</v>
      </c>
      <c r="E193" s="106" t="s">
        <v>31</v>
      </c>
      <c r="G193" s="5">
        <f ca="1">_xlfn.LET(
    _xlpm.anzahl, IN_rooms!R$69,
    _xlpm.typ, clc_power!G$187,
    _xlpm.subtyp, clc_power!G$188,
    _xlpm.höhe, clc_power!G$189,
    _xlpm.breite, clc_power!G$190,
    _xlpm.tiefe, clc_power!G$191,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H193" s="5">
        <f ca="1">_xlfn.LET(
    _xlpm.anzahl, IN_rooms!S$69,
    _xlpm.typ, clc_power!H$187,
    _xlpm.subtyp, clc_power!H$188,
    _xlpm.höhe, clc_power!H$189,
    _xlpm.breite, clc_power!H$190,
    _xlpm.tiefe, clc_power!H$191,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I193" s="5">
        <f ca="1">_xlfn.LET(
    _xlpm.anzahl, IN_rooms!T$69,
    _xlpm.typ, clc_power!I$187,
    _xlpm.subtyp, clc_power!I$188,
    _xlpm.höhe, clc_power!I$189,
    _xlpm.breite, clc_power!I$190,
    _xlpm.tiefe, clc_power!I$191,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J193" s="5">
        <f ca="1">_xlfn.LET(
    _xlpm.anzahl, IN_rooms!U$69,
    _xlpm.typ, clc_power!J$187,
    _xlpm.subtyp, clc_power!J$188,
    _xlpm.höhe, clc_power!J$189,
    _xlpm.breite, clc_power!J$190,
    _xlpm.tiefe, clc_power!J$191,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K193" s="5">
        <f ca="1">_xlfn.LET(
    _xlpm.anzahl, IN_rooms!V$69,
    _xlpm.typ, clc_power!K$187,
    _xlpm.subtyp, clc_power!K$188,
    _xlpm.höhe, clc_power!K$189,
    _xlpm.breite, clc_power!K$190,
    _xlpm.tiefe, clc_power!K$191,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L193" s="5">
        <f ca="1">_xlfn.LET(
    _xlpm.anzahl, IN_rooms!W$69,
    _xlpm.typ, clc_power!L$187,
    _xlpm.subtyp, clc_power!L$188,
    _xlpm.höhe, clc_power!L$189,
    _xlpm.breite, clc_power!L$190,
    _xlpm.tiefe, clc_power!L$191,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M193" s="5">
        <f ca="1">_xlfn.LET(
    _xlpm.anzahl, IN_rooms!X$69,
    _xlpm.typ, clc_power!M$187,
    _xlpm.subtyp, clc_power!M$188,
    _xlpm.höhe, clc_power!M$189,
    _xlpm.breite, clc_power!M$190,
    _xlpm.tiefe, clc_power!M$191,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N193" s="5">
        <f ca="1">_xlfn.LET(
    _xlpm.anzahl, IN_rooms!Y$69,
    _xlpm.typ, clc_power!N$187,
    _xlpm.subtyp, clc_power!N$188,
    _xlpm.höhe, clc_power!N$189,
    _xlpm.breite, clc_power!N$190,
    _xlpm.tiefe, clc_power!N$191,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O193" s="5">
        <f ca="1">_xlfn.LET(
    _xlpm.anzahl, IN_rooms!Z$69,
    _xlpm.typ, clc_power!O$187,
    _xlpm.subtyp, clc_power!O$188,
    _xlpm.höhe, clc_power!O$189,
    _xlpm.breite, clc_power!O$190,
    _xlpm.tiefe, clc_power!O$191,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P193" s="5">
        <f ca="1">_xlfn.LET(
    _xlpm.anzahl, IN_rooms!AA$69,
    _xlpm.typ, clc_power!P$187,
    _xlpm.subtyp, clc_power!P$188,
    _xlpm.höhe, clc_power!P$189,
    _xlpm.breite, clc_power!P$190,
    _xlpm.tiefe, clc_power!P$191,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Q193" s="5">
        <f ca="1">_xlfn.LET(
    _xlpm.anzahl, IN_rooms!AB$69,
    _xlpm.typ, clc_power!Q$187,
    _xlpm.subtyp, clc_power!Q$188,
    _xlpm.höhe, clc_power!Q$189,
    _xlpm.breite, clc_power!Q$190,
    _xlpm.tiefe, clc_power!Q$191,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R193" s="5">
        <f ca="1">_xlfn.LET(
    _xlpm.anzahl, IN_rooms!AC$69,
    _xlpm.typ, clc_power!R$187,
    _xlpm.subtyp, clc_power!R$188,
    _xlpm.höhe, clc_power!R$189,
    _xlpm.breite, clc_power!R$190,
    _xlpm.tiefe, clc_power!R$191,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S193" s="5">
        <f ca="1">_xlfn.LET(
    _xlpm.anzahl, IN_rooms!AD$69,
    _xlpm.typ, clc_power!S$187,
    _xlpm.subtyp, clc_power!S$188,
    _xlpm.höhe, clc_power!S$189,
    _xlpm.breite, clc_power!S$190,
    _xlpm.tiefe, clc_power!S$191,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T193" s="5">
        <f ca="1">_xlfn.LET(
    _xlpm.anzahl, IN_rooms!AE$69,
    _xlpm.typ, clc_power!T$187,
    _xlpm.subtyp, clc_power!T$188,
    _xlpm.höhe, clc_power!T$189,
    _xlpm.breite, clc_power!T$190,
    _xlpm.tiefe, clc_power!T$191,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U193" s="5">
        <f ca="1">_xlfn.LET(
    _xlpm.anzahl, IN_rooms!AF$69,
    _xlpm.typ, clc_power!U$187,
    _xlpm.subtyp, clc_power!U$188,
    _xlpm.höhe, clc_power!U$189,
    _xlpm.breite, clc_power!U$190,
    _xlpm.tiefe, clc_power!U$191,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row>
    <row r="194" spans="1:21" ht="15.75" thickBot="1">
      <c r="A194" s="106" t="s">
        <v>569</v>
      </c>
      <c r="B194" s="106" t="s">
        <v>429</v>
      </c>
      <c r="C194" s="106" t="s">
        <v>152</v>
      </c>
      <c r="D194" s="106" t="s">
        <v>619</v>
      </c>
      <c r="E194" s="106" t="s">
        <v>26</v>
      </c>
      <c r="G194" s="5">
        <f>TVL_Ziel</f>
        <v>55</v>
      </c>
      <c r="H194" s="5">
        <f t="shared" ref="H194:U194" si="44">TVL_Ziel</f>
        <v>55</v>
      </c>
      <c r="I194" s="5">
        <f t="shared" si="44"/>
        <v>55</v>
      </c>
      <c r="J194" s="5">
        <f t="shared" si="44"/>
        <v>55</v>
      </c>
      <c r="K194" s="5">
        <f t="shared" si="44"/>
        <v>55</v>
      </c>
      <c r="L194" s="5">
        <f t="shared" si="44"/>
        <v>55</v>
      </c>
      <c r="M194" s="5">
        <f t="shared" si="44"/>
        <v>55</v>
      </c>
      <c r="N194" s="5">
        <f t="shared" si="44"/>
        <v>55</v>
      </c>
      <c r="O194" s="5">
        <f t="shared" si="44"/>
        <v>55</v>
      </c>
      <c r="P194" s="5">
        <f t="shared" si="44"/>
        <v>55</v>
      </c>
      <c r="Q194" s="5">
        <f t="shared" si="44"/>
        <v>55</v>
      </c>
      <c r="R194" s="5">
        <f t="shared" si="44"/>
        <v>55</v>
      </c>
      <c r="S194" s="5">
        <f t="shared" si="44"/>
        <v>55</v>
      </c>
      <c r="T194" s="5">
        <f t="shared" si="44"/>
        <v>55</v>
      </c>
      <c r="U194" s="5">
        <f t="shared" si="44"/>
        <v>55</v>
      </c>
    </row>
    <row r="195" spans="1:21" ht="15.75" thickBot="1">
      <c r="A195" s="106" t="s">
        <v>571</v>
      </c>
      <c r="B195" s="106" t="s">
        <v>429</v>
      </c>
      <c r="C195" s="106" t="s">
        <v>152</v>
      </c>
      <c r="D195" s="106" t="s">
        <v>620</v>
      </c>
      <c r="E195" s="106" t="s">
        <v>26</v>
      </c>
      <c r="G195" s="5">
        <f>TRL_Ziel</f>
        <v>45</v>
      </c>
      <c r="H195" s="5">
        <f t="shared" ref="H195:U195" si="45">TRL_Ziel</f>
        <v>45</v>
      </c>
      <c r="I195" s="5">
        <f t="shared" si="45"/>
        <v>45</v>
      </c>
      <c r="J195" s="5">
        <f t="shared" si="45"/>
        <v>45</v>
      </c>
      <c r="K195" s="5">
        <f t="shared" si="45"/>
        <v>45</v>
      </c>
      <c r="L195" s="5">
        <f t="shared" si="45"/>
        <v>45</v>
      </c>
      <c r="M195" s="5">
        <f t="shared" si="45"/>
        <v>45</v>
      </c>
      <c r="N195" s="5">
        <f t="shared" si="45"/>
        <v>45</v>
      </c>
      <c r="O195" s="5">
        <f t="shared" si="45"/>
        <v>45</v>
      </c>
      <c r="P195" s="5">
        <f t="shared" si="45"/>
        <v>45</v>
      </c>
      <c r="Q195" s="5">
        <f t="shared" si="45"/>
        <v>45</v>
      </c>
      <c r="R195" s="5">
        <f t="shared" si="45"/>
        <v>45</v>
      </c>
      <c r="S195" s="5">
        <f t="shared" si="45"/>
        <v>45</v>
      </c>
      <c r="T195" s="5">
        <f t="shared" si="45"/>
        <v>45</v>
      </c>
      <c r="U195" s="5">
        <f t="shared" si="45"/>
        <v>45</v>
      </c>
    </row>
    <row r="196" spans="1:21" ht="15.75" thickBot="1">
      <c r="A196" s="106" t="s">
        <v>573</v>
      </c>
      <c r="B196" s="106" t="s">
        <v>429</v>
      </c>
      <c r="C196" s="106" t="s">
        <v>152</v>
      </c>
      <c r="D196" s="106" t="s">
        <v>718</v>
      </c>
      <c r="E196" s="106" t="s">
        <v>575</v>
      </c>
      <c r="G196" s="34">
        <f>(G$194-G$195)/(LN((G$194-clc_load!I$10)/(clc_power!G$195-clc_load!I$10)))</f>
        <v>49.83288654563971</v>
      </c>
      <c r="H196" s="34">
        <f>(H$194-H$195)/(LN((H$194-clc_load!J$10)/(clc_power!H$195-clc_load!J$10)))</f>
        <v>49.83288654563971</v>
      </c>
      <c r="I196" s="34">
        <f>(I$194-I$195)/(LN((I$194-clc_load!K$10)/(clc_power!I$195-clc_load!K$10)))</f>
        <v>49.83288654563971</v>
      </c>
      <c r="J196" s="34">
        <f>(J$194-J$195)/(LN((J$194-clc_load!L$10)/(clc_power!J$195-clc_load!L$10)))</f>
        <v>49.83288654563971</v>
      </c>
      <c r="K196" s="34">
        <f>(K$194-K$195)/(LN((K$194-clc_load!M$10)/(clc_power!K$195-clc_load!M$10)))</f>
        <v>49.83288654563971</v>
      </c>
      <c r="L196" s="34">
        <f>(L$194-L$195)/(LN((L$194-clc_load!N$10)/(clc_power!L$195-clc_load!N$10)))</f>
        <v>49.83288654563971</v>
      </c>
      <c r="M196" s="34">
        <f>(M$194-M$195)/(LN((M$194-clc_load!O$10)/(clc_power!M$195-clc_load!O$10)))</f>
        <v>49.83288654563971</v>
      </c>
      <c r="N196" s="34">
        <f>(N$194-N$195)/(LN((N$194-clc_load!P$10)/(clc_power!N$195-clc_load!P$10)))</f>
        <v>49.83288654563971</v>
      </c>
      <c r="O196" s="34">
        <f>(O$194-O$195)/(LN((O$194-clc_load!Q$10)/(clc_power!O$195-clc_load!Q$10)))</f>
        <v>49.83288654563971</v>
      </c>
      <c r="P196" s="34">
        <f>(P$194-P$195)/(LN((P$194-clc_load!R$10)/(clc_power!P$195-clc_load!R$10)))</f>
        <v>49.83288654563971</v>
      </c>
      <c r="Q196" s="34">
        <f>(Q$194-Q$195)/(LN((Q$194-clc_load!S$10)/(clc_power!Q$195-clc_load!S$10)))</f>
        <v>49.83288654563971</v>
      </c>
      <c r="R196" s="34">
        <f>(R$194-R$195)/(LN((R$194-clc_load!T$10)/(clc_power!R$195-clc_load!T$10)))</f>
        <v>49.83288654563971</v>
      </c>
      <c r="S196" s="34">
        <f>(S$194-S$195)/(LN((S$194-clc_load!U$10)/(clc_power!S$195-clc_load!U$10)))</f>
        <v>49.83288654563971</v>
      </c>
      <c r="T196" s="34">
        <f>(T$194-T$195)/(LN((T$194-clc_load!V$10)/(clc_power!T$195-clc_load!V$10)))</f>
        <v>49.83288654563971</v>
      </c>
      <c r="U196" s="34">
        <f>(U$194-U$195)/(LN((U$194-clc_load!W$10)/(clc_power!U$195-clc_load!W$10)))</f>
        <v>49.83288654563971</v>
      </c>
    </row>
    <row r="197" spans="1:21" ht="15.75" thickBot="1">
      <c r="A197" s="106" t="s">
        <v>576</v>
      </c>
      <c r="B197" s="106" t="s">
        <v>429</v>
      </c>
      <c r="C197" s="106" t="s">
        <v>152</v>
      </c>
      <c r="D197" s="106" t="s">
        <v>719</v>
      </c>
      <c r="E197" s="106" t="s">
        <v>31</v>
      </c>
      <c r="G197" s="5">
        <f t="shared" ref="G197:U197" ca="1" si="46">IF(G$193*((G$196/Log_ÜT_Norm)^G$192)&gt;0,
G$193*((G$196/Log_ÜT_Norm)^G$192),0)</f>
        <v>0</v>
      </c>
      <c r="H197" s="5">
        <f t="shared" ca="1" si="46"/>
        <v>0</v>
      </c>
      <c r="I197" s="5">
        <f t="shared" ca="1" si="46"/>
        <v>0</v>
      </c>
      <c r="J197" s="5">
        <f t="shared" ca="1" si="46"/>
        <v>0</v>
      </c>
      <c r="K197" s="5">
        <f t="shared" ca="1" si="46"/>
        <v>0</v>
      </c>
      <c r="L197" s="5">
        <f t="shared" ca="1" si="46"/>
        <v>0</v>
      </c>
      <c r="M197" s="5">
        <f t="shared" ca="1" si="46"/>
        <v>0</v>
      </c>
      <c r="N197" s="5">
        <f t="shared" ca="1" si="46"/>
        <v>0</v>
      </c>
      <c r="O197" s="5">
        <f t="shared" ca="1" si="46"/>
        <v>0</v>
      </c>
      <c r="P197" s="5">
        <f t="shared" ca="1" si="46"/>
        <v>0</v>
      </c>
      <c r="Q197" s="5">
        <f t="shared" ca="1" si="46"/>
        <v>0</v>
      </c>
      <c r="R197" s="5">
        <f t="shared" ca="1" si="46"/>
        <v>0</v>
      </c>
      <c r="S197" s="5">
        <f t="shared" ca="1" si="46"/>
        <v>0</v>
      </c>
      <c r="T197" s="5">
        <f t="shared" ca="1" si="46"/>
        <v>0</v>
      </c>
      <c r="U197" s="5">
        <f t="shared" ca="1" si="46"/>
        <v>0</v>
      </c>
    </row>
    <row r="198" spans="1:21" ht="15.75" thickBot="1">
      <c r="A198" s="107" t="s">
        <v>578</v>
      </c>
      <c r="B198" s="107" t="s">
        <v>429</v>
      </c>
      <c r="C198" s="107" t="s">
        <v>579</v>
      </c>
      <c r="D198" s="107" t="s">
        <v>720</v>
      </c>
      <c r="E198" s="107" t="s">
        <v>31</v>
      </c>
      <c r="G198" s="34">
        <f ca="1">_xlfn.LET(
    _xlpm.typ, "Flachheizkoerper_senkrecht_profiliert",
    _xlpm.subtyp, "Typ_33",
    _xlpm.höhe, _xlfn.XLOOKUP(G$189, Data_radiator!$G$5:$G$32, Data_radiator!$G$5:$G$32, 1000000, 1, 1),
    _xlpm.tiefe, 155,
    _xlpm.breite, G$190 / 1000,
    _xlpm.exponentFaktor, G$196 / Log_ÜT_Norm,
    _xlpm.anzahl, IN_rooms!R$69,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H198" s="34">
        <f ca="1">_xlfn.LET(
    _xlpm.typ, "Flachheizkoerper_senkrecht_profiliert",
    _xlpm.subtyp, "Typ_33",
    _xlpm.höhe, _xlfn.XLOOKUP(H$189, Data_radiator!$G$5:$G$32, Data_radiator!$G$5:$G$32, 1000000, 1, 1),
    _xlpm.tiefe, 155,
    _xlpm.breite, H$190 / 1000,
    _xlpm.exponentFaktor, H$196 / Log_ÜT_Norm,
    _xlpm.anzahl, IN_rooms!S$69,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I198" s="34">
        <f ca="1">_xlfn.LET(
    _xlpm.typ, "Flachheizkoerper_senkrecht_profiliert",
    _xlpm.subtyp, "Typ_33",
    _xlpm.höhe, _xlfn.XLOOKUP(I$189, Data_radiator!$G$5:$G$32, Data_radiator!$G$5:$G$32, 1000000, 1, 1),
    _xlpm.tiefe, 155,
    _xlpm.breite, I$190 / 1000,
    _xlpm.exponentFaktor, I$196 / Log_ÜT_Norm,
    _xlpm.anzahl, IN_rooms!T$69,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J198" s="34">
        <f ca="1">_xlfn.LET(
    _xlpm.typ, "Flachheizkoerper_senkrecht_profiliert",
    _xlpm.subtyp, "Typ_33",
    _xlpm.höhe, _xlfn.XLOOKUP(J$189, Data_radiator!$G$5:$G$32, Data_radiator!$G$5:$G$32, 1000000, 1, 1),
    _xlpm.tiefe, 155,
    _xlpm.breite, J$190 / 1000,
    _xlpm.exponentFaktor, J$196 / Log_ÜT_Norm,
    _xlpm.anzahl, IN_rooms!U$69,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K198" s="34">
        <f ca="1">_xlfn.LET(
    _xlpm.typ, "Flachheizkoerper_senkrecht_profiliert",
    _xlpm.subtyp, "Typ_33",
    _xlpm.höhe, _xlfn.XLOOKUP(K$189, Data_radiator!$G$5:$G$32, Data_radiator!$G$5:$G$32, 1000000, 1, 1),
    _xlpm.tiefe, 155,
    _xlpm.breite, K$190 / 1000,
    _xlpm.exponentFaktor, K$196 / Log_ÜT_Norm,
    _xlpm.anzahl, IN_rooms!V$69,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L198" s="34">
        <f ca="1">_xlfn.LET(
    _xlpm.typ, "Flachheizkoerper_senkrecht_profiliert",
    _xlpm.subtyp, "Typ_33",
    _xlpm.höhe, _xlfn.XLOOKUP(L$189, Data_radiator!$G$5:$G$32, Data_radiator!$G$5:$G$32, 1000000, 1, 1),
    _xlpm.tiefe, 155,
    _xlpm.breite, L$190 / 1000,
    _xlpm.exponentFaktor, L$196 / Log_ÜT_Norm,
    _xlpm.anzahl, IN_rooms!W$69,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M198" s="34">
        <f ca="1">_xlfn.LET(
    _xlpm.typ, "Flachheizkoerper_senkrecht_profiliert",
    _xlpm.subtyp, "Typ_33",
    _xlpm.höhe, _xlfn.XLOOKUP(M$189, Data_radiator!$G$5:$G$32, Data_radiator!$G$5:$G$32, 1000000, 1, 1),
    _xlpm.tiefe, 155,
    _xlpm.breite, M$190 / 1000,
    _xlpm.exponentFaktor, M$196 / Log_ÜT_Norm,
    _xlpm.anzahl, IN_rooms!X$69,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N198" s="34">
        <f ca="1">_xlfn.LET(
    _xlpm.typ, "Flachheizkoerper_senkrecht_profiliert",
    _xlpm.subtyp, "Typ_33",
    _xlpm.höhe, _xlfn.XLOOKUP(N$189, Data_radiator!$G$5:$G$32, Data_radiator!$G$5:$G$32, 1000000, 1, 1),
    _xlpm.tiefe, 155,
    _xlpm.breite, N$190 / 1000,
    _xlpm.exponentFaktor, N$196 / Log_ÜT_Norm,
    _xlpm.anzahl, IN_rooms!Y$69,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O198" s="34">
        <f ca="1">_xlfn.LET(
    _xlpm.typ, "Flachheizkoerper_senkrecht_profiliert",
    _xlpm.subtyp, "Typ_33",
    _xlpm.höhe, _xlfn.XLOOKUP(O$189, Data_radiator!$G$5:$G$32, Data_radiator!$G$5:$G$32, 1000000, 1, 1),
    _xlpm.tiefe, 155,
    _xlpm.breite, O$190 / 1000,
    _xlpm.exponentFaktor, O$196 / Log_ÜT_Norm,
    _xlpm.anzahl, IN_rooms!Z$69,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P198" s="34">
        <f ca="1">_xlfn.LET(
    _xlpm.typ, "Flachheizkoerper_senkrecht_profiliert",
    _xlpm.subtyp, "Typ_33",
    _xlpm.höhe, _xlfn.XLOOKUP(P$189, Data_radiator!$G$5:$G$32, Data_radiator!$G$5:$G$32, 1000000, 1, 1),
    _xlpm.tiefe, 155,
    _xlpm.breite, P$190 / 1000,
    _xlpm.exponentFaktor, P$196 / Log_ÜT_Norm,
    _xlpm.anzahl, IN_rooms!AA$69,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Q198" s="34">
        <f ca="1">_xlfn.LET(
    _xlpm.typ, "Flachheizkoerper_senkrecht_profiliert",
    _xlpm.subtyp, "Typ_33",
    _xlpm.höhe, _xlfn.XLOOKUP(Q$189, Data_radiator!$G$5:$G$32, Data_radiator!$G$5:$G$32, 1000000, 1, 1),
    _xlpm.tiefe, 155,
    _xlpm.breite, Q$190 / 1000,
    _xlpm.exponentFaktor, Q$196 / Log_ÜT_Norm,
    _xlpm.anzahl, IN_rooms!AB$69,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R198" s="34">
        <f ca="1">_xlfn.LET(
    _xlpm.typ, "Flachheizkoerper_senkrecht_profiliert",
    _xlpm.subtyp, "Typ_33",
    _xlpm.höhe, _xlfn.XLOOKUP(R$189, Data_radiator!$G$5:$G$32, Data_radiator!$G$5:$G$32, 1000000, 1, 1),
    _xlpm.tiefe, 155,
    _xlpm.breite, R$190 / 1000,
    _xlpm.exponentFaktor, R$196 / Log_ÜT_Norm,
    _xlpm.anzahl, IN_rooms!AC$69,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S198" s="34">
        <f ca="1">_xlfn.LET(
    _xlpm.typ, "Flachheizkoerper_senkrecht_profiliert",
    _xlpm.subtyp, "Typ_33",
    _xlpm.höhe, _xlfn.XLOOKUP(S$189, Data_radiator!$G$5:$G$32, Data_radiator!$G$5:$G$32, 1000000, 1, 1),
    _xlpm.tiefe, 155,
    _xlpm.breite, S$190 / 1000,
    _xlpm.exponentFaktor, S$196 / Log_ÜT_Norm,
    _xlpm.anzahl, IN_rooms!AD$69,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T198" s="34">
        <f ca="1">_xlfn.LET(
    _xlpm.typ, "Flachheizkoerper_senkrecht_profiliert",
    _xlpm.subtyp, "Typ_33",
    _xlpm.höhe, _xlfn.XLOOKUP(T$189, Data_radiator!$G$5:$G$32, Data_radiator!$G$5:$G$32, 1000000, 1, 1),
    _xlpm.tiefe, 155,
    _xlpm.breite, T$190 / 1000,
    _xlpm.exponentFaktor, T$196 / Log_ÜT_Norm,
    _xlpm.anzahl, IN_rooms!AE$69,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U198" s="34">
        <f ca="1">_xlfn.LET(
    _xlpm.typ, "Flachheizkoerper_senkrecht_profiliert",
    _xlpm.subtyp, "Typ_33",
    _xlpm.höhe, _xlfn.XLOOKUP(U$189, Data_radiator!$G$5:$G$32, Data_radiator!$G$5:$G$32, 1000000, 1, 1),
    _xlpm.tiefe, 155,
    _xlpm.breite, U$190 / 1000,
    _xlpm.exponentFaktor, U$196 / Log_ÜT_Norm,
    _xlpm.anzahl, IN_rooms!AF$69,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row>
    <row r="199" spans="1:21" ht="15.75" thickBot="1">
      <c r="A199" s="110" t="s">
        <v>624</v>
      </c>
      <c r="B199" s="110" t="s">
        <v>429</v>
      </c>
      <c r="C199" s="110"/>
      <c r="D199" s="110" t="s">
        <v>625</v>
      </c>
      <c r="E199" s="110" t="s">
        <v>31</v>
      </c>
      <c r="F199" s="6"/>
      <c r="G199" s="123" t="str">
        <f>IF(G136&gt;"",G146,IF(G148&gt;"",G158,IF(G160&gt;"",G171,IF(G187&gt;"",G197,""))))</f>
        <v/>
      </c>
      <c r="H199" s="123" t="str">
        <f t="shared" ref="H199:U199" si="47">IF(H136&gt;"",H146,IF(H148&gt;"",H158,IF(H160&gt;"",H171,IF(H187&gt;"",H197,""))))</f>
        <v/>
      </c>
      <c r="I199" s="123" t="str">
        <f t="shared" si="47"/>
        <v/>
      </c>
      <c r="J199" s="123" t="str">
        <f t="shared" si="47"/>
        <v/>
      </c>
      <c r="K199" s="123" t="str">
        <f t="shared" si="47"/>
        <v/>
      </c>
      <c r="L199" s="123" t="str">
        <f t="shared" si="47"/>
        <v/>
      </c>
      <c r="M199" s="123" t="str">
        <f t="shared" si="47"/>
        <v/>
      </c>
      <c r="N199" s="123" t="str">
        <f t="shared" si="47"/>
        <v/>
      </c>
      <c r="O199" s="123" t="str">
        <f t="shared" si="47"/>
        <v/>
      </c>
      <c r="P199" s="123" t="str">
        <f t="shared" si="47"/>
        <v/>
      </c>
      <c r="Q199" s="123" t="str">
        <f t="shared" si="47"/>
        <v/>
      </c>
      <c r="R199" s="123" t="str">
        <f t="shared" si="47"/>
        <v/>
      </c>
      <c r="S199" s="123" t="str">
        <f t="shared" si="47"/>
        <v/>
      </c>
      <c r="T199" s="123" t="str">
        <f t="shared" si="47"/>
        <v/>
      </c>
      <c r="U199" s="123" t="str">
        <f t="shared" si="47"/>
        <v/>
      </c>
    </row>
    <row r="200" spans="1:21" ht="15.75" thickBot="1">
      <c r="A200" s="110" t="s">
        <v>626</v>
      </c>
      <c r="B200" s="110" t="s">
        <v>429</v>
      </c>
      <c r="C200" s="110" t="s">
        <v>627</v>
      </c>
      <c r="D200" s="110" t="s">
        <v>628</v>
      </c>
      <c r="E200" s="110" t="s">
        <v>31</v>
      </c>
      <c r="F200" s="6"/>
      <c r="G200" s="123" t="str">
        <f>IF(G136&gt;"",G147,IF(G148&gt;"",G159,IF(G160&gt;"",G172,IF(G187&gt;"",G198,""))))</f>
        <v/>
      </c>
      <c r="H200" s="123" t="str">
        <f t="shared" ref="H200:U200" si="48">IF(H136&gt;"",H147,IF(H148&gt;"",H159,IF(H160&gt;"",H172,IF(H187&gt;"",H198,""))))</f>
        <v/>
      </c>
      <c r="I200" s="123" t="str">
        <f t="shared" si="48"/>
        <v/>
      </c>
      <c r="J200" s="123" t="str">
        <f t="shared" si="48"/>
        <v/>
      </c>
      <c r="K200" s="123" t="str">
        <f t="shared" si="48"/>
        <v/>
      </c>
      <c r="L200" s="123" t="str">
        <f t="shared" si="48"/>
        <v/>
      </c>
      <c r="M200" s="123" t="str">
        <f t="shared" si="48"/>
        <v/>
      </c>
      <c r="N200" s="123" t="str">
        <f t="shared" si="48"/>
        <v/>
      </c>
      <c r="O200" s="123" t="str">
        <f t="shared" si="48"/>
        <v/>
      </c>
      <c r="P200" s="123" t="str">
        <f t="shared" si="48"/>
        <v/>
      </c>
      <c r="Q200" s="123" t="str">
        <f t="shared" si="48"/>
        <v/>
      </c>
      <c r="R200" s="123" t="str">
        <f t="shared" si="48"/>
        <v/>
      </c>
      <c r="S200" s="123" t="str">
        <f t="shared" si="48"/>
        <v/>
      </c>
      <c r="T200" s="123" t="str">
        <f t="shared" si="48"/>
        <v/>
      </c>
      <c r="U200" s="123" t="str">
        <f t="shared" si="48"/>
        <v/>
      </c>
    </row>
    <row r="201" spans="1:21" ht="15.75" thickBot="1"/>
    <row r="202" spans="1:21">
      <c r="A202" s="111" t="s">
        <v>721</v>
      </c>
      <c r="B202" s="112"/>
      <c r="C202" s="112"/>
      <c r="D202" s="112"/>
      <c r="E202" s="112"/>
      <c r="F202" s="113"/>
      <c r="G202" s="114"/>
      <c r="H202" s="114"/>
      <c r="I202" s="114"/>
      <c r="J202" s="114"/>
      <c r="K202" s="114"/>
      <c r="L202" s="114"/>
      <c r="M202" s="114"/>
      <c r="N202" s="114"/>
      <c r="O202" s="114"/>
      <c r="P202" s="114"/>
      <c r="Q202" s="114"/>
      <c r="R202" s="114"/>
      <c r="S202" s="114"/>
      <c r="T202" s="114"/>
      <c r="U202" s="114"/>
    </row>
    <row r="203" spans="1:21">
      <c r="A203" s="115" t="s">
        <v>722</v>
      </c>
      <c r="B203" s="116" t="s">
        <v>117</v>
      </c>
      <c r="C203" s="116"/>
      <c r="D203" s="116"/>
      <c r="E203" s="116" t="s">
        <v>31</v>
      </c>
      <c r="G203" s="124">
        <f t="shared" ref="G203:U203" si="49">SUMIF($A$3:$A$200,$A$199,G$3:G$200)</f>
        <v>0</v>
      </c>
      <c r="H203" s="124">
        <f>SUMIF($A$3:$A$200,$A$199,H$3:H$200)</f>
        <v>0</v>
      </c>
      <c r="I203" s="124">
        <f t="shared" si="49"/>
        <v>0</v>
      </c>
      <c r="J203" s="124">
        <f t="shared" si="49"/>
        <v>0</v>
      </c>
      <c r="K203" s="124">
        <f t="shared" si="49"/>
        <v>0</v>
      </c>
      <c r="L203" s="124">
        <f t="shared" si="49"/>
        <v>0</v>
      </c>
      <c r="M203" s="124">
        <f t="shared" si="49"/>
        <v>0</v>
      </c>
      <c r="N203" s="124">
        <f t="shared" si="49"/>
        <v>0</v>
      </c>
      <c r="O203" s="124">
        <f t="shared" si="49"/>
        <v>0</v>
      </c>
      <c r="P203" s="124">
        <f t="shared" si="49"/>
        <v>0</v>
      </c>
      <c r="Q203" s="124">
        <f t="shared" si="49"/>
        <v>0</v>
      </c>
      <c r="R203" s="124">
        <f t="shared" si="49"/>
        <v>0</v>
      </c>
      <c r="S203" s="124">
        <f t="shared" si="49"/>
        <v>0</v>
      </c>
      <c r="T203" s="124">
        <f t="shared" si="49"/>
        <v>0</v>
      </c>
      <c r="U203" s="124">
        <f t="shared" si="49"/>
        <v>0</v>
      </c>
    </row>
    <row r="204" spans="1:21">
      <c r="A204" s="115" t="s">
        <v>723</v>
      </c>
      <c r="B204" s="116" t="s">
        <v>117</v>
      </c>
      <c r="C204" s="116" t="s">
        <v>579</v>
      </c>
      <c r="D204" s="116"/>
      <c r="E204" s="116" t="s">
        <v>31</v>
      </c>
      <c r="G204" s="124">
        <f>SUMIF($A$3:$A$200,$A$200,G$3:G$200)</f>
        <v>0</v>
      </c>
      <c r="H204" s="124">
        <f t="shared" ref="H204:U204" si="50">SUMIF($A$3:$A$200,$A$200,H$3:H$200)</f>
        <v>0</v>
      </c>
      <c r="I204" s="124">
        <f t="shared" si="50"/>
        <v>0</v>
      </c>
      <c r="J204" s="124">
        <f t="shared" si="50"/>
        <v>0</v>
      </c>
      <c r="K204" s="124">
        <f t="shared" si="50"/>
        <v>0</v>
      </c>
      <c r="L204" s="124">
        <f t="shared" si="50"/>
        <v>0</v>
      </c>
      <c r="M204" s="124">
        <f t="shared" si="50"/>
        <v>0</v>
      </c>
      <c r="N204" s="124">
        <f t="shared" si="50"/>
        <v>0</v>
      </c>
      <c r="O204" s="124">
        <f t="shared" si="50"/>
        <v>0</v>
      </c>
      <c r="P204" s="124">
        <f t="shared" si="50"/>
        <v>0</v>
      </c>
      <c r="Q204" s="124">
        <f t="shared" si="50"/>
        <v>0</v>
      </c>
      <c r="R204" s="124">
        <f t="shared" si="50"/>
        <v>0</v>
      </c>
      <c r="S204" s="124">
        <f t="shared" si="50"/>
        <v>0</v>
      </c>
      <c r="T204" s="124">
        <f t="shared" si="50"/>
        <v>0</v>
      </c>
      <c r="U204" s="124">
        <f t="shared" si="50"/>
        <v>0</v>
      </c>
    </row>
    <row r="205" spans="1:21">
      <c r="A205" s="115" t="s">
        <v>724</v>
      </c>
      <c r="B205" s="116" t="s">
        <v>117</v>
      </c>
      <c r="C205" s="116"/>
      <c r="D205" s="116"/>
      <c r="E205" s="116" t="s">
        <v>30</v>
      </c>
      <c r="G205" s="119" t="e">
        <f ca="1">G203/clc_load!I74</f>
        <v>#NUM!</v>
      </c>
      <c r="H205" s="119" t="e">
        <f ca="1">H203/clc_load!J74</f>
        <v>#NUM!</v>
      </c>
      <c r="I205" s="119" t="e">
        <f ca="1">I203/clc_load!K74</f>
        <v>#NUM!</v>
      </c>
      <c r="J205" s="119" t="e">
        <f ca="1">J203/clc_load!L74</f>
        <v>#NUM!</v>
      </c>
      <c r="K205" s="119" t="e">
        <f ca="1">K203/clc_load!M74</f>
        <v>#NUM!</v>
      </c>
      <c r="L205" s="119" t="e">
        <f ca="1">L203/clc_load!N74</f>
        <v>#NUM!</v>
      </c>
      <c r="M205" s="119" t="e">
        <f ca="1">M203/clc_load!O74</f>
        <v>#NUM!</v>
      </c>
      <c r="N205" s="119" t="e">
        <f ca="1">N203/clc_load!P74</f>
        <v>#NUM!</v>
      </c>
      <c r="O205" s="119" t="e">
        <f ca="1">O203/clc_load!Q74</f>
        <v>#NUM!</v>
      </c>
      <c r="P205" s="119" t="e">
        <f ca="1">P203/clc_load!R74</f>
        <v>#NUM!</v>
      </c>
      <c r="Q205" s="119" t="e">
        <f ca="1">Q203/clc_load!S74</f>
        <v>#NUM!</v>
      </c>
      <c r="R205" s="119" t="e">
        <f ca="1">R203/clc_load!T74</f>
        <v>#NUM!</v>
      </c>
      <c r="S205" s="119" t="e">
        <f ca="1">S203/clc_load!U74</f>
        <v>#NUM!</v>
      </c>
      <c r="T205" s="119" t="e">
        <f ca="1">T203/clc_load!V74</f>
        <v>#NUM!</v>
      </c>
      <c r="U205" s="119" t="e">
        <f ca="1">U203/clc_load!W74</f>
        <v>#NUM!</v>
      </c>
    </row>
    <row r="206" spans="1:21" ht="15.75" thickBot="1">
      <c r="A206" s="117" t="s">
        <v>725</v>
      </c>
      <c r="B206" s="118" t="s">
        <v>117</v>
      </c>
      <c r="C206" s="118" t="s">
        <v>579</v>
      </c>
      <c r="D206" s="118"/>
      <c r="E206" s="118" t="s">
        <v>30</v>
      </c>
      <c r="F206" s="35"/>
      <c r="G206" s="120" t="e">
        <f ca="1">G204/clc_load!I74</f>
        <v>#NUM!</v>
      </c>
      <c r="H206" s="120" t="e">
        <f ca="1">H204/clc_load!J74</f>
        <v>#NUM!</v>
      </c>
      <c r="I206" s="120" t="e">
        <f ca="1">I204/clc_load!K74</f>
        <v>#NUM!</v>
      </c>
      <c r="J206" s="120" t="e">
        <f ca="1">J204/clc_load!L74</f>
        <v>#NUM!</v>
      </c>
      <c r="K206" s="120" t="e">
        <f ca="1">K204/clc_load!M74</f>
        <v>#NUM!</v>
      </c>
      <c r="L206" s="120" t="e">
        <f ca="1">L204/clc_load!N74</f>
        <v>#NUM!</v>
      </c>
      <c r="M206" s="120" t="e">
        <f ca="1">M204/clc_load!O74</f>
        <v>#NUM!</v>
      </c>
      <c r="N206" s="120" t="e">
        <f ca="1">N204/clc_load!P74</f>
        <v>#NUM!</v>
      </c>
      <c r="O206" s="120" t="e">
        <f ca="1">O204/clc_load!Q74</f>
        <v>#NUM!</v>
      </c>
      <c r="P206" s="120" t="e">
        <f ca="1">P204/clc_load!R74</f>
        <v>#NUM!</v>
      </c>
      <c r="Q206" s="120" t="e">
        <f ca="1">Q204/clc_load!S74</f>
        <v>#NUM!</v>
      </c>
      <c r="R206" s="120" t="e">
        <f ca="1">R204/clc_load!T74</f>
        <v>#NUM!</v>
      </c>
      <c r="S206" s="120" t="e">
        <f ca="1">S204/clc_load!U74</f>
        <v>#NUM!</v>
      </c>
      <c r="T206" s="120" t="e">
        <f ca="1">T204/clc_load!V74</f>
        <v>#NUM!</v>
      </c>
      <c r="U206" s="120" t="e">
        <f ca="1">U204/clc_load!W74</f>
        <v>#NUM!</v>
      </c>
    </row>
    <row r="209" spans="1:10">
      <c r="A209" t="s">
        <v>359</v>
      </c>
      <c r="I209" s="109"/>
      <c r="J209" s="109"/>
    </row>
    <row r="210" spans="1:10">
      <c r="H210" s="109"/>
      <c r="I210" s="109"/>
      <c r="J210" s="109"/>
    </row>
    <row r="211" spans="1:10">
      <c r="H211" s="109"/>
      <c r="I211" s="109"/>
      <c r="J211" s="109"/>
    </row>
  </sheetData>
  <phoneticPr fontId="10" type="noConversion"/>
  <conditionalFormatting sqref="A1">
    <cfRule type="expression" dxfId="65" priority="1">
      <formula>D1="x"</formula>
    </cfRule>
  </conditionalFormatting>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8D61-C7DD-4501-965E-65F757413D25}">
  <sheetPr>
    <tabColor theme="8"/>
  </sheetPr>
  <dimension ref="A1:AA88"/>
  <sheetViews>
    <sheetView zoomScaleNormal="100" workbookViewId="0">
      <selection activeCell="F22" sqref="F22"/>
    </sheetView>
  </sheetViews>
  <sheetFormatPr defaultColWidth="11.42578125" defaultRowHeight="15"/>
  <cols>
    <col min="1" max="1" width="36" customWidth="1"/>
    <col min="3" max="3" width="14.85546875" bestFit="1" customWidth="1"/>
    <col min="6" max="6" width="12" customWidth="1"/>
    <col min="7" max="7" width="36.42578125" customWidth="1"/>
    <col min="8" max="8" width="16.7109375" bestFit="1" customWidth="1"/>
    <col min="9" max="16" width="12" customWidth="1"/>
  </cols>
  <sheetData>
    <row r="1" spans="1:23">
      <c r="A1" s="122" t="s">
        <v>0</v>
      </c>
      <c r="B1" s="122" t="s">
        <v>726</v>
      </c>
      <c r="C1" s="122" t="s">
        <v>53</v>
      </c>
      <c r="D1" s="122" t="s">
        <v>2</v>
      </c>
      <c r="E1" s="122" t="s">
        <v>457</v>
      </c>
      <c r="F1" s="122" t="s">
        <v>727</v>
      </c>
      <c r="G1" s="122" t="s">
        <v>728</v>
      </c>
      <c r="H1" s="122"/>
      <c r="I1" s="122"/>
      <c r="J1" s="122"/>
      <c r="K1" s="122"/>
      <c r="L1" s="122"/>
      <c r="M1" s="122"/>
      <c r="N1" s="122"/>
      <c r="O1" s="122"/>
      <c r="P1" s="122"/>
      <c r="Q1" s="6"/>
      <c r="R1" s="6"/>
      <c r="S1" s="6"/>
      <c r="T1" s="6"/>
      <c r="U1" s="6"/>
      <c r="V1" s="6"/>
      <c r="W1" s="6"/>
    </row>
    <row r="2" spans="1:23">
      <c r="A2" t="s">
        <v>458</v>
      </c>
      <c r="C2" t="s">
        <v>293</v>
      </c>
      <c r="F2" s="6"/>
      <c r="G2">
        <v>1</v>
      </c>
      <c r="H2">
        <v>2</v>
      </c>
      <c r="I2">
        <v>3</v>
      </c>
      <c r="J2">
        <v>4</v>
      </c>
      <c r="K2">
        <v>5</v>
      </c>
      <c r="L2">
        <v>6</v>
      </c>
      <c r="M2">
        <v>7</v>
      </c>
      <c r="N2">
        <v>8</v>
      </c>
      <c r="O2">
        <v>9</v>
      </c>
      <c r="P2">
        <v>10</v>
      </c>
      <c r="Q2" s="6"/>
      <c r="R2" s="6"/>
      <c r="S2" s="6"/>
      <c r="T2" s="6"/>
      <c r="U2" s="6"/>
      <c r="V2" s="6"/>
      <c r="W2" s="6"/>
    </row>
    <row r="3" spans="1:23">
      <c r="A3" t="s">
        <v>485</v>
      </c>
      <c r="C3" t="s">
        <v>729</v>
      </c>
      <c r="F3" s="6"/>
      <c r="G3" s="13" t="e">
        <f ca="1">ROUND((clc_load!I72-clc_load!I12)/10,0)*10</f>
        <v>#NUM!</v>
      </c>
      <c r="H3" s="13" t="e">
        <f ca="1">ROUND((clc_load!J72-clc_load!J12)/10,0)*10</f>
        <v>#NUM!</v>
      </c>
      <c r="I3" s="13" t="e">
        <f ca="1">ROUND((clc_load!K72-clc_load!K12)/10,0)*10</f>
        <v>#NUM!</v>
      </c>
      <c r="J3" s="13" t="e">
        <f ca="1">ROUND((clc_load!L72-clc_load!L12)/10,0)*10</f>
        <v>#NUM!</v>
      </c>
      <c r="K3" s="13" t="e">
        <f ca="1">ROUND((clc_load!M72-clc_load!M12)/10,0)*10</f>
        <v>#NUM!</v>
      </c>
      <c r="L3" s="13" t="e">
        <f ca="1">ROUND((clc_load!N72-clc_load!N12)/10,0)*10</f>
        <v>#NUM!</v>
      </c>
      <c r="M3" s="13" t="e">
        <f ca="1">ROUND((clc_load!O72-clc_load!O12)/10,0)*10</f>
        <v>#NUM!</v>
      </c>
      <c r="N3" s="13" t="e">
        <f ca="1">ROUND((clc_load!P72-clc_load!P12)/10,0)*10</f>
        <v>#NUM!</v>
      </c>
      <c r="O3" s="13" t="e">
        <f ca="1">ROUND((clc_load!Q72-clc_load!Q12)/10,0)*10</f>
        <v>#NUM!</v>
      </c>
      <c r="P3" s="13" t="e">
        <f ca="1">ROUND((clc_load!R72-clc_load!R12)/10,0)*10</f>
        <v>#NUM!</v>
      </c>
      <c r="Q3" s="6"/>
      <c r="R3" s="6"/>
      <c r="S3" s="6"/>
      <c r="T3" s="6"/>
      <c r="U3" s="6"/>
      <c r="V3" s="6"/>
      <c r="W3" s="6"/>
    </row>
    <row r="4" spans="1:23">
      <c r="A4" t="s">
        <v>730</v>
      </c>
      <c r="C4" t="s">
        <v>731</v>
      </c>
      <c r="F4" s="6"/>
      <c r="G4" s="13">
        <f>ROUND(clc_load!I12/10,0)*10</f>
        <v>0</v>
      </c>
      <c r="H4" s="13">
        <f>ROUND(clc_load!J12/10,0)*10</f>
        <v>0</v>
      </c>
      <c r="I4" s="13">
        <f>ROUND(clc_load!K12/10,0)*10</f>
        <v>0</v>
      </c>
      <c r="J4" s="13">
        <f>ROUND(clc_load!L12/10,0)*10</f>
        <v>0</v>
      </c>
      <c r="K4" s="13">
        <f>ROUND(clc_load!M12/10,0)*10</f>
        <v>0</v>
      </c>
      <c r="L4" s="13">
        <f>ROUND(clc_load!N12/10,0)*10</f>
        <v>0</v>
      </c>
      <c r="M4" s="13">
        <f>ROUND(clc_load!O12/10,0)*10</f>
        <v>0</v>
      </c>
      <c r="N4" s="13">
        <f>ROUND(clc_load!P12/10,0)*10</f>
        <v>0</v>
      </c>
      <c r="O4" s="13">
        <f>ROUND(clc_load!Q12/10,0)*10</f>
        <v>0</v>
      </c>
      <c r="P4" s="13">
        <f>ROUND(clc_load!R12/10,0)*10</f>
        <v>0</v>
      </c>
      <c r="Q4" s="6"/>
      <c r="R4" s="6"/>
      <c r="S4" s="6"/>
      <c r="T4" s="6"/>
      <c r="U4" s="6"/>
      <c r="V4" s="6"/>
      <c r="W4" s="6"/>
    </row>
    <row r="5" spans="1:23">
      <c r="A5" t="s">
        <v>548</v>
      </c>
      <c r="C5" t="s">
        <v>549</v>
      </c>
      <c r="D5" t="s">
        <v>31</v>
      </c>
      <c r="G5" t="e">
        <f ca="1">ROUND(clc_load!I72/HLOOKUP("NO_round_Qdot", PAR!$F$1:$Y$5, 2, FALSE),0)*HLOOKUP("NO_round_Qdot", PAR!$F$1:$Y$5, 2, FALSE)</f>
        <v>#NUM!</v>
      </c>
      <c r="H5" t="e">
        <f ca="1">ROUND(clc_load!J72/HLOOKUP("NO_round_Qdot", PAR!$F$1:$Y$5, 2, FALSE),0)*HLOOKUP("NO_round_Qdot", PAR!$F$1:$Y$5, 2, FALSE)</f>
        <v>#NUM!</v>
      </c>
      <c r="I5" t="e">
        <f ca="1">ROUND(clc_load!K72/HLOOKUP("NO_round_Qdot", PAR!$F$1:$Y$5, 2, FALSE),0)*HLOOKUP("NO_round_Qdot", PAR!$F$1:$Y$5, 2, FALSE)</f>
        <v>#NUM!</v>
      </c>
      <c r="J5" t="e">
        <f ca="1">ROUND(clc_load!L72/HLOOKUP("NO_round_Qdot", PAR!$F$1:$Y$5, 2, FALSE),0)*HLOOKUP("NO_round_Qdot", PAR!$F$1:$Y$5, 2, FALSE)</f>
        <v>#NUM!</v>
      </c>
      <c r="K5" t="e">
        <f ca="1">ROUND(clc_load!M72/HLOOKUP("NO_round_Qdot", PAR!$F$1:$Y$5, 2, FALSE),0)*HLOOKUP("NO_round_Qdot", PAR!$F$1:$Y$5, 2, FALSE)</f>
        <v>#NUM!</v>
      </c>
      <c r="L5" t="e">
        <f ca="1">ROUND(clc_load!N72/HLOOKUP("NO_round_Qdot", PAR!$F$1:$Y$5, 2, FALSE),0)*HLOOKUP("NO_round_Qdot", PAR!$F$1:$Y$5, 2, FALSE)</f>
        <v>#NUM!</v>
      </c>
      <c r="M5" t="e">
        <f ca="1">ROUND(clc_load!O72/HLOOKUP("NO_round_Qdot", PAR!$F$1:$Y$5, 2, FALSE),0)*HLOOKUP("NO_round_Qdot", PAR!$F$1:$Y$5, 2, FALSE)</f>
        <v>#NUM!</v>
      </c>
      <c r="N5" t="e">
        <f ca="1">ROUND(clc_load!P72/HLOOKUP("NO_round_Qdot", PAR!$F$1:$Y$5, 2, FALSE),0)*HLOOKUP("NO_round_Qdot", PAR!$F$1:$Y$5, 2, FALSE)</f>
        <v>#NUM!</v>
      </c>
      <c r="O5" t="e">
        <f ca="1">ROUND(clc_load!Q72/HLOOKUP("NO_round_Qdot", PAR!$F$1:$Y$5, 2, FALSE),0)*HLOOKUP("NO_round_Qdot", PAR!$F$1:$Y$5, 2, FALSE)</f>
        <v>#NUM!</v>
      </c>
      <c r="P5" t="e">
        <f ca="1">ROUND(clc_load!R72/HLOOKUP("NO_round_Qdot", PAR!$F$1:$Y$5, 2, FALSE),0)*HLOOKUP("NO_round_Qdot", PAR!$F$1:$Y$5, 2, FALSE)</f>
        <v>#NUM!</v>
      </c>
    </row>
    <row r="6" spans="1:23">
      <c r="A6" t="s">
        <v>550</v>
      </c>
      <c r="C6" t="s">
        <v>551</v>
      </c>
      <c r="D6" t="s">
        <v>732</v>
      </c>
      <c r="G6" t="e">
        <f ca="1">ROUND(clc_load!I73/HLOOKUP("NO_round_Qdot_spez", PAR!$F$1:$Y$5, 2, FALSE),0)*HLOOKUP("NO_round_Qdot_spez", PAR!$F$1:$Y$5, 2, FALSE)</f>
        <v>#NUM!</v>
      </c>
      <c r="H6" t="e">
        <f ca="1">ROUND(clc_load!J73/HLOOKUP("NO_round_Qdot_spez", PAR!$F$1:$Y$5, 2, FALSE),0)*HLOOKUP("NO_round_Qdot_spez", PAR!$F$1:$Y$5, 2, FALSE)</f>
        <v>#NUM!</v>
      </c>
      <c r="I6" t="e">
        <f ca="1">ROUND(clc_load!K73/HLOOKUP("NO_round_Qdot_spez", PAR!$F$1:$Y$5, 2, FALSE),0)*HLOOKUP("NO_round_Qdot_spez", PAR!$F$1:$Y$5, 2, FALSE)</f>
        <v>#NUM!</v>
      </c>
      <c r="J6" t="e">
        <f ca="1">ROUND(clc_load!L73/HLOOKUP("NO_round_Qdot_spez", PAR!$F$1:$Y$5, 2, FALSE),0)*HLOOKUP("NO_round_Qdot_spez", PAR!$F$1:$Y$5, 2, FALSE)</f>
        <v>#NUM!</v>
      </c>
      <c r="K6" t="e">
        <f ca="1">ROUND(clc_load!M73/HLOOKUP("NO_round_Qdot_spez", PAR!$F$1:$Y$5, 2, FALSE),0)*HLOOKUP("NO_round_Qdot_spez", PAR!$F$1:$Y$5, 2, FALSE)</f>
        <v>#NUM!</v>
      </c>
      <c r="L6" t="e">
        <f ca="1">ROUND(clc_load!N73/HLOOKUP("NO_round_Qdot_spez", PAR!$F$1:$Y$5, 2, FALSE),0)*HLOOKUP("NO_round_Qdot_spez", PAR!$F$1:$Y$5, 2, FALSE)</f>
        <v>#NUM!</v>
      </c>
      <c r="M6" t="e">
        <f ca="1">ROUND(clc_load!O73/HLOOKUP("NO_round_Qdot_spez", PAR!$F$1:$Y$5, 2, FALSE),0)*HLOOKUP("NO_round_Qdot_spez", PAR!$F$1:$Y$5, 2, FALSE)</f>
        <v>#NUM!</v>
      </c>
      <c r="N6" t="e">
        <f ca="1">ROUND(clc_load!P73/HLOOKUP("NO_round_Qdot_spez", PAR!$F$1:$Y$5, 2, FALSE),0)*HLOOKUP("NO_round_Qdot_spez", PAR!$F$1:$Y$5, 2, FALSE)</f>
        <v>#NUM!</v>
      </c>
      <c r="O6" t="e">
        <f ca="1">ROUND(clc_load!Q73/HLOOKUP("NO_round_Qdot_spez", PAR!$F$1:$Y$5, 2, FALSE),0)*HLOOKUP("NO_round_Qdot_spez", PAR!$F$1:$Y$5, 2, FALSE)</f>
        <v>#NUM!</v>
      </c>
      <c r="P6" t="e">
        <f ca="1">ROUND(clc_load!R73/HLOOKUP("NO_round_Qdot_spez", PAR!$F$1:$Y$5, 2, FALSE),0)*HLOOKUP("NO_round_Qdot_spez", PAR!$F$1:$Y$5, 2, FALSE)</f>
        <v>#NUM!</v>
      </c>
    </row>
    <row r="7" spans="1:23">
      <c r="A7" t="s">
        <v>552</v>
      </c>
      <c r="C7" t="s">
        <v>553</v>
      </c>
      <c r="D7" t="s">
        <v>31</v>
      </c>
      <c r="G7" t="str">
        <f ca="1">IFERROR(ROUND(clc_load!I74/HLOOKUP("NO_round_Qdot", PAR!$F$1:$Y$5, 2, FALSE),0)*HLOOKUP("NO_round_Qdot", PAR!$F$1:$Y$5, 2, FALSE),"")</f>
        <v/>
      </c>
      <c r="H7" t="str">
        <f ca="1">IFERROR(ROUND(clc_load!J74/HLOOKUP("NO_round_Qdot", PAR!$F$1:$Y$5, 2, FALSE),0)*HLOOKUP("NO_round_Qdot", PAR!$F$1:$Y$5, 2, FALSE),"")</f>
        <v/>
      </c>
      <c r="I7" t="str">
        <f ca="1">IFERROR(ROUND(clc_load!K74/HLOOKUP("NO_round_Qdot", PAR!$F$1:$Y$5, 2, FALSE),0)*HLOOKUP("NO_round_Qdot", PAR!$F$1:$Y$5, 2, FALSE),"")</f>
        <v/>
      </c>
      <c r="J7" t="str">
        <f ca="1">IFERROR(ROUND(clc_load!L74/HLOOKUP("NO_round_Qdot", PAR!$F$1:$Y$5, 2, FALSE),0)*HLOOKUP("NO_round_Qdot", PAR!$F$1:$Y$5, 2, FALSE),"")</f>
        <v/>
      </c>
      <c r="K7" t="str">
        <f ca="1">IFERROR(ROUND(clc_load!M74/HLOOKUP("NO_round_Qdot", PAR!$F$1:$Y$5, 2, FALSE),0)*HLOOKUP("NO_round_Qdot", PAR!$F$1:$Y$5, 2, FALSE),"")</f>
        <v/>
      </c>
      <c r="L7" t="str">
        <f ca="1">IFERROR(ROUND(clc_load!N74/HLOOKUP("NO_round_Qdot", PAR!$F$1:$Y$5, 2, FALSE),0)*HLOOKUP("NO_round_Qdot", PAR!$F$1:$Y$5, 2, FALSE),"")</f>
        <v/>
      </c>
      <c r="M7" t="str">
        <f ca="1">IFERROR(ROUND(clc_load!O74/HLOOKUP("NO_round_Qdot", PAR!$F$1:$Y$5, 2, FALSE),0)*HLOOKUP("NO_round_Qdot", PAR!$F$1:$Y$5, 2, FALSE),"")</f>
        <v/>
      </c>
      <c r="N7" t="str">
        <f ca="1">IFERROR(ROUND(clc_load!P74/HLOOKUP("NO_round_Qdot", PAR!$F$1:$Y$5, 2, FALSE),0)*HLOOKUP("NO_round_Qdot", PAR!$F$1:$Y$5, 2, FALSE),"")</f>
        <v/>
      </c>
      <c r="O7" t="str">
        <f ca="1">IFERROR(ROUND(clc_load!Q74/HLOOKUP("NO_round_Qdot", PAR!$F$1:$Y$5, 2, FALSE),0)*HLOOKUP("NO_round_Qdot", PAR!$F$1:$Y$5, 2, FALSE),"")</f>
        <v/>
      </c>
      <c r="P7" t="str">
        <f ca="1">IFERROR(ROUND(clc_load!R74/HLOOKUP("NO_round_Qdot", PAR!$F$1:$Y$5, 2, FALSE),0)*HLOOKUP("NO_round_Qdot", PAR!$F$1:$Y$5, 2, FALSE),"")</f>
        <v/>
      </c>
    </row>
    <row r="8" spans="1:23">
      <c r="A8" t="s">
        <v>554</v>
      </c>
      <c r="C8" t="s">
        <v>555</v>
      </c>
      <c r="D8" t="s">
        <v>732</v>
      </c>
      <c r="G8" t="e">
        <f ca="1">ROUND(clc_load!I75/HLOOKUP("NO_round_Qdot_spez", PAR!$F$1:$Y$5, 2, FALSE),0)*HLOOKUP("NO_round_Qdot_spez", PAR!$F$1:$Y$5, 2, FALSE)</f>
        <v>#NUM!</v>
      </c>
      <c r="H8" t="e">
        <f ca="1">ROUND(clc_load!J75/HLOOKUP("NO_round_Qdot_spez", PAR!$F$1:$Y$5, 2, FALSE),0)*HLOOKUP("NO_round_Qdot_spez", PAR!$F$1:$Y$5, 2, FALSE)</f>
        <v>#NUM!</v>
      </c>
      <c r="I8" t="e">
        <f ca="1">ROUND(clc_load!K75/HLOOKUP("NO_round_Qdot_spez", PAR!$F$1:$Y$5, 2, FALSE),0)*HLOOKUP("NO_round_Qdot_spez", PAR!$F$1:$Y$5, 2, FALSE)</f>
        <v>#NUM!</v>
      </c>
      <c r="J8" t="e">
        <f ca="1">ROUND(clc_load!L75/HLOOKUP("NO_round_Qdot_spez", PAR!$F$1:$Y$5, 2, FALSE),0)*HLOOKUP("NO_round_Qdot_spez", PAR!$F$1:$Y$5, 2, FALSE)</f>
        <v>#NUM!</v>
      </c>
      <c r="K8" t="e">
        <f ca="1">ROUND(clc_load!M75/HLOOKUP("NO_round_Qdot_spez", PAR!$F$1:$Y$5, 2, FALSE),0)*HLOOKUP("NO_round_Qdot_spez", PAR!$F$1:$Y$5, 2, FALSE)</f>
        <v>#NUM!</v>
      </c>
      <c r="L8" t="e">
        <f ca="1">ROUND(clc_load!N75/HLOOKUP("NO_round_Qdot_spez", PAR!$F$1:$Y$5, 2, FALSE),0)*HLOOKUP("NO_round_Qdot_spez", PAR!$F$1:$Y$5, 2, FALSE)</f>
        <v>#NUM!</v>
      </c>
      <c r="M8" t="e">
        <f ca="1">ROUND(clc_load!O75/HLOOKUP("NO_round_Qdot_spez", PAR!$F$1:$Y$5, 2, FALSE),0)*HLOOKUP("NO_round_Qdot_spez", PAR!$F$1:$Y$5, 2, FALSE)</f>
        <v>#NUM!</v>
      </c>
      <c r="N8" t="e">
        <f ca="1">ROUND(clc_load!P75/HLOOKUP("NO_round_Qdot_spez", PAR!$F$1:$Y$5, 2, FALSE),0)*HLOOKUP("NO_round_Qdot_spez", PAR!$F$1:$Y$5, 2, FALSE)</f>
        <v>#NUM!</v>
      </c>
      <c r="O8" t="e">
        <f ca="1">ROUND(clc_load!Q75/HLOOKUP("NO_round_Qdot_spez", PAR!$F$1:$Y$5, 2, FALSE),0)*HLOOKUP("NO_round_Qdot_spez", PAR!$F$1:$Y$5, 2, FALSE)</f>
        <v>#NUM!</v>
      </c>
      <c r="P8" t="e">
        <f ca="1">ROUND(clc_load!R75/HLOOKUP("NO_round_Qdot_spez", PAR!$F$1:$Y$5, 2, FALSE),0)*HLOOKUP("NO_round_Qdot_spez", PAR!$F$1:$Y$5, 2, FALSE)</f>
        <v>#NUM!</v>
      </c>
    </row>
    <row r="9" spans="1:23">
      <c r="A9" t="s">
        <v>733</v>
      </c>
      <c r="C9" t="s">
        <v>295</v>
      </c>
      <c r="G9">
        <f>IN_rooms!R3</f>
        <v>0</v>
      </c>
      <c r="H9" s="187">
        <f>IN_rooms!S3</f>
        <v>0</v>
      </c>
      <c r="I9" s="187">
        <f>IN_rooms!T3</f>
        <v>0</v>
      </c>
      <c r="J9" s="187">
        <f>IN_rooms!U3</f>
        <v>0</v>
      </c>
      <c r="K9" s="187">
        <f>IN_rooms!V3</f>
        <v>0</v>
      </c>
      <c r="L9" s="187">
        <f>IN_rooms!W3</f>
        <v>0</v>
      </c>
      <c r="M9" s="187">
        <f>IN_rooms!X3</f>
        <v>0</v>
      </c>
      <c r="N9" s="187">
        <f>IN_rooms!Y3</f>
        <v>0</v>
      </c>
      <c r="O9" s="187">
        <f>IN_rooms!Z3</f>
        <v>0</v>
      </c>
      <c r="P9" s="187">
        <f>IN_rooms!AA3</f>
        <v>0</v>
      </c>
    </row>
    <row r="10" spans="1:23">
      <c r="A10" s="122" t="s">
        <v>734</v>
      </c>
      <c r="B10" s="73"/>
      <c r="C10" s="73"/>
      <c r="D10" s="73"/>
      <c r="E10" s="73"/>
      <c r="F10" s="73"/>
      <c r="G10" s="205"/>
      <c r="H10" s="73"/>
      <c r="I10" s="73"/>
      <c r="J10" s="73"/>
      <c r="K10" s="73"/>
      <c r="L10" s="73"/>
      <c r="M10" s="73"/>
      <c r="N10" s="73"/>
      <c r="O10" s="73"/>
      <c r="P10" s="73"/>
    </row>
    <row r="11" spans="1:23">
      <c r="A11" t="s">
        <v>735</v>
      </c>
      <c r="B11" t="s">
        <v>119</v>
      </c>
      <c r="D11" t="s">
        <v>482</v>
      </c>
      <c r="G11" s="12" t="str">
        <f>IF(clc_load!I14&gt;0,clc_load!I16,"")</f>
        <v/>
      </c>
      <c r="H11" s="12" t="str">
        <f>IF(clc_load!J14&gt;0,clc_load!J16,"")</f>
        <v/>
      </c>
      <c r="I11" s="12" t="str">
        <f>IF(clc_load!K14&gt;0,clc_load!K16,"")</f>
        <v/>
      </c>
      <c r="J11" s="12" t="str">
        <f>IF(clc_load!L14&gt;0,clc_load!L16,"")</f>
        <v/>
      </c>
      <c r="K11" s="12" t="str">
        <f>IF(clc_load!M14&gt;0,clc_load!M16,"")</f>
        <v/>
      </c>
      <c r="L11" s="12" t="str">
        <f>IF(clc_load!N14&gt;0,clc_load!N16,"")</f>
        <v/>
      </c>
      <c r="M11" s="12" t="str">
        <f>IF(clc_load!O14&gt;0,clc_load!O16,"")</f>
        <v/>
      </c>
      <c r="N11" s="12" t="str">
        <f>IF(clc_load!P14&gt;0,clc_load!P16,"")</f>
        <v/>
      </c>
      <c r="O11" s="12" t="str">
        <f>IF(clc_load!Q14&gt;0,clc_load!Q16,"")</f>
        <v/>
      </c>
      <c r="P11" s="12" t="str">
        <f>IF(clc_load!R14&gt;0,clc_load!R16,"")</f>
        <v/>
      </c>
    </row>
    <row r="12" spans="1:23">
      <c r="A12" t="s">
        <v>736</v>
      </c>
      <c r="B12" t="s">
        <v>119</v>
      </c>
      <c r="D12" t="s">
        <v>31</v>
      </c>
      <c r="G12" s="12">
        <f>clc_load!I17</f>
        <v>0</v>
      </c>
      <c r="H12" s="12">
        <f>clc_load!J17</f>
        <v>0</v>
      </c>
      <c r="I12" s="12">
        <f>clc_load!K17</f>
        <v>0</v>
      </c>
      <c r="J12" s="12">
        <f>clc_load!L17</f>
        <v>0</v>
      </c>
      <c r="K12" s="12">
        <f>clc_load!M17</f>
        <v>0</v>
      </c>
      <c r="L12" s="12">
        <f>clc_load!N17</f>
        <v>0</v>
      </c>
      <c r="M12" s="12">
        <f>clc_load!O17</f>
        <v>0</v>
      </c>
      <c r="N12" s="12">
        <f>clc_load!P17</f>
        <v>0</v>
      </c>
      <c r="O12" s="12">
        <f>clc_load!Q17</f>
        <v>0</v>
      </c>
      <c r="P12" s="12">
        <f>clc_load!R17</f>
        <v>0</v>
      </c>
    </row>
    <row r="13" spans="1:23">
      <c r="A13" t="s">
        <v>737</v>
      </c>
      <c r="B13" t="s">
        <v>119</v>
      </c>
      <c r="D13" t="s">
        <v>30</v>
      </c>
      <c r="G13" s="188" t="e">
        <f ca="1">clc_load!I18</f>
        <v>#NUM!</v>
      </c>
      <c r="H13" s="188" t="e">
        <f ca="1">clc_load!J18</f>
        <v>#NUM!</v>
      </c>
      <c r="I13" s="188" t="e">
        <f ca="1">clc_load!K18</f>
        <v>#NUM!</v>
      </c>
      <c r="J13" s="188" t="e">
        <f ca="1">clc_load!L18</f>
        <v>#NUM!</v>
      </c>
      <c r="K13" s="188" t="e">
        <f ca="1">clc_load!M18</f>
        <v>#NUM!</v>
      </c>
      <c r="L13" s="188" t="e">
        <f ca="1">clc_load!N18</f>
        <v>#NUM!</v>
      </c>
      <c r="M13" s="188" t="e">
        <f ca="1">clc_load!O18</f>
        <v>#NUM!</v>
      </c>
      <c r="N13" s="188" t="e">
        <f ca="1">clc_load!P18</f>
        <v>#NUM!</v>
      </c>
      <c r="O13" s="188" t="e">
        <f ca="1">clc_load!Q18</f>
        <v>#NUM!</v>
      </c>
      <c r="P13" s="188" t="e">
        <f ca="1">clc_load!R18</f>
        <v>#NUM!</v>
      </c>
    </row>
    <row r="14" spans="1:23">
      <c r="A14" t="s">
        <v>738</v>
      </c>
      <c r="B14" t="s">
        <v>119</v>
      </c>
      <c r="D14" s="42" t="s">
        <v>113</v>
      </c>
      <c r="G14" t="e">
        <f ca="1">AND(G$11&gt;=HLOOKUP("U_opaque_lim", PAR!$F$1:$Y$5, 2, FALSE),G$13&gt;=HLOOKUP("r_worst_lim", PAR!$F$1:$Y$5, 2, FALSE))</f>
        <v>#NUM!</v>
      </c>
      <c r="H14" t="e">
        <f ca="1">AND(H$11&gt;=HLOOKUP("U_opaque_lim", PAR!$F$1:$Y$5, 2, FALSE),H$13&gt;=HLOOKUP("r_worst_lim", PAR!$F$1:$Y$5, 2, FALSE))</f>
        <v>#NUM!</v>
      </c>
      <c r="I14" t="e">
        <f ca="1">AND(I$11&gt;=HLOOKUP("U_opaque_lim", PAR!$F$1:$Y$5, 2, FALSE),I$13&gt;=HLOOKUP("r_worst_lim", PAR!$F$1:$Y$5, 2, FALSE))</f>
        <v>#NUM!</v>
      </c>
      <c r="J14" t="e">
        <f ca="1">AND(J$11&gt;=HLOOKUP("U_opaque_lim", PAR!$F$1:$Y$5, 2, FALSE),J$13&gt;=HLOOKUP("r_worst_lim", PAR!$F$1:$Y$5, 2, FALSE))</f>
        <v>#NUM!</v>
      </c>
      <c r="K14" t="e">
        <f ca="1">AND(K$11&gt;=HLOOKUP("U_opaque_lim", PAR!$F$1:$Y$5, 2, FALSE),K$13&gt;=HLOOKUP("r_worst_lim", PAR!$F$1:$Y$5, 2, FALSE))</f>
        <v>#NUM!</v>
      </c>
      <c r="L14" t="e">
        <f ca="1">AND(L$11&gt;=HLOOKUP("U_opaque_lim", PAR!$F$1:$Y$5, 2, FALSE),L$13&gt;=HLOOKUP("r_worst_lim", PAR!$F$1:$Y$5, 2, FALSE))</f>
        <v>#NUM!</v>
      </c>
      <c r="M14" t="e">
        <f ca="1">AND(M$11&gt;=HLOOKUP("U_opaque_lim", PAR!$F$1:$Y$5, 2, FALSE),M$13&gt;=HLOOKUP("r_worst_lim", PAR!$F$1:$Y$5, 2, FALSE))</f>
        <v>#NUM!</v>
      </c>
      <c r="N14" t="e">
        <f ca="1">AND(N$11&gt;=HLOOKUP("U_opaque_lim", PAR!$F$1:$Y$5, 2, FALSE),N$13&gt;=HLOOKUP("r_worst_lim", PAR!$F$1:$Y$5, 2, FALSE))</f>
        <v>#NUM!</v>
      </c>
      <c r="O14" t="e">
        <f ca="1">AND(O$11&gt;=HLOOKUP("U_opaque_lim", PAR!$F$1:$Y$5, 2, FALSE),O$13&gt;=HLOOKUP("r_worst_lim", PAR!$F$1:$Y$5, 2, FALSE))</f>
        <v>#NUM!</v>
      </c>
      <c r="P14" t="e">
        <f ca="1">AND(P$11&gt;=HLOOKUP("U_opaque_lim", PAR!$F$1:$Y$5, 2, FALSE),P$13&gt;=HLOOKUP("r_worst_lim", PAR!$F$1:$Y$5, 2, FALSE))</f>
        <v>#NUM!</v>
      </c>
    </row>
    <row r="15" spans="1:23">
      <c r="A15" t="s">
        <v>735</v>
      </c>
      <c r="B15" t="s">
        <v>341</v>
      </c>
      <c r="D15" t="s">
        <v>482</v>
      </c>
      <c r="G15" s="12" t="str">
        <f>IF(clc_load!I19,clc_load!I21,"")</f>
        <v/>
      </c>
      <c r="H15" s="12" t="str">
        <f>IF(clc_load!J19,clc_load!J21,"")</f>
        <v/>
      </c>
      <c r="I15" s="12" t="str">
        <f>IF(clc_load!K19,clc_load!K21,"")</f>
        <v/>
      </c>
      <c r="J15" s="12" t="str">
        <f>IF(clc_load!L19,clc_load!L21,"")</f>
        <v/>
      </c>
      <c r="K15" s="12" t="str">
        <f>IF(clc_load!M19,clc_load!M21,"")</f>
        <v/>
      </c>
      <c r="L15" s="12" t="str">
        <f>IF(clc_load!N19,clc_load!N21,"")</f>
        <v/>
      </c>
      <c r="M15" s="12" t="str">
        <f>IF(clc_load!O19,clc_load!O21,"")</f>
        <v/>
      </c>
      <c r="N15" s="12" t="str">
        <f>IF(clc_load!P19,clc_load!P21,"")</f>
        <v/>
      </c>
      <c r="O15" s="12" t="str">
        <f>IF(clc_load!Q19,clc_load!Q21,"")</f>
        <v/>
      </c>
      <c r="P15" s="12" t="str">
        <f>IF(clc_load!R19,clc_load!R21,"")</f>
        <v/>
      </c>
    </row>
    <row r="16" spans="1:23">
      <c r="A16" t="s">
        <v>736</v>
      </c>
      <c r="B16" t="s">
        <v>341</v>
      </c>
      <c r="D16" t="s">
        <v>31</v>
      </c>
      <c r="G16" s="12">
        <f>clc_load!I22</f>
        <v>0</v>
      </c>
      <c r="H16" s="12">
        <f>clc_load!J22</f>
        <v>0</v>
      </c>
      <c r="I16" s="12">
        <f>clc_load!K22</f>
        <v>0</v>
      </c>
      <c r="J16" s="12">
        <f>clc_load!L22</f>
        <v>0</v>
      </c>
      <c r="K16" s="12">
        <f>clc_load!M22</f>
        <v>0</v>
      </c>
      <c r="L16" s="12">
        <f>clc_load!N22</f>
        <v>0</v>
      </c>
      <c r="M16" s="12">
        <f>clc_load!O22</f>
        <v>0</v>
      </c>
      <c r="N16" s="12">
        <f>clc_load!P22</f>
        <v>0</v>
      </c>
      <c r="O16" s="12">
        <f>clc_load!Q22</f>
        <v>0</v>
      </c>
      <c r="P16" s="12">
        <f>clc_load!R22</f>
        <v>0</v>
      </c>
    </row>
    <row r="17" spans="1:16">
      <c r="A17" t="s">
        <v>737</v>
      </c>
      <c r="B17" t="s">
        <v>341</v>
      </c>
      <c r="D17" t="s">
        <v>30</v>
      </c>
      <c r="G17" s="12">
        <f>clc_load!I23</f>
        <v>0</v>
      </c>
      <c r="H17" s="12">
        <f>clc_load!J23</f>
        <v>0</v>
      </c>
      <c r="I17" s="12">
        <f>clc_load!K23</f>
        <v>0</v>
      </c>
      <c r="J17" s="12">
        <f>clc_load!L23</f>
        <v>0</v>
      </c>
      <c r="K17" s="12">
        <f>clc_load!M23</f>
        <v>0</v>
      </c>
      <c r="L17" s="12">
        <f>clc_load!N23</f>
        <v>0</v>
      </c>
      <c r="M17" s="12">
        <f>clc_load!O23</f>
        <v>0</v>
      </c>
      <c r="N17" s="12">
        <f>clc_load!P23</f>
        <v>0</v>
      </c>
      <c r="O17" s="12">
        <f>clc_load!Q23</f>
        <v>0</v>
      </c>
      <c r="P17" s="12">
        <f>clc_load!R23</f>
        <v>0</v>
      </c>
    </row>
    <row r="18" spans="1:16">
      <c r="A18" t="s">
        <v>738</v>
      </c>
      <c r="B18" t="s">
        <v>341</v>
      </c>
      <c r="D18" s="42" t="s">
        <v>113</v>
      </c>
      <c r="G18" t="b">
        <f>AND(G$15&gt;=HLOOKUP("U_opaque_lim", PAR!$F$1:$Y$5, 2, FALSE),G$17&gt;=HLOOKUP("r_worst_lim", PAR!$F$1:$Y$5, 2, FALSE))</f>
        <v>0</v>
      </c>
      <c r="H18" t="b">
        <f>AND(H$15&gt;=HLOOKUP("U_opaque_lim", PAR!$F$1:$Y$5, 2, FALSE),H$17&gt;=HLOOKUP("r_worst_lim", PAR!$F$1:$Y$5, 2, FALSE))</f>
        <v>0</v>
      </c>
      <c r="I18" t="b">
        <f>AND(I$15&gt;=HLOOKUP("U_opaque_lim", PAR!$F$1:$Y$5, 2, FALSE),I$17&gt;=HLOOKUP("r_worst_lim", PAR!$F$1:$Y$5, 2, FALSE))</f>
        <v>0</v>
      </c>
      <c r="J18" t="b">
        <f>AND(J$15&gt;=HLOOKUP("U_opaque_lim", PAR!$F$1:$Y$5, 2, FALSE),J$17&gt;=HLOOKUP("r_worst_lim", PAR!$F$1:$Y$5, 2, FALSE))</f>
        <v>0</v>
      </c>
      <c r="K18" t="b">
        <f>AND(K$15&gt;=HLOOKUP("U_opaque_lim", PAR!$F$1:$Y$5, 2, FALSE),K$17&gt;=HLOOKUP("r_worst_lim", PAR!$F$1:$Y$5, 2, FALSE))</f>
        <v>0</v>
      </c>
      <c r="L18" t="b">
        <f>AND(L$15&gt;=HLOOKUP("U_opaque_lim", PAR!$F$1:$Y$5, 2, FALSE),L$17&gt;=HLOOKUP("r_worst_lim", PAR!$F$1:$Y$5, 2, FALSE))</f>
        <v>0</v>
      </c>
      <c r="M18" t="b">
        <f>AND(M$15&gt;=HLOOKUP("U_opaque_lim", PAR!$F$1:$Y$5, 2, FALSE),M$17&gt;=HLOOKUP("r_worst_lim", PAR!$F$1:$Y$5, 2, FALSE))</f>
        <v>0</v>
      </c>
      <c r="N18" t="b">
        <f>AND(N$15&gt;=HLOOKUP("U_opaque_lim", PAR!$F$1:$Y$5, 2, FALSE),N$17&gt;=HLOOKUP("r_worst_lim", PAR!$F$1:$Y$5, 2, FALSE))</f>
        <v>0</v>
      </c>
      <c r="O18" t="b">
        <f>AND(O$15&gt;=HLOOKUP("U_opaque_lim", PAR!$F$1:$Y$5, 2, FALSE),O$17&gt;=HLOOKUP("r_worst_lim", PAR!$F$1:$Y$5, 2, FALSE))</f>
        <v>0</v>
      </c>
      <c r="P18" t="b">
        <f>AND(P$15&gt;=HLOOKUP("U_opaque_lim", PAR!$F$1:$Y$5, 2, FALSE),P$17&gt;=HLOOKUP("r_worst_lim", PAR!$F$1:$Y$5, 2, FALSE))</f>
        <v>0</v>
      </c>
    </row>
    <row r="19" spans="1:16">
      <c r="A19" t="s">
        <v>735</v>
      </c>
      <c r="B19" t="s">
        <v>129</v>
      </c>
      <c r="D19" t="s">
        <v>482</v>
      </c>
      <c r="G19" s="12" t="str" cm="1">
        <f t="array" ref="G19">_xlfn.LET(
  _xlpm.cond, CHOOSE({1,2,3,4,5}, clc_load!I42, clc_load!I48, clc_load!I54, clc_load!I60, clc_load!I66),
  _xlpm.val, CHOOSE({1,2,3,4,5}, clc_load!I45, clc_load!I51, clc_load!I57, clc_load!I63, clc_load!I69),
  _xlpm.valid, _xlpm.cond&gt;0,
  _xlpm.f_val, _xlfn._xlws.FILTER(_xlpm.val, _xlpm.valid),
  _xlpm.f_wgt, _xlfn._xlws.FILTER(_xlpm.cond, _xlpm.valid),
  _xlpm.wgt_sum, SUM(_xlpm.f_wgt),
  _xlpm.wgt_avg, IF(_xlpm.wgt_sum&gt;0, SUMPRODUCT(_xlpm.f_val, _xlpm.f_wgt)/_xlpm.wgt_sum, ""),
  IF(SUM(--_xlpm.valid)=0, "", _xlpm.wgt_avg)
)</f>
        <v/>
      </c>
      <c r="H19" s="12" t="str" cm="1">
        <f t="array" ref="H19">_xlfn.LET(
  _xlpm.cond, CHOOSE({1,2,3,4,5}, clc_load!J42, clc_load!J48, clc_load!J54, clc_load!J60, clc_load!J66),
  _xlpm.val, CHOOSE({1,2,3,4,5}, clc_load!J45, clc_load!J51, clc_load!J57, clc_load!J63, clc_load!J69),
  _xlpm.valid, _xlpm.cond&gt;0,
  _xlpm.f_val, _xlfn._xlws.FILTER(_xlpm.val, _xlpm.valid),
  _xlpm.f_wgt, _xlfn._xlws.FILTER(_xlpm.cond, _xlpm.valid),
  _xlpm.wgt_sum, SUM(_xlpm.f_wgt),
  _xlpm.wgt_avg, IF(_xlpm.wgt_sum&gt;0, SUMPRODUCT(_xlpm.f_val, _xlpm.f_wgt)/_xlpm.wgt_sum, ""),
  IF(SUM(--_xlpm.valid)=0, "", _xlpm.wgt_avg)
)</f>
        <v/>
      </c>
      <c r="I19" s="12" t="str" cm="1">
        <f t="array" ref="I19">_xlfn.LET(
  _xlpm.cond, CHOOSE({1,2,3,4,5}, clc_load!K42, clc_load!K48, clc_load!K54, clc_load!K60, clc_load!K66),
  _xlpm.val, CHOOSE({1,2,3,4,5}, clc_load!K45, clc_load!K51, clc_load!K57, clc_load!K63, clc_load!K69),
  _xlpm.valid, _xlpm.cond&gt;0,
  _xlpm.f_val, _xlfn._xlws.FILTER(_xlpm.val, _xlpm.valid),
  _xlpm.f_wgt, _xlfn._xlws.FILTER(_xlpm.cond, _xlpm.valid),
  _xlpm.wgt_sum, SUM(_xlpm.f_wgt),
  _xlpm.wgt_avg, IF(_xlpm.wgt_sum&gt;0, SUMPRODUCT(_xlpm.f_val, _xlpm.f_wgt)/_xlpm.wgt_sum, ""),
  IF(SUM(--_xlpm.valid)=0, "", _xlpm.wgt_avg)
)</f>
        <v/>
      </c>
      <c r="J19" s="12" t="str" cm="1">
        <f t="array" ref="J19">_xlfn.LET(
  _xlpm.cond, CHOOSE({1,2,3,4,5}, clc_load!L42, clc_load!L48, clc_load!L54, clc_load!L60, clc_load!L66),
  _xlpm.val, CHOOSE({1,2,3,4,5}, clc_load!L45, clc_load!L51, clc_load!L57, clc_load!L63, clc_load!L69),
  _xlpm.valid, _xlpm.cond&gt;0,
  _xlpm.f_val, _xlfn._xlws.FILTER(_xlpm.val, _xlpm.valid),
  _xlpm.f_wgt, _xlfn._xlws.FILTER(_xlpm.cond, _xlpm.valid),
  _xlpm.wgt_sum, SUM(_xlpm.f_wgt),
  _xlpm.wgt_avg, IF(_xlpm.wgt_sum&gt;0, SUMPRODUCT(_xlpm.f_val, _xlpm.f_wgt)/_xlpm.wgt_sum, ""),
  IF(SUM(--_xlpm.valid)=0, "", _xlpm.wgt_avg)
)</f>
        <v/>
      </c>
      <c r="K19" s="12" t="str" cm="1">
        <f t="array" ref="K19">_xlfn.LET(
  _xlpm.cond, CHOOSE({1,2,3,4,5}, clc_load!M42, clc_load!M48, clc_load!M54, clc_load!M60, clc_load!M66),
  _xlpm.val, CHOOSE({1,2,3,4,5}, clc_load!M45, clc_load!M51, clc_load!M57, clc_load!M63, clc_load!M69),
  _xlpm.valid, _xlpm.cond&gt;0,
  _xlpm.f_val, _xlfn._xlws.FILTER(_xlpm.val, _xlpm.valid),
  _xlpm.f_wgt, _xlfn._xlws.FILTER(_xlpm.cond, _xlpm.valid),
  _xlpm.wgt_sum, SUM(_xlpm.f_wgt),
  _xlpm.wgt_avg, IF(_xlpm.wgt_sum&gt;0, SUMPRODUCT(_xlpm.f_val, _xlpm.f_wgt)/_xlpm.wgt_sum, ""),
  IF(SUM(--_xlpm.valid)=0, "", _xlpm.wgt_avg)
)</f>
        <v/>
      </c>
      <c r="L19" s="12" t="str" cm="1">
        <f t="array" ref="L19">_xlfn.LET(
  _xlpm.cond, CHOOSE({1,2,3,4,5}, clc_load!N42, clc_load!N48, clc_load!N54, clc_load!N60, clc_load!N66),
  _xlpm.val, CHOOSE({1,2,3,4,5}, clc_load!N45, clc_load!N51, clc_load!N57, clc_load!N63, clc_load!N69),
  _xlpm.valid, _xlpm.cond&gt;0,
  _xlpm.f_val, _xlfn._xlws.FILTER(_xlpm.val, _xlpm.valid),
  _xlpm.f_wgt, _xlfn._xlws.FILTER(_xlpm.cond, _xlpm.valid),
  _xlpm.wgt_sum, SUM(_xlpm.f_wgt),
  _xlpm.wgt_avg, IF(_xlpm.wgt_sum&gt;0, SUMPRODUCT(_xlpm.f_val, _xlpm.f_wgt)/_xlpm.wgt_sum, ""),
  IF(SUM(--_xlpm.valid)=0, "", _xlpm.wgt_avg)
)</f>
        <v/>
      </c>
      <c r="M19" s="12" t="str" cm="1">
        <f t="array" ref="M19">_xlfn.LET(
  _xlpm.cond, CHOOSE({1,2,3,4,5}, clc_load!O42, clc_load!O48, clc_load!O54, clc_load!O60, clc_load!O66),
  _xlpm.val, CHOOSE({1,2,3,4,5}, clc_load!O45, clc_load!O51, clc_load!O57, clc_load!O63, clc_load!O69),
  _xlpm.valid, _xlpm.cond&gt;0,
  _xlpm.f_val, _xlfn._xlws.FILTER(_xlpm.val, _xlpm.valid),
  _xlpm.f_wgt, _xlfn._xlws.FILTER(_xlpm.cond, _xlpm.valid),
  _xlpm.wgt_sum, SUM(_xlpm.f_wgt),
  _xlpm.wgt_avg, IF(_xlpm.wgt_sum&gt;0, SUMPRODUCT(_xlpm.f_val, _xlpm.f_wgt)/_xlpm.wgt_sum, ""),
  IF(SUM(--_xlpm.valid)=0, "", _xlpm.wgt_avg)
)</f>
        <v/>
      </c>
      <c r="N19" s="12" t="str" cm="1">
        <f t="array" ref="N19">_xlfn.LET(
  _xlpm.cond, CHOOSE({1,2,3,4,5}, clc_load!P42, clc_load!P48, clc_load!P54, clc_load!P60, clc_load!P66),
  _xlpm.val, CHOOSE({1,2,3,4,5}, clc_load!P45, clc_load!P51, clc_load!P57, clc_load!P63, clc_load!P69),
  _xlpm.valid, _xlpm.cond&gt;0,
  _xlpm.f_val, _xlfn._xlws.FILTER(_xlpm.val, _xlpm.valid),
  _xlpm.f_wgt, _xlfn._xlws.FILTER(_xlpm.cond, _xlpm.valid),
  _xlpm.wgt_sum, SUM(_xlpm.f_wgt),
  _xlpm.wgt_avg, IF(_xlpm.wgt_sum&gt;0, SUMPRODUCT(_xlpm.f_val, _xlpm.f_wgt)/_xlpm.wgt_sum, ""),
  IF(SUM(--_xlpm.valid)=0, "", _xlpm.wgt_avg)
)</f>
        <v/>
      </c>
      <c r="O19" s="12" t="str" cm="1">
        <f t="array" ref="O19">_xlfn.LET(
  _xlpm.cond, CHOOSE({1,2,3,4,5}, clc_load!Q42, clc_load!Q48, clc_load!Q54, clc_load!Q60, clc_load!Q66),
  _xlpm.val, CHOOSE({1,2,3,4,5}, clc_load!Q45, clc_load!Q51, clc_load!Q57, clc_load!Q63, clc_load!Q69),
  _xlpm.valid, _xlpm.cond&gt;0,
  _xlpm.f_val, _xlfn._xlws.FILTER(_xlpm.val, _xlpm.valid),
  _xlpm.f_wgt, _xlfn._xlws.FILTER(_xlpm.cond, _xlpm.valid),
  _xlpm.wgt_sum, SUM(_xlpm.f_wgt),
  _xlpm.wgt_avg, IF(_xlpm.wgt_sum&gt;0, SUMPRODUCT(_xlpm.f_val, _xlpm.f_wgt)/_xlpm.wgt_sum, ""),
  IF(SUM(--_xlpm.valid)=0, "", _xlpm.wgt_avg)
)</f>
        <v/>
      </c>
      <c r="P19" s="12" t="str" cm="1">
        <f t="array" ref="P19">_xlfn.LET(
  _xlpm.cond, CHOOSE({1,2,3,4,5}, clc_load!R42, clc_load!R48, clc_load!R54, clc_load!R60, clc_load!R66),
  _xlpm.val, CHOOSE({1,2,3,4,5}, clc_load!R45, clc_load!R51, clc_load!R57, clc_load!R63, clc_load!R69),
  _xlpm.valid, _xlpm.cond&gt;0,
  _xlpm.f_val, _xlfn._xlws.FILTER(_xlpm.val, _xlpm.valid),
  _xlpm.f_wgt, _xlfn._xlws.FILTER(_xlpm.cond, _xlpm.valid),
  _xlpm.wgt_sum, SUM(_xlpm.f_wgt),
  _xlpm.wgt_avg, IF(_xlpm.wgt_sum&gt;0, SUMPRODUCT(_xlpm.f_val, _xlpm.f_wgt)/_xlpm.wgt_sum, ""),
  IF(SUM(--_xlpm.valid)=0, "", _xlpm.wgt_avg)
)</f>
        <v/>
      </c>
    </row>
    <row r="20" spans="1:16">
      <c r="A20" t="s">
        <v>736</v>
      </c>
      <c r="B20" t="s">
        <v>129</v>
      </c>
      <c r="D20" t="s">
        <v>31</v>
      </c>
      <c r="G20" s="13" t="e">
        <f ca="1">(clc_load!I46+clc_load!I52+clc_load!I58+clc_load!I64+clc_load!I70)</f>
        <v>#NUM!</v>
      </c>
      <c r="H20" s="13" t="e">
        <f ca="1">(clc_load!J46+clc_load!J52+clc_load!J58+clc_load!J64+clc_load!J70)</f>
        <v>#NUM!</v>
      </c>
      <c r="I20" s="13" t="e">
        <f ca="1">(clc_load!K46+clc_load!K52+clc_load!K58+clc_load!K64+clc_load!K70)</f>
        <v>#NUM!</v>
      </c>
      <c r="J20" s="13" t="e">
        <f ca="1">(clc_load!L46+clc_load!L52+clc_load!L58+clc_load!L64+clc_load!L70)</f>
        <v>#NUM!</v>
      </c>
      <c r="K20" s="13" t="e">
        <f ca="1">(clc_load!M46+clc_load!M52+clc_load!M58+clc_load!M64+clc_load!M70)</f>
        <v>#NUM!</v>
      </c>
      <c r="L20" s="13" t="e">
        <f ca="1">(clc_load!N46+clc_load!N52+clc_load!N58+clc_load!N64+clc_load!N70)</f>
        <v>#NUM!</v>
      </c>
      <c r="M20" s="13" t="e">
        <f ca="1">(clc_load!O46+clc_load!O52+clc_load!O58+clc_load!O64+clc_load!O70)</f>
        <v>#NUM!</v>
      </c>
      <c r="N20" s="13" t="e">
        <f ca="1">(clc_load!P46+clc_load!P52+clc_load!P58+clc_load!P64+clc_load!P70)</f>
        <v>#NUM!</v>
      </c>
      <c r="O20" s="13" t="e">
        <f ca="1">(clc_load!Q46+clc_load!Q52+clc_load!Q58+clc_load!Q64+clc_load!Q70)</f>
        <v>#NUM!</v>
      </c>
      <c r="P20" s="13" t="e">
        <f ca="1">(clc_load!R46+clc_load!R52+clc_load!R58+clc_load!R64+clc_load!R70)</f>
        <v>#NUM!</v>
      </c>
    </row>
    <row r="21" spans="1:16">
      <c r="A21" t="s">
        <v>737</v>
      </c>
      <c r="B21" t="s">
        <v>129</v>
      </c>
      <c r="D21" t="s">
        <v>30</v>
      </c>
      <c r="G21" s="40" t="e">
        <f ca="1">clc_load!I47+clc_load!I53+clc_load!I59+clc_load!I65+clc_load!I71</f>
        <v>#NUM!</v>
      </c>
      <c r="H21" s="40" t="e">
        <f ca="1">clc_load!J47+clc_load!J53+clc_load!J59+clc_load!J65+clc_load!J71</f>
        <v>#NUM!</v>
      </c>
      <c r="I21" s="40" t="e">
        <f ca="1">clc_load!K47+clc_load!K53+clc_load!K59+clc_load!K65+clc_load!K71</f>
        <v>#NUM!</v>
      </c>
      <c r="J21" s="40" t="e">
        <f ca="1">clc_load!L47+clc_load!L53+clc_load!L59+clc_load!L65+clc_load!L71</f>
        <v>#NUM!</v>
      </c>
      <c r="K21" s="40" t="e">
        <f ca="1">clc_load!M47+clc_load!M53+clc_load!M59+clc_load!M65+clc_load!M71</f>
        <v>#NUM!</v>
      </c>
      <c r="L21" s="40" t="e">
        <f ca="1">clc_load!N47+clc_load!N53+clc_load!N59+clc_load!N65+clc_load!N71</f>
        <v>#NUM!</v>
      </c>
      <c r="M21" s="40" t="e">
        <f ca="1">clc_load!O47+clc_load!O53+clc_load!O59+clc_load!O65+clc_load!O71</f>
        <v>#NUM!</v>
      </c>
      <c r="N21" s="40" t="e">
        <f ca="1">clc_load!P47+clc_load!P53+clc_load!P59+clc_load!P65+clc_load!P71</f>
        <v>#NUM!</v>
      </c>
      <c r="O21" s="40" t="e">
        <f ca="1">clc_load!Q47+clc_load!Q53+clc_load!Q59+clc_load!Q65+clc_load!Q71</f>
        <v>#NUM!</v>
      </c>
      <c r="P21" s="40" t="e">
        <f ca="1">clc_load!R47+clc_load!R53+clc_load!R59+clc_load!R65+clc_load!R71</f>
        <v>#NUM!</v>
      </c>
    </row>
    <row r="22" spans="1:16">
      <c r="A22" t="s">
        <v>738</v>
      </c>
      <c r="B22" t="s">
        <v>129</v>
      </c>
      <c r="D22" s="42" t="s">
        <v>113</v>
      </c>
      <c r="G22" t="e">
        <f ca="1">AND(G$19&gt;=HLOOKUP("U_win_lim", PAR!$F$1:$Y$5, 2, FALSE),G$21&gt;=HLOOKUP("r_worst_lim", PAR!$F$1:$Y$5, 2, FALSE))</f>
        <v>#NUM!</v>
      </c>
      <c r="H22" t="e">
        <f ca="1">AND(H$19&gt;=HLOOKUP("U_win_lim", PAR!$F$1:$Y$5, 2, FALSE),H$21&gt;=HLOOKUP("r_worst_lim", PAR!$F$1:$Y$5, 2, FALSE))</f>
        <v>#NUM!</v>
      </c>
      <c r="I22" t="e">
        <f ca="1">AND(I$19&gt;=HLOOKUP("U_win_lim", PAR!$F$1:$Y$5, 2, FALSE),I$21&gt;=HLOOKUP("r_worst_lim", PAR!$F$1:$Y$5, 2, FALSE))</f>
        <v>#NUM!</v>
      </c>
      <c r="J22" t="e">
        <f ca="1">AND(J$19&gt;=HLOOKUP("U_win_lim", PAR!$F$1:$Y$5, 2, FALSE),J$21&gt;=HLOOKUP("r_worst_lim", PAR!$F$1:$Y$5, 2, FALSE))</f>
        <v>#NUM!</v>
      </c>
      <c r="K22" t="e">
        <f ca="1">AND(K$19&gt;=HLOOKUP("U_win_lim", PAR!$F$1:$Y$5, 2, FALSE),K$21&gt;=HLOOKUP("r_worst_lim", PAR!$F$1:$Y$5, 2, FALSE))</f>
        <v>#NUM!</v>
      </c>
      <c r="L22" t="e">
        <f ca="1">AND(L$19&gt;=HLOOKUP("U_win_lim", PAR!$F$1:$Y$5, 2, FALSE),L$21&gt;=HLOOKUP("r_worst_lim", PAR!$F$1:$Y$5, 2, FALSE))</f>
        <v>#NUM!</v>
      </c>
      <c r="M22" t="e">
        <f ca="1">AND(M$19&gt;=HLOOKUP("U_win_lim", PAR!$F$1:$Y$5, 2, FALSE),M$21&gt;=HLOOKUP("r_worst_lim", PAR!$F$1:$Y$5, 2, FALSE))</f>
        <v>#NUM!</v>
      </c>
      <c r="N22" t="e">
        <f ca="1">AND(N$19&gt;=HLOOKUP("U_win_lim", PAR!$F$1:$Y$5, 2, FALSE),N$21&gt;=HLOOKUP("r_worst_lim", PAR!$F$1:$Y$5, 2, FALSE))</f>
        <v>#NUM!</v>
      </c>
      <c r="O22" t="e">
        <f ca="1">AND(O$19&gt;=HLOOKUP("U_win_lim", PAR!$F$1:$Y$5, 2, FALSE),O$21&gt;=HLOOKUP("r_worst_lim", PAR!$F$1:$Y$5, 2, FALSE))</f>
        <v>#NUM!</v>
      </c>
      <c r="P22" t="e">
        <f ca="1">AND(P$19&gt;=HLOOKUP("U_win_lim", PAR!$F$1:$Y$5, 2, FALSE),P$21&gt;=HLOOKUP("r_worst_lim", PAR!$F$1:$Y$5, 2, FALSE))</f>
        <v>#NUM!</v>
      </c>
    </row>
    <row r="23" spans="1:16">
      <c r="A23" t="s">
        <v>735</v>
      </c>
      <c r="B23" t="s">
        <v>131</v>
      </c>
      <c r="D23" t="s">
        <v>482</v>
      </c>
      <c r="G23" s="12" t="str">
        <f>IF(clc_load!I26&gt;0,clc_load!I28,"")</f>
        <v/>
      </c>
      <c r="H23" s="12" t="str">
        <f>IF(clc_load!J26&gt;0,clc_load!J28,"")</f>
        <v/>
      </c>
      <c r="I23" s="12" t="str">
        <f>IF(clc_load!K26&gt;0,clc_load!K28,"")</f>
        <v/>
      </c>
      <c r="J23" s="12" t="str">
        <f>IF(clc_load!L26&gt;0,clc_load!L28,"")</f>
        <v/>
      </c>
      <c r="K23" s="12" t="str">
        <f>IF(clc_load!M26&gt;0,clc_load!M28,"")</f>
        <v/>
      </c>
      <c r="L23" s="12" t="str">
        <f>IF(clc_load!N26&gt;0,clc_load!N28,"")</f>
        <v/>
      </c>
      <c r="M23" s="12" t="str">
        <f>IF(clc_load!O26&gt;0,clc_load!O28,"")</f>
        <v/>
      </c>
      <c r="N23" s="12" t="str">
        <f>IF(clc_load!P26&gt;0,clc_load!P28,"")</f>
        <v/>
      </c>
      <c r="O23" s="12" t="str">
        <f>IF(clc_load!Q26&gt;0,clc_load!Q28,"")</f>
        <v/>
      </c>
      <c r="P23" s="12" t="str">
        <f>IF(clc_load!R26&gt;0,clc_load!R28,"")</f>
        <v/>
      </c>
    </row>
    <row r="24" spans="1:16">
      <c r="A24" t="s">
        <v>736</v>
      </c>
      <c r="B24" t="s">
        <v>131</v>
      </c>
      <c r="D24" t="s">
        <v>31</v>
      </c>
      <c r="G24" s="13">
        <f>clc_load!I29</f>
        <v>0</v>
      </c>
      <c r="H24" s="13">
        <f>clc_load!J29</f>
        <v>0</v>
      </c>
      <c r="I24" s="13">
        <f>clc_load!K29</f>
        <v>0</v>
      </c>
      <c r="J24" s="13">
        <f>clc_load!L29</f>
        <v>0</v>
      </c>
      <c r="K24" s="13">
        <f>clc_load!M29</f>
        <v>0</v>
      </c>
      <c r="L24" s="13">
        <f>clc_load!N29</f>
        <v>0</v>
      </c>
      <c r="M24" s="13">
        <f>clc_load!O29</f>
        <v>0</v>
      </c>
      <c r="N24" s="13">
        <f>clc_load!P29</f>
        <v>0</v>
      </c>
      <c r="O24" s="13">
        <f>clc_load!Q29</f>
        <v>0</v>
      </c>
      <c r="P24" s="13">
        <f>clc_load!R29</f>
        <v>0</v>
      </c>
    </row>
    <row r="25" spans="1:16">
      <c r="A25" t="s">
        <v>737</v>
      </c>
      <c r="B25" t="s">
        <v>131</v>
      </c>
      <c r="D25" t="s">
        <v>30</v>
      </c>
      <c r="G25" s="188" t="e">
        <f ca="1">clc_load!I30</f>
        <v>#NUM!</v>
      </c>
      <c r="H25" s="188" t="e">
        <f ca="1">clc_load!J30</f>
        <v>#NUM!</v>
      </c>
      <c r="I25" s="188" t="e">
        <f ca="1">clc_load!K30</f>
        <v>#NUM!</v>
      </c>
      <c r="J25" s="188" t="e">
        <f ca="1">clc_load!L30</f>
        <v>#NUM!</v>
      </c>
      <c r="K25" s="188" t="e">
        <f ca="1">clc_load!M30</f>
        <v>#NUM!</v>
      </c>
      <c r="L25" s="188" t="e">
        <f ca="1">clc_load!N30</f>
        <v>#NUM!</v>
      </c>
      <c r="M25" s="188" t="e">
        <f ca="1">clc_load!O30</f>
        <v>#NUM!</v>
      </c>
      <c r="N25" s="188" t="e">
        <f ca="1">clc_load!P30</f>
        <v>#NUM!</v>
      </c>
      <c r="O25" s="188" t="e">
        <f ca="1">clc_load!Q30</f>
        <v>#NUM!</v>
      </c>
      <c r="P25" s="188" t="e">
        <f ca="1">clc_load!R30</f>
        <v>#NUM!</v>
      </c>
    </row>
    <row r="26" spans="1:16">
      <c r="A26" t="s">
        <v>738</v>
      </c>
      <c r="B26" t="s">
        <v>131</v>
      </c>
      <c r="D26" s="42" t="s">
        <v>113</v>
      </c>
      <c r="G26" t="e">
        <f ca="1">AND(G$23&gt;=HLOOKUP("U_opaque_lim", PAR!$F$1:$Y$5, 2, FALSE),G$25&gt;=HLOOKUP("r_worst_lim", PAR!$F$1:$Y$5, 2, FALSE))</f>
        <v>#NUM!</v>
      </c>
      <c r="H26" t="e">
        <f ca="1">AND(H$23&gt;=HLOOKUP("U_opaque_lim", PAR!$F$1:$Y$5, 2, FALSE),H$25&gt;=HLOOKUP("r_worst_lim", PAR!$F$1:$Y$5, 2, FALSE))</f>
        <v>#NUM!</v>
      </c>
      <c r="I26" t="e">
        <f ca="1">AND(I$23&gt;=HLOOKUP("U_opaque_lim", PAR!$F$1:$Y$5, 2, FALSE),I$25&gt;=HLOOKUP("r_worst_lim", PAR!$F$1:$Y$5, 2, FALSE))</f>
        <v>#NUM!</v>
      </c>
      <c r="J26" t="e">
        <f ca="1">AND(J$23&gt;=HLOOKUP("U_opaque_lim", PAR!$F$1:$Y$5, 2, FALSE),J$25&gt;=HLOOKUP("r_worst_lim", PAR!$F$1:$Y$5, 2, FALSE))</f>
        <v>#NUM!</v>
      </c>
      <c r="K26" t="e">
        <f ca="1">AND(K$23&gt;=HLOOKUP("U_opaque_lim", PAR!$F$1:$Y$5, 2, FALSE),K$25&gt;=HLOOKUP("r_worst_lim", PAR!$F$1:$Y$5, 2, FALSE))</f>
        <v>#NUM!</v>
      </c>
      <c r="L26" t="e">
        <f ca="1">AND(L$23&gt;=HLOOKUP("U_opaque_lim", PAR!$F$1:$Y$5, 2, FALSE),L$25&gt;=HLOOKUP("r_worst_lim", PAR!$F$1:$Y$5, 2, FALSE))</f>
        <v>#NUM!</v>
      </c>
      <c r="M26" t="e">
        <f ca="1">AND(M$23&gt;=HLOOKUP("U_opaque_lim", PAR!$F$1:$Y$5, 2, FALSE),M$25&gt;=HLOOKUP("r_worst_lim", PAR!$F$1:$Y$5, 2, FALSE))</f>
        <v>#NUM!</v>
      </c>
      <c r="N26" t="e">
        <f ca="1">AND(N$23&gt;=HLOOKUP("U_opaque_lim", PAR!$F$1:$Y$5, 2, FALSE),N$25&gt;=HLOOKUP("r_worst_lim", PAR!$F$1:$Y$5, 2, FALSE))</f>
        <v>#NUM!</v>
      </c>
      <c r="O26" t="e">
        <f ca="1">AND(O$23&gt;=HLOOKUP("U_opaque_lim", PAR!$F$1:$Y$5, 2, FALSE),O$25&gt;=HLOOKUP("r_worst_lim", PAR!$F$1:$Y$5, 2, FALSE))</f>
        <v>#NUM!</v>
      </c>
      <c r="P26" t="e">
        <f ca="1">AND(P$23&gt;=HLOOKUP("U_opaque_lim", PAR!$F$1:$Y$5, 2, FALSE),P$25&gt;=HLOOKUP("r_worst_lim", PAR!$F$1:$Y$5, 2, FALSE))</f>
        <v>#NUM!</v>
      </c>
    </row>
    <row r="27" spans="1:16">
      <c r="A27" t="s">
        <v>735</v>
      </c>
      <c r="B27" t="s">
        <v>135</v>
      </c>
      <c r="D27" t="s">
        <v>482</v>
      </c>
      <c r="G27" s="12" t="str">
        <f>IF(clc_load!I37&gt;0,clc_load!I39,"")</f>
        <v/>
      </c>
      <c r="H27" s="12" t="str">
        <f>IF(clc_load!J37&gt;0,clc_load!J39,"")</f>
        <v/>
      </c>
      <c r="I27" s="12" t="str">
        <f>IF(clc_load!K37&gt;0,clc_load!K39,"")</f>
        <v/>
      </c>
      <c r="J27" s="12" t="str">
        <f>IF(clc_load!L37&gt;0,clc_load!L39,"")</f>
        <v/>
      </c>
      <c r="K27" s="12" t="str">
        <f>IF(clc_load!M37&gt;0,clc_load!M39,"")</f>
        <v/>
      </c>
      <c r="L27" s="12" t="str">
        <f>IF(clc_load!N37&gt;0,clc_load!N39,"")</f>
        <v/>
      </c>
      <c r="M27" s="12" t="str">
        <f>IF(clc_load!O37&gt;0,clc_load!O39,"")</f>
        <v/>
      </c>
      <c r="N27" s="12" t="str">
        <f>IF(clc_load!P37&gt;0,clc_load!P39,"")</f>
        <v/>
      </c>
      <c r="O27" s="12" t="str">
        <f>IF(clc_load!Q37&gt;0,clc_load!Q39,"")</f>
        <v/>
      </c>
      <c r="P27" s="12" t="str">
        <f>IF(clc_load!R37&gt;0,clc_load!R39,"")</f>
        <v/>
      </c>
    </row>
    <row r="28" spans="1:16">
      <c r="A28" t="s">
        <v>736</v>
      </c>
      <c r="B28" t="s">
        <v>135</v>
      </c>
      <c r="D28" t="s">
        <v>31</v>
      </c>
      <c r="G28" s="13" t="e">
        <f ca="1">clc_load!I40</f>
        <v>#NUM!</v>
      </c>
      <c r="H28" s="13" t="e">
        <f ca="1">clc_load!J40</f>
        <v>#NUM!</v>
      </c>
      <c r="I28" s="13" t="e">
        <f ca="1">clc_load!K40</f>
        <v>#NUM!</v>
      </c>
      <c r="J28" s="13" t="e">
        <f ca="1">clc_load!L40</f>
        <v>#NUM!</v>
      </c>
      <c r="K28" s="13" t="e">
        <f ca="1">clc_load!M40</f>
        <v>#NUM!</v>
      </c>
      <c r="L28" s="13" t="e">
        <f ca="1">clc_load!N40</f>
        <v>#NUM!</v>
      </c>
      <c r="M28" s="13" t="e">
        <f ca="1">clc_load!O40</f>
        <v>#NUM!</v>
      </c>
      <c r="N28" s="13" t="e">
        <f ca="1">clc_load!P40</f>
        <v>#NUM!</v>
      </c>
      <c r="O28" s="13" t="e">
        <f ca="1">clc_load!Q40</f>
        <v>#NUM!</v>
      </c>
      <c r="P28" s="13" t="e">
        <f ca="1">clc_load!R40</f>
        <v>#NUM!</v>
      </c>
    </row>
    <row r="29" spans="1:16">
      <c r="A29" t="s">
        <v>737</v>
      </c>
      <c r="B29" t="s">
        <v>135</v>
      </c>
      <c r="G29" s="188" t="e">
        <f ca="1">clc_load!I41</f>
        <v>#NUM!</v>
      </c>
      <c r="H29" s="188" t="e">
        <f ca="1">clc_load!J41</f>
        <v>#NUM!</v>
      </c>
      <c r="I29" s="188" t="e">
        <f ca="1">clc_load!K41</f>
        <v>#NUM!</v>
      </c>
      <c r="J29" s="188" t="e">
        <f ca="1">clc_load!L41</f>
        <v>#NUM!</v>
      </c>
      <c r="K29" s="188" t="e">
        <f ca="1">clc_load!M41</f>
        <v>#NUM!</v>
      </c>
      <c r="L29" s="188" t="e">
        <f ca="1">clc_load!N41</f>
        <v>#NUM!</v>
      </c>
      <c r="M29" s="188" t="e">
        <f ca="1">clc_load!O41</f>
        <v>#NUM!</v>
      </c>
      <c r="N29" s="188" t="e">
        <f ca="1">clc_load!P41</f>
        <v>#NUM!</v>
      </c>
      <c r="O29" s="188" t="e">
        <f ca="1">clc_load!Q41</f>
        <v>#NUM!</v>
      </c>
      <c r="P29" s="188" t="e">
        <f ca="1">clc_load!R41</f>
        <v>#NUM!</v>
      </c>
    </row>
    <row r="30" spans="1:16">
      <c r="A30" t="s">
        <v>738</v>
      </c>
      <c r="B30" t="s">
        <v>135</v>
      </c>
      <c r="D30" s="42" t="s">
        <v>113</v>
      </c>
      <c r="G30" t="e">
        <f ca="1">AND(G$27&gt;=HLOOKUP("U_opaque_lim", PAR!$F$1:$Y$5, 2, FALSE),G$29&gt;=HLOOKUP("r_worst_lim", PAR!$F$1:$Y$5, 2, FALSE))</f>
        <v>#NUM!</v>
      </c>
      <c r="H30" t="e">
        <f ca="1">AND(H$27&gt;=HLOOKUP("U_opaque_lim", PAR!$F$1:$Y$5, 2, FALSE),H$29&gt;=HLOOKUP("r_worst_lim", PAR!$F$1:$Y$5, 2, FALSE))</f>
        <v>#NUM!</v>
      </c>
      <c r="I30" t="e">
        <f ca="1">AND(I$27&gt;=HLOOKUP("U_opaque_lim", PAR!$F$1:$Y$5, 2, FALSE),I$29&gt;=HLOOKUP("r_worst_lim", PAR!$F$1:$Y$5, 2, FALSE))</f>
        <v>#NUM!</v>
      </c>
      <c r="J30" t="e">
        <f ca="1">AND(J$27&gt;=HLOOKUP("U_opaque_lim", PAR!$F$1:$Y$5, 2, FALSE),J$29&gt;=HLOOKUP("r_worst_lim", PAR!$F$1:$Y$5, 2, FALSE))</f>
        <v>#NUM!</v>
      </c>
      <c r="K30" t="e">
        <f ca="1">AND(K$27&gt;=HLOOKUP("U_opaque_lim", PAR!$F$1:$Y$5, 2, FALSE),K$29&gt;=HLOOKUP("r_worst_lim", PAR!$F$1:$Y$5, 2, FALSE))</f>
        <v>#NUM!</v>
      </c>
      <c r="L30" t="e">
        <f ca="1">AND(L$27&gt;=HLOOKUP("U_opaque_lim", PAR!$F$1:$Y$5, 2, FALSE),L$29&gt;=HLOOKUP("r_worst_lim", PAR!$F$1:$Y$5, 2, FALSE))</f>
        <v>#NUM!</v>
      </c>
      <c r="M30" t="e">
        <f ca="1">AND(M$27&gt;=HLOOKUP("U_opaque_lim", PAR!$F$1:$Y$5, 2, FALSE),M$29&gt;=HLOOKUP("r_worst_lim", PAR!$F$1:$Y$5, 2, FALSE))</f>
        <v>#NUM!</v>
      </c>
      <c r="N30" t="e">
        <f ca="1">AND(N$27&gt;=HLOOKUP("U_opaque_lim", PAR!$F$1:$Y$5, 2, FALSE),N$29&gt;=HLOOKUP("r_worst_lim", PAR!$F$1:$Y$5, 2, FALSE))</f>
        <v>#NUM!</v>
      </c>
      <c r="O30" t="e">
        <f ca="1">AND(O$27&gt;=HLOOKUP("U_opaque_lim", PAR!$F$1:$Y$5, 2, FALSE),O$29&gt;=HLOOKUP("r_worst_lim", PAR!$F$1:$Y$5, 2, FALSE))</f>
        <v>#NUM!</v>
      </c>
      <c r="P30" t="e">
        <f ca="1">AND(P$27&gt;=HLOOKUP("U_opaque_lim", PAR!$F$1:$Y$5, 2, FALSE),P$29&gt;=HLOOKUP("r_worst_lim", PAR!$F$1:$Y$5, 2, FALSE))</f>
        <v>#NUM!</v>
      </c>
    </row>
    <row r="31" spans="1:16">
      <c r="A31" t="s">
        <v>735</v>
      </c>
      <c r="B31" t="s">
        <v>133</v>
      </c>
      <c r="D31" t="s">
        <v>482</v>
      </c>
      <c r="G31" s="12" t="str">
        <f>IF(clc_load!I32&gt;0,clc_load!I34,"")</f>
        <v/>
      </c>
      <c r="H31" s="12" t="str">
        <f>IF(clc_load!J32&gt;0,clc_load!J34,"")</f>
        <v/>
      </c>
      <c r="I31" s="12" t="str">
        <f>IF(clc_load!K32&gt;0,clc_load!K34,"")</f>
        <v/>
      </c>
      <c r="J31" s="12" t="str">
        <f>IF(clc_load!L32&gt;0,clc_load!L34,"")</f>
        <v/>
      </c>
      <c r="K31" s="12" t="str">
        <f>IF(clc_load!M32&gt;0,clc_load!M34,"")</f>
        <v/>
      </c>
      <c r="L31" s="12" t="str">
        <f>IF(clc_load!N32&gt;0,clc_load!N34,"")</f>
        <v/>
      </c>
      <c r="M31" s="12" t="str">
        <f>IF(clc_load!O32&gt;0,clc_load!O34,"")</f>
        <v/>
      </c>
      <c r="N31" s="12" t="str">
        <f>IF(clc_load!P32&gt;0,clc_load!P34,"")</f>
        <v/>
      </c>
      <c r="O31" s="12" t="str">
        <f>IF(clc_load!Q32&gt;0,clc_load!Q34,"")</f>
        <v/>
      </c>
      <c r="P31" s="12" t="str">
        <f>IF(clc_load!R32&gt;0,clc_load!R34,"")</f>
        <v/>
      </c>
    </row>
    <row r="32" spans="1:16">
      <c r="A32" t="s">
        <v>736</v>
      </c>
      <c r="B32" t="s">
        <v>133</v>
      </c>
      <c r="D32" t="s">
        <v>31</v>
      </c>
      <c r="G32" s="12">
        <f>clc_load!I35</f>
        <v>0</v>
      </c>
      <c r="H32" s="12">
        <f>clc_load!J35</f>
        <v>0</v>
      </c>
      <c r="I32" s="12">
        <f>clc_load!K35</f>
        <v>0</v>
      </c>
      <c r="J32" s="12">
        <f>clc_load!L35</f>
        <v>0</v>
      </c>
      <c r="K32" s="12">
        <f>clc_load!M35</f>
        <v>0</v>
      </c>
      <c r="L32" s="12">
        <f>clc_load!N35</f>
        <v>0</v>
      </c>
      <c r="M32" s="12">
        <f>clc_load!O35</f>
        <v>0</v>
      </c>
      <c r="N32" s="12">
        <f>clc_load!P35</f>
        <v>0</v>
      </c>
      <c r="O32" s="12">
        <f>clc_load!Q35</f>
        <v>0</v>
      </c>
      <c r="P32" s="12">
        <f>clc_load!R35</f>
        <v>0</v>
      </c>
    </row>
    <row r="33" spans="1:16">
      <c r="A33" t="s">
        <v>737</v>
      </c>
      <c r="B33" t="s">
        <v>133</v>
      </c>
      <c r="D33" t="s">
        <v>30</v>
      </c>
      <c r="G33" s="188" t="e">
        <f ca="1">clc_load!I36</f>
        <v>#NUM!</v>
      </c>
      <c r="H33" s="188" t="e">
        <f ca="1">clc_load!J36</f>
        <v>#NUM!</v>
      </c>
      <c r="I33" s="188" t="e">
        <f ca="1">clc_load!K36</f>
        <v>#NUM!</v>
      </c>
      <c r="J33" s="188" t="e">
        <f ca="1">clc_load!L36</f>
        <v>#NUM!</v>
      </c>
      <c r="K33" s="188" t="e">
        <f ca="1">clc_load!M36</f>
        <v>#NUM!</v>
      </c>
      <c r="L33" s="188" t="e">
        <f ca="1">clc_load!N36</f>
        <v>#NUM!</v>
      </c>
      <c r="M33" s="188" t="e">
        <f ca="1">clc_load!O36</f>
        <v>#NUM!</v>
      </c>
      <c r="N33" s="188" t="e">
        <f ca="1">clc_load!P36</f>
        <v>#NUM!</v>
      </c>
      <c r="O33" s="188" t="e">
        <f ca="1">clc_load!Q36</f>
        <v>#NUM!</v>
      </c>
      <c r="P33" s="188" t="e">
        <f ca="1">clc_load!R36</f>
        <v>#NUM!</v>
      </c>
    </row>
    <row r="34" spans="1:16">
      <c r="A34" t="s">
        <v>738</v>
      </c>
      <c r="B34" t="s">
        <v>133</v>
      </c>
      <c r="D34" s="42" t="s">
        <v>113</v>
      </c>
      <c r="G34" t="e">
        <f ca="1">AND(G$31&gt;=HLOOKUP("U_opaque_lim", PAR!$F$1:$Y$5, 2, FALSE),G$33&gt;=HLOOKUP("r_worst_lim", PAR!$F$1:$Y$5, 2, FALSE))</f>
        <v>#NUM!</v>
      </c>
      <c r="H34" t="e">
        <f ca="1">AND(H$31&gt;=HLOOKUP("U_opaque_lim", PAR!$F$1:$Y$5, 2, FALSE),H$33&gt;=HLOOKUP("r_worst_lim", PAR!$F$1:$Y$5, 2, FALSE))</f>
        <v>#NUM!</v>
      </c>
      <c r="I34" t="e">
        <f ca="1">AND(I$31&gt;=HLOOKUP("U_opaque_lim", PAR!$F$1:$Y$5, 2, FALSE),I$33&gt;=HLOOKUP("r_worst_lim", PAR!$F$1:$Y$5, 2, FALSE))</f>
        <v>#NUM!</v>
      </c>
      <c r="J34" t="e">
        <f ca="1">AND(J$31&gt;=HLOOKUP("U_opaque_lim", PAR!$F$1:$Y$5, 2, FALSE),J$33&gt;=HLOOKUP("r_worst_lim", PAR!$F$1:$Y$5, 2, FALSE))</f>
        <v>#NUM!</v>
      </c>
      <c r="K34" t="e">
        <f ca="1">AND(K$31&gt;=HLOOKUP("U_opaque_lim", PAR!$F$1:$Y$5, 2, FALSE),K$33&gt;=HLOOKUP("r_worst_lim", PAR!$F$1:$Y$5, 2, FALSE))</f>
        <v>#NUM!</v>
      </c>
      <c r="L34" t="e">
        <f ca="1">AND(L$31&gt;=HLOOKUP("U_opaque_lim", PAR!$F$1:$Y$5, 2, FALSE),L$33&gt;=HLOOKUP("r_worst_lim", PAR!$F$1:$Y$5, 2, FALSE))</f>
        <v>#NUM!</v>
      </c>
      <c r="M34" t="e">
        <f ca="1">AND(M$31&gt;=HLOOKUP("U_opaque_lim", PAR!$F$1:$Y$5, 2, FALSE),M$33&gt;=HLOOKUP("r_worst_lim", PAR!$F$1:$Y$5, 2, FALSE))</f>
        <v>#NUM!</v>
      </c>
      <c r="N34" t="e">
        <f ca="1">AND(N$31&gt;=HLOOKUP("U_opaque_lim", PAR!$F$1:$Y$5, 2, FALSE),N$33&gt;=HLOOKUP("r_worst_lim", PAR!$F$1:$Y$5, 2, FALSE))</f>
        <v>#NUM!</v>
      </c>
      <c r="O34" t="e">
        <f ca="1">AND(O$31&gt;=HLOOKUP("U_opaque_lim", PAR!$F$1:$Y$5, 2, FALSE),O$33&gt;=HLOOKUP("r_worst_lim", PAR!$F$1:$Y$5, 2, FALSE))</f>
        <v>#NUM!</v>
      </c>
      <c r="P34" t="e">
        <f ca="1">AND(P$31&gt;=HLOOKUP("U_opaque_lim", PAR!$F$1:$Y$5, 2, FALSE),P$33&gt;=HLOOKUP("r_worst_lim", PAR!$F$1:$Y$5, 2, FALSE))</f>
        <v>#NUM!</v>
      </c>
    </row>
    <row r="36" spans="1:16">
      <c r="A36" s="122" t="s">
        <v>739</v>
      </c>
      <c r="B36" s="73"/>
      <c r="C36" s="73"/>
      <c r="D36" s="73"/>
      <c r="E36" s="73"/>
      <c r="F36" s="73"/>
      <c r="G36" s="73"/>
      <c r="H36" s="73"/>
      <c r="I36" s="73"/>
      <c r="J36" s="73"/>
      <c r="K36" s="73"/>
      <c r="L36" s="73"/>
      <c r="M36" s="73"/>
      <c r="N36" s="73"/>
      <c r="O36" s="73"/>
      <c r="P36" s="73"/>
    </row>
    <row r="37" spans="1:16">
      <c r="A37" t="s">
        <v>740</v>
      </c>
      <c r="D37" t="s">
        <v>31</v>
      </c>
      <c r="G37" s="13">
        <f>ROUND(clc_power!G203/HLOOKUP("NO_round_Qdot", PAR!$F$1:$Y$5, 2, FALSE),0)*HLOOKUP("NO_round_Qdot", PAR!$F$1:$Y$5, 2, FALSE)</f>
        <v>0</v>
      </c>
      <c r="H37" s="13">
        <f>ROUND(clc_power!H203/HLOOKUP("NO_round_Qdot", PAR!$F$1:$Y$5, 2, FALSE),0)*HLOOKUP("NO_round_Qdot", PAR!$F$1:$Y$5, 2, FALSE)</f>
        <v>0</v>
      </c>
      <c r="I37" s="13">
        <f>ROUND(clc_power!I203/HLOOKUP("NO_round_Qdot", PAR!$F$1:$Y$5, 2, FALSE),0)*HLOOKUP("NO_round_Qdot", PAR!$F$1:$Y$5, 2, FALSE)</f>
        <v>0</v>
      </c>
      <c r="J37" s="13">
        <f>ROUND(clc_power!J203/HLOOKUP("NO_round_Qdot", PAR!$F$1:$Y$5, 2, FALSE),0)*HLOOKUP("NO_round_Qdot", PAR!$F$1:$Y$5, 2, FALSE)</f>
        <v>0</v>
      </c>
      <c r="K37" s="13">
        <f>ROUND(clc_power!K203/HLOOKUP("NO_round_Qdot", PAR!$F$1:$Y$5, 2, FALSE),0)*HLOOKUP("NO_round_Qdot", PAR!$F$1:$Y$5, 2, FALSE)</f>
        <v>0</v>
      </c>
      <c r="L37" s="13">
        <f>ROUND(clc_power!L203/HLOOKUP("NO_round_Qdot", PAR!$F$1:$Y$5, 2, FALSE),0)*HLOOKUP("NO_round_Qdot", PAR!$F$1:$Y$5, 2, FALSE)</f>
        <v>0</v>
      </c>
      <c r="M37" s="13">
        <f>ROUND(clc_power!M203/HLOOKUP("NO_round_Qdot", PAR!$F$1:$Y$5, 2, FALSE),0)*HLOOKUP("NO_round_Qdot", PAR!$F$1:$Y$5, 2, FALSE)</f>
        <v>0</v>
      </c>
      <c r="N37" s="13">
        <f>ROUND(clc_power!N203/HLOOKUP("NO_round_Qdot", PAR!$F$1:$Y$5, 2, FALSE),0)*HLOOKUP("NO_round_Qdot", PAR!$F$1:$Y$5, 2, FALSE)</f>
        <v>0</v>
      </c>
      <c r="O37" s="13">
        <f>ROUND(clc_power!O203/HLOOKUP("NO_round_Qdot", PAR!$F$1:$Y$5, 2, FALSE),0)*HLOOKUP("NO_round_Qdot", PAR!$F$1:$Y$5, 2, FALSE)</f>
        <v>0</v>
      </c>
      <c r="P37" s="13">
        <f>ROUND(clc_power!P203/HLOOKUP("NO_round_Qdot", PAR!$F$1:$Y$5, 2, FALSE),0)*HLOOKUP("NO_round_Qdot", PAR!$F$1:$Y$5, 2, FALSE)</f>
        <v>0</v>
      </c>
    </row>
    <row r="38" spans="1:16">
      <c r="A38" t="s">
        <v>741</v>
      </c>
      <c r="D38" t="s">
        <v>31</v>
      </c>
      <c r="G38" s="13">
        <f>ROUND(clc_power!G204/HLOOKUP("NO_round_Qdot", PAR!$F$1:$Y$5, 2, FALSE),0)*HLOOKUP("NO_round_Qdot", PAR!$F$1:$Y$5, 2, FALSE)</f>
        <v>0</v>
      </c>
      <c r="H38" s="13">
        <f>ROUND(clc_power!H204/HLOOKUP("NO_round_Qdot", PAR!$F$1:$Y$5, 2, FALSE),0)*HLOOKUP("NO_round_Qdot", PAR!$F$1:$Y$5, 2, FALSE)</f>
        <v>0</v>
      </c>
      <c r="I38" s="13">
        <f>ROUND(clc_power!I204/HLOOKUP("NO_round_Qdot", PAR!$F$1:$Y$5, 2, FALSE),0)*HLOOKUP("NO_round_Qdot", PAR!$F$1:$Y$5, 2, FALSE)</f>
        <v>0</v>
      </c>
      <c r="J38" s="13">
        <f>ROUND(clc_power!J204/HLOOKUP("NO_round_Qdot", PAR!$F$1:$Y$5, 2, FALSE),0)*HLOOKUP("NO_round_Qdot", PAR!$F$1:$Y$5, 2, FALSE)</f>
        <v>0</v>
      </c>
      <c r="K38" s="13">
        <f>ROUND(clc_power!K204/HLOOKUP("NO_round_Qdot", PAR!$F$1:$Y$5, 2, FALSE),0)*HLOOKUP("NO_round_Qdot", PAR!$F$1:$Y$5, 2, FALSE)</f>
        <v>0</v>
      </c>
      <c r="L38" s="13">
        <f>ROUND(clc_power!L204/HLOOKUP("NO_round_Qdot", PAR!$F$1:$Y$5, 2, FALSE),0)*HLOOKUP("NO_round_Qdot", PAR!$F$1:$Y$5, 2, FALSE)</f>
        <v>0</v>
      </c>
      <c r="M38" s="13">
        <f>ROUND(clc_power!M204/HLOOKUP("NO_round_Qdot", PAR!$F$1:$Y$5, 2, FALSE),0)*HLOOKUP("NO_round_Qdot", PAR!$F$1:$Y$5, 2, FALSE)</f>
        <v>0</v>
      </c>
      <c r="N38" s="13">
        <f>ROUND(clc_power!N204/HLOOKUP("NO_round_Qdot", PAR!$F$1:$Y$5, 2, FALSE),0)*HLOOKUP("NO_round_Qdot", PAR!$F$1:$Y$5, 2, FALSE)</f>
        <v>0</v>
      </c>
      <c r="O38" s="13">
        <f>ROUND(clc_power!O204/HLOOKUP("NO_round_Qdot", PAR!$F$1:$Y$5, 2, FALSE),0)*HLOOKUP("NO_round_Qdot", PAR!$F$1:$Y$5, 2, FALSE)</f>
        <v>0</v>
      </c>
      <c r="P38" s="13">
        <f>ROUND(clc_power!P204/HLOOKUP("NO_round_Qdot", PAR!$F$1:$Y$5, 2, FALSE),0)*HLOOKUP("NO_round_Qdot", PAR!$F$1:$Y$5, 2, FALSE)</f>
        <v>0</v>
      </c>
    </row>
    <row r="39" spans="1:16">
      <c r="A39" t="s">
        <v>742</v>
      </c>
      <c r="D39" t="s">
        <v>30</v>
      </c>
      <c r="G39" s="109" t="e">
        <f>IF(G45, ROUND(clc_power!G205/HLOOKUP("NO_round_rcover", PAR!$F$1:$Y$5, 2, FALSE),0)*HLOOKUP("NO_round_rcover", PAR!$F$1:$Y$5, 2, FALSE), NA())</f>
        <v>#N/A</v>
      </c>
      <c r="H39" s="109" t="e">
        <f>IF(H45, ROUND(clc_power!H205/HLOOKUP("NO_round_rcover", PAR!$F$1:$Y$5, 2, FALSE),0)*HLOOKUP("NO_round_rcover", PAR!$F$1:$Y$5, 2, FALSE), NA())</f>
        <v>#N/A</v>
      </c>
      <c r="I39" s="109" t="e">
        <f>IF(I45, ROUND(clc_power!I205/HLOOKUP("NO_round_rcover", PAR!$F$1:$Y$5, 2, FALSE),0)*HLOOKUP("NO_round_rcover", PAR!$F$1:$Y$5, 2, FALSE), NA())</f>
        <v>#N/A</v>
      </c>
      <c r="J39" s="109" t="e">
        <f>IF(J45, ROUND(clc_power!J205/HLOOKUP("NO_round_rcover", PAR!$F$1:$Y$5, 2, FALSE),0)*HLOOKUP("NO_round_rcover", PAR!$F$1:$Y$5, 2, FALSE), NA())</f>
        <v>#N/A</v>
      </c>
      <c r="K39" s="109" t="e">
        <f>IF(K45, ROUND(clc_power!K205/HLOOKUP("NO_round_rcover", PAR!$F$1:$Y$5, 2, FALSE),0)*HLOOKUP("NO_round_rcover", PAR!$F$1:$Y$5, 2, FALSE), NA())</f>
        <v>#N/A</v>
      </c>
      <c r="L39" s="109" t="e">
        <f>IF(L45, ROUND(clc_power!L205/HLOOKUP("NO_round_rcover", PAR!$F$1:$Y$5, 2, FALSE),0)*HLOOKUP("NO_round_rcover", PAR!$F$1:$Y$5, 2, FALSE), NA())</f>
        <v>#N/A</v>
      </c>
      <c r="M39" s="109" t="e">
        <f>IF(M45, ROUND(clc_power!M205/HLOOKUP("NO_round_rcover", PAR!$F$1:$Y$5, 2, FALSE),0)*HLOOKUP("NO_round_rcover", PAR!$F$1:$Y$5, 2, FALSE), NA())</f>
        <v>#N/A</v>
      </c>
      <c r="N39" s="109" t="e">
        <f>IF(N45, ROUND(clc_power!N205/HLOOKUP("NO_round_rcover", PAR!$F$1:$Y$5, 2, FALSE),0)*HLOOKUP("NO_round_rcover", PAR!$F$1:$Y$5, 2, FALSE), NA())</f>
        <v>#N/A</v>
      </c>
      <c r="O39" s="109" t="e">
        <f>IF(O45, ROUND(clc_power!O205/HLOOKUP("NO_round_rcover", PAR!$F$1:$Y$5, 2, FALSE),0)*HLOOKUP("NO_round_rcover", PAR!$F$1:$Y$5, 2, FALSE), NA())</f>
        <v>#N/A</v>
      </c>
      <c r="P39" s="109" t="e">
        <f>IF(P45, ROUND(clc_power!P205/HLOOKUP("NO_round_rcover", PAR!$F$1:$Y$5, 2, FALSE),0)*HLOOKUP("NO_round_rcover", PAR!$F$1:$Y$5, 2, FALSE), NA())</f>
        <v>#N/A</v>
      </c>
    </row>
    <row r="40" spans="1:16">
      <c r="A40" t="s">
        <v>743</v>
      </c>
      <c r="D40" t="s">
        <v>30</v>
      </c>
      <c r="G40" s="109" t="e">
        <f>IF(G45,ROUND(clc_power!G206/HLOOKUP("NO_round_rcover", PAR!$F$1:$Y$5, 2, FALSE),0)*HLOOKUP("NO_round_rcover", PAR!$F$1:$Y$5, 2, FALSE), NA())</f>
        <v>#N/A</v>
      </c>
      <c r="H40" s="109" t="e">
        <f>IF(H45,ROUND(clc_power!H206/HLOOKUP("NO_round_rcover", PAR!$F$1:$Y$5, 2, FALSE),0)*HLOOKUP("NO_round_rcover", PAR!$F$1:$Y$5, 2, FALSE), NA())</f>
        <v>#N/A</v>
      </c>
      <c r="I40" s="109" t="e">
        <f>IF(I45,ROUND(clc_power!I206/HLOOKUP("NO_round_rcover", PAR!$F$1:$Y$5, 2, FALSE),0)*HLOOKUP("NO_round_rcover", PAR!$F$1:$Y$5, 2, FALSE), NA())</f>
        <v>#N/A</v>
      </c>
      <c r="J40" s="109" t="e">
        <f>IF(J45,ROUND(clc_power!J206/HLOOKUP("NO_round_rcover", PAR!$F$1:$Y$5, 2, FALSE),0)*HLOOKUP("NO_round_rcover", PAR!$F$1:$Y$5, 2, FALSE), NA())</f>
        <v>#N/A</v>
      </c>
      <c r="K40" s="109" t="e">
        <f>IF(K45,ROUND(clc_power!K206/HLOOKUP("NO_round_rcover", PAR!$F$1:$Y$5, 2, FALSE),0)*HLOOKUP("NO_round_rcover", PAR!$F$1:$Y$5, 2, FALSE), NA())</f>
        <v>#N/A</v>
      </c>
      <c r="L40" s="109" t="e">
        <f>IF(L45,ROUND(clc_power!L206/HLOOKUP("NO_round_rcover", PAR!$F$1:$Y$5, 2, FALSE),0)*HLOOKUP("NO_round_rcover", PAR!$F$1:$Y$5, 2, FALSE), NA())</f>
        <v>#N/A</v>
      </c>
      <c r="M40" s="109" t="e">
        <f>IF(M45,ROUND(clc_power!M206/HLOOKUP("NO_round_rcover", PAR!$F$1:$Y$5, 2, FALSE),0)*HLOOKUP("NO_round_rcover", PAR!$F$1:$Y$5, 2, FALSE), NA())</f>
        <v>#N/A</v>
      </c>
      <c r="N40" s="109" t="e">
        <f>IF(N45,ROUND(clc_power!N206/HLOOKUP("NO_round_rcover", PAR!$F$1:$Y$5, 2, FALSE),0)*HLOOKUP("NO_round_rcover", PAR!$F$1:$Y$5, 2, FALSE), NA())</f>
        <v>#N/A</v>
      </c>
      <c r="O40" s="109" t="e">
        <f>IF(O45,ROUND(clc_power!O206/HLOOKUP("NO_round_rcover", PAR!$F$1:$Y$5, 2, FALSE),0)*HLOOKUP("NO_round_rcover", PAR!$F$1:$Y$5, 2, FALSE), NA())</f>
        <v>#N/A</v>
      </c>
      <c r="P40" s="109" t="e">
        <f>IF(P45,ROUND(clc_power!P206/HLOOKUP("NO_round_rcover", PAR!$F$1:$Y$5, 2, FALSE),0)*HLOOKUP("NO_round_rcover", PAR!$F$1:$Y$5, 2, FALSE), NA())</f>
        <v>#N/A</v>
      </c>
    </row>
    <row r="41" spans="1:16">
      <c r="A41" t="s">
        <v>744</v>
      </c>
      <c r="D41" t="s">
        <v>30</v>
      </c>
      <c r="G41" s="109" t="str">
        <f>IF(G$45,(MAX(0,1-G39)),"")</f>
        <v/>
      </c>
      <c r="H41" s="109" t="str">
        <f t="shared" ref="H41:P41" si="0">IF(H$45,(MAX(0,1-H39)),"")</f>
        <v/>
      </c>
      <c r="I41" s="109" t="str">
        <f t="shared" si="0"/>
        <v/>
      </c>
      <c r="J41" s="109" t="str">
        <f t="shared" si="0"/>
        <v/>
      </c>
      <c r="K41" s="109" t="str">
        <f t="shared" si="0"/>
        <v/>
      </c>
      <c r="L41" s="109" t="str">
        <f t="shared" si="0"/>
        <v/>
      </c>
      <c r="M41" s="109" t="str">
        <f t="shared" si="0"/>
        <v/>
      </c>
      <c r="N41" s="109" t="str">
        <f>IF(N$45,(MAX(0,1-N39)),"")</f>
        <v/>
      </c>
      <c r="O41" s="109" t="str">
        <f t="shared" si="0"/>
        <v/>
      </c>
      <c r="P41" s="109" t="str">
        <f t="shared" si="0"/>
        <v/>
      </c>
    </row>
    <row r="42" spans="1:16">
      <c r="A42" t="s">
        <v>745</v>
      </c>
      <c r="D42" t="s">
        <v>30</v>
      </c>
      <c r="G42" s="109" t="str">
        <f>IF(G$45,(MAX(0,1-G40)),"")</f>
        <v/>
      </c>
      <c r="H42" s="109" t="str">
        <f t="shared" ref="H42:P42" si="1">IF(H$45,(MAX(0,1-H40)),"")</f>
        <v/>
      </c>
      <c r="I42" s="109" t="str">
        <f t="shared" si="1"/>
        <v/>
      </c>
      <c r="J42" s="109" t="str">
        <f t="shared" si="1"/>
        <v/>
      </c>
      <c r="K42" s="109" t="str">
        <f t="shared" si="1"/>
        <v/>
      </c>
      <c r="L42" s="109" t="str">
        <f t="shared" si="1"/>
        <v/>
      </c>
      <c r="M42" s="109" t="str">
        <f t="shared" si="1"/>
        <v/>
      </c>
      <c r="N42" s="109" t="str">
        <f t="shared" si="1"/>
        <v/>
      </c>
      <c r="O42" s="109" t="str">
        <f t="shared" si="1"/>
        <v/>
      </c>
      <c r="P42" s="109" t="str">
        <f t="shared" si="1"/>
        <v/>
      </c>
    </row>
    <row r="43" spans="1:16">
      <c r="A43" t="s">
        <v>746</v>
      </c>
      <c r="G43" t="e">
        <f>G40&gt;0.8</f>
        <v>#N/A</v>
      </c>
      <c r="H43" t="e">
        <f t="shared" ref="H43:P43" si="2">H40&gt;0.8</f>
        <v>#N/A</v>
      </c>
      <c r="I43" t="e">
        <f t="shared" si="2"/>
        <v>#N/A</v>
      </c>
      <c r="J43" t="e">
        <f t="shared" si="2"/>
        <v>#N/A</v>
      </c>
      <c r="K43" t="e">
        <f t="shared" si="2"/>
        <v>#N/A</v>
      </c>
      <c r="L43" t="e">
        <f t="shared" si="2"/>
        <v>#N/A</v>
      </c>
      <c r="M43" t="e">
        <f t="shared" si="2"/>
        <v>#N/A</v>
      </c>
      <c r="N43" t="e">
        <f t="shared" si="2"/>
        <v>#N/A</v>
      </c>
      <c r="O43" t="e">
        <f t="shared" si="2"/>
        <v>#N/A</v>
      </c>
      <c r="P43" t="e">
        <f t="shared" si="2"/>
        <v>#N/A</v>
      </c>
    </row>
    <row r="45" spans="1:16">
      <c r="A45" s="206" t="s">
        <v>747</v>
      </c>
      <c r="B45" s="207"/>
      <c r="C45" s="207"/>
      <c r="D45" s="207"/>
      <c r="E45" s="207"/>
      <c r="F45" s="207"/>
      <c r="G45" s="207" t="b">
        <f>AND(ISTEXT(G9),LEN(G9)&gt;0)</f>
        <v>0</v>
      </c>
      <c r="H45" s="207" t="b">
        <f t="shared" ref="H45:L45" si="3">AND(ISTEXT(H9),LEN(H9)&gt;0)</f>
        <v>0</v>
      </c>
      <c r="I45" s="207" t="b">
        <f t="shared" si="3"/>
        <v>0</v>
      </c>
      <c r="J45" s="207" t="b">
        <f t="shared" si="3"/>
        <v>0</v>
      </c>
      <c r="K45" s="207" t="b">
        <f t="shared" si="3"/>
        <v>0</v>
      </c>
      <c r="L45" s="207" t="b">
        <f t="shared" si="3"/>
        <v>0</v>
      </c>
      <c r="M45" s="207" t="b">
        <f t="shared" ref="M45:O45" si="4">AND(ISTEXT(M9),LEN(M9)&gt;0)</f>
        <v>0</v>
      </c>
      <c r="N45" s="207" t="b">
        <f t="shared" si="4"/>
        <v>0</v>
      </c>
      <c r="O45" s="207" t="b">
        <f t="shared" si="4"/>
        <v>0</v>
      </c>
      <c r="P45" s="207" t="b">
        <f t="shared" ref="P45" si="5">AND(ISTEXT(P9),LEN(P9)&gt;0)</f>
        <v>0</v>
      </c>
    </row>
    <row r="48" spans="1:16">
      <c r="A48" s="122" t="s">
        <v>748</v>
      </c>
      <c r="B48" s="73"/>
      <c r="C48" s="73"/>
      <c r="D48" s="73"/>
      <c r="E48" s="73"/>
      <c r="F48" s="73"/>
      <c r="G48" s="122" t="s">
        <v>749</v>
      </c>
      <c r="H48" s="122" t="s">
        <v>750</v>
      </c>
      <c r="I48" s="40"/>
      <c r="K48" s="40"/>
    </row>
    <row r="49" spans="1:27">
      <c r="A49" s="6" t="s">
        <v>751</v>
      </c>
      <c r="G49" cm="1">
        <f t="array" ref="G49">SUMPRODUCT((G45:AA45)*1)</f>
        <v>0</v>
      </c>
    </row>
    <row r="50" spans="1:27">
      <c r="A50" s="6" t="s">
        <v>752</v>
      </c>
      <c r="H50" s="40"/>
      <c r="I50" s="40"/>
      <c r="J50" s="40"/>
      <c r="K50" s="40"/>
      <c r="L50" s="40"/>
      <c r="M50" s="40"/>
    </row>
    <row r="51" spans="1:27">
      <c r="A51" t="s">
        <v>753</v>
      </c>
      <c r="B51" t="s">
        <v>119</v>
      </c>
      <c r="G51">
        <f ca="1">COUNTIF(G14:AA14,TRUE)</f>
        <v>0</v>
      </c>
      <c r="H51" s="40"/>
      <c r="I51" s="40"/>
      <c r="J51" s="40"/>
      <c r="K51" s="40"/>
      <c r="L51" s="40"/>
      <c r="M51" s="40"/>
    </row>
    <row r="52" spans="1:27">
      <c r="A52" t="s">
        <v>753</v>
      </c>
      <c r="B52" t="s">
        <v>341</v>
      </c>
      <c r="G52">
        <f>COUNTIF(G18:AA18,TRUE)</f>
        <v>0</v>
      </c>
    </row>
    <row r="53" spans="1:27">
      <c r="A53" t="s">
        <v>753</v>
      </c>
      <c r="B53" t="s">
        <v>129</v>
      </c>
      <c r="G53">
        <f ca="1">COUNTIF(G22:AA22,TRUE)</f>
        <v>0</v>
      </c>
    </row>
    <row r="54" spans="1:27">
      <c r="A54" t="s">
        <v>753</v>
      </c>
      <c r="B54" t="s">
        <v>131</v>
      </c>
      <c r="G54">
        <f ca="1">COUNTIF(G26:AA26,TRUE)</f>
        <v>0</v>
      </c>
    </row>
    <row r="55" spans="1:27">
      <c r="A55" t="s">
        <v>753</v>
      </c>
      <c r="B55" t="s">
        <v>135</v>
      </c>
      <c r="G55">
        <f ca="1">COUNTIF(G30:AA30,TRUE)</f>
        <v>0</v>
      </c>
    </row>
    <row r="56" spans="1:27">
      <c r="A56" t="s">
        <v>753</v>
      </c>
      <c r="B56" t="s">
        <v>133</v>
      </c>
      <c r="G56">
        <f ca="1">COUNTIF(G34:AA34,TRUE)</f>
        <v>0</v>
      </c>
    </row>
    <row r="57" spans="1:27">
      <c r="A57" t="s">
        <v>754</v>
      </c>
      <c r="B57" t="s">
        <v>119</v>
      </c>
      <c r="G57" s="109" t="e">
        <f t="shared" ref="G57:G62" ca="1" si="6">G51/$G$49</f>
        <v>#DIV/0!</v>
      </c>
      <c r="H57" s="109"/>
      <c r="I57" s="109"/>
      <c r="J57" s="109"/>
      <c r="K57" s="109"/>
      <c r="L57" s="109"/>
      <c r="M57" s="109"/>
      <c r="N57" s="109"/>
      <c r="O57" s="109"/>
      <c r="P57" s="109"/>
      <c r="Q57" s="109"/>
      <c r="R57" s="109"/>
      <c r="S57" s="109"/>
      <c r="T57" s="109"/>
      <c r="U57" s="109"/>
      <c r="V57" s="109"/>
      <c r="W57" s="109"/>
      <c r="X57" s="109"/>
      <c r="Y57" s="109"/>
      <c r="Z57" s="109"/>
      <c r="AA57" s="109"/>
    </row>
    <row r="58" spans="1:27">
      <c r="A58" t="s">
        <v>754</v>
      </c>
      <c r="B58" t="s">
        <v>341</v>
      </c>
      <c r="G58" s="109" t="e">
        <f t="shared" si="6"/>
        <v>#DIV/0!</v>
      </c>
      <c r="H58" s="109"/>
      <c r="I58" s="109"/>
      <c r="J58" s="109"/>
      <c r="K58" s="109"/>
      <c r="L58" s="109"/>
      <c r="M58" s="109"/>
      <c r="N58" s="109"/>
      <c r="O58" s="109"/>
      <c r="P58" s="109"/>
      <c r="Q58" s="109"/>
      <c r="R58" s="109"/>
      <c r="S58" s="109"/>
      <c r="T58" s="109"/>
      <c r="U58" s="109"/>
      <c r="V58" s="109"/>
      <c r="W58" s="109"/>
      <c r="X58" s="109"/>
      <c r="Y58" s="109"/>
      <c r="Z58" s="109"/>
      <c r="AA58" s="109"/>
    </row>
    <row r="59" spans="1:27">
      <c r="A59" t="s">
        <v>754</v>
      </c>
      <c r="B59" t="s">
        <v>129</v>
      </c>
      <c r="G59" s="109" t="e">
        <f t="shared" ca="1" si="6"/>
        <v>#DIV/0!</v>
      </c>
      <c r="H59" s="109"/>
      <c r="I59" s="109"/>
      <c r="J59" s="109"/>
      <c r="K59" s="109"/>
      <c r="L59" s="109"/>
      <c r="M59" s="109"/>
      <c r="N59" s="109"/>
      <c r="O59" s="109"/>
      <c r="P59" s="109"/>
      <c r="Q59" s="109"/>
      <c r="R59" s="109"/>
      <c r="S59" s="109"/>
      <c r="T59" s="109"/>
      <c r="U59" s="109"/>
      <c r="V59" s="109"/>
      <c r="W59" s="109"/>
      <c r="X59" s="109"/>
      <c r="Y59" s="109"/>
      <c r="Z59" s="109"/>
      <c r="AA59" s="109"/>
    </row>
    <row r="60" spans="1:27">
      <c r="A60" t="s">
        <v>754</v>
      </c>
      <c r="B60" t="s">
        <v>131</v>
      </c>
      <c r="G60" s="109" t="e">
        <f t="shared" ca="1" si="6"/>
        <v>#DIV/0!</v>
      </c>
      <c r="H60" s="109"/>
      <c r="I60" s="109"/>
      <c r="J60" s="109"/>
      <c r="K60" s="109"/>
      <c r="L60" s="109"/>
      <c r="M60" s="109"/>
      <c r="N60" s="109"/>
      <c r="O60" s="109"/>
      <c r="P60" s="109"/>
      <c r="Q60" s="109"/>
      <c r="R60" s="109"/>
      <c r="S60" s="109"/>
      <c r="T60" s="109"/>
      <c r="U60" s="109"/>
      <c r="V60" s="109"/>
      <c r="W60" s="109"/>
      <c r="X60" s="109"/>
      <c r="Y60" s="109"/>
      <c r="Z60" s="109"/>
      <c r="AA60" s="109"/>
    </row>
    <row r="61" spans="1:27">
      <c r="A61" t="s">
        <v>754</v>
      </c>
      <c r="B61" t="s">
        <v>135</v>
      </c>
      <c r="G61" s="109" t="e">
        <f t="shared" ca="1" si="6"/>
        <v>#DIV/0!</v>
      </c>
      <c r="H61" s="109"/>
      <c r="I61" s="109"/>
      <c r="J61" s="109"/>
      <c r="K61" s="109"/>
      <c r="L61" s="109"/>
      <c r="M61" s="109"/>
      <c r="N61" s="109"/>
      <c r="O61" s="109"/>
      <c r="P61" s="109"/>
      <c r="Q61" s="109"/>
      <c r="R61" s="109"/>
      <c r="S61" s="109"/>
      <c r="T61" s="109"/>
      <c r="U61" s="109"/>
      <c r="V61" s="109"/>
      <c r="W61" s="109"/>
      <c r="X61" s="109"/>
      <c r="Y61" s="109"/>
      <c r="Z61" s="109"/>
      <c r="AA61" s="109"/>
    </row>
    <row r="62" spans="1:27">
      <c r="A62" t="s">
        <v>754</v>
      </c>
      <c r="B62" t="s">
        <v>133</v>
      </c>
      <c r="G62" s="109" t="e">
        <f t="shared" ca="1" si="6"/>
        <v>#DIV/0!</v>
      </c>
    </row>
    <row r="63" spans="1:27">
      <c r="G63" s="109"/>
    </row>
    <row r="64" spans="1:27">
      <c r="A64" s="122" t="s">
        <v>755</v>
      </c>
      <c r="B64" s="73" t="s">
        <v>756</v>
      </c>
      <c r="C64" s="73" t="s">
        <v>757</v>
      </c>
      <c r="D64" s="73"/>
      <c r="E64" s="73"/>
      <c r="F64" s="73"/>
      <c r="G64" s="208" t="s">
        <v>749</v>
      </c>
      <c r="H64" s="122" t="s">
        <v>750</v>
      </c>
    </row>
    <row r="65" spans="1:8">
      <c r="A65" t="s">
        <v>758</v>
      </c>
      <c r="C65">
        <v>0.6</v>
      </c>
      <c r="G65">
        <f>COUNTIF($G$39:$AA$39,"&lt;0,6")</f>
        <v>0</v>
      </c>
      <c r="H65">
        <f>COUNTIF($G$40:$AA$40,"&lt;0,6")</f>
        <v>0</v>
      </c>
    </row>
    <row r="66" spans="1:8">
      <c r="A66" t="s">
        <v>759</v>
      </c>
      <c r="C66">
        <v>0.8</v>
      </c>
      <c r="G66">
        <f>COUNTIF($G$39:$AA$39,"&lt;0,8")</f>
        <v>0</v>
      </c>
      <c r="H66">
        <f>COUNTIF($G$40:$AA$40,"&lt;0,8")</f>
        <v>0</v>
      </c>
    </row>
    <row r="67" spans="1:8">
      <c r="A67" t="s">
        <v>760</v>
      </c>
      <c r="B67">
        <v>0.6</v>
      </c>
      <c r="C67">
        <v>0.8</v>
      </c>
      <c r="G67">
        <f>COUNTIFS(G39:AA39,"&gt;=0,6",G39:AA39,"&lt;0,8")</f>
        <v>0</v>
      </c>
      <c r="H67">
        <f>COUNTIFS(G40:AA40,"&gt;=0,6",G40:AA40,"&lt;0,8")</f>
        <v>0</v>
      </c>
    </row>
    <row r="68" spans="1:8">
      <c r="A68" t="s">
        <v>761</v>
      </c>
      <c r="C68">
        <v>1</v>
      </c>
      <c r="G68">
        <f>COUNTIF($G$39:$AA$39,"&lt;1")</f>
        <v>0</v>
      </c>
      <c r="H68">
        <f>COUNTIF(G40:AA40,"&lt;1")</f>
        <v>0</v>
      </c>
    </row>
    <row r="69" spans="1:8">
      <c r="A69" t="s">
        <v>762</v>
      </c>
      <c r="B69">
        <v>0.8</v>
      </c>
      <c r="C69">
        <v>1</v>
      </c>
      <c r="G69">
        <f>COUNTIFS(G39:AA39,"&gt;=0,8",G39:AA39,"&lt;1")</f>
        <v>0</v>
      </c>
      <c r="H69">
        <f>COUNTIFS(G40:AA40,"&gt;=0,8",G40:AA40,"&lt;1")</f>
        <v>0</v>
      </c>
    </row>
    <row r="70" spans="1:8">
      <c r="A70" t="s">
        <v>763</v>
      </c>
      <c r="B70">
        <v>1</v>
      </c>
      <c r="G70">
        <f>COUNTIFS(G39:AA39,"&gt;=1")</f>
        <v>0</v>
      </c>
      <c r="H70">
        <f>COUNTIF(G40:AA40,"&gt;=1")</f>
        <v>0</v>
      </c>
    </row>
    <row r="71" spans="1:8">
      <c r="A71" t="s">
        <v>764</v>
      </c>
      <c r="C71">
        <v>1</v>
      </c>
      <c r="G71">
        <f>COUNTIF(G40:AA40,"&lt;1")</f>
        <v>0</v>
      </c>
    </row>
    <row r="72" spans="1:8">
      <c r="A72" t="s">
        <v>765</v>
      </c>
      <c r="B72">
        <v>1</v>
      </c>
      <c r="G72">
        <f>COUNTIF(G40:AA40,"&gt;=1")</f>
        <v>0</v>
      </c>
    </row>
    <row r="73" spans="1:8">
      <c r="A73" t="s">
        <v>766</v>
      </c>
      <c r="G73" s="109" t="e">
        <f t="shared" ref="G73:H76" si="7">G65/$G$49</f>
        <v>#DIV/0!</v>
      </c>
      <c r="H73" s="109" t="e">
        <f t="shared" si="7"/>
        <v>#DIV/0!</v>
      </c>
    </row>
    <row r="74" spans="1:8">
      <c r="A74" t="s">
        <v>767</v>
      </c>
      <c r="G74" s="109" t="e">
        <f t="shared" si="7"/>
        <v>#DIV/0!</v>
      </c>
      <c r="H74" s="109" t="e">
        <f t="shared" si="7"/>
        <v>#DIV/0!</v>
      </c>
    </row>
    <row r="75" spans="1:8">
      <c r="A75" t="s">
        <v>768</v>
      </c>
      <c r="G75" s="109" t="e">
        <f t="shared" si="7"/>
        <v>#DIV/0!</v>
      </c>
      <c r="H75" s="109" t="e">
        <f t="shared" si="7"/>
        <v>#DIV/0!</v>
      </c>
    </row>
    <row r="76" spans="1:8">
      <c r="A76" t="s">
        <v>769</v>
      </c>
      <c r="G76" s="109" t="e">
        <f t="shared" si="7"/>
        <v>#DIV/0!</v>
      </c>
      <c r="H76" s="109" t="e">
        <f t="shared" si="7"/>
        <v>#DIV/0!</v>
      </c>
    </row>
    <row r="77" spans="1:8">
      <c r="A77" t="s">
        <v>770</v>
      </c>
      <c r="G77" s="109" t="e">
        <f t="shared" ref="G77:H79" si="8">G69/$G$49</f>
        <v>#DIV/0!</v>
      </c>
      <c r="H77" s="109" t="e">
        <f t="shared" si="8"/>
        <v>#DIV/0!</v>
      </c>
    </row>
    <row r="78" spans="1:8">
      <c r="A78" t="s">
        <v>771</v>
      </c>
      <c r="G78" s="109" t="e">
        <f>G70/$G$49</f>
        <v>#DIV/0!</v>
      </c>
      <c r="H78" s="109" t="e">
        <f>H70/$G$49</f>
        <v>#DIV/0!</v>
      </c>
    </row>
    <row r="79" spans="1:8">
      <c r="A79" t="s">
        <v>772</v>
      </c>
      <c r="G79" s="109" t="e">
        <f t="shared" si="8"/>
        <v>#DIV/0!</v>
      </c>
    </row>
    <row r="80" spans="1:8">
      <c r="A80" t="s">
        <v>773</v>
      </c>
      <c r="G80" s="109" t="e">
        <f>G72/$G$49</f>
        <v>#DIV/0!</v>
      </c>
    </row>
    <row r="81" spans="1:8">
      <c r="A81" t="s">
        <v>774</v>
      </c>
      <c r="G81" s="40" t="e">
        <f ca="1">SUMPRODUCT(G7:AA7,G41:AA41)/SUM(G7:AA7)</f>
        <v>#DIV/0!</v>
      </c>
      <c r="H81" s="40" t="e">
        <f ca="1">SUMPRODUCT(G7:AA7,G42:AA42)/SUM(G7:AA7)</f>
        <v>#DIV/0!</v>
      </c>
    </row>
    <row r="82" spans="1:8">
      <c r="A82" s="122" t="s">
        <v>775</v>
      </c>
      <c r="B82" s="73"/>
      <c r="C82" s="73"/>
      <c r="D82" s="73"/>
      <c r="E82" s="73"/>
      <c r="F82" s="73"/>
      <c r="G82" s="73"/>
      <c r="H82" s="73"/>
    </row>
    <row r="83" spans="1:8">
      <c r="A83" t="s">
        <v>776</v>
      </c>
      <c r="G83" s="109" t="e">
        <f ca="1">COUNTIF($G$8:$AA$8,"&lt;50")/$G$49</f>
        <v>#DIV/0!</v>
      </c>
    </row>
    <row r="84" spans="1:8">
      <c r="A84" t="s">
        <v>777</v>
      </c>
      <c r="G84" s="109" t="e">
        <f ca="1">COUNTIF($G$8:$AA$8,"&lt;70")/$G$49</f>
        <v>#DIV/0!</v>
      </c>
    </row>
    <row r="85" spans="1:8">
      <c r="A85" t="s">
        <v>778</v>
      </c>
      <c r="G85" s="109" t="e">
        <f ca="1">COUNTIFS($G$8:$AA$8,"&gt;=50",$G$8:$AA$8,"&lt;70")/$G$49</f>
        <v>#DIV/0!</v>
      </c>
    </row>
    <row r="86" spans="1:8">
      <c r="A86" t="s">
        <v>779</v>
      </c>
      <c r="G86" s="109" t="e">
        <f ca="1">COUNTIF($G$8:$AA$8,"&lt;90")/$G$49</f>
        <v>#DIV/0!</v>
      </c>
    </row>
    <row r="87" spans="1:8">
      <c r="A87" t="s">
        <v>780</v>
      </c>
      <c r="G87" s="109" t="e">
        <f ca="1">COUNTIFS($G$8:$AA$8,"&gt;=70",$G$8:$AA$8,"&lt;90")/$G$49</f>
        <v>#DIV/0!</v>
      </c>
    </row>
    <row r="88" spans="1:8">
      <c r="A88" t="s">
        <v>781</v>
      </c>
      <c r="G88" s="109" t="e">
        <f ca="1">COUNTIF($G$8:$AA$8,"&gt;=90")/$G$49</f>
        <v>#DIV/0!</v>
      </c>
    </row>
  </sheetData>
  <conditionalFormatting sqref="A2:A4 A7:A9">
    <cfRule type="expression" dxfId="64" priority="12">
      <formula>#REF!="x"</formula>
    </cfRule>
  </conditionalFormatting>
  <conditionalFormatting sqref="A12">
    <cfRule type="expression" dxfId="63" priority="8">
      <formula>C10="x"</formula>
    </cfRule>
  </conditionalFormatting>
  <conditionalFormatting sqref="A16">
    <cfRule type="expression" dxfId="62" priority="2">
      <formula>C14="x"</formula>
    </cfRule>
  </conditionalFormatting>
  <conditionalFormatting sqref="A20">
    <cfRule type="expression" dxfId="61" priority="7">
      <formula>C19="x"</formula>
    </cfRule>
  </conditionalFormatting>
  <conditionalFormatting sqref="A24">
    <cfRule type="expression" dxfId="60" priority="6">
      <formula>C24="x"</formula>
    </cfRule>
  </conditionalFormatting>
  <conditionalFormatting sqref="A28:A29">
    <cfRule type="expression" dxfId="59" priority="5">
      <formula>C28="x"</formula>
    </cfRule>
  </conditionalFormatting>
  <conditionalFormatting sqref="A32:A33">
    <cfRule type="expression" dxfId="58" priority="4">
      <formula>C33="x"</formula>
    </cfRule>
  </conditionalFormatting>
  <conditionalFormatting sqref="B2:B4 A5:A6 B7:B8">
    <cfRule type="expression" dxfId="57" priority="11">
      <formula>C2="x"</formula>
    </cfRule>
  </conditionalFormatting>
  <conditionalFormatting sqref="C5:C6">
    <cfRule type="expression" dxfId="56" priority="9">
      <formula>E5="x"</formula>
    </cfRule>
  </conditionalFormatting>
  <conditionalFormatting sqref="C7:C8">
    <cfRule type="expression" dxfId="55" priority="10">
      <formula>I7="x"</formula>
    </cfRule>
  </conditionalFormatting>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B2AF-CCDC-443F-B621-8C32BC173202}">
  <sheetPr>
    <tabColor rgb="FFFFC000"/>
  </sheetPr>
  <dimension ref="A1:E21"/>
  <sheetViews>
    <sheetView zoomScaleNormal="100" workbookViewId="0">
      <selection activeCell="B2" sqref="B2"/>
    </sheetView>
  </sheetViews>
  <sheetFormatPr defaultColWidth="11.42578125" defaultRowHeight="15"/>
  <cols>
    <col min="2" max="2" width="29" bestFit="1" customWidth="1"/>
    <col min="3" max="4" width="0" hidden="1" customWidth="1"/>
    <col min="5" max="5" width="96.85546875" customWidth="1"/>
  </cols>
  <sheetData>
    <row r="1" spans="1:5">
      <c r="A1" s="6" t="s">
        <v>726</v>
      </c>
      <c r="B1" s="6" t="s">
        <v>53</v>
      </c>
      <c r="C1" s="6"/>
      <c r="D1" s="6" t="s">
        <v>457</v>
      </c>
      <c r="E1" s="6" t="s">
        <v>782</v>
      </c>
    </row>
    <row r="2" spans="1:5" ht="180">
      <c r="A2" t="s">
        <v>783</v>
      </c>
      <c r="B2" t="s">
        <v>784</v>
      </c>
      <c r="E2" s="145" t="s">
        <v>785</v>
      </c>
    </row>
    <row r="3" spans="1:5" ht="180">
      <c r="A3" t="s">
        <v>783</v>
      </c>
      <c r="B3" t="s">
        <v>786</v>
      </c>
      <c r="E3" s="147" t="s">
        <v>787</v>
      </c>
    </row>
    <row r="4" spans="1:5" ht="225">
      <c r="A4" t="s">
        <v>783</v>
      </c>
      <c r="B4" t="s">
        <v>788</v>
      </c>
      <c r="E4" s="147" t="s">
        <v>789</v>
      </c>
    </row>
    <row r="5" spans="1:5" ht="150">
      <c r="A5" t="s">
        <v>783</v>
      </c>
      <c r="B5" t="s">
        <v>790</v>
      </c>
      <c r="E5" s="148" t="s">
        <v>791</v>
      </c>
    </row>
    <row r="6" spans="1:5" ht="120">
      <c r="A6" t="s">
        <v>792</v>
      </c>
      <c r="B6" t="s">
        <v>793</v>
      </c>
      <c r="E6" s="147" t="s">
        <v>794</v>
      </c>
    </row>
    <row r="7" spans="1:5" ht="90">
      <c r="A7" t="s">
        <v>792</v>
      </c>
      <c r="B7" t="s">
        <v>795</v>
      </c>
      <c r="E7" s="146" t="s">
        <v>796</v>
      </c>
    </row>
    <row r="8" spans="1:5" ht="30">
      <c r="A8" t="s">
        <v>792</v>
      </c>
      <c r="B8" t="s">
        <v>797</v>
      </c>
      <c r="E8" s="146" t="s">
        <v>798</v>
      </c>
    </row>
    <row r="9" spans="1:5" ht="105">
      <c r="A9" t="s">
        <v>792</v>
      </c>
      <c r="B9" t="s">
        <v>799</v>
      </c>
      <c r="E9" s="146" t="s">
        <v>800</v>
      </c>
    </row>
    <row r="10" spans="1:5" ht="45">
      <c r="A10" t="s">
        <v>792</v>
      </c>
      <c r="B10" t="s">
        <v>801</v>
      </c>
      <c r="E10" s="146" t="s">
        <v>802</v>
      </c>
    </row>
    <row r="11" spans="1:5" ht="120">
      <c r="A11" t="s">
        <v>792</v>
      </c>
      <c r="B11" t="s">
        <v>803</v>
      </c>
      <c r="E11" s="146" t="s">
        <v>804</v>
      </c>
    </row>
    <row r="12" spans="1:5" ht="30">
      <c r="A12" t="s">
        <v>792</v>
      </c>
      <c r="B12" t="s">
        <v>805</v>
      </c>
      <c r="E12" s="146" t="s">
        <v>806</v>
      </c>
    </row>
    <row r="13" spans="1:5" ht="75">
      <c r="A13" t="s">
        <v>807</v>
      </c>
      <c r="B13" t="s">
        <v>808</v>
      </c>
      <c r="E13" s="11" t="s">
        <v>809</v>
      </c>
    </row>
    <row r="14" spans="1:5" ht="135">
      <c r="A14" t="s">
        <v>807</v>
      </c>
      <c r="B14" t="s">
        <v>810</v>
      </c>
      <c r="E14" s="11" t="s">
        <v>811</v>
      </c>
    </row>
    <row r="15" spans="1:5" ht="75">
      <c r="A15" t="s">
        <v>807</v>
      </c>
      <c r="B15" t="s">
        <v>812</v>
      </c>
      <c r="E15" s="11" t="s">
        <v>813</v>
      </c>
    </row>
    <row r="16" spans="1:5" ht="120">
      <c r="A16" t="s">
        <v>807</v>
      </c>
      <c r="B16" t="s">
        <v>814</v>
      </c>
      <c r="E16" s="11" t="s">
        <v>815</v>
      </c>
    </row>
    <row r="17" spans="1:5" ht="75">
      <c r="A17" t="s">
        <v>807</v>
      </c>
      <c r="B17" t="s">
        <v>816</v>
      </c>
      <c r="E17" s="11" t="s">
        <v>817</v>
      </c>
    </row>
    <row r="18" spans="1:5" ht="30">
      <c r="A18" t="s">
        <v>807</v>
      </c>
      <c r="B18" t="s">
        <v>818</v>
      </c>
      <c r="E18" s="11" t="s">
        <v>819</v>
      </c>
    </row>
    <row r="19" spans="1:5" ht="90">
      <c r="A19" t="s">
        <v>807</v>
      </c>
      <c r="B19" t="s">
        <v>820</v>
      </c>
      <c r="E19" s="11" t="s">
        <v>821</v>
      </c>
    </row>
    <row r="20" spans="1:5" ht="120">
      <c r="A20" t="s">
        <v>117</v>
      </c>
      <c r="B20" t="s">
        <v>822</v>
      </c>
      <c r="E20" s="11" t="s">
        <v>823</v>
      </c>
    </row>
    <row r="21" spans="1:5" ht="135">
      <c r="A21" t="s">
        <v>792</v>
      </c>
      <c r="B21" t="s">
        <v>824</v>
      </c>
      <c r="D21" s="11"/>
      <c r="E21" s="11" t="s">
        <v>825</v>
      </c>
    </row>
  </sheetData>
  <autoFilter ref="A1:E1" xr:uid="{D31CB2AF-CCDC-443F-B621-8C32BC173202}"/>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3F39-0652-4238-B823-D8BFC05B65CE}">
  <sheetPr>
    <tabColor rgb="FFFFC000"/>
  </sheetPr>
  <dimension ref="A1:I69"/>
  <sheetViews>
    <sheetView zoomScale="85" zoomScaleNormal="85" workbookViewId="0">
      <selection activeCell="B2" sqref="B2"/>
    </sheetView>
  </sheetViews>
  <sheetFormatPr defaultColWidth="11.42578125" defaultRowHeight="15"/>
  <cols>
    <col min="1" max="1" width="19.28515625" bestFit="1" customWidth="1"/>
    <col min="2" max="2" width="27.7109375" customWidth="1"/>
    <col min="3" max="3" width="18" hidden="1" customWidth="1"/>
    <col min="4" max="4" width="174" customWidth="1"/>
  </cols>
  <sheetData>
    <row r="1" spans="1:9">
      <c r="A1" s="6" t="s">
        <v>726</v>
      </c>
      <c r="B1" s="6" t="s">
        <v>53</v>
      </c>
      <c r="C1" s="6" t="s">
        <v>457</v>
      </c>
      <c r="D1" s="6" t="s">
        <v>782</v>
      </c>
      <c r="E1" s="6"/>
      <c r="F1" s="6"/>
      <c r="G1" s="6"/>
      <c r="H1" s="6"/>
      <c r="I1" s="6"/>
    </row>
    <row r="2" spans="1:9" ht="210">
      <c r="A2" t="s">
        <v>826</v>
      </c>
      <c r="B2" t="s">
        <v>827</v>
      </c>
      <c r="D2" s="78" t="s">
        <v>828</v>
      </c>
    </row>
    <row r="3" spans="1:9" ht="165">
      <c r="A3" t="s">
        <v>826</v>
      </c>
      <c r="B3" t="s">
        <v>829</v>
      </c>
      <c r="D3" s="11" t="s">
        <v>830</v>
      </c>
    </row>
    <row r="4" spans="1:9" ht="135">
      <c r="A4" t="s">
        <v>826</v>
      </c>
      <c r="B4" t="s">
        <v>831</v>
      </c>
      <c r="D4" s="11" t="s">
        <v>832</v>
      </c>
    </row>
    <row r="5" spans="1:9" ht="105">
      <c r="A5" t="s">
        <v>826</v>
      </c>
      <c r="B5" t="s">
        <v>833</v>
      </c>
      <c r="D5" s="11" t="s">
        <v>834</v>
      </c>
    </row>
    <row r="6" spans="1:9" ht="60">
      <c r="A6" t="s">
        <v>835</v>
      </c>
      <c r="B6" t="s">
        <v>836</v>
      </c>
      <c r="D6" s="11" t="s">
        <v>837</v>
      </c>
    </row>
    <row r="7" spans="1:9" ht="45">
      <c r="A7" t="s">
        <v>835</v>
      </c>
      <c r="B7" t="s">
        <v>838</v>
      </c>
      <c r="D7" s="11" t="s">
        <v>839</v>
      </c>
    </row>
    <row r="8" spans="1:9" ht="45">
      <c r="A8" t="s">
        <v>835</v>
      </c>
      <c r="B8" t="s">
        <v>840</v>
      </c>
      <c r="D8" s="11" t="s">
        <v>841</v>
      </c>
    </row>
    <row r="9" spans="1:9" ht="45">
      <c r="A9" t="s">
        <v>835</v>
      </c>
      <c r="B9" t="s">
        <v>842</v>
      </c>
      <c r="D9" s="11" t="s">
        <v>843</v>
      </c>
    </row>
    <row r="10" spans="1:9" ht="30">
      <c r="A10" t="s">
        <v>835</v>
      </c>
      <c r="B10" t="s">
        <v>844</v>
      </c>
      <c r="D10" s="11" t="s">
        <v>845</v>
      </c>
    </row>
    <row r="11" spans="1:9" ht="105">
      <c r="A11" t="s">
        <v>835</v>
      </c>
      <c r="B11" t="s">
        <v>846</v>
      </c>
      <c r="D11" s="11" t="s">
        <v>847</v>
      </c>
    </row>
    <row r="12" spans="1:9" ht="90">
      <c r="A12" t="s">
        <v>835</v>
      </c>
      <c r="B12" t="s">
        <v>848</v>
      </c>
      <c r="D12" s="11" t="s">
        <v>849</v>
      </c>
    </row>
    <row r="13" spans="1:9" ht="75">
      <c r="A13" t="s">
        <v>835</v>
      </c>
      <c r="B13" t="s">
        <v>850</v>
      </c>
      <c r="D13" s="11" t="s">
        <v>851</v>
      </c>
    </row>
    <row r="14" spans="1:9" ht="75">
      <c r="A14" t="s">
        <v>835</v>
      </c>
      <c r="B14" t="s">
        <v>852</v>
      </c>
      <c r="D14" s="11" t="s">
        <v>853</v>
      </c>
    </row>
    <row r="15" spans="1:9" ht="90">
      <c r="A15" t="s">
        <v>854</v>
      </c>
      <c r="B15" t="s">
        <v>855</v>
      </c>
      <c r="D15" s="11" t="s">
        <v>856</v>
      </c>
    </row>
    <row r="16" spans="1:9" ht="90">
      <c r="A16" t="s">
        <v>854</v>
      </c>
      <c r="B16" t="s">
        <v>857</v>
      </c>
      <c r="D16" s="11" t="s">
        <v>858</v>
      </c>
    </row>
    <row r="17" spans="1:4" ht="120">
      <c r="A17" t="s">
        <v>854</v>
      </c>
      <c r="B17" t="s">
        <v>859</v>
      </c>
      <c r="D17" s="11" t="s">
        <v>860</v>
      </c>
    </row>
    <row r="18" spans="1:4" ht="135">
      <c r="A18" t="s">
        <v>854</v>
      </c>
      <c r="B18" t="s">
        <v>861</v>
      </c>
      <c r="D18" s="11" t="s">
        <v>862</v>
      </c>
    </row>
    <row r="19" spans="1:4" ht="120">
      <c r="A19" t="s">
        <v>854</v>
      </c>
      <c r="B19" t="s">
        <v>863</v>
      </c>
      <c r="D19" s="11" t="s">
        <v>864</v>
      </c>
    </row>
    <row r="20" spans="1:4" ht="105">
      <c r="A20" t="s">
        <v>865</v>
      </c>
      <c r="B20" t="s">
        <v>866</v>
      </c>
      <c r="D20" s="11" t="s">
        <v>867</v>
      </c>
    </row>
    <row r="21" spans="1:4" ht="30">
      <c r="A21" t="s">
        <v>865</v>
      </c>
      <c r="B21" t="s">
        <v>868</v>
      </c>
      <c r="D21" s="11" t="s">
        <v>869</v>
      </c>
    </row>
    <row r="22" spans="1:4" ht="90">
      <c r="A22" t="s">
        <v>865</v>
      </c>
      <c r="B22" t="s">
        <v>870</v>
      </c>
      <c r="D22" s="11" t="s">
        <v>871</v>
      </c>
    </row>
    <row r="23" spans="1:4">
      <c r="A23" t="s">
        <v>865</v>
      </c>
      <c r="B23" t="s">
        <v>872</v>
      </c>
      <c r="D23" s="11" t="s">
        <v>873</v>
      </c>
    </row>
    <row r="24" spans="1:4" ht="90">
      <c r="A24" t="s">
        <v>865</v>
      </c>
      <c r="B24" t="s">
        <v>874</v>
      </c>
      <c r="D24" s="11" t="s">
        <v>875</v>
      </c>
    </row>
    <row r="25" spans="1:4">
      <c r="A25" t="s">
        <v>865</v>
      </c>
      <c r="B25" t="s">
        <v>876</v>
      </c>
      <c r="D25" s="11" t="s">
        <v>873</v>
      </c>
    </row>
    <row r="26" spans="1:4" ht="75">
      <c r="A26" t="s">
        <v>865</v>
      </c>
      <c r="B26" t="s">
        <v>877</v>
      </c>
      <c r="D26" s="11" t="s">
        <v>878</v>
      </c>
    </row>
    <row r="27" spans="1:4">
      <c r="A27" t="s">
        <v>865</v>
      </c>
      <c r="B27" t="s">
        <v>879</v>
      </c>
      <c r="D27" s="11" t="s">
        <v>880</v>
      </c>
    </row>
    <row r="28" spans="1:4" ht="45">
      <c r="A28" t="s">
        <v>865</v>
      </c>
      <c r="B28" t="s">
        <v>881</v>
      </c>
      <c r="D28" s="11" t="s">
        <v>882</v>
      </c>
    </row>
    <row r="29" spans="1:4" ht="30">
      <c r="B29" t="s">
        <v>883</v>
      </c>
      <c r="D29" s="11" t="s">
        <v>884</v>
      </c>
    </row>
    <row r="30" spans="1:4" ht="45">
      <c r="A30" t="s">
        <v>865</v>
      </c>
      <c r="B30" t="s">
        <v>885</v>
      </c>
      <c r="D30" s="11" t="s">
        <v>886</v>
      </c>
    </row>
    <row r="31" spans="1:4" ht="30">
      <c r="B31" t="s">
        <v>887</v>
      </c>
      <c r="D31" s="11" t="s">
        <v>884</v>
      </c>
    </row>
    <row r="32" spans="1:4" ht="45">
      <c r="A32" t="s">
        <v>865</v>
      </c>
      <c r="B32" t="s">
        <v>888</v>
      </c>
      <c r="D32" s="11" t="s">
        <v>889</v>
      </c>
    </row>
    <row r="33" spans="1:4">
      <c r="D33" s="11" t="s">
        <v>890</v>
      </c>
    </row>
    <row r="34" spans="1:4" ht="45">
      <c r="A34" t="s">
        <v>865</v>
      </c>
      <c r="B34" t="s">
        <v>891</v>
      </c>
      <c r="D34" s="11" t="s">
        <v>892</v>
      </c>
    </row>
    <row r="35" spans="1:4" ht="45">
      <c r="A35" t="s">
        <v>865</v>
      </c>
      <c r="B35" t="s">
        <v>893</v>
      </c>
      <c r="D35" s="11" t="s">
        <v>894</v>
      </c>
    </row>
    <row r="36" spans="1:4" ht="60">
      <c r="B36" t="s">
        <v>895</v>
      </c>
      <c r="D36" s="11" t="s">
        <v>896</v>
      </c>
    </row>
    <row r="37" spans="1:4" ht="45">
      <c r="A37" t="s">
        <v>865</v>
      </c>
      <c r="B37" t="s">
        <v>897</v>
      </c>
      <c r="D37" s="11" t="s">
        <v>898</v>
      </c>
    </row>
    <row r="38" spans="1:4" ht="30">
      <c r="B38" t="s">
        <v>899</v>
      </c>
      <c r="D38" s="11" t="s">
        <v>900</v>
      </c>
    </row>
    <row r="39" spans="1:4" ht="75">
      <c r="A39" t="s">
        <v>865</v>
      </c>
      <c r="B39" t="s">
        <v>901</v>
      </c>
      <c r="D39" s="11" t="s">
        <v>902</v>
      </c>
    </row>
    <row r="40" spans="1:4" ht="75">
      <c r="A40" t="s">
        <v>865</v>
      </c>
      <c r="B40" t="s">
        <v>903</v>
      </c>
      <c r="D40" s="11" t="s">
        <v>904</v>
      </c>
    </row>
    <row r="41" spans="1:4" ht="45">
      <c r="A41" t="s">
        <v>865</v>
      </c>
      <c r="B41" t="s">
        <v>905</v>
      </c>
      <c r="D41" s="11" t="s">
        <v>906</v>
      </c>
    </row>
    <row r="42" spans="1:4" ht="45">
      <c r="B42" t="s">
        <v>907</v>
      </c>
      <c r="D42" s="11" t="s">
        <v>908</v>
      </c>
    </row>
    <row r="43" spans="1:4" ht="45">
      <c r="A43" t="s">
        <v>865</v>
      </c>
      <c r="B43" t="s">
        <v>909</v>
      </c>
      <c r="D43" s="11" t="s">
        <v>910</v>
      </c>
    </row>
    <row r="44" spans="1:4">
      <c r="B44" t="s">
        <v>911</v>
      </c>
      <c r="D44" s="11" t="s">
        <v>912</v>
      </c>
    </row>
    <row r="45" spans="1:4" ht="75">
      <c r="A45" t="s">
        <v>865</v>
      </c>
      <c r="B45" t="s">
        <v>913</v>
      </c>
      <c r="D45" s="11" t="s">
        <v>914</v>
      </c>
    </row>
    <row r="46" spans="1:4" ht="75">
      <c r="A46" t="s">
        <v>865</v>
      </c>
      <c r="B46" t="s">
        <v>915</v>
      </c>
      <c r="D46" s="11" t="s">
        <v>916</v>
      </c>
    </row>
    <row r="47" spans="1:4" ht="45">
      <c r="A47" t="s">
        <v>865</v>
      </c>
      <c r="B47" t="s">
        <v>917</v>
      </c>
      <c r="D47" s="11" t="s">
        <v>918</v>
      </c>
    </row>
    <row r="48" spans="1:4" ht="45">
      <c r="A48" t="s">
        <v>865</v>
      </c>
      <c r="B48" t="s">
        <v>919</v>
      </c>
      <c r="D48" s="11" t="s">
        <v>920</v>
      </c>
    </row>
    <row r="49" spans="1:4" ht="45">
      <c r="A49" t="s">
        <v>865</v>
      </c>
      <c r="B49" t="s">
        <v>921</v>
      </c>
      <c r="D49" s="11" t="s">
        <v>922</v>
      </c>
    </row>
    <row r="50" spans="1:4" ht="45">
      <c r="A50" t="s">
        <v>865</v>
      </c>
      <c r="B50" t="s">
        <v>923</v>
      </c>
      <c r="D50" s="11" t="s">
        <v>924</v>
      </c>
    </row>
    <row r="51" spans="1:4">
      <c r="A51" t="s">
        <v>865</v>
      </c>
      <c r="B51" t="s">
        <v>925</v>
      </c>
      <c r="D51" s="11" t="s">
        <v>926</v>
      </c>
    </row>
    <row r="52" spans="1:4" ht="60">
      <c r="A52" t="s">
        <v>865</v>
      </c>
      <c r="B52" t="s">
        <v>927</v>
      </c>
      <c r="D52" s="11" t="s">
        <v>928</v>
      </c>
    </row>
    <row r="53" spans="1:4">
      <c r="A53" t="s">
        <v>865</v>
      </c>
      <c r="B53" t="s">
        <v>929</v>
      </c>
      <c r="D53" s="11" t="s">
        <v>930</v>
      </c>
    </row>
    <row r="54" spans="1:4" ht="75">
      <c r="A54" t="s">
        <v>865</v>
      </c>
      <c r="B54" t="s">
        <v>931</v>
      </c>
      <c r="D54" s="11" t="s">
        <v>932</v>
      </c>
    </row>
    <row r="55" spans="1:4" ht="45">
      <c r="A55" t="s">
        <v>865</v>
      </c>
      <c r="B55" t="s">
        <v>933</v>
      </c>
      <c r="D55" s="11" t="s">
        <v>934</v>
      </c>
    </row>
    <row r="56" spans="1:4" ht="45">
      <c r="A56" t="s">
        <v>865</v>
      </c>
      <c r="B56" t="s">
        <v>935</v>
      </c>
      <c r="D56" s="11" t="s">
        <v>936</v>
      </c>
    </row>
    <row r="57" spans="1:4">
      <c r="A57" t="s">
        <v>865</v>
      </c>
      <c r="B57" t="s">
        <v>937</v>
      </c>
      <c r="D57" s="11" t="s">
        <v>938</v>
      </c>
    </row>
    <row r="58" spans="1:4" ht="90">
      <c r="A58" t="s">
        <v>865</v>
      </c>
      <c r="B58" t="s">
        <v>939</v>
      </c>
      <c r="D58" s="11" t="s">
        <v>940</v>
      </c>
    </row>
    <row r="59" spans="1:4">
      <c r="A59" t="s">
        <v>865</v>
      </c>
      <c r="B59" t="s">
        <v>941</v>
      </c>
      <c r="D59" s="11" t="s">
        <v>942</v>
      </c>
    </row>
    <row r="60" spans="1:4" ht="90">
      <c r="A60" t="s">
        <v>865</v>
      </c>
      <c r="B60" t="s">
        <v>943</v>
      </c>
      <c r="D60" s="11" t="s">
        <v>944</v>
      </c>
    </row>
    <row r="61" spans="1:4" ht="75">
      <c r="A61" t="s">
        <v>865</v>
      </c>
      <c r="B61" t="s">
        <v>945</v>
      </c>
      <c r="D61" s="11" t="s">
        <v>946</v>
      </c>
    </row>
    <row r="62" spans="1:4" ht="75">
      <c r="A62" t="s">
        <v>865</v>
      </c>
      <c r="B62" t="s">
        <v>947</v>
      </c>
      <c r="D62" s="11" t="s">
        <v>948</v>
      </c>
    </row>
    <row r="63" spans="1:4">
      <c r="A63" t="s">
        <v>865</v>
      </c>
      <c r="D63" s="11" t="s">
        <v>873</v>
      </c>
    </row>
    <row r="64" spans="1:4" ht="45">
      <c r="A64" t="s">
        <v>865</v>
      </c>
      <c r="B64" t="s">
        <v>949</v>
      </c>
      <c r="D64" s="11" t="s">
        <v>950</v>
      </c>
    </row>
    <row r="65" spans="1:4" ht="45">
      <c r="A65" t="s">
        <v>865</v>
      </c>
      <c r="B65" t="s">
        <v>951</v>
      </c>
      <c r="D65" s="11" t="s">
        <v>952</v>
      </c>
    </row>
    <row r="66" spans="1:4" ht="45">
      <c r="A66" t="s">
        <v>865</v>
      </c>
      <c r="B66" t="s">
        <v>953</v>
      </c>
      <c r="D66" s="11" t="s">
        <v>954</v>
      </c>
    </row>
    <row r="67" spans="1:4" ht="45">
      <c r="A67" t="s">
        <v>865</v>
      </c>
      <c r="B67" t="s">
        <v>955</v>
      </c>
      <c r="D67" s="11" t="s">
        <v>956</v>
      </c>
    </row>
    <row r="68" spans="1:4" ht="45">
      <c r="A68" t="s">
        <v>865</v>
      </c>
      <c r="B68" t="s">
        <v>957</v>
      </c>
      <c r="D68" s="11" t="s">
        <v>958</v>
      </c>
    </row>
    <row r="69" spans="1:4" ht="45">
      <c r="A69" t="s">
        <v>865</v>
      </c>
      <c r="B69" t="s">
        <v>959</v>
      </c>
      <c r="D69" s="11" t="s">
        <v>960</v>
      </c>
    </row>
  </sheetData>
  <autoFilter ref="A1:D1" xr:uid="{4C373F39-0652-4238-B823-D8BFC05B65CE}"/>
  <phoneticPr fontId="10" type="noConversion"/>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A08A-E678-449C-BF84-668565B564E5}">
  <sheetPr>
    <tabColor rgb="FFFFC000"/>
  </sheetPr>
  <dimension ref="A1:W65"/>
  <sheetViews>
    <sheetView zoomScaleNormal="100" workbookViewId="0">
      <pane xSplit="1" ySplit="1" topLeftCell="B2" activePane="bottomRight" state="frozen"/>
      <selection pane="bottomRight" activeCell="B46" sqref="B46"/>
      <selection pane="bottomLeft" activeCell="F20" sqref="F20"/>
      <selection pane="topRight" activeCell="F20" sqref="F20"/>
    </sheetView>
  </sheetViews>
  <sheetFormatPr defaultColWidth="11.42578125" defaultRowHeight="15"/>
  <cols>
    <col min="1" max="1" width="52" customWidth="1"/>
    <col min="2" max="2" width="7.7109375" bestFit="1" customWidth="1"/>
    <col min="3" max="3" width="10.5703125" bestFit="1" customWidth="1"/>
    <col min="4" max="4" width="23.42578125" customWidth="1"/>
    <col min="5" max="5" width="7.28515625" hidden="1" customWidth="1"/>
    <col min="6" max="6" width="11.42578125" hidden="1" customWidth="1"/>
    <col min="7" max="7" width="15.85546875" bestFit="1" customWidth="1"/>
    <col min="8" max="13" width="45.85546875" style="11" customWidth="1"/>
    <col min="14" max="19" width="46.85546875" customWidth="1"/>
    <col min="20" max="22" width="47.5703125" customWidth="1"/>
  </cols>
  <sheetData>
    <row r="1" spans="1:22">
      <c r="A1" s="6" t="s">
        <v>0</v>
      </c>
      <c r="B1" s="6" t="s">
        <v>726</v>
      </c>
      <c r="C1" s="6" t="s">
        <v>211</v>
      </c>
      <c r="D1" s="6" t="s">
        <v>53</v>
      </c>
      <c r="E1" s="6" t="s">
        <v>2</v>
      </c>
      <c r="F1" s="6" t="s">
        <v>457</v>
      </c>
      <c r="G1" s="6" t="s">
        <v>961</v>
      </c>
      <c r="H1" s="149" t="s">
        <v>962</v>
      </c>
      <c r="I1" s="149" t="s">
        <v>962</v>
      </c>
      <c r="J1" s="149" t="s">
        <v>962</v>
      </c>
      <c r="K1" s="149" t="s">
        <v>962</v>
      </c>
      <c r="L1" s="149" t="s">
        <v>962</v>
      </c>
      <c r="M1" s="149" t="s">
        <v>962</v>
      </c>
    </row>
    <row r="2" spans="1:22" ht="15.75" customHeight="1">
      <c r="A2" t="s">
        <v>458</v>
      </c>
      <c r="D2" t="s">
        <v>293</v>
      </c>
      <c r="F2" s="6"/>
      <c r="H2">
        <v>1</v>
      </c>
      <c r="I2">
        <v>2</v>
      </c>
      <c r="J2">
        <v>3</v>
      </c>
      <c r="K2">
        <v>4</v>
      </c>
      <c r="L2">
        <v>5</v>
      </c>
      <c r="M2">
        <v>6</v>
      </c>
      <c r="N2">
        <v>7</v>
      </c>
      <c r="O2">
        <v>8</v>
      </c>
      <c r="P2">
        <v>9</v>
      </c>
      <c r="Q2">
        <v>10</v>
      </c>
      <c r="R2">
        <v>11</v>
      </c>
      <c r="S2">
        <v>12</v>
      </c>
      <c r="T2">
        <v>13</v>
      </c>
      <c r="U2">
        <v>14</v>
      </c>
      <c r="V2">
        <v>15</v>
      </c>
    </row>
    <row r="3" spans="1:22" s="35" customFormat="1" ht="15.75" customHeight="1" thickBot="1">
      <c r="A3" s="35" t="s">
        <v>963</v>
      </c>
      <c r="B3" s="35" t="s">
        <v>117</v>
      </c>
      <c r="D3" s="35" t="s">
        <v>964</v>
      </c>
      <c r="G3" s="35" t="s">
        <v>783</v>
      </c>
      <c r="H3" s="133" t="e" cm="1">
        <f t="array" aca="1" ref="H3" ca="1">_xlfn.IFS(
1&lt;=clc_build!G$39,TXT_rooms!$E$5,
 OR(AND(1&gt;clc_build!G$39,clc_build!G$39&gt;=0.7),
 clc_build!G$38&gt;=clc_build!G$7),TXT_rooms!$E$4,
  AND(0.7&gt;clc_build!G$39,clc_build!G$39&gt;=0.4,
  clc_build!G$38&lt;clc_build!G$7),TXT_rooms!$E$3,
   AND(clc_build!G$39&lt;0.4,clc_build!G$38&lt;clc_build!G$7),TXT_rooms!$E$2
)</f>
        <v>#N/A</v>
      </c>
      <c r="I3" s="133" t="e" cm="1">
        <f t="array" aca="1" ref="I3" ca="1">_xlfn.IFS(
1&lt;=clc_build!H$39,TXT_rooms!$E$5,
 OR(AND(1&gt;clc_build!H$39,clc_build!H$39&gt;=0.7),
 clc_build!H$38&gt;=clc_build!H$7),TXT_rooms!$E$4,
  AND(0.7&gt;clc_build!H$39,clc_build!H$39&gt;=0.4,
  clc_build!H$38&lt;clc_build!H$7),TXT_rooms!$E$3,
   AND(clc_build!H$39&lt;0.4,clc_build!H$38&lt;clc_build!H$7),TXT_rooms!$E$2
)</f>
        <v>#N/A</v>
      </c>
      <c r="J3" s="133" t="e" cm="1">
        <f t="array" aca="1" ref="J3" ca="1">_xlfn.IFS(
1&lt;=clc_build!I$39,TXT_rooms!$E$5,
 OR(AND(1&gt;clc_build!I$39,clc_build!I$39&gt;=0.7),
 clc_build!I$38&gt;=clc_build!I$7),TXT_rooms!$E$4,
  AND(0.7&gt;clc_build!I$39,clc_build!I$39&gt;=0.4,
  clc_build!I$38&lt;clc_build!I$7),TXT_rooms!$E$3,
   AND(clc_build!I$39&lt;0.4,clc_build!I$38&lt;clc_build!I$7),TXT_rooms!$E$2
)</f>
        <v>#N/A</v>
      </c>
      <c r="K3" s="133" t="e" cm="1">
        <f t="array" aca="1" ref="K3" ca="1">_xlfn.IFS(
1&lt;=clc_build!J$39,TXT_rooms!$E$5,
 OR(AND(1&gt;clc_build!J$39,clc_build!J$39&gt;=0.7),
 clc_build!J$38&gt;=clc_build!J$7),TXT_rooms!$E$4,
  AND(0.7&gt;clc_build!J$39,clc_build!J$39&gt;=0.4,
  clc_build!J$38&lt;clc_build!J$7),TXT_rooms!$E$3,
   AND(clc_build!J$39&lt;0.4,clc_build!J$38&lt;clc_build!J$7),TXT_rooms!$E$2
)</f>
        <v>#N/A</v>
      </c>
      <c r="L3" s="133" t="e" cm="1">
        <f t="array" aca="1" ref="L3" ca="1">_xlfn.IFS(
1&lt;=clc_build!K$39,TXT_rooms!$E$5,
 OR(AND(1&gt;clc_build!K$39,clc_build!K$39&gt;=0.7),
 clc_build!K$38&gt;=clc_build!K$7),TXT_rooms!$E$4,
  AND(0.7&gt;clc_build!K$39,clc_build!K$39&gt;=0.4,
  clc_build!K$38&lt;clc_build!K$7),TXT_rooms!$E$3,
   AND(clc_build!K$39&lt;0.4,clc_build!K$38&lt;clc_build!K$7),TXT_rooms!$E$2
)</f>
        <v>#N/A</v>
      </c>
      <c r="M3" s="133" t="e" cm="1">
        <f t="array" aca="1" ref="M3" ca="1">_xlfn.IFS(
1&lt;=clc_build!L$39,TXT_rooms!$E$5,
 OR(AND(1&gt;clc_build!L$39,clc_build!L$39&gt;=0.7),
 clc_build!L$38&gt;=clc_build!L$7),TXT_rooms!$E$4,
  AND(0.7&gt;clc_build!L$39,clc_build!L$39&gt;=0.4,
  clc_build!L$38&lt;clc_build!L$7),TXT_rooms!$E$3,
   AND(clc_build!L$39&lt;0.4,clc_build!L$38&lt;clc_build!L$7),TXT_rooms!$E$2
)</f>
        <v>#N/A</v>
      </c>
      <c r="N3" s="133" t="e" cm="1">
        <f t="array" aca="1" ref="N3" ca="1">_xlfn.IFS(
1&lt;=clc_build!M$39,TXT_rooms!$E$5,
 OR(AND(1&gt;clc_build!M$39,clc_build!M$39&gt;=0.7),
 clc_build!M$38&gt;=clc_build!M$7),TXT_rooms!$E$4,
  AND(0.7&gt;clc_build!M$39,clc_build!M$39&gt;=0.4,
  clc_build!M$38&lt;clc_build!M$7),TXT_rooms!$E$3,
   AND(clc_build!M$39&lt;0.4,clc_build!M$38&lt;clc_build!M$7),TXT_rooms!$E$2
)</f>
        <v>#N/A</v>
      </c>
      <c r="O3" s="133" t="e" cm="1">
        <f t="array" aca="1" ref="O3" ca="1">_xlfn.IFS(
1&lt;=clc_build!N$39,TXT_rooms!$E$5,
 OR(AND(1&gt;clc_build!N$39,clc_build!N$39&gt;=0.7),
 clc_build!N$38&gt;=clc_build!N$7),TXT_rooms!$E$4,
  AND(0.7&gt;clc_build!N$39,clc_build!N$39&gt;=0.4,
  clc_build!N$38&lt;clc_build!N$7),TXT_rooms!$E$3,
   AND(clc_build!N$39&lt;0.4,clc_build!N$38&lt;clc_build!N$7),TXT_rooms!$E$2
)</f>
        <v>#N/A</v>
      </c>
      <c r="P3" s="133" t="e" cm="1">
        <f t="array" aca="1" ref="P3" ca="1">_xlfn.IFS(
1&lt;=clc_build!O$39,TXT_rooms!$E$5,
 OR(AND(1&gt;clc_build!O$39,clc_build!O$39&gt;=0.7),
 clc_build!O$38&gt;=clc_build!O$7),TXT_rooms!$E$4,
  AND(0.7&gt;clc_build!O$39,clc_build!O$39&gt;=0.4,
  clc_build!O$38&lt;clc_build!O$7),TXT_rooms!$E$3,
   AND(clc_build!O$39&lt;0.4,clc_build!O$38&lt;clc_build!O$7),TXT_rooms!$E$2
)</f>
        <v>#N/A</v>
      </c>
      <c r="Q3" s="133" t="e" cm="1">
        <f t="array" aca="1" ref="Q3" ca="1">_xlfn.IFS(
1&lt;=clc_build!P$39,TXT_rooms!$E$5,
 OR(AND(1&gt;clc_build!P$39,clc_build!P$39&gt;=0.7),
 clc_build!P$38&gt;=clc_build!P$7),TXT_rooms!$E$4,
  AND(0.7&gt;clc_build!P$39,clc_build!P$39&gt;=0.4,
  clc_build!P$38&lt;clc_build!P$7),TXT_rooms!$E$3,
   AND(clc_build!P$39&lt;0.4,clc_build!P$38&lt;clc_build!P$7),TXT_rooms!$E$2
)</f>
        <v>#N/A</v>
      </c>
      <c r="R3" s="133" t="str" cm="1">
        <f t="array" ref="R3">_xlfn.IFS(
1&lt;=clc_build!Q$39,TXT_rooms!$E$5,
 OR(AND(1&gt;clc_build!Q$39,clc_build!Q$39&gt;=0.7),
 clc_build!Q$38&gt;=clc_build!Q$7),TXT_rooms!$E$4,
  AND(0.7&gt;clc_build!Q$39,clc_build!Q$39&gt;=0.4,
  clc_build!Q$38&lt;clc_build!Q$7),TXT_rooms!$E$3,
   AND(clc_build!Q$39&lt;0.4,clc_build!Q$38&lt;clc_build!Q$7),TXT_rooms!$E$2
)</f>
        <v xml:space="preserve">## &lt;i class="bi bi-circle-fill rating-yellow"&gt;&lt;/i&gt; Fast niedertemperaturfähig:
### Etwas höhere Vorlauftemperatur als 55 °C, fast geschafft!
Dieser Raum ist beinahe bereit für den effizienten Betrieb mit einer Wärmepumpe – die Vorlauftemperatur ist nur leicht erhöht. Je nachdem, wie warm Sie es haben möchten oder den Raum nutzen, können Sie diesen Raum möglicherweise schon jetzt effizient mit einer Wärmepumpe beheizen. Eine leicht reduzierte Raumtemperatur - schon ein Grad weniger - kann den Unterschied machen. Nach dem ersten Winter wissen Sie, ob der vorhandene Heizkörper Ihren Bedürfnissen genügt. Entscheiden Sie danach über den empfohlenen Heizkörpertausch.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v>
      </c>
      <c r="S3" s="133" t="str" cm="1">
        <f t="array" ref="S3">_xlfn.IFS(
1&lt;=clc_build!R$39,TXT_rooms!$E$5,
 OR(AND(1&gt;clc_build!R$39,clc_build!R$39&gt;=0.7),
 clc_build!R$38&gt;=clc_build!R$7),TXT_rooms!$E$4,
  AND(0.7&gt;clc_build!R$39,clc_build!R$39&gt;=0.4,
  clc_build!R$38&lt;clc_build!R$7),TXT_rooms!$E$3,
   AND(clc_build!R$39&lt;0.4,clc_build!R$38&lt;clc_build!R$7),TXT_rooms!$E$2
)</f>
        <v xml:space="preserve">## &lt;i class="bi bi-circle-fill rating-yellow"&gt;&lt;/i&gt; Fast niedertemperaturfähig:
### Etwas höhere Vorlauftemperatur als 55 °C, fast geschafft!
Dieser Raum ist beinahe bereit für den effizienten Betrieb mit einer Wärmepumpe – die Vorlauftemperatur ist nur leicht erhöht. Je nachdem, wie warm Sie es haben möchten oder den Raum nutzen, können Sie diesen Raum möglicherweise schon jetzt effizient mit einer Wärmepumpe beheizen. Eine leicht reduzierte Raumtemperatur - schon ein Grad weniger - kann den Unterschied machen. Nach dem ersten Winter wissen Sie, ob der vorhandene Heizkörper Ihren Bedürfnissen genügt. Entscheiden Sie danach über den empfohlenen Heizkörpertausch.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v>
      </c>
      <c r="T3" s="133" t="str" cm="1">
        <f t="array" ref="T3">_xlfn.IFS(
1&lt;=clc_build!S$39,TXT_rooms!$E$5,
 OR(AND(1&gt;clc_build!S$39,clc_build!S$39&gt;=0.7),
 clc_build!S$38&gt;=clc_build!S$7),TXT_rooms!$E$4,
  AND(0.7&gt;clc_build!S$39,clc_build!S$39&gt;=0.4,
  clc_build!S$38&lt;clc_build!S$7),TXT_rooms!$E$3,
   AND(clc_build!S$39&lt;0.4,clc_build!S$38&lt;clc_build!S$7),TXT_rooms!$E$2
)</f>
        <v xml:space="preserve">## &lt;i class="bi bi-circle-fill rating-yellow"&gt;&lt;/i&gt; Fast niedertemperaturfähig:
### Etwas höhere Vorlauftemperatur als 55 °C, fast geschafft!
Dieser Raum ist beinahe bereit für den effizienten Betrieb mit einer Wärmepumpe – die Vorlauftemperatur ist nur leicht erhöht. Je nachdem, wie warm Sie es haben möchten oder den Raum nutzen, können Sie diesen Raum möglicherweise schon jetzt effizient mit einer Wärmepumpe beheizen. Eine leicht reduzierte Raumtemperatur - schon ein Grad weniger - kann den Unterschied machen. Nach dem ersten Winter wissen Sie, ob der vorhandene Heizkörper Ihren Bedürfnissen genügt. Entscheiden Sie danach über den empfohlenen Heizkörpertausch.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v>
      </c>
      <c r="U3" s="133" t="str" cm="1">
        <f t="array" ref="U3">_xlfn.IFS(
1&lt;=clc_build!T$39,TXT_rooms!$E$5,
 OR(AND(1&gt;clc_build!T$39,clc_build!T$39&gt;=0.7),
 clc_build!T$38&gt;=clc_build!T$7),TXT_rooms!$E$4,
  AND(0.7&gt;clc_build!T$39,clc_build!T$39&gt;=0.4,
  clc_build!T$38&lt;clc_build!T$7),TXT_rooms!$E$3,
   AND(clc_build!T$39&lt;0.4,clc_build!T$38&lt;clc_build!T$7),TXT_rooms!$E$2
)</f>
        <v xml:space="preserve">## &lt;i class="bi bi-circle-fill rating-yellow"&gt;&lt;/i&gt; Fast niedertemperaturfähig:
### Etwas höhere Vorlauftemperatur als 55 °C, fast geschafft!
Dieser Raum ist beinahe bereit für den effizienten Betrieb mit einer Wärmepumpe – die Vorlauftemperatur ist nur leicht erhöht. Je nachdem, wie warm Sie es haben möchten oder den Raum nutzen, können Sie diesen Raum möglicherweise schon jetzt effizient mit einer Wärmepumpe beheizen. Eine leicht reduzierte Raumtemperatur - schon ein Grad weniger - kann den Unterschied machen. Nach dem ersten Winter wissen Sie, ob der vorhandene Heizkörper Ihren Bedürfnissen genügt. Entscheiden Sie danach über den empfohlenen Heizkörpertausch.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v>
      </c>
      <c r="V3" s="133" t="str" cm="1">
        <f t="array" ref="V3">_xlfn.IFS(
1&lt;=clc_build!U$39,TXT_rooms!$E$5,
 OR(AND(1&gt;clc_build!U$39,clc_build!U$39&gt;=0.7),
 clc_build!U$38&gt;=clc_build!U$7),TXT_rooms!$E$4,
  AND(0.7&gt;clc_build!U$39,clc_build!U$39&gt;=0.4,
  clc_build!U$38&lt;clc_build!U$7),TXT_rooms!$E$3,
   AND(clc_build!U$39&lt;0.4,clc_build!U$38&lt;clc_build!U$7),TXT_rooms!$E$2
)</f>
        <v xml:space="preserve">## &lt;i class="bi bi-circle-fill rating-yellow"&gt;&lt;/i&gt; Fast niedertemperaturfähig:
### Etwas höhere Vorlauftemperatur als 55 °C, fast geschafft!
Dieser Raum ist beinahe bereit für den effizienten Betrieb mit einer Wärmepumpe – die Vorlauftemperatur ist nur leicht erhöht. Je nachdem, wie warm Sie es haben möchten oder den Raum nutzen, können Sie diesen Raum möglicherweise schon jetzt effizient mit einer Wärmepumpe beheizen. Eine leicht reduzierte Raumtemperatur - schon ein Grad weniger - kann den Unterschied machen. Nach dem ersten Winter wissen Sie, ob der vorhandene Heizkörper Ihren Bedürfnissen genügt. Entscheiden Sie danach über den empfohlenen Heizkörpertausch. 
Je niedriger die benötigte Vorlauftemperatur, desto effizienter arbeitet die Wärmepumpe. Am einfachsten geht das mit einem leistungsfähigeren Heizkörper &lt;i class="bi bi-1-circle-fill bs-primary"&gt;&lt;/i&gt;. Darüber hinaus kann auch besserer Wärmeschutz helfen &lt;i class="bi bi-2-circle-fill bs-primary"&gt;&lt;/i&gt;. </v>
      </c>
    </row>
    <row r="4" spans="1:22" ht="15.75" customHeight="1">
      <c r="A4" t="s">
        <v>965</v>
      </c>
      <c r="B4" t="s">
        <v>117</v>
      </c>
      <c r="D4" t="s">
        <v>966</v>
      </c>
      <c r="G4" t="s">
        <v>792</v>
      </c>
      <c r="H4" s="11" t="e" cm="1">
        <f t="array" aca="1" ref="H4" ca="1">_xlfn.LET(_xlpm.max_HT_share,MAX(clc_build!G$13,clc_build!G$17,clc_build!G$21,clc_build!G$25,clc_build!G$29,clc_build!G$33),
_xlfn.IFS(clc_load!I$18=_xlpm.max_HT_share," Außenwand ",
clc_load!I$23=_xlpm.max_HT_share," Innenwand ",
clc_load!I$30=_xlpm.max_HT_share," Dachfläche ",
clc_load!I$36=_xlpm.max_HT_share," Decke ",
clc_load!I$41=_xlpm.max_HT_share," Fußbodenfläche ",
clc_build!G$21," Fenster "
))</f>
        <v>#NUM!</v>
      </c>
      <c r="I4" s="11" t="e" cm="1">
        <f t="array" aca="1" ref="I4" ca="1">_xlfn.LET(_xlpm.max_HT_share,MAX(clc_build!H$13,clc_build!H$17,clc_build!H$21,clc_build!H$25,clc_build!H$29,clc_build!H$33),
_xlfn.IFS(clc_load!J$18=_xlpm.max_HT_share," Außenwand ",
clc_load!J$23=_xlpm.max_HT_share," Innenwand ",
clc_load!J$30=_xlpm.max_HT_share," Dachfläche ",
clc_load!J$36=_xlpm.max_HT_share," Decke ",
clc_load!J$41=_xlpm.max_HT_share," Fußbodenfläche ",
clc_build!H$21," Fenster "
))</f>
        <v>#NUM!</v>
      </c>
      <c r="J4" s="11" t="e" cm="1">
        <f t="array" aca="1" ref="J4" ca="1">_xlfn.LET(_xlpm.max_HT_share,MAX(clc_build!I$13,clc_build!I$17,clc_build!I$21,clc_build!I$25,clc_build!I$29,clc_build!I$33),
_xlfn.IFS(clc_load!K$18=_xlpm.max_HT_share," Außenwand ",
clc_load!K$23=_xlpm.max_HT_share," Innenwand ",
clc_load!K$30=_xlpm.max_HT_share," Dachfläche ",
clc_load!K$36=_xlpm.max_HT_share," Decke ",
clc_load!K$41=_xlpm.max_HT_share," Fußbodenfläche ",
clc_build!I$21," Fenster "
))</f>
        <v>#NUM!</v>
      </c>
      <c r="K4" s="11" t="e" cm="1">
        <f t="array" aca="1" ref="K4" ca="1">_xlfn.LET(_xlpm.max_HT_share,MAX(clc_build!J$13,clc_build!J$17,clc_build!J$21,clc_build!J$25,clc_build!J$29,clc_build!J$33),
_xlfn.IFS(clc_load!L$18=_xlpm.max_HT_share," Außenwand ",
clc_load!L$23=_xlpm.max_HT_share," Innenwand ",
clc_load!L$30=_xlpm.max_HT_share," Dachfläche ",
clc_load!L$36=_xlpm.max_HT_share," Decke ",
clc_load!L$41=_xlpm.max_HT_share," Fußbodenfläche ",
clc_build!J$21," Fenster "
))</f>
        <v>#NUM!</v>
      </c>
      <c r="L4" s="11" t="e" cm="1">
        <f t="array" aca="1" ref="L4" ca="1">_xlfn.LET(_xlpm.max_HT_share,MAX(clc_build!K$13,clc_build!K$17,clc_build!K$21,clc_build!K$25,clc_build!K$29,clc_build!K$33),
_xlfn.IFS(clc_load!M$18=_xlpm.max_HT_share," Außenwand ",
clc_load!M$23=_xlpm.max_HT_share," Innenwand ",
clc_load!M$30=_xlpm.max_HT_share," Dachfläche ",
clc_load!M$36=_xlpm.max_HT_share," Decke ",
clc_load!M$41=_xlpm.max_HT_share," Fußbodenfläche ",
clc_build!K$21," Fenster "
))</f>
        <v>#NUM!</v>
      </c>
      <c r="M4" s="11" t="e" cm="1">
        <f t="array" aca="1" ref="M4" ca="1">_xlfn.LET(_xlpm.max_HT_share,MAX(clc_build!L$13,clc_build!L$17,clc_build!L$21,clc_build!L$25,clc_build!L$29,clc_build!L$33),
_xlfn.IFS(clc_load!N$18=_xlpm.max_HT_share," Außenwand ",
clc_load!N$23=_xlpm.max_HT_share," Innenwand ",
clc_load!N$30=_xlpm.max_HT_share," Dachfläche ",
clc_load!N$36=_xlpm.max_HT_share," Decke ",
clc_load!N$41=_xlpm.max_HT_share," Fußbodenfläche ",
clc_build!L$21," Fenster "
))</f>
        <v>#NUM!</v>
      </c>
      <c r="N4" s="11" t="e" cm="1">
        <f t="array" aca="1" ref="N4" ca="1">_xlfn.LET(_xlpm.max_HT_share,MAX(clc_build!M$13,clc_build!M$17,clc_build!M$21,clc_build!M$25,clc_build!M$29,clc_build!M$33),
_xlfn.IFS(clc_load!O$18=_xlpm.max_HT_share," Außenwand ",
clc_load!O$23=_xlpm.max_HT_share," Innenwand ",
clc_load!O$30=_xlpm.max_HT_share," Dachfläche ",
clc_load!O$36=_xlpm.max_HT_share," Decke ",
clc_load!O$41=_xlpm.max_HT_share," Fußbodenfläche ",
clc_build!M$21," Fenster "
))</f>
        <v>#NUM!</v>
      </c>
      <c r="O4" s="11" t="e" cm="1">
        <f t="array" aca="1" ref="O4" ca="1">_xlfn.LET(_xlpm.max_HT_share,MAX(clc_build!N$13,clc_build!N$17,clc_build!N$21,clc_build!N$25,clc_build!N$29,clc_build!N$33),
_xlfn.IFS(clc_load!P$18=_xlpm.max_HT_share," Außenwand ",
clc_load!P$23=_xlpm.max_HT_share," Innenwand ",
clc_load!P$30=_xlpm.max_HT_share," Dachfläche ",
clc_load!P$36=_xlpm.max_HT_share," Decke ",
clc_load!P$41=_xlpm.max_HT_share," Fußbodenfläche ",
clc_build!N$21," Fenster "
))</f>
        <v>#NUM!</v>
      </c>
      <c r="P4" s="11" t="e" cm="1">
        <f t="array" aca="1" ref="P4" ca="1">_xlfn.LET(_xlpm.max_HT_share,MAX(clc_build!O$13,clc_build!O$17,clc_build!O$21,clc_build!O$25,clc_build!O$29,clc_build!O$33),
_xlfn.IFS(clc_load!Q$18=_xlpm.max_HT_share," Außenwand ",
clc_load!Q$23=_xlpm.max_HT_share," Innenwand ",
clc_load!Q$30=_xlpm.max_HT_share," Dachfläche ",
clc_load!Q$36=_xlpm.max_HT_share," Decke ",
clc_load!Q$41=_xlpm.max_HT_share," Fußbodenfläche ",
clc_build!O$21," Fenster "
))</f>
        <v>#NUM!</v>
      </c>
      <c r="Q4" s="11" t="e" cm="1">
        <f t="array" aca="1" ref="Q4" ca="1">_xlfn.LET(_xlpm.max_HT_share,MAX(clc_build!P$13,clc_build!P$17,clc_build!P$21,clc_build!P$25,clc_build!P$29,clc_build!P$33),
_xlfn.IFS(clc_load!R$18=_xlpm.max_HT_share," Außenwand ",
clc_load!R$23=_xlpm.max_HT_share," Innenwand ",
clc_load!R$30=_xlpm.max_HT_share," Dachfläche ",
clc_load!R$36=_xlpm.max_HT_share," Decke ",
clc_load!R$41=_xlpm.max_HT_share," Fußbodenfläche ",
clc_build!P$21," Fenster "
))</f>
        <v>#NUM!</v>
      </c>
      <c r="R4" s="11" t="e" cm="1">
        <f t="array" aca="1" ref="R4" ca="1">_xlfn.LET(_xlpm.max_HT_share,MAX(clc_build!Q$13,clc_build!Q$17,clc_build!Q$21,clc_build!Q$25,clc_build!Q$29,clc_build!Q$33),
_xlfn.IFS(clc_load!S$18=_xlpm.max_HT_share," Außenwand ",
clc_load!S$23=_xlpm.max_HT_share," Innenwand ",
clc_load!S$30=_xlpm.max_HT_share," Dachfläche ",
clc_load!S$36=_xlpm.max_HT_share," Decke ",
clc_load!S$41=_xlpm.max_HT_share," Fußbodenfläche ",
clc_build!Q$21," Fenster "
))</f>
        <v>#NUM!</v>
      </c>
      <c r="S4" s="11" t="e" cm="1">
        <f t="array" aca="1" ref="S4" ca="1">_xlfn.LET(_xlpm.max_HT_share,MAX(clc_build!R$13,clc_build!R$17,clc_build!R$21,clc_build!R$25,clc_build!R$29,clc_build!R$33),
_xlfn.IFS(clc_load!T$18=_xlpm.max_HT_share," Außenwand ",
clc_load!T$23=_xlpm.max_HT_share," Innenwand ",
clc_load!T$30=_xlpm.max_HT_share," Dachfläche ",
clc_load!T$36=_xlpm.max_HT_share," Decke ",
clc_load!T$41=_xlpm.max_HT_share," Fußbodenfläche ",
clc_build!R$21," Fenster "
))</f>
        <v>#NUM!</v>
      </c>
      <c r="T4" s="11" t="e" cm="1">
        <f t="array" aca="1" ref="T4" ca="1">_xlfn.LET(_xlpm.max_HT_share,MAX(clc_build!S$13,clc_build!S$17,clc_build!S$21,clc_build!S$25,clc_build!S$29,clc_build!S$33),
_xlfn.IFS(clc_load!U$18=_xlpm.max_HT_share," Außenwand ",
clc_load!U$23=_xlpm.max_HT_share," Innenwand ",
clc_load!U$30=_xlpm.max_HT_share," Dachfläche ",
clc_load!U$36=_xlpm.max_HT_share," Decke ",
clc_load!U$41=_xlpm.max_HT_share," Fußbodenfläche ",
clc_build!S$21," Fenster "
))</f>
        <v>#NUM!</v>
      </c>
      <c r="U4" s="11" t="e" cm="1">
        <f t="array" aca="1" ref="U4" ca="1">_xlfn.LET(_xlpm.max_HT_share,MAX(clc_build!T$13,clc_build!T$17,clc_build!T$21,clc_build!T$25,clc_build!T$29,clc_build!T$33),
_xlfn.IFS(clc_load!V$18=_xlpm.max_HT_share," Außenwand ",
clc_load!V$23=_xlpm.max_HT_share," Innenwand ",
clc_load!V$30=_xlpm.max_HT_share," Dachfläche ",
clc_load!V$36=_xlpm.max_HT_share," Decke ",
clc_load!V$41=_xlpm.max_HT_share," Fußbodenfläche ",
clc_build!T$21," Fenster "
))</f>
        <v>#NUM!</v>
      </c>
      <c r="V4" s="11" t="e" cm="1">
        <f t="array" aca="1" ref="V4" ca="1">_xlfn.LET(_xlpm.max_HT_share,MAX(clc_build!U$13,clc_build!U$17,clc_build!U$21,clc_build!U$25,clc_build!U$29,clc_build!U$33),
_xlfn.IFS(clc_load!W$18=_xlpm.max_HT_share," Außenwand ",
clc_load!W$23=_xlpm.max_HT_share," Innenwand ",
clc_load!W$30=_xlpm.max_HT_share," Dachfläche ",
clc_load!W$36=_xlpm.max_HT_share," Decke ",
clc_load!W$41=_xlpm.max_HT_share," Fußbodenfläche ",
clc_build!U$21," Fenster "
))</f>
        <v>#NUM!</v>
      </c>
    </row>
    <row r="5" spans="1:22" ht="15.75" customHeight="1">
      <c r="A5" t="s">
        <v>967</v>
      </c>
      <c r="B5" t="s">
        <v>117</v>
      </c>
      <c r="D5" t="s">
        <v>968</v>
      </c>
      <c r="G5" t="s">
        <v>792</v>
      </c>
      <c r="H5" s="11" t="e" cm="1">
        <f t="array" aca="1" ref="H5" ca="1">_xlfn.LET(
_xlpm.second_HT_share,LARGE((clc_build!G$13,clc_build!G$17,clc_build!G$21,clc_build!G$25,clc_build!G$29,clc_build!G$33),2),
_xlfn.IFS(clc_load!I$18=_xlpm.second_HT_share," Außenwand ",
clc_load!I$23=_xlpm.second_HT_share," Innenwand ",
clc_load!I$30=_xlpm.second_HT_share," Dachfläche ",
clc_load!I$36=_xlpm.second_HT_share," Decke ",
clc_load!I$41=_xlpm.second_HT_share," Fußbodenfläche ",
clc_build!G$21=_xlpm.second_HT_share," Fenster "))</f>
        <v>#NUM!</v>
      </c>
      <c r="I5" s="11" t="e" cm="1">
        <f t="array" aca="1" ref="I5" ca="1">_xlfn.LET(
_xlpm.second_HT_share,LARGE((clc_build!H$13,clc_build!H$17,clc_build!H$21,clc_build!H$25,clc_build!H$29,clc_build!H$33),2),
_xlfn.IFS(clc_load!J$18=_xlpm.second_HT_share," Außenwand ",
clc_load!J$23=_xlpm.second_HT_share," Innenwand ",
clc_load!J$30=_xlpm.second_HT_share," Dachfläche ",
clc_load!J$36=_xlpm.second_HT_share," Decke ",
clc_load!J$41=_xlpm.second_HT_share," Fußbodenfläche ",
clc_build!H$21=_xlpm.second_HT_share," Fenster "))</f>
        <v>#NUM!</v>
      </c>
      <c r="J5" s="11" t="e" cm="1">
        <f t="array" aca="1" ref="J5" ca="1">_xlfn.LET(
_xlpm.second_HT_share,LARGE((clc_build!I$13,clc_build!I$17,clc_build!I$21,clc_build!I$25,clc_build!I$29,clc_build!I$33),2),
_xlfn.IFS(clc_load!K$18=_xlpm.second_HT_share," Außenwand ",
clc_load!K$23=_xlpm.second_HT_share," Innenwand ",
clc_load!K$30=_xlpm.second_HT_share," Dachfläche ",
clc_load!K$36=_xlpm.second_HT_share," Decke ",
clc_load!K$41=_xlpm.second_HT_share," Fußbodenfläche ",
clc_build!I$21=_xlpm.second_HT_share," Fenster "))</f>
        <v>#NUM!</v>
      </c>
      <c r="K5" s="11" t="e" cm="1">
        <f t="array" aca="1" ref="K5" ca="1">_xlfn.LET(
_xlpm.second_HT_share,LARGE((clc_build!J$13,clc_build!J$17,clc_build!J$21,clc_build!J$25,clc_build!J$29,clc_build!J$33),2),
_xlfn.IFS(clc_load!L$18=_xlpm.second_HT_share," Außenwand ",
clc_load!L$23=_xlpm.second_HT_share," Innenwand ",
clc_load!L$30=_xlpm.second_HT_share," Dachfläche ",
clc_load!L$36=_xlpm.second_HT_share," Decke ",
clc_load!L$41=_xlpm.second_HT_share," Fußbodenfläche ",
clc_build!J$21=_xlpm.second_HT_share," Fenster "))</f>
        <v>#NUM!</v>
      </c>
      <c r="L5" s="11" t="e" cm="1">
        <f t="array" aca="1" ref="L5" ca="1">_xlfn.LET(
_xlpm.second_HT_share,LARGE((clc_build!K$13,clc_build!K$17,clc_build!K$21,clc_build!K$25,clc_build!K$29,clc_build!K$33),2),
_xlfn.IFS(clc_load!M$18=_xlpm.second_HT_share," Außenwand ",
clc_load!M$23=_xlpm.second_HT_share," Innenwand ",
clc_load!M$30=_xlpm.second_HT_share," Dachfläche ",
clc_load!M$36=_xlpm.second_HT_share," Decke ",
clc_load!M$41=_xlpm.second_HT_share," Fußbodenfläche ",
clc_build!K$21=_xlpm.second_HT_share," Fenster "))</f>
        <v>#NUM!</v>
      </c>
      <c r="M5" s="11" t="e" cm="1">
        <f t="array" aca="1" ref="M5" ca="1">_xlfn.LET(
_xlpm.second_HT_share,LARGE((clc_build!L$13,clc_build!L$17,clc_build!L$21,clc_build!L$25,clc_build!L$29,clc_build!L$33),2),
_xlfn.IFS(clc_load!N$18=_xlpm.second_HT_share," Außenwand ",
clc_load!N$23=_xlpm.second_HT_share," Innenwand ",
clc_load!N$30=_xlpm.second_HT_share," Dachfläche ",
clc_load!N$36=_xlpm.second_HT_share," Decke ",
clc_load!N$41=_xlpm.second_HT_share," Fußbodenfläche ",
clc_build!L$21=_xlpm.second_HT_share," Fenster "))</f>
        <v>#NUM!</v>
      </c>
      <c r="N5" s="11" t="e" cm="1">
        <f t="array" aca="1" ref="N5" ca="1">_xlfn.LET(
_xlpm.second_HT_share,LARGE((clc_build!M$13,clc_build!M$17,clc_build!M$21,clc_build!M$25,clc_build!M$29,clc_build!M$33),2),
_xlfn.IFS(clc_load!O$18=_xlpm.second_HT_share," Außenwand ",
clc_load!O$23=_xlpm.second_HT_share," Innenwand ",
clc_load!O$30=_xlpm.second_HT_share," Dachfläche ",
clc_load!O$36=_xlpm.second_HT_share," Decke ",
clc_load!O$41=_xlpm.second_HT_share," Fußbodenfläche ",
clc_build!M$21=_xlpm.second_HT_share," Fenster "))</f>
        <v>#NUM!</v>
      </c>
      <c r="O5" s="11" t="e" cm="1">
        <f t="array" aca="1" ref="O5" ca="1">_xlfn.LET(
_xlpm.second_HT_share,LARGE((clc_build!N$13,clc_build!N$17,clc_build!N$21,clc_build!N$25,clc_build!N$29,clc_build!N$33),2),
_xlfn.IFS(clc_load!P$18=_xlpm.second_HT_share," Außenwand ",
clc_load!P$23=_xlpm.second_HT_share," Innenwand ",
clc_load!P$30=_xlpm.second_HT_share," Dachfläche ",
clc_load!P$36=_xlpm.second_HT_share," Decke ",
clc_load!P$41=_xlpm.second_HT_share," Fußbodenfläche ",
clc_build!N$21=_xlpm.second_HT_share," Fenster "))</f>
        <v>#NUM!</v>
      </c>
      <c r="P5" s="11" t="e" cm="1">
        <f t="array" aca="1" ref="P5" ca="1">_xlfn.LET(
_xlpm.second_HT_share,LARGE((clc_build!O$13,clc_build!O$17,clc_build!O$21,clc_build!O$25,clc_build!O$29,clc_build!O$33),2),
_xlfn.IFS(clc_load!Q$18=_xlpm.second_HT_share," Außenwand ",
clc_load!Q$23=_xlpm.second_HT_share," Innenwand ",
clc_load!Q$30=_xlpm.second_HT_share," Dachfläche ",
clc_load!Q$36=_xlpm.second_HT_share," Decke ",
clc_load!Q$41=_xlpm.second_HT_share," Fußbodenfläche ",
clc_build!O$21=_xlpm.second_HT_share," Fenster "))</f>
        <v>#NUM!</v>
      </c>
      <c r="Q5" s="11" t="e" cm="1">
        <f t="array" aca="1" ref="Q5" ca="1">_xlfn.LET(
_xlpm.second_HT_share,LARGE((clc_build!P$13,clc_build!P$17,clc_build!P$21,clc_build!P$25,clc_build!P$29,clc_build!P$33),2),
_xlfn.IFS(clc_load!R$18=_xlpm.second_HT_share," Außenwand ",
clc_load!R$23=_xlpm.second_HT_share," Innenwand ",
clc_load!R$30=_xlpm.second_HT_share," Dachfläche ",
clc_load!R$36=_xlpm.second_HT_share," Decke ",
clc_load!R$41=_xlpm.second_HT_share," Fußbodenfläche ",
clc_build!P$21=_xlpm.second_HT_share," Fenster "))</f>
        <v>#NUM!</v>
      </c>
      <c r="R5" s="11" t="e" cm="1">
        <f t="array" aca="1" ref="R5" ca="1">_xlfn.LET(
_xlpm.second_HT_share,LARGE((clc_build!Q$13,clc_build!Q$17,clc_build!Q$21,clc_build!Q$25,clc_build!Q$29,clc_build!Q$33),2),
_xlfn.IFS(clc_load!S$18=_xlpm.second_HT_share," Außenwand ",
clc_load!S$23=_xlpm.second_HT_share," Innenwand ",
clc_load!S$30=_xlpm.second_HT_share," Dachfläche ",
clc_load!S$36=_xlpm.second_HT_share," Decke ",
clc_load!S$41=_xlpm.second_HT_share," Fußbodenfläche ",
clc_build!Q$21=_xlpm.second_HT_share," Fenster "))</f>
        <v>#NUM!</v>
      </c>
      <c r="S5" s="11" t="e" cm="1">
        <f t="array" aca="1" ref="S5" ca="1">_xlfn.LET(
_xlpm.second_HT_share,LARGE((clc_build!R$13,clc_build!R$17,clc_build!R$21,clc_build!R$25,clc_build!R$29,clc_build!R$33),2),
_xlfn.IFS(clc_load!T$18=_xlpm.second_HT_share," Außenwand ",
clc_load!T$23=_xlpm.second_HT_share," Innenwand ",
clc_load!T$30=_xlpm.second_HT_share," Dachfläche ",
clc_load!T$36=_xlpm.second_HT_share," Decke ",
clc_load!T$41=_xlpm.second_HT_share," Fußbodenfläche ",
clc_build!R$21=_xlpm.second_HT_share," Fenster "))</f>
        <v>#NUM!</v>
      </c>
      <c r="T5" s="11" t="e" cm="1">
        <f t="array" aca="1" ref="T5" ca="1">_xlfn.LET(
_xlpm.second_HT_share,LARGE((clc_build!S$13,clc_build!S$17,clc_build!S$21,clc_build!S$25,clc_build!S$29,clc_build!S$33),2),
_xlfn.IFS(clc_load!U$18=_xlpm.second_HT_share," Außenwand ",
clc_load!U$23=_xlpm.second_HT_share," Innenwand ",
clc_load!U$30=_xlpm.second_HT_share," Dachfläche ",
clc_load!U$36=_xlpm.second_HT_share," Decke ",
clc_load!U$41=_xlpm.second_HT_share," Fußbodenfläche ",
clc_build!S$21=_xlpm.second_HT_share," Fenster "))</f>
        <v>#NUM!</v>
      </c>
      <c r="U5" s="11" t="e" cm="1">
        <f t="array" aca="1" ref="U5" ca="1">_xlfn.LET(
_xlpm.second_HT_share,LARGE((clc_build!T$13,clc_build!T$17,clc_build!T$21,clc_build!T$25,clc_build!T$29,clc_build!T$33),2),
_xlfn.IFS(clc_load!V$18=_xlpm.second_HT_share," Außenwand ",
clc_load!V$23=_xlpm.second_HT_share," Innenwand ",
clc_load!V$30=_xlpm.second_HT_share," Dachfläche ",
clc_load!V$36=_xlpm.second_HT_share," Decke ",
clc_load!V$41=_xlpm.second_HT_share," Fußbodenfläche ",
clc_build!T$21=_xlpm.second_HT_share," Fenster "))</f>
        <v>#NUM!</v>
      </c>
      <c r="V5" s="11" t="e" cm="1">
        <f t="array" aca="1" ref="V5" ca="1">_xlfn.LET(
_xlpm.second_HT_share,LARGE((clc_build!U$13,clc_build!U$17,clc_build!U$21,clc_build!U$25,clc_build!U$29,clc_build!U$33),2),
_xlfn.IFS(clc_load!W$18=_xlpm.second_HT_share," Außenwand ",
clc_load!W$23=_xlpm.second_HT_share," Innenwand ",
clc_load!W$30=_xlpm.second_HT_share," Dachfläche ",
clc_load!W$36=_xlpm.second_HT_share," Decke ",
clc_load!W$41=_xlpm.second_HT_share," Fußbodenfläche ",
clc_build!U$21=_xlpm.second_HT_share," Fenster "))</f>
        <v>#NUM!</v>
      </c>
    </row>
    <row r="6" spans="1:22" s="35" customFormat="1" ht="15.75" customHeight="1" thickBot="1">
      <c r="A6" s="35" t="s">
        <v>969</v>
      </c>
      <c r="B6" s="35" t="s">
        <v>117</v>
      </c>
      <c r="D6" s="35" t="s">
        <v>970</v>
      </c>
      <c r="G6" s="35" t="s">
        <v>792</v>
      </c>
      <c r="H6" s="133" t="e" cm="1">
        <f t="array" aca="1" ref="H6" ca="1">_xlfn.IFS(
clc_build!G$8&lt;50,TXT_rooms!$E$6,
AND(clc_build!G$8&gt;=50,clc_build!G$8&lt;70),TXT_rooms!$E$7&amp;OUT_rooms!H$4&amp;TXT_rooms!$E$8,
AND(clc_build!G$8&gt;=70,clc_build!G$8&lt;90),TXT_rooms!$E$9&amp;OUT_rooms!H$4&amp;TXT_rooms!$E$10,
clc_build!G$8&gt;=90,TXT_rooms!$E$11&amp;OUT_rooms!H$4&amp;"und die"&amp;H$5&amp;TXT_rooms!$E$12
)</f>
        <v>#NUM!</v>
      </c>
      <c r="I6" s="133" t="e" cm="1">
        <f t="array" aca="1" ref="I6" ca="1">_xlfn.IFS(
clc_build!H$8&lt;50,TXT_rooms!$E$6,
AND(clc_build!H$8&gt;=50,clc_build!H$8&lt;70),TXT_rooms!$E$7&amp;OUT_rooms!I$4&amp;TXT_rooms!$E$8,
AND(clc_build!H$8&gt;=70,clc_build!H$8&lt;90),TXT_rooms!$E$9&amp;OUT_rooms!I$4&amp;TXT_rooms!$E$10,
clc_build!H$8&gt;=90,TXT_rooms!$E$11&amp;OUT_rooms!I$4&amp;"und die"&amp;I$5&amp;TXT_rooms!$E$12
)</f>
        <v>#NUM!</v>
      </c>
      <c r="J6" s="133" t="e" cm="1">
        <f t="array" aca="1" ref="J6" ca="1">_xlfn.IFS(
clc_build!I$8&lt;50,TXT_rooms!$E$6,
AND(clc_build!I$8&gt;=50,clc_build!I$8&lt;70),TXT_rooms!$E$7&amp;OUT_rooms!J$4&amp;TXT_rooms!$E$8,
AND(clc_build!I$8&gt;=70,clc_build!I$8&lt;90),TXT_rooms!$E$9&amp;OUT_rooms!J$4&amp;TXT_rooms!$E$10,
clc_build!I$8&gt;=90,TXT_rooms!$E$11&amp;OUT_rooms!J$4&amp;"und die"&amp;J$5&amp;TXT_rooms!$E$12
)</f>
        <v>#NUM!</v>
      </c>
      <c r="K6" s="133" t="e" cm="1">
        <f t="array" aca="1" ref="K6" ca="1">_xlfn.IFS(
clc_build!J$8&lt;50,TXT_rooms!$E$6,
AND(clc_build!J$8&gt;=50,clc_build!J$8&lt;70),TXT_rooms!$E$7&amp;OUT_rooms!K$4&amp;TXT_rooms!$E$8,
AND(clc_build!J$8&gt;=70,clc_build!J$8&lt;90),TXT_rooms!$E$9&amp;OUT_rooms!K$4&amp;TXT_rooms!$E$10,
clc_build!J$8&gt;=90,TXT_rooms!$E$11&amp;OUT_rooms!K$4&amp;"und die"&amp;K$5&amp;TXT_rooms!$E$12
)</f>
        <v>#NUM!</v>
      </c>
      <c r="L6" s="133" t="e" cm="1">
        <f t="array" aca="1" ref="L6" ca="1">_xlfn.IFS(
clc_build!K$8&lt;50,TXT_rooms!$E$6,
AND(clc_build!K$8&gt;=50,clc_build!K$8&lt;70),TXT_rooms!$E$7&amp;OUT_rooms!L$4&amp;TXT_rooms!$E$8,
AND(clc_build!K$8&gt;=70,clc_build!K$8&lt;90),TXT_rooms!$E$9&amp;OUT_rooms!L$4&amp;TXT_rooms!$E$10,
clc_build!K$8&gt;=90,TXT_rooms!$E$11&amp;OUT_rooms!L$4&amp;"und die"&amp;L$5&amp;TXT_rooms!$E$12
)</f>
        <v>#NUM!</v>
      </c>
      <c r="M6" s="133" t="e" cm="1">
        <f t="array" aca="1" ref="M6" ca="1">_xlfn.IFS(
clc_build!L$8&lt;50,TXT_rooms!$E$6,
AND(clc_build!L$8&gt;=50,clc_build!L$8&lt;70),TXT_rooms!$E$7&amp;OUT_rooms!M$4&amp;TXT_rooms!$E$8,
AND(clc_build!L$8&gt;=70,clc_build!L$8&lt;90),TXT_rooms!$E$9&amp;OUT_rooms!M$4&amp;TXT_rooms!$E$10,
clc_build!L$8&gt;=90,TXT_rooms!$E$11&amp;OUT_rooms!M$4&amp;"und die"&amp;M$5&amp;TXT_rooms!$E$12
)</f>
        <v>#NUM!</v>
      </c>
      <c r="N6" s="133" t="e" cm="1">
        <f t="array" aca="1" ref="N6" ca="1">_xlfn.IFS(
clc_build!M$8&lt;50,TXT_rooms!$E$6,
AND(clc_build!M$8&gt;=50,clc_build!M$8&lt;70),TXT_rooms!$E$7&amp;OUT_rooms!N$4&amp;TXT_rooms!$E$8,
AND(clc_build!M$8&gt;=70,clc_build!M$8&lt;90),TXT_rooms!$E$9&amp;OUT_rooms!N$4&amp;TXT_rooms!$E$10,
clc_build!M$8&gt;=90,TXT_rooms!$E$11&amp;OUT_rooms!N$4&amp;"und die"&amp;N$5&amp;TXT_rooms!$E$12
)</f>
        <v>#NUM!</v>
      </c>
      <c r="O6" s="133" t="e" cm="1">
        <f t="array" aca="1" ref="O6" ca="1">_xlfn.IFS(
clc_build!N$8&lt;50,TXT_rooms!$E$6,
AND(clc_build!N$8&gt;=50,clc_build!N$8&lt;70),TXT_rooms!$E$7&amp;OUT_rooms!O$4&amp;TXT_rooms!$E$8,
AND(clc_build!N$8&gt;=70,clc_build!N$8&lt;90),TXT_rooms!$E$9&amp;OUT_rooms!O$4&amp;TXT_rooms!$E$10,
clc_build!N$8&gt;=90,TXT_rooms!$E$11&amp;OUT_rooms!O$4&amp;"und die"&amp;O$5&amp;TXT_rooms!$E$12
)</f>
        <v>#NUM!</v>
      </c>
      <c r="P6" s="133" t="e" cm="1">
        <f t="array" aca="1" ref="P6" ca="1">_xlfn.IFS(
clc_build!O$8&lt;50,TXT_rooms!$E$6,
AND(clc_build!O$8&gt;=50,clc_build!O$8&lt;70),TXT_rooms!$E$7&amp;OUT_rooms!P$4&amp;TXT_rooms!$E$8,
AND(clc_build!O$8&gt;=70,clc_build!O$8&lt;90),TXT_rooms!$E$9&amp;OUT_rooms!P$4&amp;TXT_rooms!$E$10,
clc_build!O$8&gt;=90,TXT_rooms!$E$11&amp;OUT_rooms!P$4&amp;"und die"&amp;P$5&amp;TXT_rooms!$E$12
)</f>
        <v>#NUM!</v>
      </c>
      <c r="Q6" s="133" t="e" cm="1">
        <f t="array" aca="1" ref="Q6" ca="1">_xlfn.IFS(
clc_build!P$8&lt;50,TXT_rooms!$E$6,
AND(clc_build!P$8&gt;=50,clc_build!P$8&lt;70),TXT_rooms!$E$7&amp;OUT_rooms!Q$4&amp;TXT_rooms!$E$8,
AND(clc_build!P$8&gt;=70,clc_build!P$8&lt;90),TXT_rooms!$E$9&amp;OUT_rooms!Q$4&amp;TXT_rooms!$E$10,
clc_build!P$8&gt;=90,TXT_rooms!$E$11&amp;OUT_rooms!Q$4&amp;"und die"&amp;Q$5&amp;TXT_rooms!$E$12
)</f>
        <v>#NUM!</v>
      </c>
      <c r="R6" s="133" t="str" cm="1">
        <f t="array" aca="1" ref="R6" ca="1">_xlfn.IFS(
clc_build!Q$8&lt;50,TXT_rooms!$E$6,
AND(clc_build!Q$8&gt;=50,clc_build!Q$8&lt;70),TXT_rooms!$E$7&amp;OUT_rooms!R$4&amp;TXT_rooms!$E$8,
AND(clc_build!Q$8&gt;=70,clc_build!Q$8&lt;90),TXT_rooms!$E$9&amp;OUT_rooms!R$4&amp;TXT_rooms!$E$10,
clc_build!Q$8&gt;=90,TXT_rooms!$E$11&amp;OUT_rooms!R$4&amp;"und die"&amp;R$5&amp;TXT_rooms!$E$12
)</f>
        <v>## &lt;i class="bi bi-circle-fill rating-green"&gt;&lt;/i&gt; Alles im grünen Bereich.
### Stark gemacht!
Die &lt;abbr title="Die Summe der Wärmeverluste eines Raumes über alle Bauteile bei angenommener Raum- und Außentemperatur."&gt;Heizlast&lt;/abbr&gt; in diesem Raum ist bereits sehr niedrig – eine Wärmepumpe kann den Raum effizient beheizen und der Energieverbrauch ist gering. Zusätzliche Maßnahmen wie Dämmung oder neue Fenster bringen nur noch geringe Verbesserungen.</v>
      </c>
      <c r="S6" s="133" t="str" cm="1">
        <f t="array" aca="1" ref="S6" ca="1">_xlfn.IFS(
clc_build!R$8&lt;50,TXT_rooms!$E$6,
AND(clc_build!R$8&gt;=50,clc_build!R$8&lt;70),TXT_rooms!$E$7&amp;OUT_rooms!S$4&amp;TXT_rooms!$E$8,
AND(clc_build!R$8&gt;=70,clc_build!R$8&lt;90),TXT_rooms!$E$9&amp;OUT_rooms!S$4&amp;TXT_rooms!$E$10,
clc_build!R$8&gt;=90,TXT_rooms!$E$11&amp;OUT_rooms!S$4&amp;"und die"&amp;S$5&amp;TXT_rooms!$E$12
)</f>
        <v>## &lt;i class="bi bi-circle-fill rating-green"&gt;&lt;/i&gt; Alles im grünen Bereich.
### Stark gemacht!
Die &lt;abbr title="Die Summe der Wärmeverluste eines Raumes über alle Bauteile bei angenommener Raum- und Außentemperatur."&gt;Heizlast&lt;/abbr&gt; in diesem Raum ist bereits sehr niedrig – eine Wärmepumpe kann den Raum effizient beheizen und der Energieverbrauch ist gering. Zusätzliche Maßnahmen wie Dämmung oder neue Fenster bringen nur noch geringe Verbesserungen.</v>
      </c>
      <c r="T6" s="133" t="str" cm="1">
        <f t="array" aca="1" ref="T6" ca="1">_xlfn.IFS(
clc_build!S$8&lt;50,TXT_rooms!$E$6,
AND(clc_build!S$8&gt;=50,clc_build!S$8&lt;70),TXT_rooms!$E$7&amp;OUT_rooms!T$4&amp;TXT_rooms!$E$8,
AND(clc_build!S$8&gt;=70,clc_build!S$8&lt;90),TXT_rooms!$E$9&amp;OUT_rooms!T$4&amp;TXT_rooms!$E$10,
clc_build!S$8&gt;=90,TXT_rooms!$E$11&amp;OUT_rooms!T$4&amp;"und die"&amp;T$5&amp;TXT_rooms!$E$12
)</f>
        <v>## &lt;i class="bi bi-circle-fill rating-green"&gt;&lt;/i&gt; Alles im grünen Bereich.
### Stark gemacht!
Die &lt;abbr title="Die Summe der Wärmeverluste eines Raumes über alle Bauteile bei angenommener Raum- und Außentemperatur."&gt;Heizlast&lt;/abbr&gt; in diesem Raum ist bereits sehr niedrig – eine Wärmepumpe kann den Raum effizient beheizen und der Energieverbrauch ist gering. Zusätzliche Maßnahmen wie Dämmung oder neue Fenster bringen nur noch geringe Verbesserungen.</v>
      </c>
      <c r="U6" s="133" t="str" cm="1">
        <f t="array" aca="1" ref="U6" ca="1">_xlfn.IFS(
clc_build!T$8&lt;50,TXT_rooms!$E$6,
AND(clc_build!T$8&gt;=50,clc_build!T$8&lt;70),TXT_rooms!$E$7&amp;OUT_rooms!U$4&amp;TXT_rooms!$E$8,
AND(clc_build!T$8&gt;=70,clc_build!T$8&lt;90),TXT_rooms!$E$9&amp;OUT_rooms!U$4&amp;TXT_rooms!$E$10,
clc_build!T$8&gt;=90,TXT_rooms!$E$11&amp;OUT_rooms!U$4&amp;"und die"&amp;U$5&amp;TXT_rooms!$E$12
)</f>
        <v>## &lt;i class="bi bi-circle-fill rating-green"&gt;&lt;/i&gt; Alles im grünen Bereich.
### Stark gemacht!
Die &lt;abbr title="Die Summe der Wärmeverluste eines Raumes über alle Bauteile bei angenommener Raum- und Außentemperatur."&gt;Heizlast&lt;/abbr&gt; in diesem Raum ist bereits sehr niedrig – eine Wärmepumpe kann den Raum effizient beheizen und der Energieverbrauch ist gering. Zusätzliche Maßnahmen wie Dämmung oder neue Fenster bringen nur noch geringe Verbesserungen.</v>
      </c>
      <c r="V6" s="133" t="str" cm="1">
        <f t="array" aca="1" ref="V6" ca="1">_xlfn.IFS(
clc_build!U$8&lt;50,TXT_rooms!$E$6,
AND(clc_build!U$8&gt;=50,clc_build!U$8&lt;70),TXT_rooms!$E$7&amp;OUT_rooms!V$4&amp;TXT_rooms!$E$8,
AND(clc_build!U$8&gt;=70,clc_build!U$8&lt;90),TXT_rooms!$E$9&amp;OUT_rooms!V$4&amp;TXT_rooms!$E$10,
clc_build!U$8&gt;=90,TXT_rooms!$E$11&amp;OUT_rooms!V$4&amp;"und die"&amp;V$5&amp;TXT_rooms!$E$12
)</f>
        <v>## &lt;i class="bi bi-circle-fill rating-green"&gt;&lt;/i&gt; Alles im grünen Bereich.
### Stark gemacht!
Die &lt;abbr title="Die Summe der Wärmeverluste eines Raumes über alle Bauteile bei angenommener Raum- und Außentemperatur."&gt;Heizlast&lt;/abbr&gt; in diesem Raum ist bereits sehr niedrig – eine Wärmepumpe kann den Raum effizient beheizen und der Energieverbrauch ist gering. Zusätzliche Maßnahmen wie Dämmung oder neue Fenster bringen nur noch geringe Verbesserungen.</v>
      </c>
    </row>
    <row r="7" spans="1:22" ht="15.75" customHeight="1">
      <c r="A7" s="77" t="s">
        <v>971</v>
      </c>
      <c r="B7" t="s">
        <v>117</v>
      </c>
      <c r="D7" t="s">
        <v>972</v>
      </c>
      <c r="G7" t="s">
        <v>807</v>
      </c>
      <c r="H7" s="11" t="e" cm="1">
        <f t="array" ref="H7" xml:space="preserve"> _xlfn.IFS(
    clc_build!G$39&gt;0.5,
" größerer ",
    AND(clc_build!G$39 &gt;0.45,clc_build!G$39&lt;=0.5),
" mindestens doppelt so großer ",
    AND(clc_build!G$39 &gt;0.34,clc_build!G$39&lt;=0.45),
" dreimal so großer ",
   clc_build!G$39&lt;=0.34,
" sehr viel größerer "
)</f>
        <v>#N/A</v>
      </c>
      <c r="I7" s="11" t="e" cm="1">
        <f t="array" ref="I7" xml:space="preserve"> _xlfn.IFS(
    clc_build!H$39&gt;0.5,
" größerer ",
    AND(clc_build!H$39 &gt;0.45,clc_build!H$39&lt;=0.5),
" mindestens doppelt so großer ",
    AND(clc_build!H$39 &gt;0.34,clc_build!H$39&lt;=0.45),
" dreimal so großer ",
   clc_build!H$39&lt;=0.34,
" sehr viel größerer "
)</f>
        <v>#N/A</v>
      </c>
      <c r="J7" s="11" t="e" cm="1">
        <f t="array" ref="J7" xml:space="preserve"> _xlfn.IFS(
    clc_build!I$39&gt;0.5,
" größerer ",
    AND(clc_build!I$39 &gt;0.45,clc_build!I$39&lt;=0.5),
" mindestens doppelt so großer ",
    AND(clc_build!I$39 &gt;0.34,clc_build!I$39&lt;=0.45),
" dreimal so großer ",
   clc_build!I$39&lt;=0.34,
" sehr viel größerer "
)</f>
        <v>#N/A</v>
      </c>
      <c r="K7" s="11" t="e" cm="1">
        <f t="array" ref="K7" xml:space="preserve"> _xlfn.IFS(
    clc_build!J$39&gt;0.5,
" größerer ",
    AND(clc_build!J$39 &gt;0.45,clc_build!J$39&lt;=0.5),
" mindestens doppelt so großer ",
    AND(clc_build!J$39 &gt;0.34,clc_build!J$39&lt;=0.45),
" dreimal so großer ",
   clc_build!J$39&lt;=0.34,
" sehr viel größerer "
)</f>
        <v>#N/A</v>
      </c>
      <c r="L7" s="11" t="e" cm="1">
        <f t="array" ref="L7" xml:space="preserve"> _xlfn.IFS(
    clc_build!K$39&gt;0.5,
" größerer ",
    AND(clc_build!K$39 &gt;0.45,clc_build!K$39&lt;=0.5),
" mindestens doppelt so großer ",
    AND(clc_build!K$39 &gt;0.34,clc_build!K$39&lt;=0.45),
" dreimal so großer ",
   clc_build!K$39&lt;=0.34,
" sehr viel größerer "
)</f>
        <v>#N/A</v>
      </c>
      <c r="M7" s="11" t="e" cm="1">
        <f t="array" ref="M7" xml:space="preserve"> _xlfn.IFS(
    clc_build!L$39&gt;0.5,
" größerer ",
    AND(clc_build!L$39 &gt;0.45,clc_build!L$39&lt;=0.5),
" mindestens doppelt so großer ",
    AND(clc_build!L$39 &gt;0.34,clc_build!L$39&lt;=0.45),
" dreimal so großer ",
   clc_build!L$39&lt;=0.34,
" sehr viel größerer "
)</f>
        <v>#N/A</v>
      </c>
      <c r="N7" s="11" t="e" cm="1">
        <f t="array" ref="N7" xml:space="preserve"> _xlfn.IFS(
    clc_build!M$39&gt;0.5,
" größerer ",
    AND(clc_build!M$39 &gt;0.45,clc_build!M$39&lt;=0.5),
" mindestens doppelt so großer ",
    AND(clc_build!M$39 &gt;0.34,clc_build!M$39&lt;=0.45),
" dreimal so großer ",
   clc_build!M$39&lt;=0.34,
" sehr viel größerer "
)</f>
        <v>#N/A</v>
      </c>
      <c r="O7" s="11" t="e" cm="1">
        <f t="array" ref="O7" xml:space="preserve"> _xlfn.IFS(
    clc_build!N$39&gt;0.5,
" größerer ",
    AND(clc_build!N$39 &gt;0.45,clc_build!N$39&lt;=0.5),
" mindestens doppelt so großer ",
    AND(clc_build!N$39 &gt;0.34,clc_build!N$39&lt;=0.45),
" dreimal so großer ",
   clc_build!N$39&lt;=0.34,
" sehr viel größerer "
)</f>
        <v>#N/A</v>
      </c>
      <c r="P7" s="11" t="e" cm="1">
        <f t="array" ref="P7" xml:space="preserve"> _xlfn.IFS(
    clc_build!O$39&gt;0.5,
" größerer ",
    AND(clc_build!O$39 &gt;0.45,clc_build!O$39&lt;=0.5),
" mindestens doppelt so großer ",
    AND(clc_build!O$39 &gt;0.34,clc_build!O$39&lt;=0.45),
" dreimal so großer ",
   clc_build!O$39&lt;=0.34,
" sehr viel größerer "
)</f>
        <v>#N/A</v>
      </c>
      <c r="Q7" s="11" t="e" cm="1">
        <f t="array" ref="Q7" xml:space="preserve"> _xlfn.IFS(
    clc_build!P$39&gt;0.5,
" größerer ",
    AND(clc_build!P$39 &gt;0.45,clc_build!P$39&lt;=0.5),
" mindestens doppelt so großer ",
    AND(clc_build!P$39 &gt;0.34,clc_build!P$39&lt;=0.45),
" dreimal so großer ",
   clc_build!P$39&lt;=0.34,
" sehr viel größerer "
)</f>
        <v>#N/A</v>
      </c>
      <c r="R7" s="11" t="str" cm="1">
        <f t="array" ref="R7" xml:space="preserve"> _xlfn.IFS(
    clc_build!Q$39&gt;0.5,
" größerer ",
    AND(clc_build!Q$39 &gt;0.45,clc_build!Q$39&lt;=0.5),
" mindestens doppelt so großer ",
    AND(clc_build!Q$39 &gt;0.34,clc_build!Q$39&lt;=0.45),
" dreimal so großer ",
   clc_build!Q$39&lt;=0.34,
" sehr viel größerer "
)</f>
        <v xml:space="preserve"> sehr viel größerer </v>
      </c>
      <c r="S7" s="11" t="str" cm="1">
        <f t="array" ref="S7" xml:space="preserve"> _xlfn.IFS(
    clc_build!R$39&gt;0.5,
" größerer ",
    AND(clc_build!R$39 &gt;0.45,clc_build!R$39&lt;=0.5),
" mindestens doppelt so großer ",
    AND(clc_build!R$39 &gt;0.34,clc_build!R$39&lt;=0.45),
" dreimal so großer ",
   clc_build!R$39&lt;=0.34,
" sehr viel größerer "
)</f>
        <v xml:space="preserve"> sehr viel größerer </v>
      </c>
      <c r="T7" s="11" t="str" cm="1">
        <f t="array" ref="T7" xml:space="preserve"> _xlfn.IFS(
    clc_build!S$39&gt;0.5,
" größerer ",
    AND(clc_build!S$39 &gt;0.45,clc_build!S$39&lt;=0.5),
" mindestens doppelt so großer ",
    AND(clc_build!S$39 &gt;0.34,clc_build!S$39&lt;=0.45),
" dreimal so großer ",
   clc_build!S$39&lt;=0.34,
" sehr viel größerer "
)</f>
        <v xml:space="preserve"> sehr viel größerer </v>
      </c>
      <c r="U7" s="11" t="str" cm="1">
        <f t="array" ref="U7" xml:space="preserve"> _xlfn.IFS(
    clc_build!T$39&gt;0.5,
" größerer ",
    AND(clc_build!T$39 &gt;0.45,clc_build!T$39&lt;=0.5),
" mindestens doppelt so großer ",
    AND(clc_build!T$39 &gt;0.34,clc_build!T$39&lt;=0.45),
" dreimal so großer ",
   clc_build!T$39&lt;=0.34,
" sehr viel größerer "
)</f>
        <v xml:space="preserve"> sehr viel größerer </v>
      </c>
      <c r="V7" s="11" t="str" cm="1">
        <f t="array" ref="V7" xml:space="preserve"> _xlfn.IFS(
    clc_build!U$39&gt;0.5,
" größerer ",
    AND(clc_build!U$39 &gt;0.45,clc_build!U$39&lt;=0.5),
" mindestens doppelt so großer ",
    AND(clc_build!U$39 &gt;0.34,clc_build!U$39&lt;=0.45),
" dreimal so großer ",
   clc_build!U$39&lt;=0.34,
" sehr viel größerer "
)</f>
        <v xml:space="preserve"> sehr viel größerer </v>
      </c>
    </row>
    <row r="8" spans="1:22" ht="15.75" customHeight="1">
      <c r="A8" s="77" t="s">
        <v>973</v>
      </c>
      <c r="B8" t="s">
        <v>117</v>
      </c>
      <c r="D8" t="s">
        <v>974</v>
      </c>
      <c r="G8" t="s">
        <v>807</v>
      </c>
      <c r="H8" s="11" t="e" cm="1">
        <f t="array" ref="H8" xml:space="preserve"> _xlfn.IFS(
    clc_build!G$39&gt;0.85,
" spürbar mehr ",
    AND(clc_build!G$39 &gt;0.77,clc_build!G$39&lt;=0.85),
" 30 Prozent mehr",
    AND(clc_build!G$39 &gt; 0.65, clc_build!G$39 &lt;= 0.77),
" 50 Prozent mehr ",
    AND(clc_build!G$39 &gt; 0.5, clc_build!G$39 &lt;= 0.65),
" doppelt so viel ",
clc_build!G$39 &lt;= 0.5,
" deutlich mehr "
)</f>
        <v>#N/A</v>
      </c>
      <c r="I8" s="11" t="e" cm="1">
        <f t="array" ref="I8" xml:space="preserve"> _xlfn.IFS(
    clc_build!H$39&gt;0.85,
" spürbar mehr ",
    AND(clc_build!H$39 &gt;0.77,clc_build!H$39&lt;=0.85),
" 30 Prozent mehr",
    AND(clc_build!H$39 &gt; 0.65, clc_build!H$39 &lt;= 0.77),
" 50 Prozent mehr ",
    AND(clc_build!H$39 &gt; 0.5, clc_build!H$39 &lt;= 0.65),
" doppelt so viel ",
clc_build!H$39 &lt;= 0.5,
" deutlich mehr "
)</f>
        <v>#N/A</v>
      </c>
      <c r="J8" s="11" t="e" cm="1">
        <f t="array" ref="J8" xml:space="preserve"> _xlfn.IFS(
    clc_build!I$39&gt;0.85,
" spürbar mehr ",
    AND(clc_build!I$39 &gt;0.77,clc_build!I$39&lt;=0.85),
" 30 Prozent mehr",
    AND(clc_build!I$39 &gt; 0.65, clc_build!I$39 &lt;= 0.77),
" 50 Prozent mehr ",
    AND(clc_build!I$39 &gt; 0.5, clc_build!I$39 &lt;= 0.65),
" doppelt so viel ",
clc_build!I$39 &lt;= 0.5,
" deutlich mehr "
)</f>
        <v>#N/A</v>
      </c>
      <c r="K8" s="11" t="e" cm="1">
        <f t="array" ref="K8" xml:space="preserve"> _xlfn.IFS(
    clc_build!J$39&gt;0.85,
" spürbar mehr ",
    AND(clc_build!J$39 &gt;0.77,clc_build!J$39&lt;=0.85),
" 30 Prozent mehr",
    AND(clc_build!J$39 &gt; 0.65, clc_build!J$39 &lt;= 0.77),
" 50 Prozent mehr ",
    AND(clc_build!J$39 &gt; 0.5, clc_build!J$39 &lt;= 0.65),
" doppelt so viel ",
clc_build!J$39 &lt;= 0.5,
" deutlich mehr "
)</f>
        <v>#N/A</v>
      </c>
      <c r="L8" s="11" t="e" cm="1">
        <f t="array" ref="L8" xml:space="preserve"> _xlfn.IFS(
    clc_build!K$39&gt;0.85,
" spürbar mehr ",
    AND(clc_build!K$39 &gt;0.77,clc_build!K$39&lt;=0.85),
" 30 Prozent mehr",
    AND(clc_build!K$39 &gt; 0.65, clc_build!K$39 &lt;= 0.77),
" 50 Prozent mehr ",
    AND(clc_build!K$39 &gt; 0.5, clc_build!K$39 &lt;= 0.65),
" doppelt so viel ",
clc_build!K$39 &lt;= 0.5,
" deutlich mehr "
)</f>
        <v>#N/A</v>
      </c>
      <c r="M8" s="11" t="e" cm="1">
        <f t="array" ref="M8" xml:space="preserve"> _xlfn.IFS(
    clc_build!L$39&gt;0.85,
" spürbar mehr ",
    AND(clc_build!L$39 &gt;0.77,clc_build!L$39&lt;=0.85),
" 30 Prozent mehr",
    AND(clc_build!L$39 &gt; 0.65, clc_build!L$39 &lt;= 0.77),
" 50 Prozent mehr ",
    AND(clc_build!L$39 &gt; 0.5, clc_build!L$39 &lt;= 0.65),
" doppelt so viel ",
clc_build!L$39 &lt;= 0.5,
" deutlich mehr "
)</f>
        <v>#N/A</v>
      </c>
      <c r="N8" s="11" t="e" cm="1">
        <f t="array" ref="N8" xml:space="preserve"> _xlfn.IFS(
    clc_build!M$39&gt;0.85,
" spürbar mehr ",
    AND(clc_build!M$39 &gt;0.77,clc_build!M$39&lt;=0.85),
" 30 Prozent mehr",
    AND(clc_build!M$39 &gt; 0.65, clc_build!M$39 &lt;= 0.77),
" 50 Prozent mehr ",
    AND(clc_build!M$39 &gt; 0.5, clc_build!M$39 &lt;= 0.65),
" doppelt so viel ",
clc_build!M$39 &lt;= 0.5,
" deutlich mehr "
)</f>
        <v>#N/A</v>
      </c>
      <c r="O8" s="11" t="e" cm="1">
        <f t="array" ref="O8" xml:space="preserve"> _xlfn.IFS(
    clc_build!N$39&gt;0.85,
" spürbar mehr ",
    AND(clc_build!N$39 &gt;0.77,clc_build!N$39&lt;=0.85),
" 30 Prozent mehr",
    AND(clc_build!N$39 &gt; 0.65, clc_build!N$39 &lt;= 0.77),
" 50 Prozent mehr ",
    AND(clc_build!N$39 &gt; 0.5, clc_build!N$39 &lt;= 0.65),
" doppelt so viel ",
clc_build!N$39 &lt;= 0.5,
" deutlich mehr "
)</f>
        <v>#N/A</v>
      </c>
      <c r="P8" s="11" t="e" cm="1">
        <f t="array" ref="P8" xml:space="preserve"> _xlfn.IFS(
    clc_build!O$39&gt;0.85,
" spürbar mehr ",
    AND(clc_build!O$39 &gt;0.77,clc_build!O$39&lt;=0.85),
" 30 Prozent mehr",
    AND(clc_build!O$39 &gt; 0.65, clc_build!O$39 &lt;= 0.77),
" 50 Prozent mehr ",
    AND(clc_build!O$39 &gt; 0.5, clc_build!O$39 &lt;= 0.65),
" doppelt so viel ",
clc_build!O$39 &lt;= 0.5,
" deutlich mehr "
)</f>
        <v>#N/A</v>
      </c>
      <c r="Q8" s="11" t="e" cm="1">
        <f t="array" ref="Q8" xml:space="preserve"> _xlfn.IFS(
    clc_build!P$39&gt;0.85,
" spürbar mehr ",
    AND(clc_build!P$39 &gt;0.77,clc_build!P$39&lt;=0.85),
" 30 Prozent mehr",
    AND(clc_build!P$39 &gt; 0.65, clc_build!P$39 &lt;= 0.77),
" 50 Prozent mehr ",
    AND(clc_build!P$39 &gt; 0.5, clc_build!P$39 &lt;= 0.65),
" doppelt so viel ",
clc_build!P$39 &lt;= 0.5,
" deutlich mehr "
)</f>
        <v>#N/A</v>
      </c>
      <c r="R8" s="11" t="str" cm="1">
        <f t="array" ref="R8" xml:space="preserve"> _xlfn.IFS(
    clc_build!Q$39&gt;0.85,
" spürbar mehr ",
    AND(clc_build!Q$39 &gt;0.77,clc_build!Q$39&lt;=0.85),
" 30 Prozent mehr",
    AND(clc_build!Q$39 &gt; 0.65, clc_build!Q$39 &lt;= 0.77),
" 50 Prozent mehr ",
    AND(clc_build!Q$39 &gt; 0.5, clc_build!Q$39 &lt;= 0.65),
" doppelt so viel ",
clc_build!Q$39 &lt;= 0.5,
" deutlich mehr "
)</f>
        <v xml:space="preserve"> deutlich mehr </v>
      </c>
      <c r="S8" s="11" t="str" cm="1">
        <f t="array" ref="S8" xml:space="preserve"> _xlfn.IFS(
    clc_build!R$39&gt;0.85,
" spürbar mehr ",
    AND(clc_build!R$39 &gt;0.77,clc_build!R$39&lt;=0.85),
" 30 Prozent mehr",
    AND(clc_build!R$39 &gt; 0.65, clc_build!R$39 &lt;= 0.77),
" 50 Prozent mehr ",
    AND(clc_build!R$39 &gt; 0.5, clc_build!R$39 &lt;= 0.65),
" doppelt so viel ",
clc_build!R$39 &lt;= 0.5,
" deutlich mehr "
)</f>
        <v xml:space="preserve"> deutlich mehr </v>
      </c>
      <c r="T8" s="11" t="str" cm="1">
        <f t="array" ref="T8" xml:space="preserve"> _xlfn.IFS(
    clc_build!S$39&gt;0.85,
" spürbar mehr ",
    AND(clc_build!S$39 &gt;0.77,clc_build!S$39&lt;=0.85),
" 30 Prozent mehr",
    AND(clc_build!S$39 &gt; 0.65, clc_build!S$39 &lt;= 0.77),
" 50 Prozent mehr ",
    AND(clc_build!S$39 &gt; 0.5, clc_build!S$39 &lt;= 0.65),
" doppelt so viel ",
clc_build!S$39 &lt;= 0.5,
" deutlich mehr "
)</f>
        <v xml:space="preserve"> deutlich mehr </v>
      </c>
      <c r="U8" s="11" t="str" cm="1">
        <f t="array" ref="U8" xml:space="preserve"> _xlfn.IFS(
    clc_build!T$39&gt;0.85,
" spürbar mehr ",
    AND(clc_build!T$39 &gt;0.77,clc_build!T$39&lt;=0.85),
" 30 Prozent mehr",
    AND(clc_build!T$39 &gt; 0.65, clc_build!T$39 &lt;= 0.77),
" 50 Prozent mehr ",
    AND(clc_build!T$39 &gt; 0.5, clc_build!T$39 &lt;= 0.65),
" doppelt so viel ",
clc_build!T$39 &lt;= 0.5,
" deutlich mehr "
)</f>
        <v xml:space="preserve"> deutlich mehr </v>
      </c>
      <c r="V8" s="11" t="str" cm="1">
        <f t="array" ref="V8" xml:space="preserve"> _xlfn.IFS(
    clc_build!U$39&gt;0.85,
" spürbar mehr ",
    AND(clc_build!U$39 &gt;0.77,clc_build!U$39&lt;=0.85),
" 30 Prozent mehr",
    AND(clc_build!U$39 &gt; 0.65, clc_build!U$39 &lt;= 0.77),
" 50 Prozent mehr ",
    AND(clc_build!U$39 &gt; 0.5, clc_build!U$39 &lt;= 0.65),
" doppelt so viel ",
clc_build!U$39 &lt;= 0.5,
" deutlich mehr "
)</f>
        <v xml:space="preserve"> deutlich mehr </v>
      </c>
    </row>
    <row r="9" spans="1:22" ht="15.75" customHeight="1">
      <c r="A9" s="77" t="s">
        <v>975</v>
      </c>
      <c r="D9" t="s">
        <v>976</v>
      </c>
      <c r="G9" t="s">
        <v>807</v>
      </c>
      <c r="H9" s="11" t="e" cm="1">
        <f t="array" ref="H9">_xlfn.IFS(clc_build!G$40 &gt; 0.77,
", sondern müsste etwas größer sein.",
AND(clc_build!G$40 &gt; 0.65, clc_build!G$40 &lt;= 0.77),
", sondern müsste ein Drittel größer sein.",
AND(clc_build!G$40 &gt; 0.5, clc_build!G$40 &lt;= 0.65),
", sondern müsste 50 Prozent größer sein.",
clc_build!G$40 &lt;= 0.5,
", sondern müsste mindestens doppelt so groß sein.")
&amp;
" Hinweis: Eine Gebläseunterstützung (siehe Wärmepumpen-Heizkörper) kann die Heizleistung weiter steigern. Für diese Heizkörper-Modelle ist ein zusätzlicher Stromanschluss für die Gebläse erforderlich."</f>
        <v>#N/A</v>
      </c>
      <c r="I9" s="11" t="e" cm="1">
        <f t="array" ref="I9">_xlfn.IFS(clc_build!H$40 &gt; 0.77,
", sondern müsste etwas größer sein.",
AND(clc_build!H$40 &gt; 0.65, clc_build!H$40 &lt;= 0.77),
", sondern müsste ein Drittel größer sein.",
AND(clc_build!H$40 &gt; 0.5, clc_build!H$40 &lt;= 0.65),
", sondern müsste 50 Prozent größer sein.",
clc_build!H$40 &lt;= 0.5,
", sondern müsste mindestens doppelt so groß sein.")
&amp;
" Hinweis: Eine Gebläseunterstützung (siehe Wärmepumpen-Heizkörper) kann die Heizleistung weiter steigern. Für diese Heizkörper-Modelle ist ein zusätzlicher Stromanschluss für die Gebläse erforderlich."</f>
        <v>#N/A</v>
      </c>
      <c r="J9" s="11" t="e" cm="1">
        <f t="array" ref="J9">_xlfn.IFS(clc_build!I$40 &gt; 0.77,
", sondern müsste etwas größer sein.",
AND(clc_build!I$40 &gt; 0.65, clc_build!I$40 &lt;= 0.77),
", sondern müsste ein Drittel größer sein.",
AND(clc_build!I$40 &gt; 0.5, clc_build!I$40 &lt;= 0.65),
", sondern müsste 50 Prozent größer sein.",
clc_build!I$40 &lt;= 0.5,
", sondern müsste mindestens doppelt so groß sein.")
&amp;
" Hinweis: Eine Gebläseunterstützung (siehe Wärmepumpen-Heizkörper) kann die Heizleistung weiter steigern. Für diese Heizkörper-Modelle ist ein zusätzlicher Stromanschluss für die Gebläse erforderlich."</f>
        <v>#N/A</v>
      </c>
      <c r="K9" s="11" t="e" cm="1">
        <f t="array" ref="K9">_xlfn.IFS(clc_build!J$40 &gt; 0.77,
", sondern müsste etwas größer sein.",
AND(clc_build!J$40 &gt; 0.65, clc_build!J$40 &lt;= 0.77),
", sondern müsste ein Drittel größer sein.",
AND(clc_build!J$40 &gt; 0.5, clc_build!J$40 &lt;= 0.65),
", sondern müsste 50 Prozent größer sein.",
clc_build!J$40 &lt;= 0.5,
", sondern müsste mindestens doppelt so groß sein.")
&amp;
" Hinweis: Eine Gebläseunterstützung (siehe Wärmepumpen-Heizkörper) kann die Heizleistung weiter steigern. Für diese Heizkörper-Modelle ist ein zusätzlicher Stromanschluss für die Gebläse erforderlich."</f>
        <v>#N/A</v>
      </c>
      <c r="L9" s="11" t="e" cm="1">
        <f t="array" ref="L9">_xlfn.IFS(clc_build!K$40 &gt; 0.77,
", sondern müsste etwas größer sein.",
AND(clc_build!K$40 &gt; 0.65, clc_build!K$40 &lt;= 0.77),
", sondern müsste ein Drittel größer sein.",
AND(clc_build!K$40 &gt; 0.5, clc_build!K$40 &lt;= 0.65),
", sondern müsste 50 Prozent größer sein.",
clc_build!K$40 &lt;= 0.5,
", sondern müsste mindestens doppelt so groß sein.")
&amp;
" Hinweis: Eine Gebläseunterstützung (siehe Wärmepumpen-Heizkörper) kann die Heizleistung weiter steigern. Für diese Heizkörper-Modelle ist ein zusätzlicher Stromanschluss für die Gebläse erforderlich."</f>
        <v>#N/A</v>
      </c>
      <c r="M9" s="11" t="e" cm="1">
        <f t="array" ref="M9">_xlfn.IFS(clc_build!L$40 &gt; 0.77,
", sondern müsste etwas größer sein.",
AND(clc_build!L$40 &gt; 0.65, clc_build!L$40 &lt;= 0.77),
", sondern müsste ein Drittel größer sein.",
AND(clc_build!L$40 &gt; 0.5, clc_build!L$40 &lt;= 0.65),
", sondern müsste 50 Prozent größer sein.",
clc_build!L$40 &lt;= 0.5,
", sondern müsste mindestens doppelt so groß sein.")
&amp;
" Hinweis: Eine Gebläseunterstützung (siehe Wärmepumpen-Heizkörper) kann die Heizleistung weiter steigern. Für diese Heizkörper-Modelle ist ein zusätzlicher Stromanschluss für die Gebläse erforderlich."</f>
        <v>#N/A</v>
      </c>
      <c r="N9" s="11" t="e" cm="1">
        <f t="array" ref="N9">_xlfn.IFS(clc_build!M$40 &gt; 0.77,
", sondern müsste etwas größer sein.",
AND(clc_build!M$40 &gt; 0.65, clc_build!M$40 &lt;= 0.77),
", sondern müsste ein Drittel größer sein.",
AND(clc_build!M$40 &gt; 0.5, clc_build!M$40 &lt;= 0.65),
", sondern müsste 50 Prozent größer sein.",
clc_build!M$40 &lt;= 0.5,
", sondern müsste mindestens doppelt so groß sein.")
&amp;
" Hinweis: Eine Gebläseunterstützung (siehe Wärmepumpen-Heizkörper) kann die Heizleistung weiter steigern. Für diese Heizkörper-Modelle ist ein zusätzlicher Stromanschluss für die Gebläse erforderlich."</f>
        <v>#N/A</v>
      </c>
      <c r="O9" s="11" t="e" cm="1">
        <f t="array" ref="O9">_xlfn.IFS(clc_build!N$40 &gt; 0.77,
", sondern müsste etwas größer sein.",
AND(clc_build!N$40 &gt; 0.65, clc_build!N$40 &lt;= 0.77),
", sondern müsste ein Drittel größer sein.",
AND(clc_build!N$40 &gt; 0.5, clc_build!N$40 &lt;= 0.65),
", sondern müsste 50 Prozent größer sein.",
clc_build!N$40 &lt;= 0.5,
", sondern müsste mindestens doppelt so groß sein.")
&amp;
" Hinweis: Eine Gebläseunterstützung (siehe Wärmepumpen-Heizkörper) kann die Heizleistung weiter steigern. Für diese Heizkörper-Modelle ist ein zusätzlicher Stromanschluss für die Gebläse erforderlich."</f>
        <v>#N/A</v>
      </c>
      <c r="P9" s="11" t="e" cm="1">
        <f t="array" ref="P9">_xlfn.IFS(clc_build!O$40 &gt; 0.77,
", sondern müsste etwas größer sein.",
AND(clc_build!O$40 &gt; 0.65, clc_build!O$40 &lt;= 0.77),
", sondern müsste ein Drittel größer sein.",
AND(clc_build!O$40 &gt; 0.5, clc_build!O$40 &lt;= 0.65),
", sondern müsste 50 Prozent größer sein.",
clc_build!O$40 &lt;= 0.5,
", sondern müsste mindestens doppelt so groß sein.")
&amp;
" Hinweis: Eine Gebläseunterstützung (siehe Wärmepumpen-Heizkörper) kann die Heizleistung weiter steigern. Für diese Heizkörper-Modelle ist ein zusätzlicher Stromanschluss für die Gebläse erforderlich."</f>
        <v>#N/A</v>
      </c>
      <c r="Q9" s="11" t="e" cm="1">
        <f t="array" ref="Q9">_xlfn.IFS(clc_build!P$40 &gt; 0.77,
", sondern müsste etwas größer sein.",
AND(clc_build!P$40 &gt; 0.65, clc_build!P$40 &lt;= 0.77),
", sondern müsste ein Drittel größer sein.",
AND(clc_build!P$40 &gt; 0.5, clc_build!P$40 &lt;= 0.65),
", sondern müsste 50 Prozent größer sein.",
clc_build!P$40 &lt;= 0.5,
", sondern müsste mindestens doppelt so groß sein.")
&amp;
" Hinweis: Eine Gebläseunterstützung (siehe Wärmepumpen-Heizkörper) kann die Heizleistung weiter steigern. Für diese Heizkörper-Modelle ist ein zusätzlicher Stromanschluss für die Gebläse erforderlich."</f>
        <v>#N/A</v>
      </c>
      <c r="R9" s="11" t="str" cm="1">
        <f t="array" ref="R9">_xlfn.IFS(clc_build!Q$40 &gt; 0.77,
", sondern müsste etwas größer sein.",
AND(clc_build!Q$40 &gt; 0.65, clc_build!Q$40 &lt;= 0.77),
", sondern müsste ein Drittel größer sein.",
AND(clc_build!Q$40 &gt; 0.5, clc_build!Q$40 &lt;= 0.65),
", sondern müsste 50 Prozent größer sein.",
clc_build!Q$40 &lt;= 0.5,
", sondern müsste mindestens doppelt so groß sein.")
&amp;
" Hinweis: Eine Gebläseunterstützung (siehe Wärmepumpen-Heizkörper) kann die Heizleistung weiter steigern. Für diese Heizkörper-Modelle ist ein zusätzlicher Stromanschluss für die Gebläse erforderlich."</f>
        <v>, sondern müsste mindestens doppelt so groß sein. Hinweis: Eine Gebläseunterstützung (siehe Wärmepumpen-Heizkörper) kann die Heizleistung weiter steigern. Für diese Heizkörper-Modelle ist ein zusätzlicher Stromanschluss für die Gebläse erforderlich.</v>
      </c>
      <c r="S9" s="11" t="str" cm="1">
        <f t="array" ref="S9">_xlfn.IFS(clc_build!R$40 &gt; 0.77,
", sondern müsste etwas größer sein.",
AND(clc_build!R$40 &gt; 0.65, clc_build!R$40 &lt;= 0.77),
", sondern müsste ein Drittel größer sein.",
AND(clc_build!R$40 &gt; 0.5, clc_build!R$40 &lt;= 0.65),
", sondern müsste 50 Prozent größer sein.",
clc_build!R$40 &lt;= 0.5,
", sondern müsste mindestens doppelt so groß sein.")
&amp;
" Hinweis: Eine Gebläseunterstützung (siehe Wärmepumpen-Heizkörper) kann die Heizleistung weiter steigern. Für diese Heizkörper-Modelle ist ein zusätzlicher Stromanschluss für die Gebläse erforderlich."</f>
        <v>, sondern müsste mindestens doppelt so groß sein. Hinweis: Eine Gebläseunterstützung (siehe Wärmepumpen-Heizkörper) kann die Heizleistung weiter steigern. Für diese Heizkörper-Modelle ist ein zusätzlicher Stromanschluss für die Gebläse erforderlich.</v>
      </c>
      <c r="T9" s="11" t="str" cm="1">
        <f t="array" ref="T9">_xlfn.IFS(clc_build!S$40 &gt; 0.77,
", sondern müsste etwas größer sein.",
AND(clc_build!S$40 &gt; 0.65, clc_build!S$40 &lt;= 0.77),
", sondern müsste ein Drittel größer sein.",
AND(clc_build!S$40 &gt; 0.5, clc_build!S$40 &lt;= 0.65),
", sondern müsste 50 Prozent größer sein.",
clc_build!S$40 &lt;= 0.5,
", sondern müsste mindestens doppelt so groß sein.")
&amp;
" Hinweis: Eine Gebläseunterstützung (siehe Wärmepumpen-Heizkörper) kann die Heizleistung weiter steigern. Für diese Heizkörper-Modelle ist ein zusätzlicher Stromanschluss für die Gebläse erforderlich."</f>
        <v>, sondern müsste mindestens doppelt so groß sein. Hinweis: Eine Gebläseunterstützung (siehe Wärmepumpen-Heizkörper) kann die Heizleistung weiter steigern. Für diese Heizkörper-Modelle ist ein zusätzlicher Stromanschluss für die Gebläse erforderlich.</v>
      </c>
      <c r="U9" s="11" t="str" cm="1">
        <f t="array" ref="U9">_xlfn.IFS(clc_build!T$40 &gt; 0.77,
", sondern müsste etwas größer sein.",
AND(clc_build!T$40 &gt; 0.65, clc_build!T$40 &lt;= 0.77),
", sondern müsste ein Drittel größer sein.",
AND(clc_build!T$40 &gt; 0.5, clc_build!T$40 &lt;= 0.65),
", sondern müsste 50 Prozent größer sein.",
clc_build!T$40 &lt;= 0.5,
", sondern müsste mindestens doppelt so groß sein.")
&amp;
" Hinweis: Eine Gebläseunterstützung (siehe Wärmepumpen-Heizkörper) kann die Heizleistung weiter steigern. Für diese Heizkörper-Modelle ist ein zusätzlicher Stromanschluss für die Gebläse erforderlich."</f>
        <v>, sondern müsste mindestens doppelt so groß sein. Hinweis: Eine Gebläseunterstützung (siehe Wärmepumpen-Heizkörper) kann die Heizleistung weiter steigern. Für diese Heizkörper-Modelle ist ein zusätzlicher Stromanschluss für die Gebläse erforderlich.</v>
      </c>
      <c r="V9" s="11" t="str" cm="1">
        <f t="array" ref="V9">_xlfn.IFS(clc_build!U$40 &gt; 0.77,
", sondern müsste etwas größer sein.",
AND(clc_build!U$40 &gt; 0.65, clc_build!U$40 &lt;= 0.77),
", sondern müsste ein Drittel größer sein.",
AND(clc_build!U$40 &gt; 0.5, clc_build!U$40 &lt;= 0.65),
", sondern müsste 50 Prozent größer sein.",
clc_build!U$40 &lt;= 0.5,
", sondern müsste mindestens doppelt so groß sein.")
&amp;
" Hinweis: Eine Gebläseunterstützung (siehe Wärmepumpen-Heizkörper) kann die Heizleistung weiter steigern. Für diese Heizkörper-Modelle ist ein zusätzlicher Stromanschluss für die Gebläse erforderlich."</f>
        <v>, sondern müsste mindestens doppelt so groß sein. Hinweis: Eine Gebläseunterstützung (siehe Wärmepumpen-Heizkörper) kann die Heizleistung weiter steigern. Für diese Heizkörper-Modelle ist ein zusätzlicher Stromanschluss für die Gebläse erforderlich.</v>
      </c>
    </row>
    <row r="10" spans="1:22" s="35" customFormat="1" ht="15.75" customHeight="1" thickBot="1">
      <c r="A10" s="35" t="s">
        <v>977</v>
      </c>
      <c r="B10" s="35" t="s">
        <v>117</v>
      </c>
      <c r="D10" s="35" t="s">
        <v>978</v>
      </c>
      <c r="G10" s="35" t="s">
        <v>807</v>
      </c>
      <c r="H10" s="133" t="e" cm="1">
        <f t="array" ref="H10">_xlfn.IFS(
clc_build!G$39 &gt;= 1,
TXT_rooms!$E$19,
clc_build!G$40&lt;0.5,
TXT_rooms!$E$13 &amp; H7 &amp; TXT_rooms!$E$14,
clc_build!G$40 &lt; 1,
TXT_rooms!$E$15&amp;H$8&amp;TXT_rooms!$E$16 &amp; H$9,
AND(clc_build!G$40 &gt;= 1,clc_build!G$39 &lt; 1),TXT_rooms!$E$17&amp;H$8&amp;TXT_rooms!$E$18
)</f>
        <v>#N/A</v>
      </c>
      <c r="I10" s="133" t="e" cm="1">
        <f t="array" ref="I10">_xlfn.IFS(
clc_build!H$39 &gt;= 1,
TXT_rooms!$E$19,
clc_build!H$40&lt;0.5,
TXT_rooms!$E$13 &amp; I7 &amp; TXT_rooms!$E$14,
clc_build!H$40 &lt; 1,
TXT_rooms!$E$15&amp;I$8&amp;TXT_rooms!$E$16 &amp; I$9,
AND(clc_build!H$40 &gt;= 1,clc_build!H$39 &lt; 1),TXT_rooms!$E$17&amp;I$8&amp;TXT_rooms!$E$18
)</f>
        <v>#N/A</v>
      </c>
      <c r="J10" s="133" t="e" cm="1">
        <f t="array" ref="J10">_xlfn.IFS(
clc_build!I$39 &gt;= 1,
TXT_rooms!$E$19,
clc_build!I$40&lt;0.5,
TXT_rooms!$E$13 &amp; J7 &amp; TXT_rooms!$E$14,
clc_build!I$40 &lt; 1,
TXT_rooms!$E$15&amp;J$8&amp;TXT_rooms!$E$16 &amp; J$9,
AND(clc_build!I$40 &gt;= 1,clc_build!I$39 &lt; 1),TXT_rooms!$E$17&amp;J$8&amp;TXT_rooms!$E$18
)</f>
        <v>#N/A</v>
      </c>
      <c r="K10" s="133" t="e" cm="1">
        <f t="array" ref="K10">_xlfn.IFS(
clc_build!J$39 &gt;= 1,
TXT_rooms!$E$19,
clc_build!J$40&lt;0.5,
TXT_rooms!$E$13 &amp; K7 &amp; TXT_rooms!$E$14,
clc_build!J$40 &lt; 1,
TXT_rooms!$E$15&amp;K$8&amp;TXT_rooms!$E$16 &amp; K$9,
AND(clc_build!J$40 &gt;= 1,clc_build!J$39 &lt; 1),TXT_rooms!$E$17&amp;K$8&amp;TXT_rooms!$E$18
)</f>
        <v>#N/A</v>
      </c>
      <c r="L10" s="133" t="e" cm="1">
        <f t="array" ref="L10">_xlfn.IFS(
clc_build!K$39 &gt;= 1,
TXT_rooms!$E$19,
clc_build!K$40&lt;0.5,
TXT_rooms!$E$13 &amp; L7 &amp; TXT_rooms!$E$14,
clc_build!K$40 &lt; 1,
TXT_rooms!$E$15&amp;L$8&amp;TXT_rooms!$E$16 &amp; L$9,
AND(clc_build!K$40 &gt;= 1,clc_build!K$39 &lt; 1),TXT_rooms!$E$17&amp;L$8&amp;TXT_rooms!$E$18
)</f>
        <v>#N/A</v>
      </c>
      <c r="M10" s="133" t="e" cm="1">
        <f t="array" ref="M10">_xlfn.IFS(
clc_build!L$39 &gt;= 1,
TXT_rooms!$E$19,
clc_build!L$40&lt;0.5,
TXT_rooms!$E$13 &amp; M7 &amp; TXT_rooms!$E$14,
clc_build!L$40 &lt; 1,
TXT_rooms!$E$15&amp;M$8&amp;TXT_rooms!$E$16 &amp; M$9,
AND(clc_build!L$40 &gt;= 1,clc_build!L$39 &lt; 1),TXT_rooms!$E$17&amp;M$8&amp;TXT_rooms!$E$18
)</f>
        <v>#N/A</v>
      </c>
      <c r="N10" s="133" t="e" cm="1">
        <f t="array" ref="N10">_xlfn.IFS(
clc_build!M$39 &gt;= 1,
TXT_rooms!$E$19,
clc_build!M$40&lt;0.5,
TXT_rooms!$E$13 &amp; N7 &amp; TXT_rooms!$E$14,
clc_build!M$40 &lt; 1,
TXT_rooms!$E$15&amp;N$8&amp;TXT_rooms!$E$16 &amp; N$9,
AND(clc_build!M$40 &gt;= 1,clc_build!M$39 &lt; 1),TXT_rooms!$E$17&amp;N$8&amp;TXT_rooms!$E$18
)</f>
        <v>#N/A</v>
      </c>
      <c r="O10" s="133" t="e" cm="1">
        <f t="array" ref="O10">_xlfn.IFS(
clc_build!N$39 &gt;= 1,
TXT_rooms!$E$19,
clc_build!N$40&lt;0.5,
TXT_rooms!$E$13 &amp; O7 &amp; TXT_rooms!$E$14,
clc_build!N$40 &lt; 1,
TXT_rooms!$E$15&amp;O$8&amp;TXT_rooms!$E$16 &amp; O$9,
AND(clc_build!N$40 &gt;= 1,clc_build!N$39 &lt; 1),TXT_rooms!$E$17&amp;O$8&amp;TXT_rooms!$E$18
)</f>
        <v>#N/A</v>
      </c>
      <c r="P10" s="133" t="e" cm="1">
        <f t="array" ref="P10">_xlfn.IFS(
clc_build!O$39 &gt;= 1,
TXT_rooms!$E$19,
clc_build!O$40&lt;0.5,
TXT_rooms!$E$13 &amp; P7 &amp; TXT_rooms!$E$14,
clc_build!O$40 &lt; 1,
TXT_rooms!$E$15&amp;P$8&amp;TXT_rooms!$E$16 &amp; P$9,
AND(clc_build!O$40 &gt;= 1,clc_build!O$39 &lt; 1),TXT_rooms!$E$17&amp;P$8&amp;TXT_rooms!$E$18
)</f>
        <v>#N/A</v>
      </c>
      <c r="Q10" s="133" t="e" cm="1">
        <f t="array" ref="Q10">_xlfn.IFS(
clc_build!P$39 &gt;= 1,
TXT_rooms!$E$19,
clc_build!P$40&lt;0.5,
TXT_rooms!$E$13 &amp; Q7 &amp; TXT_rooms!$E$14,
clc_build!P$40 &lt; 1,
TXT_rooms!$E$15&amp;Q$8&amp;TXT_rooms!$E$16 &amp; Q$9,
AND(clc_build!P$40 &gt;= 1,clc_build!P$39 &lt; 1),TXT_rooms!$E$17&amp;Q$8&amp;TXT_rooms!$E$18
)</f>
        <v>#N/A</v>
      </c>
      <c r="R10" s="133" t="str" cm="1">
        <f t="array" ref="R10">_xlfn.IFS(
clc_build!Q$39 &gt;= 1,
TXT_rooms!$E$19,
clc_build!Q$40&lt;0.5,
TXT_rooms!$E$13 &amp; R7 &amp; TXT_rooms!$E$14,
clc_build!Q$40 &lt; 1,
TXT_rooms!$E$15&amp;R$8&amp;TXT_rooms!$E$16 &amp; R$9,
AND(clc_build!Q$40 &gt;= 1,clc_build!Q$39 &lt; 1),TXT_rooms!$E$17&amp;R$8&amp;TXT_rooms!$E$18
)</f>
        <v xml:space="preserve">## &lt;i class="bi bi-circle-fill rating-red"&gt;&lt;/i&gt; Sehr niedrige Heizkörperleistung  
### Hier reicht der Heizkörper nicht aus.    
Damit eine Wärmepumpe den Raum effizient beheizen kann, wäre ein sehr viel größerer Heizkörper oder ein zusätzlicher Heizkörper notwendig. Heizkörper der effektivsten Bauart (Typ 33) oder ein zusätzlicher Heizkörper notwendig.
Eine bessere Dämmung der Bauteile kann helfen, den Wärmebedarf zu senken. Dann muss die Heizkörperfläche nicht so viel größer werden.  
&lt;i class="bi bi-lightbulb-fill"&gt;&lt;/i&gt; Hinweis: Ein &lt;abbr title="Die durch die Gebläse verstärkte Luftbewegung erhöht die Leistung des Heizkörpers, siehe Wärmepumpen-Heizkörper"&gt; Heizkörper mit integriertem Gebläse &lt;/abbr&gt; könnte dabei helfen, dass der neue Heizkörper nicht so groß werden muss.  
Diese Heizkörper-Modelle brauchen einen zusätzlichen Stromanschluss für die Gebläse. </v>
      </c>
      <c r="S10" s="133" t="str" cm="1">
        <f t="array" ref="S10">_xlfn.IFS(
clc_build!R$39 &gt;= 1,
TXT_rooms!$E$19,
clc_build!R$40&lt;0.5,
TXT_rooms!$E$13 &amp; S7 &amp; TXT_rooms!$E$14,
clc_build!R$40 &lt; 1,
TXT_rooms!$E$15&amp;S$8&amp;TXT_rooms!$E$16 &amp; S$9,
AND(clc_build!R$40 &gt;= 1,clc_build!R$39 &lt; 1),TXT_rooms!$E$17&amp;S$8&amp;TXT_rooms!$E$18
)</f>
        <v xml:space="preserve">## &lt;i class="bi bi-circle-fill rating-red"&gt;&lt;/i&gt; Sehr niedrige Heizkörperleistung  
### Hier reicht der Heizkörper nicht aus.    
Damit eine Wärmepumpe den Raum effizient beheizen kann, wäre ein sehr viel größerer Heizkörper oder ein zusätzlicher Heizkörper notwendig. Heizkörper der effektivsten Bauart (Typ 33) oder ein zusätzlicher Heizkörper notwendig.
Eine bessere Dämmung der Bauteile kann helfen, den Wärmebedarf zu senken. Dann muss die Heizkörperfläche nicht so viel größer werden.  
&lt;i class="bi bi-lightbulb-fill"&gt;&lt;/i&gt; Hinweis: Ein &lt;abbr title="Die durch die Gebläse verstärkte Luftbewegung erhöht die Leistung des Heizkörpers, siehe Wärmepumpen-Heizkörper"&gt; Heizkörper mit integriertem Gebläse &lt;/abbr&gt; könnte dabei helfen, dass der neue Heizkörper nicht so groß werden muss.  
Diese Heizkörper-Modelle brauchen einen zusätzlichen Stromanschluss für die Gebläse. </v>
      </c>
      <c r="T10" s="133" t="str" cm="1">
        <f t="array" ref="T10">_xlfn.IFS(
clc_build!S$39 &gt;= 1,
TXT_rooms!$E$19,
clc_build!S$40&lt;0.5,
TXT_rooms!$E$13 &amp; T7 &amp; TXT_rooms!$E$14,
clc_build!S$40 &lt; 1,
TXT_rooms!$E$15&amp;T$8&amp;TXT_rooms!$E$16 &amp; T$9,
AND(clc_build!S$40 &gt;= 1,clc_build!S$39 &lt; 1),TXT_rooms!$E$17&amp;T$8&amp;TXT_rooms!$E$18
)</f>
        <v xml:space="preserve">## &lt;i class="bi bi-circle-fill rating-red"&gt;&lt;/i&gt; Sehr niedrige Heizkörperleistung  
### Hier reicht der Heizkörper nicht aus.    
Damit eine Wärmepumpe den Raum effizient beheizen kann, wäre ein sehr viel größerer Heizkörper oder ein zusätzlicher Heizkörper notwendig. Heizkörper der effektivsten Bauart (Typ 33) oder ein zusätzlicher Heizkörper notwendig.
Eine bessere Dämmung der Bauteile kann helfen, den Wärmebedarf zu senken. Dann muss die Heizkörperfläche nicht so viel größer werden.  
&lt;i class="bi bi-lightbulb-fill"&gt;&lt;/i&gt; Hinweis: Ein &lt;abbr title="Die durch die Gebläse verstärkte Luftbewegung erhöht die Leistung des Heizkörpers, siehe Wärmepumpen-Heizkörper"&gt; Heizkörper mit integriertem Gebläse &lt;/abbr&gt; könnte dabei helfen, dass der neue Heizkörper nicht so groß werden muss.  
Diese Heizkörper-Modelle brauchen einen zusätzlichen Stromanschluss für die Gebläse. </v>
      </c>
      <c r="U10" s="133" t="str" cm="1">
        <f t="array" ref="U10">_xlfn.IFS(
clc_build!T$39 &gt;= 1,
TXT_rooms!$E$19,
clc_build!T$40&lt;0.5,
TXT_rooms!$E$13 &amp; U7 &amp; TXT_rooms!$E$14,
clc_build!T$40 &lt; 1,
TXT_rooms!$E$15&amp;U$8&amp;TXT_rooms!$E$16 &amp; U$9,
AND(clc_build!T$40 &gt;= 1,clc_build!T$39 &lt; 1),TXT_rooms!$E$17&amp;U$8&amp;TXT_rooms!$E$18
)</f>
        <v xml:space="preserve">## &lt;i class="bi bi-circle-fill rating-red"&gt;&lt;/i&gt; Sehr niedrige Heizkörperleistung  
### Hier reicht der Heizkörper nicht aus.    
Damit eine Wärmepumpe den Raum effizient beheizen kann, wäre ein sehr viel größerer Heizkörper oder ein zusätzlicher Heizkörper notwendig. Heizkörper der effektivsten Bauart (Typ 33) oder ein zusätzlicher Heizkörper notwendig.
Eine bessere Dämmung der Bauteile kann helfen, den Wärmebedarf zu senken. Dann muss die Heizkörperfläche nicht so viel größer werden.  
&lt;i class="bi bi-lightbulb-fill"&gt;&lt;/i&gt; Hinweis: Ein &lt;abbr title="Die durch die Gebläse verstärkte Luftbewegung erhöht die Leistung des Heizkörpers, siehe Wärmepumpen-Heizkörper"&gt; Heizkörper mit integriertem Gebläse &lt;/abbr&gt; könnte dabei helfen, dass der neue Heizkörper nicht so groß werden muss.  
Diese Heizkörper-Modelle brauchen einen zusätzlichen Stromanschluss für die Gebläse. </v>
      </c>
      <c r="V10" s="133" t="str" cm="1">
        <f t="array" ref="V10">_xlfn.IFS(
clc_build!U$39 &gt;= 1,
TXT_rooms!$E$19,
clc_build!U$40&lt;0.5,
TXT_rooms!$E$13 &amp; V7 &amp; TXT_rooms!$E$14,
clc_build!U$40 &lt; 1,
TXT_rooms!$E$15&amp;V$8&amp;TXT_rooms!$E$16 &amp; V$9,
AND(clc_build!U$40 &gt;= 1,clc_build!U$39 &lt; 1),TXT_rooms!$E$17&amp;V$8&amp;TXT_rooms!$E$18
)</f>
        <v xml:space="preserve">## &lt;i class="bi bi-circle-fill rating-red"&gt;&lt;/i&gt; Sehr niedrige Heizkörperleistung  
### Hier reicht der Heizkörper nicht aus.    
Damit eine Wärmepumpe den Raum effizient beheizen kann, wäre ein sehr viel größerer Heizkörper oder ein zusätzlicher Heizkörper notwendig. Heizkörper der effektivsten Bauart (Typ 33) oder ein zusätzlicher Heizkörper notwendig.
Eine bessere Dämmung der Bauteile kann helfen, den Wärmebedarf zu senken. Dann muss die Heizkörperfläche nicht so viel größer werden.  
&lt;i class="bi bi-lightbulb-fill"&gt;&lt;/i&gt; Hinweis: Ein &lt;abbr title="Die durch die Gebläse verstärkte Luftbewegung erhöht die Leistung des Heizkörpers, siehe Wärmepumpen-Heizkörper"&gt; Heizkörper mit integriertem Gebläse &lt;/abbr&gt; könnte dabei helfen, dass der neue Heizkörper nicht so groß werden muss.  
Diese Heizkörper-Modelle brauchen einen zusätzlichen Stromanschluss für die Gebläse. </v>
      </c>
    </row>
    <row r="11" spans="1:22" ht="15.75" customHeight="1">
      <c r="A11" s="77" t="s">
        <v>979</v>
      </c>
      <c r="B11" t="s">
        <v>117</v>
      </c>
      <c r="D11" t="s">
        <v>553</v>
      </c>
      <c r="H11" s="167" t="str">
        <f ca="1">clc_build!G7</f>
        <v/>
      </c>
      <c r="I11" s="167" t="str">
        <f ca="1">clc_build!H7</f>
        <v/>
      </c>
      <c r="J11" s="167" t="str">
        <f ca="1">clc_build!I7</f>
        <v/>
      </c>
      <c r="K11" s="167" t="str">
        <f ca="1">clc_build!J7</f>
        <v/>
      </c>
      <c r="L11" s="167" t="str">
        <f ca="1">clc_build!K7</f>
        <v/>
      </c>
      <c r="M11" s="167" t="str">
        <f ca="1">clc_build!L7</f>
        <v/>
      </c>
      <c r="N11" s="167" t="str">
        <f ca="1">clc_build!M7</f>
        <v/>
      </c>
      <c r="O11" s="167" t="str">
        <f ca="1">clc_build!N7</f>
        <v/>
      </c>
      <c r="P11" s="167" t="str">
        <f ca="1">clc_build!O7</f>
        <v/>
      </c>
      <c r="Q11" s="167" t="str">
        <f ca="1">clc_build!P7</f>
        <v/>
      </c>
      <c r="R11" s="167">
        <f>clc_build!Q7</f>
        <v>0</v>
      </c>
      <c r="S11" s="167">
        <f>clc_build!R7</f>
        <v>0</v>
      </c>
      <c r="T11" s="167">
        <f>clc_build!S7</f>
        <v>0</v>
      </c>
      <c r="U11" s="167">
        <f>clc_build!T7</f>
        <v>0</v>
      </c>
      <c r="V11" s="167">
        <f>clc_build!U7</f>
        <v>0</v>
      </c>
    </row>
    <row r="12" spans="1:22" ht="15.75" customHeight="1">
      <c r="A12" s="77" t="s">
        <v>980</v>
      </c>
      <c r="D12" t="s">
        <v>555</v>
      </c>
      <c r="H12" s="167" t="e">
        <f ca="1">clc_build!G8</f>
        <v>#NUM!</v>
      </c>
      <c r="I12" s="167" t="e">
        <f ca="1">clc_build!H8</f>
        <v>#NUM!</v>
      </c>
      <c r="J12" s="167" t="e">
        <f ca="1">clc_build!I8</f>
        <v>#NUM!</v>
      </c>
      <c r="K12" s="167" t="e">
        <f ca="1">clc_build!J8</f>
        <v>#NUM!</v>
      </c>
      <c r="L12" s="167" t="e">
        <f ca="1">clc_build!K8</f>
        <v>#NUM!</v>
      </c>
      <c r="M12" s="167" t="e">
        <f ca="1">clc_build!L8</f>
        <v>#NUM!</v>
      </c>
      <c r="N12" s="167" t="e">
        <f ca="1">clc_build!M8</f>
        <v>#NUM!</v>
      </c>
      <c r="O12" s="167" t="e">
        <f ca="1">clc_build!N8</f>
        <v>#NUM!</v>
      </c>
      <c r="P12" s="167" t="e">
        <f ca="1">clc_build!O8</f>
        <v>#NUM!</v>
      </c>
      <c r="Q12" s="167" t="e">
        <f ca="1">clc_build!P8</f>
        <v>#NUM!</v>
      </c>
      <c r="R12" s="167">
        <f>clc_build!Q8</f>
        <v>0</v>
      </c>
      <c r="S12" s="167">
        <f>clc_build!R8</f>
        <v>0</v>
      </c>
      <c r="T12" s="167">
        <f>clc_build!S8</f>
        <v>0</v>
      </c>
      <c r="U12" s="167">
        <f>clc_build!T8</f>
        <v>0</v>
      </c>
      <c r="V12" s="167">
        <f>clc_build!U8</f>
        <v>0</v>
      </c>
    </row>
    <row r="13" spans="1:22" ht="15.75" customHeight="1">
      <c r="A13" s="77" t="s">
        <v>981</v>
      </c>
      <c r="D13" t="s">
        <v>982</v>
      </c>
      <c r="H13" s="11" t="e">
        <f t="shared" ref="H13:V13" ca="1" si="0">TEXT(H11,"0")&amp;" Watt | " &amp; TEXT(H12,"0") &amp; " W/m²"</f>
        <v>#NUM!</v>
      </c>
      <c r="I13" s="11" t="e">
        <f t="shared" ca="1" si="0"/>
        <v>#NUM!</v>
      </c>
      <c r="J13" s="11" t="e">
        <f t="shared" ca="1" si="0"/>
        <v>#NUM!</v>
      </c>
      <c r="K13" s="11" t="e">
        <f t="shared" ca="1" si="0"/>
        <v>#NUM!</v>
      </c>
      <c r="L13" s="11" t="e">
        <f t="shared" ca="1" si="0"/>
        <v>#NUM!</v>
      </c>
      <c r="M13" s="11" t="e">
        <f t="shared" ca="1" si="0"/>
        <v>#NUM!</v>
      </c>
      <c r="N13" s="11" t="e">
        <f t="shared" ca="1" si="0"/>
        <v>#NUM!</v>
      </c>
      <c r="O13" s="11" t="e">
        <f t="shared" ca="1" si="0"/>
        <v>#NUM!</v>
      </c>
      <c r="P13" s="11" t="e">
        <f t="shared" ca="1" si="0"/>
        <v>#NUM!</v>
      </c>
      <c r="Q13" s="11" t="e">
        <f t="shared" ca="1" si="0"/>
        <v>#NUM!</v>
      </c>
      <c r="R13" s="11" t="str">
        <f t="shared" si="0"/>
        <v>0 Watt | 0 W/m²</v>
      </c>
      <c r="S13" s="11" t="str">
        <f t="shared" si="0"/>
        <v>0 Watt | 0 W/m²</v>
      </c>
      <c r="T13" s="11" t="str">
        <f t="shared" si="0"/>
        <v>0 Watt | 0 W/m²</v>
      </c>
      <c r="U13" s="11" t="str">
        <f t="shared" si="0"/>
        <v>0 Watt | 0 W/m²</v>
      </c>
      <c r="V13" s="11" t="str">
        <f t="shared" si="0"/>
        <v>0 Watt | 0 W/m²</v>
      </c>
    </row>
    <row r="14" spans="1:22" ht="15.75" customHeight="1">
      <c r="A14" s="77" t="s">
        <v>983</v>
      </c>
      <c r="D14" t="s">
        <v>984</v>
      </c>
      <c r="H14" s="168" t="str">
        <f>TEXT(clc_build!G37,"0") &amp; " Watt"</f>
        <v>0 Watt</v>
      </c>
      <c r="I14" s="168" t="str">
        <f>TEXT(clc_build!H37,"0") &amp; " Watt"</f>
        <v>0 Watt</v>
      </c>
      <c r="J14" s="168" t="str">
        <f>TEXT(clc_build!I37,"0") &amp; " Watt"</f>
        <v>0 Watt</v>
      </c>
      <c r="K14" s="168" t="str">
        <f>TEXT(clc_build!J37,"0") &amp; " Watt"</f>
        <v>0 Watt</v>
      </c>
      <c r="L14" s="168" t="str">
        <f>TEXT(clc_build!K37,"0") &amp; " Watt"</f>
        <v>0 Watt</v>
      </c>
      <c r="M14" s="168" t="str">
        <f>TEXT(clc_build!L37,"0") &amp; " Watt"</f>
        <v>0 Watt</v>
      </c>
      <c r="N14" s="168" t="str">
        <f>TEXT(clc_build!M37,"0") &amp; " Watt"</f>
        <v>0 Watt</v>
      </c>
      <c r="O14" s="168" t="str">
        <f>TEXT(clc_build!N37,"0") &amp; " Watt"</f>
        <v>0 Watt</v>
      </c>
      <c r="P14" s="168" t="str">
        <f>TEXT(clc_build!O37,"0") &amp; " Watt"</f>
        <v>0 Watt</v>
      </c>
      <c r="Q14" s="168" t="str">
        <f>TEXT(clc_build!P37,"0") &amp; " Watt"</f>
        <v>0 Watt</v>
      </c>
      <c r="R14" s="168" t="str">
        <f>TEXT(clc_build!Q37,"0") &amp; " Watt"</f>
        <v>0 Watt</v>
      </c>
      <c r="S14" s="168" t="str">
        <f>TEXT(clc_build!R37,"0") &amp; " Watt"</f>
        <v>0 Watt</v>
      </c>
      <c r="T14" s="168" t="str">
        <f>TEXT(clc_build!S37,"0") &amp; " Watt"</f>
        <v>0 Watt</v>
      </c>
      <c r="U14" s="168" t="str">
        <f>TEXT(clc_build!T37,"0") &amp; " Watt"</f>
        <v>0 Watt</v>
      </c>
      <c r="V14" s="168" t="str">
        <f>TEXT(clc_build!U37,"0") &amp; " Watt"</f>
        <v>0 Watt</v>
      </c>
    </row>
    <row r="15" spans="1:22" ht="15.75" customHeight="1">
      <c r="A15" s="77" t="s">
        <v>985</v>
      </c>
      <c r="D15" t="s">
        <v>986</v>
      </c>
      <c r="H15" s="168" t="str">
        <f>TEXT(clc_build!G38,"0") &amp; " Watt"</f>
        <v>0 Watt</v>
      </c>
      <c r="I15" s="168" t="str">
        <f>TEXT(clc_build!H38,"0") &amp; " Watt"</f>
        <v>0 Watt</v>
      </c>
      <c r="J15" s="168" t="str">
        <f>TEXT(clc_build!I38,"0") &amp; " Watt"</f>
        <v>0 Watt</v>
      </c>
      <c r="K15" s="168" t="str">
        <f>TEXT(clc_build!J38,"0") &amp; " Watt"</f>
        <v>0 Watt</v>
      </c>
      <c r="L15" s="168" t="str">
        <f>TEXT(clc_build!K38,"0") &amp; " Watt"</f>
        <v>0 Watt</v>
      </c>
      <c r="M15" s="168" t="str">
        <f>TEXT(clc_build!L38,"0") &amp; " Watt"</f>
        <v>0 Watt</v>
      </c>
      <c r="N15" s="168" t="str">
        <f>TEXT(clc_build!M38,"0") &amp; " Watt"</f>
        <v>0 Watt</v>
      </c>
      <c r="O15" s="168" t="str">
        <f>TEXT(clc_build!N38,"0") &amp; " Watt"</f>
        <v>0 Watt</v>
      </c>
      <c r="P15" s="168" t="str">
        <f>TEXT(clc_build!O38,"0") &amp; " Watt"</f>
        <v>0 Watt</v>
      </c>
      <c r="Q15" s="168" t="str">
        <f>TEXT(clc_build!P38,"0") &amp; " Watt"</f>
        <v>0 Watt</v>
      </c>
      <c r="R15" s="168" t="str">
        <f>TEXT(clc_build!Q38,"0") &amp; " Watt"</f>
        <v>0 Watt</v>
      </c>
      <c r="S15" s="168" t="str">
        <f>TEXT(clc_build!R38,"0") &amp; " Watt"</f>
        <v>0 Watt</v>
      </c>
      <c r="T15" s="168" t="str">
        <f>TEXT(clc_build!S38,"0") &amp; " Watt"</f>
        <v>0 Watt</v>
      </c>
      <c r="U15" s="168" t="str">
        <f>TEXT(clc_build!T38,"0") &amp; " Watt"</f>
        <v>0 Watt</v>
      </c>
      <c r="V15" s="168" t="str">
        <f>TEXT(clc_build!U38,"0") &amp; " Watt"</f>
        <v>0 Watt</v>
      </c>
    </row>
    <row r="16" spans="1:22" ht="15.75" customHeight="1">
      <c r="A16" s="77" t="s">
        <v>987</v>
      </c>
      <c r="D16" t="s">
        <v>988</v>
      </c>
      <c r="H16" s="169" t="e">
        <f>TEXT(clc_build!G39*100,"0") &amp; " % Deckung"</f>
        <v>#N/A</v>
      </c>
      <c r="I16" s="169" t="e">
        <f>TEXT(clc_build!H39*100,"0") &amp; " % Deckung"</f>
        <v>#N/A</v>
      </c>
      <c r="J16" s="169" t="e">
        <f>TEXT(clc_build!I39*100,"0") &amp; " % Deckung"</f>
        <v>#N/A</v>
      </c>
      <c r="K16" s="169" t="e">
        <f>TEXT(clc_build!J39*100,"0") &amp; " % Deckung"</f>
        <v>#N/A</v>
      </c>
      <c r="L16" s="169" t="e">
        <f>TEXT(clc_build!K39*100,"0") &amp; " % Deckung"</f>
        <v>#N/A</v>
      </c>
      <c r="M16" s="169" t="e">
        <f>TEXT(clc_build!L39*100,"0") &amp; " % Deckung"</f>
        <v>#N/A</v>
      </c>
      <c r="N16" s="169" t="e">
        <f>TEXT(clc_build!M39*100,"0") &amp; " % Deckung"</f>
        <v>#N/A</v>
      </c>
      <c r="O16" s="169" t="e">
        <f>TEXT(clc_build!N39*100,"0") &amp; " % Deckung"</f>
        <v>#N/A</v>
      </c>
      <c r="P16" s="169" t="e">
        <f>TEXT(clc_build!O39*100,"0") &amp; " % Deckung"</f>
        <v>#N/A</v>
      </c>
      <c r="Q16" s="169" t="e">
        <f>TEXT(clc_build!P39*100,"0") &amp; " % Deckung"</f>
        <v>#N/A</v>
      </c>
      <c r="R16" s="169" t="str">
        <f>TEXT(clc_build!Q39*100,"0") &amp; " % Deckung"</f>
        <v>0 % Deckung</v>
      </c>
      <c r="S16" s="169" t="str">
        <f>TEXT(clc_build!R39*100,"0") &amp; " % Deckung"</f>
        <v>0 % Deckung</v>
      </c>
      <c r="T16" s="169" t="str">
        <f>TEXT(clc_build!S39*100,"0") &amp; " % Deckung"</f>
        <v>0 % Deckung</v>
      </c>
      <c r="U16" s="169" t="str">
        <f>TEXT(clc_build!T39*100,"0") &amp; " % Deckung"</f>
        <v>0 % Deckung</v>
      </c>
      <c r="V16" s="169" t="str">
        <f>TEXT(clc_build!U39*100,"0") &amp; " % Deckung"</f>
        <v>0 % Deckung</v>
      </c>
    </row>
    <row r="17" spans="1:23" ht="15.75" customHeight="1">
      <c r="A17" s="77" t="s">
        <v>989</v>
      </c>
      <c r="D17" t="s">
        <v>990</v>
      </c>
      <c r="H17" s="169" t="e">
        <f>TEXT(clc_build!G40*100,"0") &amp; " % Deckung"</f>
        <v>#N/A</v>
      </c>
      <c r="I17" s="169" t="e">
        <f>TEXT(clc_build!H40*100,"0") &amp; " % Deckung"</f>
        <v>#N/A</v>
      </c>
      <c r="J17" s="169" t="e">
        <f>TEXT(clc_build!I40*100,"0") &amp; " % Deckung"</f>
        <v>#N/A</v>
      </c>
      <c r="K17" s="169" t="e">
        <f>TEXT(clc_build!J40*100,"0") &amp; " % Deckung"</f>
        <v>#N/A</v>
      </c>
      <c r="L17" s="169" t="e">
        <f>TEXT(clc_build!K40*100,"0") &amp; " % Deckung"</f>
        <v>#N/A</v>
      </c>
      <c r="M17" s="169" t="e">
        <f>TEXT(clc_build!L40*100,"0") &amp; " % Deckung"</f>
        <v>#N/A</v>
      </c>
      <c r="N17" s="169" t="e">
        <f>TEXT(clc_build!M40*100,"0") &amp; " % Deckung"</f>
        <v>#N/A</v>
      </c>
      <c r="O17" s="169" t="e">
        <f>TEXT(clc_build!N40*100,"0") &amp; " % Deckung"</f>
        <v>#N/A</v>
      </c>
      <c r="P17" s="169" t="e">
        <f>TEXT(clc_build!O40*100,"0") &amp; " % Deckung"</f>
        <v>#N/A</v>
      </c>
      <c r="Q17" s="169" t="e">
        <f>TEXT(clc_build!P40*100,"0") &amp; " % Deckung"</f>
        <v>#N/A</v>
      </c>
      <c r="R17" s="169" t="str">
        <f>TEXT(clc_build!Q40*100,"0") &amp; " % Deckung"</f>
        <v>0 % Deckung</v>
      </c>
      <c r="S17" s="169" t="str">
        <f>TEXT(clc_build!R40*100,"0") &amp; " % Deckung"</f>
        <v>0 % Deckung</v>
      </c>
      <c r="T17" s="169" t="str">
        <f>TEXT(clc_build!S40*100,"0") &amp; " % Deckung"</f>
        <v>0 % Deckung</v>
      </c>
      <c r="U17" s="169" t="str">
        <f>TEXT(clc_build!T40*100,"0") &amp; " % Deckung"</f>
        <v>0 % Deckung</v>
      </c>
      <c r="V17" s="169" t="str">
        <f>TEXT(clc_build!U40*100,"0") &amp; " % Deckung"</f>
        <v>0 % Deckung</v>
      </c>
    </row>
    <row r="18" spans="1:23" ht="15.75" customHeight="1">
      <c r="N18" s="11"/>
      <c r="O18" s="11"/>
      <c r="P18" s="11"/>
      <c r="Q18" s="11"/>
      <c r="R18" s="11"/>
      <c r="S18" s="11"/>
      <c r="T18" s="11"/>
      <c r="U18" s="11"/>
      <c r="V18" s="11"/>
    </row>
    <row r="19" spans="1:23" s="35" customFormat="1" ht="15.75" customHeight="1" thickBot="1">
      <c r="A19" s="174" t="s">
        <v>991</v>
      </c>
      <c r="H19" s="133"/>
      <c r="I19" s="133"/>
      <c r="J19" s="133"/>
      <c r="K19" s="133"/>
      <c r="L19" s="133"/>
      <c r="M19" s="133"/>
      <c r="N19" s="133"/>
      <c r="O19" s="133"/>
      <c r="P19" s="133"/>
      <c r="Q19" s="133"/>
      <c r="R19" s="133"/>
      <c r="S19" s="133"/>
      <c r="T19" s="133"/>
      <c r="U19" s="133"/>
      <c r="V19" s="133"/>
    </row>
    <row r="20" spans="1:23" s="11" customFormat="1" ht="15.75" customHeight="1">
      <c r="A20" s="172" t="s">
        <v>992</v>
      </c>
      <c r="D20" s="11" t="s">
        <v>993</v>
      </c>
      <c r="H20" s="11" t="str">
        <f t="shared" ref="H20:V20" ca="1" si="1">TEXT(H11,"0")&amp;" Watt"</f>
        <v xml:space="preserve"> Watt</v>
      </c>
      <c r="I20" s="11" t="str">
        <f t="shared" ca="1" si="1"/>
        <v xml:space="preserve"> Watt</v>
      </c>
      <c r="J20" s="11" t="str">
        <f t="shared" ca="1" si="1"/>
        <v xml:space="preserve"> Watt</v>
      </c>
      <c r="K20" s="11" t="str">
        <f t="shared" ca="1" si="1"/>
        <v xml:space="preserve"> Watt</v>
      </c>
      <c r="L20" s="11" t="str">
        <f t="shared" ca="1" si="1"/>
        <v xml:space="preserve"> Watt</v>
      </c>
      <c r="M20" s="11" t="str">
        <f t="shared" ca="1" si="1"/>
        <v xml:space="preserve"> Watt</v>
      </c>
      <c r="N20" s="11" t="str">
        <f t="shared" ca="1" si="1"/>
        <v xml:space="preserve"> Watt</v>
      </c>
      <c r="O20" s="11" t="str">
        <f t="shared" ca="1" si="1"/>
        <v xml:space="preserve"> Watt</v>
      </c>
      <c r="P20" s="11" t="str">
        <f t="shared" ca="1" si="1"/>
        <v xml:space="preserve"> Watt</v>
      </c>
      <c r="Q20" s="11" t="str">
        <f t="shared" ca="1" si="1"/>
        <v xml:space="preserve"> Watt</v>
      </c>
      <c r="R20" s="11" t="str">
        <f t="shared" si="1"/>
        <v>0 Watt</v>
      </c>
      <c r="S20" s="11" t="str">
        <f t="shared" si="1"/>
        <v>0 Watt</v>
      </c>
      <c r="T20" s="11" t="str">
        <f t="shared" si="1"/>
        <v>0 Watt</v>
      </c>
      <c r="U20" s="11" t="str">
        <f t="shared" si="1"/>
        <v>0 Watt</v>
      </c>
      <c r="V20" s="11" t="str">
        <f t="shared" si="1"/>
        <v>0 Watt</v>
      </c>
    </row>
    <row r="21" spans="1:23" s="11" customFormat="1" ht="15.75" customHeight="1">
      <c r="A21" s="172" t="s">
        <v>994</v>
      </c>
      <c r="D21" s="11" t="s">
        <v>995</v>
      </c>
      <c r="H21" s="11" t="e">
        <f ca="1">IN_rooms!R3&amp;" (Heizlast "&amp;TEXT(H12,"0") &amp; " W/m²)"</f>
        <v>#NUM!</v>
      </c>
      <c r="I21" s="11" t="e">
        <f ca="1">IN_rooms!S3&amp;" (Heizlast "&amp;TEXT(I12,"0") &amp; " W/m²)"</f>
        <v>#NUM!</v>
      </c>
      <c r="J21" s="11" t="e">
        <f ca="1">IN_rooms!T3&amp;" (Heizlast "&amp;TEXT(J12,"0") &amp; " W/m²)"</f>
        <v>#NUM!</v>
      </c>
      <c r="K21" s="11" t="e">
        <f ca="1">IN_rooms!U3&amp;" (Heizlast "&amp;TEXT(K12,"0") &amp; " W/m²)"</f>
        <v>#NUM!</v>
      </c>
      <c r="L21" s="11" t="e">
        <f ca="1">IN_rooms!V3&amp;" (Heizlast "&amp;TEXT(L12,"0") &amp; " W/m²)"</f>
        <v>#NUM!</v>
      </c>
      <c r="M21" s="11" t="e">
        <f ca="1">IN_rooms!W3&amp;" (Heizlast "&amp;TEXT(M12,"0") &amp; " W/m²)"</f>
        <v>#NUM!</v>
      </c>
      <c r="N21" s="11" t="e">
        <f ca="1">IN_rooms!X3&amp;" (Heizlast "&amp;TEXT(N12,"0") &amp; " W/m²)"</f>
        <v>#NUM!</v>
      </c>
      <c r="O21" s="11" t="e">
        <f ca="1">IN_rooms!Y3&amp;" (Heizlast "&amp;TEXT(O12,"0") &amp; " W/m²)"</f>
        <v>#NUM!</v>
      </c>
      <c r="P21" s="11" t="e">
        <f ca="1">IN_rooms!Z3&amp;" (Heizlast "&amp;TEXT(P12,"0") &amp; " W/m²)"</f>
        <v>#NUM!</v>
      </c>
      <c r="Q21" s="11" t="e">
        <f ca="1">IN_rooms!AA3&amp;" (Heizlast "&amp;TEXT(Q12,"0") &amp; " W/m²)"</f>
        <v>#NUM!</v>
      </c>
      <c r="R21" s="11" t="str">
        <f>IN_rooms!AB3&amp;" (Heizlast "&amp;TEXT(R12,"0") &amp; " W/m²)"</f>
        <v xml:space="preserve"> (Heizlast 0 W/m²)</v>
      </c>
      <c r="S21" s="11" t="str">
        <f>IN_rooms!AC3&amp;" (Heizlast "&amp;TEXT(S12,"0") &amp; " W/m²)"</f>
        <v xml:space="preserve"> (Heizlast 0 W/m²)</v>
      </c>
      <c r="T21" s="11" t="str">
        <f>IN_rooms!AD3&amp;" (Heizlast "&amp;TEXT(T12,"0") &amp; " W/m²)"</f>
        <v xml:space="preserve"> (Heizlast 0 W/m²)</v>
      </c>
      <c r="U21" s="11" t="str">
        <f>IN_rooms!AE3&amp;" (Heizlast "&amp;TEXT(U12,"0") &amp; " W/m²)"</f>
        <v xml:space="preserve"> (Heizlast 0 W/m²)</v>
      </c>
      <c r="V21" s="11" t="str">
        <f>IN_rooms!AF3&amp;" (Heizlast "&amp;TEXT(V12,"0") &amp; " W/m²)"</f>
        <v xml:space="preserve"> (Heizlast 0 W/m²)</v>
      </c>
    </row>
    <row r="22" spans="1:23" s="11" customFormat="1" ht="15.75" customHeight="1">
      <c r="A22" s="172" t="s">
        <v>996</v>
      </c>
      <c r="D22" s="11" t="s">
        <v>997</v>
      </c>
      <c r="H22" s="168" t="e">
        <f t="shared" ref="H22:V22" si="2">H16</f>
        <v>#N/A</v>
      </c>
      <c r="I22" s="168" t="e">
        <f t="shared" si="2"/>
        <v>#N/A</v>
      </c>
      <c r="J22" s="168" t="e">
        <f t="shared" si="2"/>
        <v>#N/A</v>
      </c>
      <c r="K22" s="168" t="e">
        <f t="shared" si="2"/>
        <v>#N/A</v>
      </c>
      <c r="L22" s="168" t="e">
        <f t="shared" si="2"/>
        <v>#N/A</v>
      </c>
      <c r="M22" s="168" t="e">
        <f t="shared" si="2"/>
        <v>#N/A</v>
      </c>
      <c r="N22" s="168" t="e">
        <f t="shared" si="2"/>
        <v>#N/A</v>
      </c>
      <c r="O22" s="168" t="e">
        <f t="shared" si="2"/>
        <v>#N/A</v>
      </c>
      <c r="P22" s="168" t="e">
        <f t="shared" si="2"/>
        <v>#N/A</v>
      </c>
      <c r="Q22" s="168" t="e">
        <f t="shared" si="2"/>
        <v>#N/A</v>
      </c>
      <c r="R22" s="168" t="str">
        <f t="shared" si="2"/>
        <v>0 % Deckung</v>
      </c>
      <c r="S22" s="168" t="str">
        <f t="shared" si="2"/>
        <v>0 % Deckung</v>
      </c>
      <c r="T22" s="168" t="str">
        <f t="shared" si="2"/>
        <v>0 % Deckung</v>
      </c>
      <c r="U22" s="168" t="str">
        <f t="shared" si="2"/>
        <v>0 % Deckung</v>
      </c>
      <c r="V22" s="168" t="str">
        <f t="shared" si="2"/>
        <v>0 % Deckung</v>
      </c>
      <c r="W22" s="168"/>
    </row>
    <row r="23" spans="1:23" s="133" customFormat="1" ht="15.75" customHeight="1" thickBot="1">
      <c r="A23" s="175" t="s">
        <v>998</v>
      </c>
      <c r="D23" s="133" t="s">
        <v>999</v>
      </c>
      <c r="H23" s="176" t="str">
        <f t="shared" ref="H23:V23" si="3">H14</f>
        <v>0 Watt</v>
      </c>
      <c r="I23" s="176" t="str">
        <f t="shared" si="3"/>
        <v>0 Watt</v>
      </c>
      <c r="J23" s="176" t="str">
        <f t="shared" si="3"/>
        <v>0 Watt</v>
      </c>
      <c r="K23" s="176" t="str">
        <f t="shared" si="3"/>
        <v>0 Watt</v>
      </c>
      <c r="L23" s="176" t="str">
        <f t="shared" si="3"/>
        <v>0 Watt</v>
      </c>
      <c r="M23" s="176" t="str">
        <f t="shared" si="3"/>
        <v>0 Watt</v>
      </c>
      <c r="N23" s="176" t="str">
        <f t="shared" si="3"/>
        <v>0 Watt</v>
      </c>
      <c r="O23" s="176" t="str">
        <f t="shared" si="3"/>
        <v>0 Watt</v>
      </c>
      <c r="P23" s="176" t="str">
        <f t="shared" si="3"/>
        <v>0 Watt</v>
      </c>
      <c r="Q23" s="176" t="str">
        <f t="shared" si="3"/>
        <v>0 Watt</v>
      </c>
      <c r="R23" s="176" t="str">
        <f t="shared" si="3"/>
        <v>0 Watt</v>
      </c>
      <c r="S23" s="176" t="str">
        <f t="shared" si="3"/>
        <v>0 Watt</v>
      </c>
      <c r="T23" s="176" t="str">
        <f t="shared" si="3"/>
        <v>0 Watt</v>
      </c>
      <c r="U23" s="176" t="str">
        <f t="shared" si="3"/>
        <v>0 Watt</v>
      </c>
      <c r="V23" s="176" t="str">
        <f t="shared" si="3"/>
        <v>0 Watt</v>
      </c>
      <c r="W23" s="176"/>
    </row>
    <row r="24" spans="1:23" s="11" customFormat="1" ht="15.75" customHeight="1">
      <c r="A24" s="77" t="s">
        <v>1000</v>
      </c>
      <c r="D24" s="11" t="s">
        <v>1001</v>
      </c>
      <c r="G24" t="s">
        <v>1002</v>
      </c>
      <c r="H24" s="167" t="e" cm="1">
        <f t="array" aca="1" ref="H24" ca="1">_xlfn.LET(_xlpm.max_HT_share,MAX(clc_build!G$13,clc_build!G$17,clc_build!G$21,clc_build!G$25,clc_build!G$29,clc_build!G$33),
_xlfn.IFS(clc_build!G$13=_xlpm.max_HT_share,clc_build!G$11,
clc_build!G$17=_xlpm.max_HT_share,clc_build!G$15,
clc_build!G$21=_xlpm.max_HT_share,clc_build!G$19*0.8/2.7,
clc_build!G$25=_xlpm.max_HT_share,clc_build!G$23,
clc_build!G$29=_xlpm.max_HT_share,clc_build!G$27,
clc_build!G$33=_xlpm.max_HT_share,clc_build!G$31
))</f>
        <v>#NUM!</v>
      </c>
      <c r="I24" s="167" t="e" cm="1">
        <f t="array" aca="1" ref="I24" ca="1">_xlfn.LET(_xlpm.max_HT_share,MAX(clc_build!H$13,clc_build!H$17,clc_build!H$21,clc_build!H$25,clc_build!H$29,clc_build!H$33),
_xlfn.IFS(clc_build!H$13=_xlpm.max_HT_share,clc_build!H$11,
clc_build!H$17=_xlpm.max_HT_share,clc_build!H$15,
clc_build!H$21=_xlpm.max_HT_share,clc_build!H$19*0.8/2.7,
clc_build!H$25=_xlpm.max_HT_share,clc_build!H$23,
clc_build!H$29=_xlpm.max_HT_share,clc_build!H$27,
clc_build!H$33=_xlpm.max_HT_share,clc_build!H$31
))</f>
        <v>#NUM!</v>
      </c>
      <c r="J24" s="167" t="e" cm="1">
        <f t="array" aca="1" ref="J24" ca="1">_xlfn.LET(_xlpm.max_HT_share,MAX(clc_build!I$13,clc_build!I$17,clc_build!I$21,clc_build!I$25,clc_build!I$29,clc_build!I$33),
_xlfn.IFS(clc_build!I$13=_xlpm.max_HT_share,clc_build!I$11,
clc_build!I$17=_xlpm.max_HT_share,clc_build!I$15,
clc_build!I$21=_xlpm.max_HT_share,clc_build!I$19*0.8/2.7,
clc_build!I$25=_xlpm.max_HT_share,clc_build!I$23,
clc_build!I$29=_xlpm.max_HT_share,clc_build!I$27,
clc_build!I$33=_xlpm.max_HT_share,clc_build!I$31
))</f>
        <v>#NUM!</v>
      </c>
      <c r="K24" s="167" t="e" cm="1">
        <f t="array" aca="1" ref="K24" ca="1">_xlfn.LET(_xlpm.max_HT_share,MAX(clc_build!J$13,clc_build!J$17,clc_build!J$21,clc_build!J$25,clc_build!J$29,clc_build!J$33),
_xlfn.IFS(clc_build!J$13=_xlpm.max_HT_share,clc_build!J$11,
clc_build!J$17=_xlpm.max_HT_share,clc_build!J$15,
clc_build!J$21=_xlpm.max_HT_share,clc_build!J$19*0.8/2.7,
clc_build!J$25=_xlpm.max_HT_share,clc_build!J$23,
clc_build!J$29=_xlpm.max_HT_share,clc_build!J$27,
clc_build!J$33=_xlpm.max_HT_share,clc_build!J$31
))</f>
        <v>#NUM!</v>
      </c>
      <c r="L24" s="167" t="e" cm="1">
        <f t="array" aca="1" ref="L24" ca="1">_xlfn.LET(_xlpm.max_HT_share,MAX(clc_build!K$13,clc_build!K$17,clc_build!K$21,clc_build!K$25,clc_build!K$29,clc_build!K$33),
_xlfn.IFS(clc_build!K$13=_xlpm.max_HT_share,clc_build!K$11,
clc_build!K$17=_xlpm.max_HT_share,clc_build!K$15,
clc_build!K$21=_xlpm.max_HT_share,clc_build!K$19*0.8/2.7,
clc_build!K$25=_xlpm.max_HT_share,clc_build!K$23,
clc_build!K$29=_xlpm.max_HT_share,clc_build!K$27,
clc_build!K$33=_xlpm.max_HT_share,clc_build!K$31
))</f>
        <v>#NUM!</v>
      </c>
      <c r="M24" s="167" t="e" cm="1">
        <f t="array" aca="1" ref="M24" ca="1">_xlfn.LET(_xlpm.max_HT_share,MAX(clc_build!L$13,clc_build!L$17,clc_build!L$21,clc_build!L$25,clc_build!L$29,clc_build!L$33),
_xlfn.IFS(clc_build!L$13=_xlpm.max_HT_share,clc_build!L$11,
clc_build!L$17=_xlpm.max_HT_share,clc_build!L$15,
clc_build!L$21=_xlpm.max_HT_share,clc_build!L$19*0.8/2.7,
clc_build!L$25=_xlpm.max_HT_share,clc_build!L$23,
clc_build!L$29=_xlpm.max_HT_share,clc_build!L$27,
clc_build!L$33=_xlpm.max_HT_share,clc_build!L$31
))</f>
        <v>#NUM!</v>
      </c>
      <c r="N24" s="167" t="e" cm="1">
        <f t="array" aca="1" ref="N24" ca="1">_xlfn.LET(_xlpm.max_HT_share,MAX(clc_build!M$13,clc_build!M$17,clc_build!M$21,clc_build!M$25,clc_build!M$29,clc_build!M$33),
_xlfn.IFS(clc_build!M$13=_xlpm.max_HT_share,clc_build!M$11,
clc_build!M$17=_xlpm.max_HT_share,clc_build!M$15,
clc_build!M$21=_xlpm.max_HT_share,clc_build!M$19*0.8/2.7,
clc_build!M$25=_xlpm.max_HT_share,clc_build!M$23,
clc_build!M$29=_xlpm.max_HT_share,clc_build!M$27,
clc_build!M$33=_xlpm.max_HT_share,clc_build!M$31
))</f>
        <v>#NUM!</v>
      </c>
      <c r="O24" s="167" t="e" cm="1">
        <f t="array" aca="1" ref="O24" ca="1">_xlfn.LET(_xlpm.max_HT_share,MAX(clc_build!N$13,clc_build!N$17,clc_build!N$21,clc_build!N$25,clc_build!N$29,clc_build!N$33),
_xlfn.IFS(clc_build!N$13=_xlpm.max_HT_share,clc_build!N$11,
clc_build!N$17=_xlpm.max_HT_share,clc_build!N$15,
clc_build!N$21=_xlpm.max_HT_share,clc_build!N$19*0.8/2.7,
clc_build!N$25=_xlpm.max_HT_share,clc_build!N$23,
clc_build!N$29=_xlpm.max_HT_share,clc_build!N$27,
clc_build!N$33=_xlpm.max_HT_share,clc_build!N$31
))</f>
        <v>#NUM!</v>
      </c>
      <c r="P24" s="167" t="e" cm="1">
        <f t="array" aca="1" ref="P24" ca="1">_xlfn.LET(_xlpm.max_HT_share,MAX(clc_build!O$13,clc_build!O$17,clc_build!O$21,clc_build!O$25,clc_build!O$29,clc_build!O$33),
_xlfn.IFS(clc_build!O$13=_xlpm.max_HT_share,clc_build!O$11,
clc_build!O$17=_xlpm.max_HT_share,clc_build!O$15,
clc_build!O$21=_xlpm.max_HT_share,clc_build!O$19*0.8/2.7,
clc_build!O$25=_xlpm.max_HT_share,clc_build!O$23,
clc_build!O$29=_xlpm.max_HT_share,clc_build!O$27,
clc_build!O$33=_xlpm.max_HT_share,clc_build!O$31
))</f>
        <v>#NUM!</v>
      </c>
      <c r="Q24" s="167" t="e" cm="1">
        <f t="array" aca="1" ref="Q24" ca="1">_xlfn.LET(_xlpm.max_HT_share,MAX(clc_build!P$13,clc_build!P$17,clc_build!P$21,clc_build!P$25,clc_build!P$29,clc_build!P$33),
_xlfn.IFS(clc_build!P$13=_xlpm.max_HT_share,clc_build!P$11,
clc_build!P$17=_xlpm.max_HT_share,clc_build!P$15,
clc_build!P$21=_xlpm.max_HT_share,clc_build!P$19*0.8/2.7,
clc_build!P$25=_xlpm.max_HT_share,clc_build!P$23,
clc_build!P$29=_xlpm.max_HT_share,clc_build!P$27,
clc_build!P$33=_xlpm.max_HT_share,clc_build!P$31
))</f>
        <v>#NUM!</v>
      </c>
      <c r="R24" s="167" cm="1">
        <f t="array" ref="R24">_xlfn.LET(_xlpm.max_HT_share,MAX(clc_build!Q$13,clc_build!Q$17,clc_build!Q$21,clc_build!Q$25,clc_build!Q$29,clc_build!Q$33),
_xlfn.IFS(clc_build!Q$13=_xlpm.max_HT_share,clc_build!Q$11,
clc_build!Q$17=_xlpm.max_HT_share,clc_build!Q$15,
clc_build!Q$21=_xlpm.max_HT_share,clc_build!Q$19*0.8/2.7,
clc_build!Q$25=_xlpm.max_HT_share,clc_build!Q$23,
clc_build!Q$29=_xlpm.max_HT_share,clc_build!Q$27,
clc_build!Q$33=_xlpm.max_HT_share,clc_build!Q$31
))</f>
        <v>0</v>
      </c>
      <c r="S24" s="167" cm="1">
        <f t="array" ref="S24">_xlfn.LET(_xlpm.max_HT_share,MAX(clc_build!R$13,clc_build!R$17,clc_build!R$21,clc_build!R$25,clc_build!R$29,clc_build!R$33),
_xlfn.IFS(clc_build!R$13=_xlpm.max_HT_share,clc_build!R$11,
clc_build!R$17=_xlpm.max_HT_share,clc_build!R$15,
clc_build!R$21=_xlpm.max_HT_share,clc_build!R$19*0.8/2.7,
clc_build!R$25=_xlpm.max_HT_share,clc_build!R$23,
clc_build!R$29=_xlpm.max_HT_share,clc_build!R$27,
clc_build!R$33=_xlpm.max_HT_share,clc_build!R$31
))</f>
        <v>0</v>
      </c>
      <c r="T24" s="167" cm="1">
        <f t="array" ref="T24">_xlfn.LET(_xlpm.max_HT_share,MAX(clc_build!S$13,clc_build!S$17,clc_build!S$21,clc_build!S$25,clc_build!S$29,clc_build!S$33),
_xlfn.IFS(clc_build!S$13=_xlpm.max_HT_share,clc_build!S$11,
clc_build!S$17=_xlpm.max_HT_share,clc_build!S$15,
clc_build!S$21=_xlpm.max_HT_share,clc_build!S$19*0.8/2.7,
clc_build!S$25=_xlpm.max_HT_share,clc_build!S$23,
clc_build!S$29=_xlpm.max_HT_share,clc_build!S$27,
clc_build!S$33=_xlpm.max_HT_share,clc_build!S$31
))</f>
        <v>0</v>
      </c>
      <c r="U24" s="167" cm="1">
        <f t="array" ref="U24">_xlfn.LET(_xlpm.max_HT_share,MAX(clc_build!T$13,clc_build!T$17,clc_build!T$21,clc_build!T$25,clc_build!T$29,clc_build!T$33),
_xlfn.IFS(clc_build!T$13=_xlpm.max_HT_share,clc_build!T$11,
clc_build!T$17=_xlpm.max_HT_share,clc_build!T$15,
clc_build!T$21=_xlpm.max_HT_share,clc_build!T$19*0.8/2.7,
clc_build!T$25=_xlpm.max_HT_share,clc_build!T$23,
clc_build!T$29=_xlpm.max_HT_share,clc_build!T$27,
clc_build!T$33=_xlpm.max_HT_share,clc_build!T$31
))</f>
        <v>0</v>
      </c>
      <c r="V24" s="167" cm="1">
        <f t="array" ref="V24">_xlfn.LET(_xlpm.max_HT_share,MAX(clc_build!U$13,clc_build!U$17,clc_build!U$21,clc_build!U$25,clc_build!U$29,clc_build!U$33),
_xlfn.IFS(clc_build!U$13=_xlpm.max_HT_share,clc_build!U$11,
clc_build!U$17=_xlpm.max_HT_share,clc_build!U$15,
clc_build!U$21=_xlpm.max_HT_share,clc_build!U$19*0.8/2.7,
clc_build!U$25=_xlpm.max_HT_share,clc_build!U$23,
clc_build!U$29=_xlpm.max_HT_share,clc_build!U$27,
clc_build!U$33=_xlpm.max_HT_share,clc_build!U$31
))</f>
        <v>0</v>
      </c>
    </row>
    <row r="25" spans="1:23" s="11" customFormat="1" ht="15.75" customHeight="1">
      <c r="A25" t="s">
        <v>1003</v>
      </c>
      <c r="D25" s="11" t="s">
        <v>1004</v>
      </c>
      <c r="G25" t="s">
        <v>1002</v>
      </c>
      <c r="H25" s="167" t="e" cm="1">
        <f t="array" aca="1" ref="H25" ca="1">IF(OR(H24&lt;0.4,H12&lt;50),"pic_G2_load_wall",_xlfn.LET(_xlpm.max_HT_share,MAX(clc_build!G$13,clc_build!G$17,clc_build!G$21,clc_build!G$25,clc_build!G$29,clc_build!G$33),
"pic_G2_load_" &amp;
_xlfn.IFS(clc_build!G$13=_xlpm.max_HT_share,"wall",
clc_build!G$17=_xlpm.max_HT_share,"wall",
clc_build!G$21=_xlpm.max_HT_share,"win",
clc_build!G$25=_xlpm.max_HT_share,"roof",
clc_build!G$29=_xlpm.max_HT_share,"botceil",
clc_build!G$33=_xlpm.max_HT_share,"topceil"
)))</f>
        <v>#NUM!</v>
      </c>
      <c r="I25" s="167" t="e" cm="1">
        <f t="array" aca="1" ref="I25" ca="1">IF(OR(I24&lt;0.4,I12&lt;50),"pic_G2_load_wall",_xlfn.LET(_xlpm.max_HT_share,MAX(clc_build!H$13,clc_build!H$17,clc_build!H$21,clc_build!H$25,clc_build!H$29,clc_build!H$33),
"pic_G2_load_" &amp;
_xlfn.IFS(clc_build!H$13=_xlpm.max_HT_share,"wall",
clc_build!H$17=_xlpm.max_HT_share,"wall",
clc_build!H$21=_xlpm.max_HT_share,"win",
clc_build!H$25=_xlpm.max_HT_share,"roof",
clc_build!H$29=_xlpm.max_HT_share,"botceil",
clc_build!H$33=_xlpm.max_HT_share,"topceil"
)))</f>
        <v>#NUM!</v>
      </c>
      <c r="J25" s="167" t="e" cm="1">
        <f t="array" aca="1" ref="J25" ca="1">IF(OR(J24&lt;0.4,J12&lt;50),"pic_G2_load_wall",_xlfn.LET(_xlpm.max_HT_share,MAX(clc_build!I$13,clc_build!I$17,clc_build!I$21,clc_build!I$25,clc_build!I$29,clc_build!I$33),
"pic_G2_load_" &amp;
_xlfn.IFS(clc_build!I$13=_xlpm.max_HT_share,"wall",
clc_build!I$17=_xlpm.max_HT_share,"wall",
clc_build!I$21=_xlpm.max_HT_share,"win",
clc_build!I$25=_xlpm.max_HT_share,"roof",
clc_build!I$29=_xlpm.max_HT_share,"botceil",
clc_build!I$33=_xlpm.max_HT_share,"topceil"
)))</f>
        <v>#NUM!</v>
      </c>
      <c r="K25" s="167" t="e" cm="1">
        <f t="array" aca="1" ref="K25" ca="1">IF(OR(K24&lt;0.4,K12&lt;50),"pic_G2_load_wall",_xlfn.LET(_xlpm.max_HT_share,MAX(clc_build!J$13,clc_build!J$17,clc_build!J$21,clc_build!J$25,clc_build!J$29,clc_build!J$33),
"pic_G2_load_" &amp;
_xlfn.IFS(clc_build!J$13=_xlpm.max_HT_share,"wall",
clc_build!J$17=_xlpm.max_HT_share,"wall",
clc_build!J$21=_xlpm.max_HT_share,"win",
clc_build!J$25=_xlpm.max_HT_share,"roof",
clc_build!J$29=_xlpm.max_HT_share,"botceil",
clc_build!J$33=_xlpm.max_HT_share,"topceil"
)))</f>
        <v>#NUM!</v>
      </c>
      <c r="L25" s="167" t="e" cm="1">
        <f t="array" aca="1" ref="L25" ca="1">IF(OR(L24&lt;0.4,L12&lt;50),"pic_G2_load_wall",_xlfn.LET(_xlpm.max_HT_share,MAX(clc_build!K$13,clc_build!K$17,clc_build!K$21,clc_build!K$25,clc_build!K$29,clc_build!K$33),
"pic_G2_load_" &amp;
_xlfn.IFS(clc_build!K$13=_xlpm.max_HT_share,"wall",
clc_build!K$17=_xlpm.max_HT_share,"wall",
clc_build!K$21=_xlpm.max_HT_share,"win",
clc_build!K$25=_xlpm.max_HT_share,"roof",
clc_build!K$29=_xlpm.max_HT_share,"botceil",
clc_build!K$33=_xlpm.max_HT_share,"topceil"
)))</f>
        <v>#NUM!</v>
      </c>
      <c r="M25" s="167" t="e" cm="1">
        <f t="array" aca="1" ref="M25" ca="1">IF(OR(M24&lt;0.4,M12&lt;50),"pic_G2_load_wall",_xlfn.LET(_xlpm.max_HT_share,MAX(clc_build!L$13,clc_build!L$17,clc_build!L$21,clc_build!L$25,clc_build!L$29,clc_build!L$33),
"pic_G2_load_" &amp;
_xlfn.IFS(clc_build!L$13=_xlpm.max_HT_share,"wall",
clc_build!L$17=_xlpm.max_HT_share,"wall",
clc_build!L$21=_xlpm.max_HT_share,"win",
clc_build!L$25=_xlpm.max_HT_share,"roof",
clc_build!L$29=_xlpm.max_HT_share,"botceil",
clc_build!L$33=_xlpm.max_HT_share,"topceil"
)))</f>
        <v>#NUM!</v>
      </c>
      <c r="N25" s="167" t="e" cm="1">
        <f t="array" aca="1" ref="N25" ca="1">IF(OR(N24&lt;0.4,N12&lt;50),"pic_G2_load_wall",_xlfn.LET(_xlpm.max_HT_share,MAX(clc_build!M$13,clc_build!M$17,clc_build!M$21,clc_build!M$25,clc_build!M$29,clc_build!M$33),
"pic_G2_load_" &amp;
_xlfn.IFS(clc_build!M$13=_xlpm.max_HT_share,"wall",
clc_build!M$17=_xlpm.max_HT_share,"wall",
clc_build!M$21=_xlpm.max_HT_share,"win",
clc_build!M$25=_xlpm.max_HT_share,"roof",
clc_build!M$29=_xlpm.max_HT_share,"botceil",
clc_build!M$33=_xlpm.max_HT_share,"topceil"
)))</f>
        <v>#NUM!</v>
      </c>
      <c r="O25" s="167" t="e" cm="1">
        <f t="array" aca="1" ref="O25" ca="1">IF(OR(O24&lt;0.4,O12&lt;50),"pic_G2_load_wall",_xlfn.LET(_xlpm.max_HT_share,MAX(clc_build!N$13,clc_build!N$17,clc_build!N$21,clc_build!N$25,clc_build!N$29,clc_build!N$33),
"pic_G2_load_" &amp;
_xlfn.IFS(clc_build!N$13=_xlpm.max_HT_share,"wall",
clc_build!N$17=_xlpm.max_HT_share,"wall",
clc_build!N$21=_xlpm.max_HT_share,"win",
clc_build!N$25=_xlpm.max_HT_share,"roof",
clc_build!N$29=_xlpm.max_HT_share,"botceil",
clc_build!N$33=_xlpm.max_HT_share,"topceil"
)))</f>
        <v>#NUM!</v>
      </c>
      <c r="P25" s="167" t="e" cm="1">
        <f t="array" aca="1" ref="P25" ca="1">IF(OR(P24&lt;0.4,P12&lt;50),"pic_G2_load_wall",_xlfn.LET(_xlpm.max_HT_share,MAX(clc_build!O$13,clc_build!O$17,clc_build!O$21,clc_build!O$25,clc_build!O$29,clc_build!O$33),
"pic_G2_load_" &amp;
_xlfn.IFS(clc_build!O$13=_xlpm.max_HT_share,"wall",
clc_build!O$17=_xlpm.max_HT_share,"wall",
clc_build!O$21=_xlpm.max_HT_share,"win",
clc_build!O$25=_xlpm.max_HT_share,"roof",
clc_build!O$29=_xlpm.max_HT_share,"botceil",
clc_build!O$33=_xlpm.max_HT_share,"topceil"
)))</f>
        <v>#NUM!</v>
      </c>
      <c r="Q25" s="167" t="e" cm="1">
        <f t="array" aca="1" ref="Q25" ca="1">IF(OR(Q24&lt;0.4,Q12&lt;50),"pic_G2_load_wall",_xlfn.LET(_xlpm.max_HT_share,MAX(clc_build!P$13,clc_build!P$17,clc_build!P$21,clc_build!P$25,clc_build!P$29,clc_build!P$33),
"pic_G2_load_" &amp;
_xlfn.IFS(clc_build!P$13=_xlpm.max_HT_share,"wall",
clc_build!P$17=_xlpm.max_HT_share,"wall",
clc_build!P$21=_xlpm.max_HT_share,"win",
clc_build!P$25=_xlpm.max_HT_share,"roof",
clc_build!P$29=_xlpm.max_HT_share,"botceil",
clc_build!P$33=_xlpm.max_HT_share,"topceil"
)))</f>
        <v>#NUM!</v>
      </c>
      <c r="R25" s="167" t="str" cm="1">
        <f t="array" ref="R25">IF(OR(R24&lt;0.4,R12&lt;50),"pic_G2_load_wall",_xlfn.LET(_xlpm.max_HT_share,MAX(clc_build!Q$13,clc_build!Q$17,clc_build!Q$21,clc_build!Q$25,clc_build!Q$29,clc_build!Q$33),
"pic_G2_load_" &amp;
_xlfn.IFS(clc_build!Q$13=_xlpm.max_HT_share,"wall",
clc_build!Q$17=_xlpm.max_HT_share,"wall",
clc_build!Q$21=_xlpm.max_HT_share,"win",
clc_build!Q$25=_xlpm.max_HT_share,"roof",
clc_build!Q$29=_xlpm.max_HT_share,"botceil",
clc_build!Q$33=_xlpm.max_HT_share,"topceil"
)))</f>
        <v>pic_G2_load_wall</v>
      </c>
      <c r="S25" s="167" t="str" cm="1">
        <f t="array" ref="S25">IF(OR(S24&lt;0.4,S12&lt;50),"pic_G2_load_wall",_xlfn.LET(_xlpm.max_HT_share,MAX(clc_build!R$13,clc_build!R$17,clc_build!R$21,clc_build!R$25,clc_build!R$29,clc_build!R$33),
"pic_G2_load_" &amp;
_xlfn.IFS(clc_build!R$13=_xlpm.max_HT_share,"wall",
clc_build!R$17=_xlpm.max_HT_share,"wall",
clc_build!R$21=_xlpm.max_HT_share,"win",
clc_build!R$25=_xlpm.max_HT_share,"roof",
clc_build!R$29=_xlpm.max_HT_share,"botceil",
clc_build!R$33=_xlpm.max_HT_share,"topceil"
)))</f>
        <v>pic_G2_load_wall</v>
      </c>
      <c r="T25" s="167" t="str" cm="1">
        <f t="array" ref="T25">IF(OR(T24&lt;0.4,T12&lt;50),"pic_G2_load_wall",_xlfn.LET(_xlpm.max_HT_share,MAX(clc_build!S$13,clc_build!S$17,clc_build!S$21,clc_build!S$25,clc_build!S$29,clc_build!S$33),
"pic_G2_load_" &amp;
_xlfn.IFS(clc_build!S$13=_xlpm.max_HT_share,"wall",
clc_build!S$17=_xlpm.max_HT_share,"wall",
clc_build!S$21=_xlpm.max_HT_share,"win",
clc_build!S$25=_xlpm.max_HT_share,"roof",
clc_build!S$29=_xlpm.max_HT_share,"botceil",
clc_build!S$33=_xlpm.max_HT_share,"topceil"
)))</f>
        <v>pic_G2_load_wall</v>
      </c>
      <c r="U25" s="167" t="str" cm="1">
        <f t="array" ref="U25">IF(OR(U24&lt;0.4,U12&lt;50),"pic_G2_load_wall",_xlfn.LET(_xlpm.max_HT_share,MAX(clc_build!T$13,clc_build!T$17,clc_build!T$21,clc_build!T$25,clc_build!T$29,clc_build!T$33),
"pic_G2_load_" &amp;
_xlfn.IFS(clc_build!T$13=_xlpm.max_HT_share,"wall",
clc_build!T$17=_xlpm.max_HT_share,"wall",
clc_build!T$21=_xlpm.max_HT_share,"win",
clc_build!T$25=_xlpm.max_HT_share,"roof",
clc_build!T$29=_xlpm.max_HT_share,"botceil",
clc_build!T$33=_xlpm.max_HT_share,"topceil"
)))</f>
        <v>pic_G2_load_wall</v>
      </c>
      <c r="V25" s="167" t="str" cm="1">
        <f t="array" ref="V25">IF(OR(V24&lt;0.4,V12&lt;50),"pic_G2_load_wall",_xlfn.LET(_xlpm.max_HT_share,MAX(clc_build!U$13,clc_build!U$17,clc_build!U$21,clc_build!U$25,clc_build!U$29,clc_build!U$33),
"pic_G2_load_" &amp;
_xlfn.IFS(clc_build!U$13=_xlpm.max_HT_share,"wall",
clc_build!U$17=_xlpm.max_HT_share,"wall",
clc_build!U$21=_xlpm.max_HT_share,"win",
clc_build!U$25=_xlpm.max_HT_share,"roof",
clc_build!U$29=_xlpm.max_HT_share,"botceil",
clc_build!U$33=_xlpm.max_HT_share,"topceil"
)))</f>
        <v>pic_G2_load_wall</v>
      </c>
    </row>
    <row r="26" spans="1:23" s="11" customFormat="1" ht="15.75" customHeight="1">
      <c r="A26" t="s">
        <v>1005</v>
      </c>
      <c r="D26" s="11" t="s">
        <v>1006</v>
      </c>
      <c r="G26" t="s">
        <v>1002</v>
      </c>
      <c r="H26" s="167" t="e" cm="1">
        <f t="array" aca="1" ref="H26" ca="1">_xlfn.IFS(AND(H12&lt;50,H12&gt;0),"green",H24&gt;0.8,"red",H24&gt;0.5,"orange",H24&gt;0.35,"yellow",TRUE,"")</f>
        <v>#NUM!</v>
      </c>
      <c r="I26" s="167" t="e" cm="1">
        <f t="array" aca="1" ref="I26" ca="1">_xlfn.IFS(AND(I12&lt;50,I12&gt;0),"green",I24&gt;0.8,"red",I24&gt;0.5,"orange",I24&gt;0.35,"yellow",TRUE,"")</f>
        <v>#NUM!</v>
      </c>
      <c r="J26" s="167" t="e" cm="1">
        <f t="array" aca="1" ref="J26" ca="1">_xlfn.IFS(AND(J12&lt;50,J12&gt;0),"green",J24&gt;0.8,"red",J24&gt;0.5,"orange",J24&gt;0.35,"yellow",TRUE,"")</f>
        <v>#NUM!</v>
      </c>
      <c r="K26" s="167" t="e" cm="1">
        <f t="array" aca="1" ref="K26" ca="1">_xlfn.IFS(AND(K12&lt;50,K12&gt;0),"green",K24&gt;0.8,"red",K24&gt;0.5,"orange",K24&gt;0.35,"yellow",TRUE,"")</f>
        <v>#NUM!</v>
      </c>
      <c r="L26" s="167" t="e" cm="1">
        <f t="array" aca="1" ref="L26" ca="1">_xlfn.IFS(AND(L12&lt;50,L12&gt;0),"green",L24&gt;0.8,"red",L24&gt;0.5,"orange",L24&gt;0.35,"yellow",TRUE,"")</f>
        <v>#NUM!</v>
      </c>
      <c r="M26" s="167" t="e" cm="1">
        <f t="array" aca="1" ref="M26" ca="1">_xlfn.IFS(AND(M12&lt;50,M12&gt;0),"green",M24&gt;0.8,"red",M24&gt;0.5,"orange",M24&gt;0.35,"yellow",TRUE,"")</f>
        <v>#NUM!</v>
      </c>
      <c r="N26" s="167" t="e" cm="1">
        <f t="array" aca="1" ref="N26" ca="1">_xlfn.IFS(AND(N12&lt;50,N12&gt;0),"green",N24&gt;0.8,"red",N24&gt;0.5,"orange",N24&gt;0.35,"yellow",TRUE,"")</f>
        <v>#NUM!</v>
      </c>
      <c r="O26" s="167" t="e" cm="1">
        <f t="array" aca="1" ref="O26" ca="1">_xlfn.IFS(AND(O12&lt;50,O12&gt;0),"green",O24&gt;0.8,"red",O24&gt;0.5,"orange",O24&gt;0.35,"yellow",TRUE,"")</f>
        <v>#NUM!</v>
      </c>
      <c r="P26" s="167" t="e" cm="1">
        <f t="array" aca="1" ref="P26" ca="1">_xlfn.IFS(AND(P12&lt;50,P12&gt;0),"green",P24&gt;0.8,"red",P24&gt;0.5,"orange",P24&gt;0.35,"yellow",TRUE,"")</f>
        <v>#NUM!</v>
      </c>
      <c r="Q26" s="167" t="e" cm="1">
        <f t="array" aca="1" ref="Q26" ca="1">_xlfn.IFS(AND(Q12&lt;50,Q12&gt;0),"green",Q24&gt;0.8,"red",Q24&gt;0.5,"orange",Q24&gt;0.35,"yellow",TRUE,"")</f>
        <v>#NUM!</v>
      </c>
      <c r="R26" s="167" t="str" cm="1">
        <f t="array" ref="R26">_xlfn.IFS(AND(R12&lt;50,R12&gt;0),"green",R24&gt;0.8,"red",R24&gt;0.5,"orange",R24&gt;0.35,"yellow",TRUE,"")</f>
        <v/>
      </c>
      <c r="S26" s="167" t="str" cm="1">
        <f t="array" ref="S26">_xlfn.IFS(AND(S12&lt;50,S12&gt;0),"green",S24&gt;0.8,"red",S24&gt;0.5,"orange",S24&gt;0.35,"yellow",TRUE,"")</f>
        <v/>
      </c>
      <c r="T26" s="167" t="str" cm="1">
        <f t="array" ref="T26">_xlfn.IFS(AND(T12&lt;50,T12&gt;0),"green",T24&gt;0.8,"red",T24&gt;0.5,"orange",T24&gt;0.35,"yellow",TRUE,"")</f>
        <v/>
      </c>
      <c r="U26" s="167" t="str" cm="1">
        <f t="array" ref="U26">_xlfn.IFS(AND(U12&lt;50,U12&gt;0),"green",U24&gt;0.8,"red",U24&gt;0.5,"orange",U24&gt;0.35,"yellow",TRUE,"")</f>
        <v/>
      </c>
      <c r="V26" s="167" t="str" cm="1">
        <f t="array" ref="V26">_xlfn.IFS(AND(V12&lt;50,V12&gt;0),"green",V24&gt;0.8,"red",V24&gt;0.5,"orange",V24&gt;0.35,"yellow",TRUE,"")</f>
        <v/>
      </c>
    </row>
    <row r="27" spans="1:23" s="11" customFormat="1" ht="15.75" customHeight="1">
      <c r="A27" s="172" t="s">
        <v>1007</v>
      </c>
      <c r="D27" s="11" t="s">
        <v>1008</v>
      </c>
      <c r="G27" t="s">
        <v>1002</v>
      </c>
      <c r="H27" s="11" t="e" cm="1">
        <f t="array" aca="1" ref="H27" ca="1">_xlfn.IFS(
H12&lt;=0,"",
H12&lt;50,TXT_build!$D$6,
H12&lt;70,TXT_build!$D$7 &amp;OUT_rooms!H4&amp;TXT_build!$D$10,
H12&lt;90,TXT_build!$D$8 &amp;OUT_rooms!H4&amp;TXT_build!$D$10,
TRUE,TXT_build!$D$9 &amp;OUT_rooms!H4&amp;TXT_build!$D$10)</f>
        <v>#NUM!</v>
      </c>
      <c r="I27" s="11" t="e" cm="1">
        <f t="array" aca="1" ref="I27" ca="1">_xlfn.IFS(
I12&lt;=0,"",
I12&lt;50,TXT_build!$D$6,
I12&lt;70,TXT_build!$D$7 &amp;OUT_rooms!I4&amp;TXT_build!$D$10,
I12&lt;90,TXT_build!$D$8 &amp;OUT_rooms!I4&amp;TXT_build!$D$10,
TRUE,TXT_build!$D$9 &amp;OUT_rooms!I4&amp;TXT_build!$D$10)</f>
        <v>#NUM!</v>
      </c>
      <c r="J27" s="11" t="e" cm="1">
        <f t="array" aca="1" ref="J27" ca="1">_xlfn.IFS(
J12&lt;=0,"",
J12&lt;50,TXT_build!$D$6,
J12&lt;70,TXT_build!$D$7 &amp;OUT_rooms!J4&amp;TXT_build!$D$10,
J12&lt;90,TXT_build!$D$8 &amp;OUT_rooms!J4&amp;TXT_build!$D$10,
TRUE,TXT_build!$D$9 &amp;OUT_rooms!J4&amp;TXT_build!$D$10)</f>
        <v>#NUM!</v>
      </c>
      <c r="K27" s="11" t="e" cm="1">
        <f t="array" aca="1" ref="K27" ca="1">_xlfn.IFS(
K12&lt;=0,"",
K12&lt;50,TXT_build!$D$6,
K12&lt;70,TXT_build!$D$7 &amp;OUT_rooms!K4&amp;TXT_build!$D$10,
K12&lt;90,TXT_build!$D$8 &amp;OUT_rooms!K4&amp;TXT_build!$D$10,
TRUE,TXT_build!$D$9 &amp;OUT_rooms!K4&amp;TXT_build!$D$10)</f>
        <v>#NUM!</v>
      </c>
      <c r="L27" s="11" t="e" cm="1">
        <f t="array" aca="1" ref="L27" ca="1">_xlfn.IFS(
L12&lt;=0,"",
L12&lt;50,TXT_build!$D$6,
L12&lt;70,TXT_build!$D$7 &amp;OUT_rooms!L4&amp;TXT_build!$D$10,
L12&lt;90,TXT_build!$D$8 &amp;OUT_rooms!L4&amp;TXT_build!$D$10,
TRUE,TXT_build!$D$9 &amp;OUT_rooms!L4&amp;TXT_build!$D$10)</f>
        <v>#NUM!</v>
      </c>
      <c r="M27" s="11" t="e" cm="1">
        <f t="array" aca="1" ref="M27" ca="1">_xlfn.IFS(
M12&lt;=0,"",
M12&lt;50,TXT_build!$D$6,
M12&lt;70,TXT_build!$D$7 &amp;OUT_rooms!M4&amp;TXT_build!$D$10,
M12&lt;90,TXT_build!$D$8 &amp;OUT_rooms!M4&amp;TXT_build!$D$10,
TRUE,TXT_build!$D$9 &amp;OUT_rooms!M4&amp;TXT_build!$D$10)</f>
        <v>#NUM!</v>
      </c>
      <c r="N27" s="11" t="e" cm="1">
        <f t="array" aca="1" ref="N27" ca="1">_xlfn.IFS(
N12&lt;=0,"",
N12&lt;50,TXT_build!$D$6,
N12&lt;70,TXT_build!$D$7 &amp;OUT_rooms!N4&amp;TXT_build!$D$10,
N12&lt;90,TXT_build!$D$8 &amp;OUT_rooms!N4&amp;TXT_build!$D$10,
TRUE,TXT_build!$D$9 &amp;OUT_rooms!N4&amp;TXT_build!$D$10)</f>
        <v>#NUM!</v>
      </c>
      <c r="O27" s="11" t="e" cm="1">
        <f t="array" aca="1" ref="O27" ca="1">_xlfn.IFS(
O12&lt;=0,"",
O12&lt;50,TXT_build!$D$6,
O12&lt;70,TXT_build!$D$7 &amp;OUT_rooms!O4&amp;TXT_build!$D$10,
O12&lt;90,TXT_build!$D$8 &amp;OUT_rooms!O4&amp;TXT_build!$D$10,
TRUE,TXT_build!$D$9 &amp;OUT_rooms!O4&amp;TXT_build!$D$10)</f>
        <v>#NUM!</v>
      </c>
      <c r="P27" s="11" t="e" cm="1">
        <f t="array" aca="1" ref="P27" ca="1">_xlfn.IFS(
P12&lt;=0,"",
P12&lt;50,TXT_build!$D$6,
P12&lt;70,TXT_build!$D$7 &amp;OUT_rooms!P4&amp;TXT_build!$D$10,
P12&lt;90,TXT_build!$D$8 &amp;OUT_rooms!P4&amp;TXT_build!$D$10,
TRUE,TXT_build!$D$9 &amp;OUT_rooms!P4&amp;TXT_build!$D$10)</f>
        <v>#NUM!</v>
      </c>
      <c r="Q27" s="11" t="e" cm="1">
        <f t="array" aca="1" ref="Q27" ca="1">_xlfn.IFS(
Q12&lt;=0,"",
Q12&lt;50,TXT_build!$D$6,
Q12&lt;70,TXT_build!$D$7 &amp;OUT_rooms!Q4&amp;TXT_build!$D$10,
Q12&lt;90,TXT_build!$D$8 &amp;OUT_rooms!Q4&amp;TXT_build!$D$10,
TRUE,TXT_build!$D$9 &amp;OUT_rooms!Q4&amp;TXT_build!$D$10)</f>
        <v>#NUM!</v>
      </c>
      <c r="R27" s="11" t="str" cm="1">
        <f t="array" aca="1" ref="R27" ca="1">_xlfn.IFS(
R12&lt;=0,"",
R12&lt;50,TXT_build!$D$6,
R12&lt;70,TXT_build!$D$7 &amp;OUT_rooms!R4&amp;TXT_build!$D$10,
R12&lt;90,TXT_build!$D$8 &amp;OUT_rooms!R4&amp;TXT_build!$D$10,
TRUE,TXT_build!$D$9 &amp;OUT_rooms!R4&amp;TXT_build!$D$10)</f>
        <v/>
      </c>
      <c r="S27" s="11" t="str" cm="1">
        <f t="array" aca="1" ref="S27" ca="1">_xlfn.IFS(
S12&lt;=0,"",
S12&lt;50,TXT_build!$D$6,
S12&lt;70,TXT_build!$D$7 &amp;OUT_rooms!S4&amp;TXT_build!$D$10,
S12&lt;90,TXT_build!$D$8 &amp;OUT_rooms!S4&amp;TXT_build!$D$10,
TRUE,TXT_build!$D$9 &amp;OUT_rooms!S4&amp;TXT_build!$D$10)</f>
        <v/>
      </c>
      <c r="T27" s="11" t="str" cm="1">
        <f t="array" aca="1" ref="T27" ca="1">_xlfn.IFS(
T12&lt;=0,"",
T12&lt;50,TXT_build!$D$6,
T12&lt;70,TXT_build!$D$7 &amp;OUT_rooms!T4&amp;TXT_build!$D$10,
T12&lt;90,TXT_build!$D$8 &amp;OUT_rooms!T4&amp;TXT_build!$D$10,
TRUE,TXT_build!$D$9 &amp;OUT_rooms!T4&amp;TXT_build!$D$10)</f>
        <v/>
      </c>
      <c r="U27" s="11" t="str" cm="1">
        <f t="array" aca="1" ref="U27" ca="1">_xlfn.IFS(
U12&lt;=0,"",
U12&lt;50,TXT_build!$D$6,
U12&lt;70,TXT_build!$D$7 &amp;OUT_rooms!U4&amp;TXT_build!$D$10,
U12&lt;90,TXT_build!$D$8 &amp;OUT_rooms!U4&amp;TXT_build!$D$10,
TRUE,TXT_build!$D$9 &amp;OUT_rooms!U4&amp;TXT_build!$D$10)</f>
        <v/>
      </c>
      <c r="V27" s="11" t="str" cm="1">
        <f t="array" aca="1" ref="V27" ca="1">_xlfn.IFS(
V12&lt;=0,"",
V12&lt;50,TXT_build!$D$6,
V12&lt;70,TXT_build!$D$7 &amp;OUT_rooms!V4&amp;TXT_build!$D$10,
V12&lt;90,TXT_build!$D$8 &amp;OUT_rooms!V4&amp;TXT_build!$D$10,
TRUE,TXT_build!$D$9 &amp;OUT_rooms!V4&amp;TXT_build!$D$10)</f>
        <v/>
      </c>
    </row>
    <row r="28" spans="1:23" s="11" customFormat="1" ht="16.5" customHeight="1">
      <c r="A28" s="172" t="s">
        <v>1009</v>
      </c>
      <c r="D28" t="s">
        <v>1010</v>
      </c>
      <c r="G28" t="s">
        <v>1002</v>
      </c>
      <c r="H28" s="11" t="e" cm="1">
        <f t="array" ref="H28">"pic_G2_rad_" &amp;
_xlfn.IFS(clc_build!G39&gt;=1,"suff",
clc_build!G40&lt;0.5,"bigger_warning",
clc_build!G40&lt;1,"bigger",
AND(clc_build!G40&gt;=1,clc_build!G39&lt;1),"better")</f>
        <v>#N/A</v>
      </c>
      <c r="I28" s="11" t="e" cm="1">
        <f t="array" ref="I28">"pic_G2_rad_" &amp;
_xlfn.IFS(clc_build!H39&gt;=1,"suff",
clc_build!H40&lt;0.5,"bigger_warning",
clc_build!H40&lt;1,"bigger",
AND(clc_build!H40&gt;=1,clc_build!H39&lt;1),"better")</f>
        <v>#N/A</v>
      </c>
      <c r="J28" s="11" t="e" cm="1">
        <f t="array" ref="J28">"pic_G2_rad_" &amp;
_xlfn.IFS(clc_build!I39&gt;=1,"suff",
clc_build!I40&lt;0.5,"bigger_warning",
clc_build!I40&lt;1,"bigger",
AND(clc_build!I40&gt;=1,clc_build!I39&lt;1),"better")</f>
        <v>#N/A</v>
      </c>
      <c r="K28" s="11" t="e" cm="1">
        <f t="array" ref="K28">"pic_G2_rad_" &amp;
_xlfn.IFS(clc_build!J39&gt;=1,"suff",
clc_build!J40&lt;0.5,"bigger_warning",
clc_build!J40&lt;1,"bigger",
AND(clc_build!J40&gt;=1,clc_build!J39&lt;1),"better")</f>
        <v>#N/A</v>
      </c>
      <c r="L28" s="11" t="e" cm="1">
        <f t="array" ref="L28">"pic_G2_rad_" &amp;
_xlfn.IFS(clc_build!K39&gt;=1,"suff",
clc_build!K40&lt;0.5,"bigger_warning",
clc_build!K40&lt;1,"bigger",
AND(clc_build!K40&gt;=1,clc_build!K39&lt;1),"better")</f>
        <v>#N/A</v>
      </c>
      <c r="M28" s="11" t="e" cm="1">
        <f t="array" ref="M28">"pic_G2_rad_" &amp;
_xlfn.IFS(clc_build!L39&gt;=1,"suff",
clc_build!L40&lt;0.5,"bigger_warning",
clc_build!L40&lt;1,"bigger",
AND(clc_build!L40&gt;=1,clc_build!L39&lt;1),"better")</f>
        <v>#N/A</v>
      </c>
      <c r="N28" s="11" t="e" cm="1">
        <f t="array" ref="N28">"pic_G2_rad_" &amp;
_xlfn.IFS(clc_build!M39&gt;=1,"suff",
clc_build!M40&lt;0.5,"bigger_warning",
clc_build!M40&lt;1,"bigger",
AND(clc_build!M40&gt;=1,clc_build!M39&lt;1),"better")</f>
        <v>#N/A</v>
      </c>
      <c r="O28" s="11" t="e" cm="1">
        <f t="array" ref="O28">"pic_G2_rad_" &amp;
_xlfn.IFS(clc_build!N39&gt;=1,"suff",
clc_build!N40&lt;0.5,"bigger_warning",
clc_build!N40&lt;1,"bigger",
AND(clc_build!N40&gt;=1,clc_build!N39&lt;1),"better")</f>
        <v>#N/A</v>
      </c>
      <c r="P28" s="11" t="e" cm="1">
        <f t="array" ref="P28">"pic_G2_rad_" &amp;
_xlfn.IFS(clc_build!O39&gt;=1,"suff",
clc_build!O40&lt;0.5,"bigger_warning",
clc_build!O40&lt;1,"bigger",
AND(clc_build!O40&gt;=1,clc_build!O39&lt;1),"better")</f>
        <v>#N/A</v>
      </c>
      <c r="Q28" s="11" t="e" cm="1">
        <f t="array" ref="Q28">"pic_G2_rad_" &amp;
_xlfn.IFS(clc_build!P39&gt;=1,"suff",
clc_build!P40&lt;0.5,"bigger_warning",
clc_build!P40&lt;1,"bigger",
AND(clc_build!P40&gt;=1,clc_build!P39&lt;1),"better")</f>
        <v>#N/A</v>
      </c>
      <c r="R28" s="11" t="str" cm="1">
        <f t="array" ref="R28">"pic_G2_rad_" &amp;
_xlfn.IFS(clc_build!Q39&gt;=1,"suff",
clc_build!Q40&lt;0.5,"bigger_warning",
clc_build!Q40&lt;1,"bigger",
AND(clc_build!Q40&gt;=1,clc_build!Q39&lt;1),"better")</f>
        <v>pic_G2_rad_bigger_warning</v>
      </c>
      <c r="S28" s="11" t="str" cm="1">
        <f t="array" ref="S28">"pic_G2_rad_" &amp;
_xlfn.IFS(clc_build!R39&gt;=1,"suff",
clc_build!R40&lt;0.5,"bigger_warning",
clc_build!R40&lt;1,"bigger",
AND(clc_build!R40&gt;=1,clc_build!R39&lt;1),"better")</f>
        <v>pic_G2_rad_bigger_warning</v>
      </c>
      <c r="T28" s="11" t="str" cm="1">
        <f t="array" ref="T28">"pic_G2_rad_" &amp;
_xlfn.IFS(clc_build!S39&gt;=1,"suff",
clc_build!S40&lt;0.5,"bigger_warning",
clc_build!S40&lt;1,"bigger",
AND(clc_build!S40&gt;=1,clc_build!S39&lt;1),"better")</f>
        <v>pic_G2_rad_bigger_warning</v>
      </c>
      <c r="U28" s="11" t="str" cm="1">
        <f t="array" ref="U28">"pic_G2_rad_" &amp;
_xlfn.IFS(clc_build!T39&gt;=1,"suff",
clc_build!T40&lt;0.5,"bigger_warning",
clc_build!T40&lt;1,"bigger",
AND(clc_build!T40&gt;=1,clc_build!T39&lt;1),"better")</f>
        <v>pic_G2_rad_bigger_warning</v>
      </c>
      <c r="V28" s="11" t="str" cm="1">
        <f t="array" ref="V28">"pic_G2_rad_" &amp;
_xlfn.IFS(clc_build!U39&gt;=1,"suff",
clc_build!U40&lt;0.5,"bigger_warning",
clc_build!U40&lt;1,"bigger",
AND(clc_build!U40&gt;=1,clc_build!U39&lt;1),"better")</f>
        <v>pic_G2_rad_bigger_warning</v>
      </c>
    </row>
    <row r="29" spans="1:23" s="35" customFormat="1" ht="16.5" customHeight="1" thickBot="1">
      <c r="A29" s="177" t="s">
        <v>1011</v>
      </c>
      <c r="B29" s="35" t="s">
        <v>115</v>
      </c>
      <c r="D29" s="35" t="s">
        <v>1012</v>
      </c>
      <c r="G29" s="35" t="s">
        <v>1002</v>
      </c>
      <c r="H29" s="133" t="e" cm="1">
        <f t="array" ref="H29">_xlfn.IFS(clc_build!G39&gt;=1,TXT_build!$D$14,
clc_build!G40&lt;0.5,TXT_build!$D$11,
clc_build!G40&lt;1,TXT_build!$D$12,
AND(clc_build!G40&gt;=1,clc_build!G39&lt;1),TXT_build!$D$13)</f>
        <v>#N/A</v>
      </c>
      <c r="I29" s="133" t="e" cm="1">
        <f t="array" ref="I29">_xlfn.IFS(clc_build!H39&gt;=1,TXT_build!$D$14,
clc_build!H40&lt;0.5,TXT_build!$D$11,
clc_build!H40&lt;1,TXT_build!$D$12,
AND(clc_build!H40&gt;=1,clc_build!H39&lt;1),TXT_build!$D$13)</f>
        <v>#N/A</v>
      </c>
      <c r="J29" s="133" t="e" cm="1">
        <f t="array" ref="J29">_xlfn.IFS(clc_build!I39&gt;=1,TXT_build!$D$14,
clc_build!I40&lt;0.5,TXT_build!$D$11,
clc_build!I40&lt;1,TXT_build!$D$12,
AND(clc_build!I40&gt;=1,clc_build!I39&lt;1),TXT_build!$D$13)</f>
        <v>#N/A</v>
      </c>
      <c r="K29" s="133" t="e" cm="1">
        <f t="array" ref="K29">_xlfn.IFS(clc_build!J39&gt;=1,TXT_build!$D$14,
clc_build!J40&lt;0.5,TXT_build!$D$11,
clc_build!J40&lt;1,TXT_build!$D$12,
AND(clc_build!J40&gt;=1,clc_build!J39&lt;1),TXT_build!$D$13)</f>
        <v>#N/A</v>
      </c>
      <c r="L29" s="133" t="e" cm="1">
        <f t="array" ref="L29">_xlfn.IFS(clc_build!K39&gt;=1,TXT_build!$D$14,
clc_build!K40&lt;0.5,TXT_build!$D$11,
clc_build!K40&lt;1,TXT_build!$D$12,
AND(clc_build!K40&gt;=1,clc_build!K39&lt;1),TXT_build!$D$13)</f>
        <v>#N/A</v>
      </c>
      <c r="M29" s="133" t="e" cm="1">
        <f t="array" ref="M29">_xlfn.IFS(clc_build!L39&gt;=1,TXT_build!$D$14,
clc_build!L40&lt;0.5,TXT_build!$D$11,
clc_build!L40&lt;1,TXT_build!$D$12,
AND(clc_build!L40&gt;=1,clc_build!L39&lt;1),TXT_build!$D$13)</f>
        <v>#N/A</v>
      </c>
      <c r="N29" s="133" t="e" cm="1">
        <f t="array" ref="N29">_xlfn.IFS(clc_build!M39&gt;=1,TXT_build!$D$14,
clc_build!M40&lt;0.5,TXT_build!$D$11,
clc_build!M40&lt;1,TXT_build!$D$12,
AND(clc_build!M40&gt;=1,clc_build!M39&lt;1),TXT_build!$D$13)</f>
        <v>#N/A</v>
      </c>
      <c r="O29" s="133" t="e" cm="1">
        <f t="array" ref="O29">_xlfn.IFS(clc_build!N39&gt;=1,TXT_build!$D$14,
clc_build!N40&lt;0.5,TXT_build!$D$11,
clc_build!N40&lt;1,TXT_build!$D$12,
AND(clc_build!N40&gt;=1,clc_build!N39&lt;1),TXT_build!$D$13)</f>
        <v>#N/A</v>
      </c>
      <c r="P29" s="133" t="e" cm="1">
        <f t="array" ref="P29">_xlfn.IFS(clc_build!O39&gt;=1,TXT_build!$D$14,
clc_build!O40&lt;0.5,TXT_build!$D$11,
clc_build!O40&lt;1,TXT_build!$D$12,
AND(clc_build!O40&gt;=1,clc_build!O39&lt;1),TXT_build!$D$13)</f>
        <v>#N/A</v>
      </c>
      <c r="Q29" s="133" t="e" cm="1">
        <f t="array" ref="Q29">_xlfn.IFS(clc_build!P39&gt;=1,TXT_build!$D$14,
clc_build!P40&lt;0.5,TXT_build!$D$11,
clc_build!P40&lt;1,TXT_build!$D$12,
AND(clc_build!P40&gt;=1,clc_build!P39&lt;1),TXT_build!$D$13)</f>
        <v>#N/A</v>
      </c>
      <c r="R29" s="133" t="str" cm="1">
        <f t="array" ref="R29">_xlfn.IFS(clc_build!Q39&gt;=1,TXT_build!$D$14,
clc_build!Q40&lt;0.5,TXT_build!$D$11,
clc_build!Q40&lt;1,TXT_build!$D$12,
AND(clc_build!Q40&gt;=1,clc_build!Q39&lt;1),TXT_build!$D$13)</f>
        <v xml:space="preserve">### Der aktuelle Heizkörper ist zu klein 
Selbst ein besseres Modell (&lt;abbr title="Ein Flachheizkörper modernder Bauart in der leistungsstärksten Grundkonfiguration. Mit Typ33-Heizkörpern ist bei gleichen Abmaßen die größtmögliche Heizleistung im Vergleich zu anderen Heizkörpern zu erwarten."&gt;Typ 33&lt;/abbr&gt;) müsste mindestens doppelt so groß sein. Alternativ kann ein zusätzlicher Heizköper oder ein &lt;abbr title="Die durch die Gebläse verstärkte Luftbewegung erhöht die Leistung des Heizkörpers, siehe Wärmepumpen-Heizkörper"&gt; Heizkörper mit integriertem Gebläse &lt;/abbr&gt; installiert werden.
</v>
      </c>
      <c r="S29" s="133" t="str" cm="1">
        <f t="array" ref="S29">_xlfn.IFS(clc_build!R39&gt;=1,TXT_build!$D$14,
clc_build!R40&lt;0.5,TXT_build!$D$11,
clc_build!R40&lt;1,TXT_build!$D$12,
AND(clc_build!R40&gt;=1,clc_build!R39&lt;1),TXT_build!$D$13)</f>
        <v xml:space="preserve">### Der aktuelle Heizkörper ist zu klein 
Selbst ein besseres Modell (&lt;abbr title="Ein Flachheizkörper modernder Bauart in der leistungsstärksten Grundkonfiguration. Mit Typ33-Heizkörpern ist bei gleichen Abmaßen die größtmögliche Heizleistung im Vergleich zu anderen Heizkörpern zu erwarten."&gt;Typ 33&lt;/abbr&gt;) müsste mindestens doppelt so groß sein. Alternativ kann ein zusätzlicher Heizköper oder ein &lt;abbr title="Die durch die Gebläse verstärkte Luftbewegung erhöht die Leistung des Heizkörpers, siehe Wärmepumpen-Heizkörper"&gt; Heizkörper mit integriertem Gebläse &lt;/abbr&gt; installiert werden.
</v>
      </c>
      <c r="T29" s="133" t="str" cm="1">
        <f t="array" ref="T29">_xlfn.IFS(clc_build!S39&gt;=1,TXT_build!$D$14,
clc_build!S40&lt;0.5,TXT_build!$D$11,
clc_build!S40&lt;1,TXT_build!$D$12,
AND(clc_build!S40&gt;=1,clc_build!S39&lt;1),TXT_build!$D$13)</f>
        <v xml:space="preserve">### Der aktuelle Heizkörper ist zu klein 
Selbst ein besseres Modell (&lt;abbr title="Ein Flachheizkörper modernder Bauart in der leistungsstärksten Grundkonfiguration. Mit Typ33-Heizkörpern ist bei gleichen Abmaßen die größtmögliche Heizleistung im Vergleich zu anderen Heizkörpern zu erwarten."&gt;Typ 33&lt;/abbr&gt;) müsste mindestens doppelt so groß sein. Alternativ kann ein zusätzlicher Heizköper oder ein &lt;abbr title="Die durch die Gebläse verstärkte Luftbewegung erhöht die Leistung des Heizkörpers, siehe Wärmepumpen-Heizkörper"&gt; Heizkörper mit integriertem Gebläse &lt;/abbr&gt; installiert werden.
</v>
      </c>
      <c r="U29" s="133" t="str" cm="1">
        <f t="array" ref="U29">_xlfn.IFS(clc_build!T39&gt;=1,TXT_build!$D$14,
clc_build!T40&lt;0.5,TXT_build!$D$11,
clc_build!T40&lt;1,TXT_build!$D$12,
AND(clc_build!T40&gt;=1,clc_build!T39&lt;1),TXT_build!$D$13)</f>
        <v xml:space="preserve">### Der aktuelle Heizkörper ist zu klein 
Selbst ein besseres Modell (&lt;abbr title="Ein Flachheizkörper modernder Bauart in der leistungsstärksten Grundkonfiguration. Mit Typ33-Heizkörpern ist bei gleichen Abmaßen die größtmögliche Heizleistung im Vergleich zu anderen Heizkörpern zu erwarten."&gt;Typ 33&lt;/abbr&gt;) müsste mindestens doppelt so groß sein. Alternativ kann ein zusätzlicher Heizköper oder ein &lt;abbr title="Die durch die Gebläse verstärkte Luftbewegung erhöht die Leistung des Heizkörpers, siehe Wärmepumpen-Heizkörper"&gt; Heizkörper mit integriertem Gebläse &lt;/abbr&gt; installiert werden.
</v>
      </c>
      <c r="V29" s="133" t="str" cm="1">
        <f t="array" ref="V29">_xlfn.IFS(clc_build!U39&gt;=1,TXT_build!$D$14,
clc_build!U40&lt;0.5,TXT_build!$D$11,
clc_build!U40&lt;1,TXT_build!$D$12,
AND(clc_build!U40&gt;=1,clc_build!U39&lt;1),TXT_build!$D$13)</f>
        <v xml:space="preserve">### Der aktuelle Heizkörper ist zu klein 
Selbst ein besseres Modell (&lt;abbr title="Ein Flachheizkörper modernder Bauart in der leistungsstärksten Grundkonfiguration. Mit Typ33-Heizkörpern ist bei gleichen Abmaßen die größtmögliche Heizleistung im Vergleich zu anderen Heizkörpern zu erwarten."&gt;Typ 33&lt;/abbr&gt;) müsste mindestens doppelt so groß sein. Alternativ kann ein zusätzlicher Heizköper oder ein &lt;abbr title="Die durch die Gebläse verstärkte Luftbewegung erhöht die Leistung des Heizkörpers, siehe Wärmepumpen-Heizkörper"&gt; Heizkörper mit integriertem Gebläse &lt;/abbr&gt; installiert werden.
</v>
      </c>
    </row>
    <row r="30" spans="1:23" ht="16.5" customHeight="1">
      <c r="A30" s="77" t="s">
        <v>1013</v>
      </c>
      <c r="H30" s="11" t="e" cm="1">
        <f t="array" aca="1" ref="H30" ca="1">_xlfn.IFS(
H12&lt;=0,"",
H12&lt;50,"green",
H12&lt;70,"yellow",
H12&lt;90,"orange",
TRUE,"red")</f>
        <v>#NUM!</v>
      </c>
      <c r="I30" s="11" t="e" cm="1">
        <f t="array" aca="1" ref="I30" ca="1">_xlfn.IFS(
I12&lt;=0,"",
I12&lt;50,"green",
I12&lt;70,"yellow",
I12&lt;90,"orange",
TRUE,"red")</f>
        <v>#NUM!</v>
      </c>
      <c r="J30" s="11" t="e" cm="1">
        <f t="array" aca="1" ref="J30" ca="1">_xlfn.IFS(
J12&lt;=0,"",
J12&lt;50,"green",
J12&lt;70,"yellow",
J12&lt;90,"orange",
TRUE,"red")</f>
        <v>#NUM!</v>
      </c>
      <c r="K30" s="11" t="e" cm="1">
        <f t="array" aca="1" ref="K30" ca="1">_xlfn.IFS(
K12&lt;=0,"",
K12&lt;50,"green",
K12&lt;70,"yellow",
K12&lt;90,"orange",
TRUE,"red")</f>
        <v>#NUM!</v>
      </c>
      <c r="L30" s="11" t="e" cm="1">
        <f t="array" aca="1" ref="L30" ca="1">_xlfn.IFS(
L12&lt;=0,"",
L12&lt;50,"green",
L12&lt;70,"yellow",
L12&lt;90,"orange",
TRUE,"red")</f>
        <v>#NUM!</v>
      </c>
      <c r="M30" s="11" t="e" cm="1">
        <f t="array" aca="1" ref="M30" ca="1">_xlfn.IFS(
M12&lt;=0,"",
M12&lt;50,"green",
M12&lt;70,"yellow",
M12&lt;90,"orange",
TRUE,"red")</f>
        <v>#NUM!</v>
      </c>
      <c r="N30" s="11" t="e" cm="1">
        <f t="array" aca="1" ref="N30" ca="1">_xlfn.IFS(
N12&lt;=0,"",
N12&lt;50,"green",
N12&lt;70,"yellow",
N12&lt;90,"orange",
TRUE,"red")</f>
        <v>#NUM!</v>
      </c>
      <c r="O30" s="11" t="e" cm="1">
        <f t="array" aca="1" ref="O30" ca="1">_xlfn.IFS(
O12&lt;=0,"",
O12&lt;50,"green",
O12&lt;70,"yellow",
O12&lt;90,"orange",
TRUE,"red")</f>
        <v>#NUM!</v>
      </c>
      <c r="P30" s="11" t="e" cm="1">
        <f t="array" aca="1" ref="P30" ca="1">_xlfn.IFS(
P12&lt;=0,"",
P12&lt;50,"green",
P12&lt;70,"yellow",
P12&lt;90,"orange",
TRUE,"red")</f>
        <v>#NUM!</v>
      </c>
      <c r="Q30" s="11" t="e" cm="1">
        <f t="array" aca="1" ref="Q30" ca="1">_xlfn.IFS(
Q12&lt;=0,"",
Q12&lt;50,"green",
Q12&lt;70,"yellow",
Q12&lt;90,"orange",
TRUE,"red")</f>
        <v>#NUM!</v>
      </c>
      <c r="R30" s="11" t="str" cm="1">
        <f t="array" ref="R30">_xlfn.IFS(
R12&lt;=0,"",
R12&lt;50,"green",
R12&lt;70,"yellow",
R12&lt;90,"orange",
TRUE,"red")</f>
        <v/>
      </c>
      <c r="S30" s="11" t="str" cm="1">
        <f t="array" ref="S30">_xlfn.IFS(
S12&lt;=0,"",
S12&lt;50,"green",
S12&lt;70,"yellow",
S12&lt;90,"orange",
TRUE,"red")</f>
        <v/>
      </c>
      <c r="T30" s="11" t="str" cm="1">
        <f t="array" ref="T30">_xlfn.IFS(
T12&lt;=0,"",
T12&lt;50,"green",
T12&lt;70,"yellow",
T12&lt;90,"orange",
TRUE,"red")</f>
        <v/>
      </c>
      <c r="U30" s="11" t="str" cm="1">
        <f t="array" ref="U30">_xlfn.IFS(
U12&lt;=0,"",
U12&lt;50,"green",
U12&lt;70,"yellow",
U12&lt;90,"orange",
TRUE,"red")</f>
        <v/>
      </c>
      <c r="V30" s="11" t="str" cm="1">
        <f t="array" ref="V30">_xlfn.IFS(
V12&lt;=0,"",
V12&lt;50,"green",
V12&lt;70,"yellow",
V12&lt;90,"orange",
TRUE,"red")</f>
        <v/>
      </c>
    </row>
    <row r="31" spans="1:23" ht="16.5" customHeight="1">
      <c r="A31" s="77" t="s">
        <v>1014</v>
      </c>
      <c r="H31" s="11" t="e" cm="1">
        <f t="array" ref="H31">_xlfn.IFS(clc_build!G39&gt;=1,"green",
clc_build!G40&lt;0.5,"red",
clc_build!G40&lt;1,"orange",
AND(clc_build!G40&gt;=1,clc_build!G39&lt;1),"yellow")</f>
        <v>#N/A</v>
      </c>
      <c r="I31" s="11" t="e" cm="1">
        <f t="array" ref="I31">_xlfn.IFS(clc_build!H39&gt;=1,"green",
clc_build!H40&lt;0.5,"red",
clc_build!H40&lt;1,"orange",
AND(clc_build!H40&gt;=1,clc_build!H39&lt;1),"yellow")</f>
        <v>#N/A</v>
      </c>
      <c r="J31" s="11" t="e" cm="1">
        <f t="array" ref="J31">_xlfn.IFS(clc_build!I39&gt;=1,"green",
clc_build!I40&lt;0.5,"red",
clc_build!I40&lt;1,"orange",
AND(clc_build!I40&gt;=1,clc_build!I39&lt;1),"yellow")</f>
        <v>#N/A</v>
      </c>
      <c r="K31" s="11" t="e" cm="1">
        <f t="array" ref="K31">_xlfn.IFS(clc_build!J39&gt;=1,"green",
clc_build!J40&lt;0.5,"red",
clc_build!J40&lt;1,"orange",
AND(clc_build!J40&gt;=1,clc_build!J39&lt;1),"yellow")</f>
        <v>#N/A</v>
      </c>
      <c r="L31" s="11" t="e" cm="1">
        <f t="array" ref="L31">_xlfn.IFS(clc_build!K39&gt;=1,"green",
clc_build!K40&lt;0.5,"red",
clc_build!K40&lt;1,"orange",
AND(clc_build!K40&gt;=1,clc_build!K39&lt;1),"yellow")</f>
        <v>#N/A</v>
      </c>
      <c r="M31" s="11" t="e" cm="1">
        <f t="array" ref="M31">_xlfn.IFS(clc_build!L39&gt;=1,"green",
clc_build!L40&lt;0.5,"red",
clc_build!L40&lt;1,"orange",
AND(clc_build!L40&gt;=1,clc_build!L39&lt;1),"yellow")</f>
        <v>#N/A</v>
      </c>
      <c r="N31" s="11" t="e" cm="1">
        <f t="array" ref="N31">_xlfn.IFS(clc_build!M39&gt;=1,"green",
clc_build!M40&lt;0.5,"red",
clc_build!M40&lt;1,"orange",
AND(clc_build!M40&gt;=1,clc_build!M39&lt;1),"yellow")</f>
        <v>#N/A</v>
      </c>
      <c r="O31" s="11" t="e" cm="1">
        <f t="array" ref="O31">_xlfn.IFS(clc_build!N39&gt;=1,"green",
clc_build!N40&lt;0.5,"red",
clc_build!N40&lt;1,"orange",
AND(clc_build!N40&gt;=1,clc_build!N39&lt;1),"yellow")</f>
        <v>#N/A</v>
      </c>
      <c r="P31" s="11" t="e" cm="1">
        <f t="array" ref="P31">_xlfn.IFS(clc_build!O39&gt;=1,"green",
clc_build!O40&lt;0.5,"red",
clc_build!O40&lt;1,"orange",
AND(clc_build!O40&gt;=1,clc_build!O39&lt;1),"yellow")</f>
        <v>#N/A</v>
      </c>
      <c r="Q31" s="11" t="e" cm="1">
        <f t="array" ref="Q31">_xlfn.IFS(clc_build!P39&gt;=1,"green",
clc_build!P40&lt;0.5,"red",
clc_build!P40&lt;1,"orange",
AND(clc_build!P40&gt;=1,clc_build!P39&lt;1),"yellow")</f>
        <v>#N/A</v>
      </c>
      <c r="R31" s="11" t="str" cm="1">
        <f t="array" ref="R31">_xlfn.IFS(clc_build!Q39&gt;=1,"green",
clc_build!Q40&lt;0.5,"red",
clc_build!Q40&lt;1,"orange",
AND(clc_build!Q40&gt;=1,clc_build!Q39&lt;1),"yellow")</f>
        <v>red</v>
      </c>
      <c r="S31" s="11" t="str" cm="1">
        <f t="array" ref="S31">_xlfn.IFS(clc_build!R39&gt;=1,"green",
clc_build!R40&lt;0.5,"red",
clc_build!R40&lt;1,"orange",
AND(clc_build!R40&gt;=1,clc_build!R39&lt;1),"yellow")</f>
        <v>red</v>
      </c>
      <c r="T31" s="11" t="str" cm="1">
        <f t="array" ref="T31">_xlfn.IFS(clc_build!S39&gt;=1,"green",
clc_build!S40&lt;0.5,"red",
clc_build!S40&lt;1,"orange",
AND(clc_build!S40&gt;=1,clc_build!S39&lt;1),"yellow")</f>
        <v>red</v>
      </c>
      <c r="U31" s="11" t="str" cm="1">
        <f t="array" ref="U31">_xlfn.IFS(clc_build!T39&gt;=1,"green",
clc_build!T40&lt;0.5,"red",
clc_build!T40&lt;1,"orange",
AND(clc_build!T40&gt;=1,clc_build!T39&lt;1),"yellow")</f>
        <v>red</v>
      </c>
      <c r="V31" s="11" t="str" cm="1">
        <f t="array" ref="V31">_xlfn.IFS(clc_build!U39&gt;=1,"green",
clc_build!U40&lt;0.5,"red",
clc_build!U40&lt;1,"orange",
AND(clc_build!U40&gt;=1,clc_build!U39&lt;1),"yellow")</f>
        <v>red</v>
      </c>
    </row>
    <row r="32" spans="1:23" s="35" customFormat="1" ht="16.5" customHeight="1" thickBot="1">
      <c r="A32" s="177" t="s">
        <v>1015</v>
      </c>
      <c r="H32" s="133" t="e" cm="1">
        <f t="array" ref="H32">_xlfn.IFS(clc_build!G39&gt;=1,"ausreichend",
clc_build!G40&lt;0.5,"stark vergrößern",
clc_build!G40&lt;1,"vergrößern",
AND(clc_build!G40&gt;=1,clc_build!G39&lt;1),"verbessern")</f>
        <v>#N/A</v>
      </c>
      <c r="I32" s="133" t="e" cm="1">
        <f t="array" ref="I32">_xlfn.IFS(clc_build!H39&gt;=1,"ausreichend",
clc_build!H40&lt;0.5,"stark vergrößern",
clc_build!H40&lt;1,"vergrößern",
AND(clc_build!H40&gt;=1,clc_build!H39&lt;1),"verbessern")</f>
        <v>#N/A</v>
      </c>
      <c r="J32" s="133" t="e" cm="1">
        <f t="array" ref="J32">_xlfn.IFS(clc_build!I39&gt;=1,"ausreichend",
clc_build!I40&lt;0.5,"stark vergrößern",
clc_build!I40&lt;1,"vergrößern",
AND(clc_build!I40&gt;=1,clc_build!I39&lt;1),"verbessern")</f>
        <v>#N/A</v>
      </c>
      <c r="K32" s="133" t="e" cm="1">
        <f t="array" ref="K32">_xlfn.IFS(clc_build!J39&gt;=1,"ausreichend",
clc_build!J40&lt;0.5,"stark vergrößern",
clc_build!J40&lt;1,"vergrößern",
AND(clc_build!J40&gt;=1,clc_build!J39&lt;1),"verbessern")</f>
        <v>#N/A</v>
      </c>
      <c r="L32" s="133" t="e" cm="1">
        <f t="array" ref="L32">_xlfn.IFS(clc_build!K39&gt;=1,"ausreichend",
clc_build!K40&lt;0.5,"stark vergrößern",
clc_build!K40&lt;1,"vergrößern",
AND(clc_build!K40&gt;=1,clc_build!K39&lt;1),"verbessern")</f>
        <v>#N/A</v>
      </c>
      <c r="M32" s="133" t="e" cm="1">
        <f t="array" ref="M32">_xlfn.IFS(clc_build!L39&gt;=1,"ausreichend",
clc_build!L40&lt;0.5,"stark vergrößern",
clc_build!L40&lt;1,"vergrößern",
AND(clc_build!L40&gt;=1,clc_build!L39&lt;1),"verbessern")</f>
        <v>#N/A</v>
      </c>
      <c r="N32" s="133" t="e" cm="1">
        <f t="array" ref="N32">_xlfn.IFS(clc_build!M39&gt;=1,"ausreichend",
clc_build!M40&lt;0.5,"stark vergrößern",
clc_build!M40&lt;1,"vergrößern",
AND(clc_build!M40&gt;=1,clc_build!M39&lt;1),"verbessern")</f>
        <v>#N/A</v>
      </c>
      <c r="O32" s="133" t="e" cm="1">
        <f t="array" ref="O32">_xlfn.IFS(clc_build!N39&gt;=1,"ausreichend",
clc_build!N40&lt;0.5,"stark vergrößern",
clc_build!N40&lt;1,"vergrößern",
AND(clc_build!N40&gt;=1,clc_build!N39&lt;1),"verbessern")</f>
        <v>#N/A</v>
      </c>
      <c r="P32" s="133" t="e" cm="1">
        <f t="array" ref="P32">_xlfn.IFS(clc_build!O39&gt;=1,"ausreichend",
clc_build!O40&lt;0.5,"stark vergrößern",
clc_build!O40&lt;1,"vergrößern",
AND(clc_build!O40&gt;=1,clc_build!O39&lt;1),"verbessern")</f>
        <v>#N/A</v>
      </c>
      <c r="Q32" s="133" t="e" cm="1">
        <f t="array" ref="Q32">_xlfn.IFS(clc_build!P39&gt;=1,"ausreichend",
clc_build!P40&lt;0.5,"stark vergrößern",
clc_build!P40&lt;1,"vergrößern",
AND(clc_build!P40&gt;=1,clc_build!P39&lt;1),"verbessern")</f>
        <v>#N/A</v>
      </c>
      <c r="R32" s="133" t="str" cm="1">
        <f t="array" ref="R32">_xlfn.IFS(clc_build!Q39&gt;=1,"ausreichend",
clc_build!Q40&lt;0.5,"stark vergrößern",
clc_build!Q40&lt;1,"vergrößern",
AND(clc_build!Q40&gt;=1,clc_build!Q39&lt;1),"verbessern")</f>
        <v>stark vergrößern</v>
      </c>
      <c r="S32" s="133" t="str" cm="1">
        <f t="array" ref="S32">_xlfn.IFS(clc_build!R39&gt;=1,"ausreichend",
clc_build!R40&lt;0.5,"stark vergrößern",
clc_build!R40&lt;1,"vergrößern",
AND(clc_build!R40&gt;=1,clc_build!R39&lt;1),"verbessern")</f>
        <v>stark vergrößern</v>
      </c>
      <c r="T32" s="133" t="str" cm="1">
        <f t="array" ref="T32">_xlfn.IFS(clc_build!S39&gt;=1,"ausreichend",
clc_build!S40&lt;0.5,"stark vergrößern",
clc_build!S40&lt;1,"vergrößern",
AND(clc_build!S40&gt;=1,clc_build!S39&lt;1),"verbessern")</f>
        <v>stark vergrößern</v>
      </c>
      <c r="U32" s="133" t="str" cm="1">
        <f t="array" ref="U32">_xlfn.IFS(clc_build!T39&gt;=1,"ausreichend",
clc_build!T40&lt;0.5,"stark vergrößern",
clc_build!T40&lt;1,"vergrößern",
AND(clc_build!T40&gt;=1,clc_build!T39&lt;1),"verbessern")</f>
        <v>stark vergrößern</v>
      </c>
      <c r="V32" s="133" t="str" cm="1">
        <f t="array" ref="V32">_xlfn.IFS(clc_build!U39&gt;=1,"ausreichend",
clc_build!U40&lt;0.5,"stark vergrößern",
clc_build!U40&lt;1,"vergrößern",
AND(clc_build!U40&gt;=1,clc_build!U39&lt;1),"verbessern")</f>
        <v>stark vergrößern</v>
      </c>
    </row>
    <row r="33" spans="1:22" ht="16.5" customHeight="1">
      <c r="A33" s="77"/>
      <c r="N33" s="11"/>
      <c r="O33" s="11"/>
      <c r="P33" s="11"/>
      <c r="Q33" s="11"/>
      <c r="R33" s="11"/>
      <c r="S33" s="11"/>
      <c r="T33" s="11"/>
      <c r="U33" s="11"/>
      <c r="V33" s="11"/>
    </row>
    <row r="34" spans="1:22" s="73" customFormat="1" ht="16.5" customHeight="1">
      <c r="A34" s="122" t="s">
        <v>1016</v>
      </c>
      <c r="H34" s="159"/>
      <c r="I34" s="159"/>
      <c r="J34" s="159"/>
      <c r="K34" s="159"/>
      <c r="L34" s="159"/>
      <c r="M34" s="159"/>
      <c r="N34" s="159"/>
      <c r="O34" s="159"/>
      <c r="P34" s="159"/>
      <c r="Q34" s="159"/>
      <c r="R34" s="159"/>
      <c r="S34" s="159"/>
      <c r="T34" s="159"/>
      <c r="U34" s="159"/>
      <c r="V34" s="159"/>
    </row>
    <row r="35" spans="1:22" ht="16.5" customHeight="1">
      <c r="A35" t="s">
        <v>1017</v>
      </c>
      <c r="B35" t="s">
        <v>117</v>
      </c>
      <c r="D35" t="s">
        <v>1018</v>
      </c>
      <c r="G35" t="s">
        <v>1019</v>
      </c>
      <c r="H35" s="11" t="e" cm="1">
        <f t="array" aca="1" ref="H35" ca="1">_xlfn.LET(
  _xlpm.deck,clc_build!G$39,
   _xlfn.IFS(
1&lt;=clc_build!G$39,
MAX(0, MIN(0.25, (1.5 - _xlpm.deck)*0.25/0.5)),
 AND(1&gt;clc_build!G$39,clc_build!G$39&gt;=0.8),
MAX(0.27, MIN(0.5, 0.25 + (1 - _xlpm.deck)*0.25/0.2)),
  OR(AND(0.8&gt;clc_build!G$39,clc_build!G$39&gt;=0.6),clc_build!G$38&gt;clc_build!G$7),
MAX(0.52, MIN(0.75, 0.5 + (0.8 - _xlpm.deck)*0.25/0.2)),
   AND(clc_build!G$39&lt;0.6,clc_build!G$38&lt;=clc_build!G$7),
MAX(0.77, MIN(1, 0.75 + (0.6 - _xlpm.deck)*0.25/0.2))))</f>
        <v>#N/A</v>
      </c>
      <c r="I35" s="11" t="e" cm="1">
        <f t="array" aca="1" ref="I35" ca="1">_xlfn.LET(
  _xlpm.deck,clc_build!H$39,
   _xlfn.IFS(
1&lt;=clc_build!H$39,
MAX(0, MIN(0.25, (1.5 - _xlpm.deck)*0.25/0.5)),
 AND(1&gt;clc_build!H$39,clc_build!H$39&gt;=0.8),
MAX(0.27, MIN(0.5, 0.25 + (1 - _xlpm.deck)*0.25/0.2)),
  OR(AND(0.8&gt;clc_build!H$39,clc_build!H$39&gt;=0.6),clc_build!H$38&gt;clc_build!H$7),
MAX(0.52, MIN(0.75, 0.5 + (0.8 - _xlpm.deck)*0.25/0.2)),
   AND(clc_build!H$39&lt;0.6,clc_build!H$38&lt;=clc_build!H$7),
MAX(0.77, MIN(1, 0.75 + (0.6 - _xlpm.deck)*0.25/0.2))))</f>
        <v>#N/A</v>
      </c>
      <c r="J35" s="11" t="e" cm="1">
        <f t="array" aca="1" ref="J35" ca="1">_xlfn.LET(
  _xlpm.deck,clc_build!I$39,
   _xlfn.IFS(
1&lt;=clc_build!I$39,
MAX(0, MIN(0.25, (1.5 - _xlpm.deck)*0.25/0.5)),
 AND(1&gt;clc_build!I$39,clc_build!I$39&gt;=0.8),
MAX(0.27, MIN(0.5, 0.25 + (1 - _xlpm.deck)*0.25/0.2)),
  OR(AND(0.8&gt;clc_build!I$39,clc_build!I$39&gt;=0.6),clc_build!I$38&gt;clc_build!I$7),
MAX(0.52, MIN(0.75, 0.5 + (0.8 - _xlpm.deck)*0.25/0.2)),
   AND(clc_build!I$39&lt;0.6,clc_build!I$38&lt;=clc_build!I$7),
MAX(0.77, MIN(1, 0.75 + (0.6 - _xlpm.deck)*0.25/0.2))))</f>
        <v>#N/A</v>
      </c>
      <c r="K35" s="11" t="e" cm="1">
        <f t="array" aca="1" ref="K35" ca="1">_xlfn.LET(
  _xlpm.deck,clc_build!J$39,
   _xlfn.IFS(
1&lt;=clc_build!J$39,
MAX(0, MIN(0.25, (1.5 - _xlpm.deck)*0.25/0.5)),
 AND(1&gt;clc_build!J$39,clc_build!J$39&gt;=0.8),
MAX(0.27, MIN(0.5, 0.25 + (1 - _xlpm.deck)*0.25/0.2)),
  OR(AND(0.8&gt;clc_build!J$39,clc_build!J$39&gt;=0.6),clc_build!J$38&gt;clc_build!J$7),
MAX(0.52, MIN(0.75, 0.5 + (0.8 - _xlpm.deck)*0.25/0.2)),
   AND(clc_build!J$39&lt;0.6,clc_build!J$38&lt;=clc_build!J$7),
MAX(0.77, MIN(1, 0.75 + (0.6 - _xlpm.deck)*0.25/0.2))))</f>
        <v>#N/A</v>
      </c>
      <c r="L35" s="11" t="e" cm="1">
        <f t="array" aca="1" ref="L35" ca="1">_xlfn.LET(
  _xlpm.deck,clc_build!K$39,
   _xlfn.IFS(
1&lt;=clc_build!K$39,
MAX(0, MIN(0.25, (1.5 - _xlpm.deck)*0.25/0.5)),
 AND(1&gt;clc_build!K$39,clc_build!K$39&gt;=0.8),
MAX(0.27, MIN(0.5, 0.25 + (1 - _xlpm.deck)*0.25/0.2)),
  OR(AND(0.8&gt;clc_build!K$39,clc_build!K$39&gt;=0.6),clc_build!K$38&gt;clc_build!K$7),
MAX(0.52, MIN(0.75, 0.5 + (0.8 - _xlpm.deck)*0.25/0.2)),
   AND(clc_build!K$39&lt;0.6,clc_build!K$38&lt;=clc_build!K$7),
MAX(0.77, MIN(1, 0.75 + (0.6 - _xlpm.deck)*0.25/0.2))))</f>
        <v>#N/A</v>
      </c>
      <c r="M35" s="11" t="e" cm="1">
        <f t="array" aca="1" ref="M35" ca="1">_xlfn.LET(
  _xlpm.deck,clc_build!L$39,
   _xlfn.IFS(
1&lt;=clc_build!L$39,
MAX(0, MIN(0.25, (1.5 - _xlpm.deck)*0.25/0.5)),
 AND(1&gt;clc_build!L$39,clc_build!L$39&gt;=0.8),
MAX(0.27, MIN(0.5, 0.25 + (1 - _xlpm.deck)*0.25/0.2)),
  OR(AND(0.8&gt;clc_build!L$39,clc_build!L$39&gt;=0.6),clc_build!L$38&gt;clc_build!L$7),
MAX(0.52, MIN(0.75, 0.5 + (0.8 - _xlpm.deck)*0.25/0.2)),
   AND(clc_build!L$39&lt;0.6,clc_build!L$38&lt;=clc_build!L$7),
MAX(0.77, MIN(1, 0.75 + (0.6 - _xlpm.deck)*0.25/0.2))))</f>
        <v>#N/A</v>
      </c>
      <c r="N35" s="11" t="e" cm="1">
        <f t="array" aca="1" ref="N35" ca="1">_xlfn.LET(
  _xlpm.deck,clc_build!M$39,
   _xlfn.IFS(
1&lt;=clc_build!M$39,
MAX(0, MIN(0.25, (1.5 - _xlpm.deck)*0.25/0.5)),
 AND(1&gt;clc_build!M$39,clc_build!M$39&gt;=0.8),
MAX(0.27, MIN(0.5, 0.25 + (1 - _xlpm.deck)*0.25/0.2)),
  OR(AND(0.8&gt;clc_build!M$39,clc_build!M$39&gt;=0.6),clc_build!M$38&gt;clc_build!M$7),
MAX(0.52, MIN(0.75, 0.5 + (0.8 - _xlpm.deck)*0.25/0.2)),
   AND(clc_build!M$39&lt;0.6,clc_build!M$38&lt;=clc_build!M$7),
MAX(0.77, MIN(1, 0.75 + (0.6 - _xlpm.deck)*0.25/0.2))))</f>
        <v>#N/A</v>
      </c>
      <c r="O35" s="11" t="e" cm="1">
        <f t="array" aca="1" ref="O35" ca="1">_xlfn.LET(
  _xlpm.deck,clc_build!N$39,
   _xlfn.IFS(
1&lt;=clc_build!N$39,
MAX(0, MIN(0.25, (1.5 - _xlpm.deck)*0.25/0.5)),
 AND(1&gt;clc_build!N$39,clc_build!N$39&gt;=0.8),
MAX(0.27, MIN(0.5, 0.25 + (1 - _xlpm.deck)*0.25/0.2)),
  OR(AND(0.8&gt;clc_build!N$39,clc_build!N$39&gt;=0.6),clc_build!N$38&gt;clc_build!N$7),
MAX(0.52, MIN(0.75, 0.5 + (0.8 - _xlpm.deck)*0.25/0.2)),
   AND(clc_build!N$39&lt;0.6,clc_build!N$38&lt;=clc_build!N$7),
MAX(0.77, MIN(1, 0.75 + (0.6 - _xlpm.deck)*0.25/0.2))))</f>
        <v>#N/A</v>
      </c>
      <c r="P35" s="11" t="e" cm="1">
        <f t="array" aca="1" ref="P35" ca="1">_xlfn.LET(
  _xlpm.deck,clc_build!O$39,
   _xlfn.IFS(
1&lt;=clc_build!O$39,
MAX(0, MIN(0.25, (1.5 - _xlpm.deck)*0.25/0.5)),
 AND(1&gt;clc_build!O$39,clc_build!O$39&gt;=0.8),
MAX(0.27, MIN(0.5, 0.25 + (1 - _xlpm.deck)*0.25/0.2)),
  OR(AND(0.8&gt;clc_build!O$39,clc_build!O$39&gt;=0.6),clc_build!O$38&gt;clc_build!O$7),
MAX(0.52, MIN(0.75, 0.5 + (0.8 - _xlpm.deck)*0.25/0.2)),
   AND(clc_build!O$39&lt;0.6,clc_build!O$38&lt;=clc_build!O$7),
MAX(0.77, MIN(1, 0.75 + (0.6 - _xlpm.deck)*0.25/0.2))))</f>
        <v>#N/A</v>
      </c>
      <c r="Q35" s="11" t="e" cm="1">
        <f t="array" aca="1" ref="Q35" ca="1">_xlfn.LET(
  _xlpm.deck,clc_build!P$39,
   _xlfn.IFS(
1&lt;=clc_build!P$39,
MAX(0, MIN(0.25, (1.5 - _xlpm.deck)*0.25/0.5)),
 AND(1&gt;clc_build!P$39,clc_build!P$39&gt;=0.8),
MAX(0.27, MIN(0.5, 0.25 + (1 - _xlpm.deck)*0.25/0.2)),
  OR(AND(0.8&gt;clc_build!P$39,clc_build!P$39&gt;=0.6),clc_build!P$38&gt;clc_build!P$7),
MAX(0.52, MIN(0.75, 0.5 + (0.8 - _xlpm.deck)*0.25/0.2)),
   AND(clc_build!P$39&lt;0.6,clc_build!P$38&lt;=clc_build!P$7),
MAX(0.77, MIN(1, 0.75 + (0.6 - _xlpm.deck)*0.25/0.2))))</f>
        <v>#N/A</v>
      </c>
      <c r="R35" s="11" cm="1">
        <f t="array" ref="R35">_xlfn.LET(
  _xlpm.deck,clc_build!Q$39,
   _xlfn.IFS(
1&lt;=clc_build!Q$39,
MAX(0, MIN(0.25, (1.5 - _xlpm.deck)*0.25/0.5)),
 AND(1&gt;clc_build!Q$39,clc_build!Q$39&gt;=0.8),
MAX(0.27, MIN(0.5, 0.25 + (1 - _xlpm.deck)*0.25/0.2)),
  OR(AND(0.8&gt;clc_build!Q$39,clc_build!Q$39&gt;=0.6),clc_build!Q$38&gt;clc_build!Q$7),
MAX(0.52, MIN(0.75, 0.5 + (0.8 - _xlpm.deck)*0.25/0.2)),
   AND(clc_build!Q$39&lt;0.6,clc_build!Q$38&lt;=clc_build!Q$7),
MAX(0.77, MIN(1, 0.75 + (0.6 - _xlpm.deck)*0.25/0.2))))</f>
        <v>1</v>
      </c>
      <c r="S35" s="11" cm="1">
        <f t="array" ref="S35">_xlfn.LET(
  _xlpm.deck,clc_build!R$39,
   _xlfn.IFS(
1&lt;=clc_build!R$39,
MAX(0, MIN(0.25, (1.5 - _xlpm.deck)*0.25/0.5)),
 AND(1&gt;clc_build!R$39,clc_build!R$39&gt;=0.8),
MAX(0.27, MIN(0.5, 0.25 + (1 - _xlpm.deck)*0.25/0.2)),
  OR(AND(0.8&gt;clc_build!R$39,clc_build!R$39&gt;=0.6),clc_build!R$38&gt;clc_build!R$7),
MAX(0.52, MIN(0.75, 0.5 + (0.8 - _xlpm.deck)*0.25/0.2)),
   AND(clc_build!R$39&lt;0.6,clc_build!R$38&lt;=clc_build!R$7),
MAX(0.77, MIN(1, 0.75 + (0.6 - _xlpm.deck)*0.25/0.2))))</f>
        <v>1</v>
      </c>
      <c r="T35" s="11" cm="1">
        <f t="array" ref="T35">_xlfn.LET(
  _xlpm.deck,clc_build!S$39,
   _xlfn.IFS(
1&lt;=clc_build!S$39,
MAX(0, MIN(0.25, (1.5 - _xlpm.deck)*0.25/0.5)),
 AND(1&gt;clc_build!S$39,clc_build!S$39&gt;=0.8),
MAX(0.27, MIN(0.5, 0.25 + (1 - _xlpm.deck)*0.25/0.2)),
  OR(AND(0.8&gt;clc_build!S$39,clc_build!S$39&gt;=0.6),clc_build!S$38&gt;clc_build!S$7),
MAX(0.52, MIN(0.75, 0.5 + (0.8 - _xlpm.deck)*0.25/0.2)),
   AND(clc_build!S$39&lt;0.6,clc_build!S$38&lt;=clc_build!S$7),
MAX(0.77, MIN(1, 0.75 + (0.6 - _xlpm.deck)*0.25/0.2))))</f>
        <v>1</v>
      </c>
      <c r="U35" s="11" cm="1">
        <f t="array" ref="U35">_xlfn.LET(
  _xlpm.deck,clc_build!T$39,
   _xlfn.IFS(
1&lt;=clc_build!T$39,
MAX(0, MIN(0.25, (1.5 - _xlpm.deck)*0.25/0.5)),
 AND(1&gt;clc_build!T$39,clc_build!T$39&gt;=0.8),
MAX(0.27, MIN(0.5, 0.25 + (1 - _xlpm.deck)*0.25/0.2)),
  OR(AND(0.8&gt;clc_build!T$39,clc_build!T$39&gt;=0.6),clc_build!T$38&gt;clc_build!T$7),
MAX(0.52, MIN(0.75, 0.5 + (0.8 - _xlpm.deck)*0.25/0.2)),
   AND(clc_build!T$39&lt;0.6,clc_build!T$38&lt;=clc_build!T$7),
MAX(0.77, MIN(1, 0.75 + (0.6 - _xlpm.deck)*0.25/0.2))))</f>
        <v>1</v>
      </c>
      <c r="V35" s="11" cm="1">
        <f t="array" ref="V35">_xlfn.LET(
  _xlpm.deck,clc_build!U$39,
   _xlfn.IFS(
1&lt;=clc_build!U$39,
MAX(0, MIN(0.25, (1.5 - _xlpm.deck)*0.25/0.5)),
 AND(1&gt;clc_build!U$39,clc_build!U$39&gt;=0.8),
MAX(0.27, MIN(0.5, 0.25 + (1 - _xlpm.deck)*0.25/0.2)),
  OR(AND(0.8&gt;clc_build!U$39,clc_build!U$39&gt;=0.6),clc_build!U$38&gt;clc_build!U$7),
MAX(0.52, MIN(0.75, 0.5 + (0.8 - _xlpm.deck)*0.25/0.2)),
   AND(clc_build!U$39&lt;0.6,clc_build!U$38&lt;=clc_build!U$7),
MAX(0.77, MIN(1, 0.75 + (0.6 - _xlpm.deck)*0.25/0.2))))</f>
        <v>1</v>
      </c>
    </row>
    <row r="36" spans="1:22" ht="16.5" customHeight="1">
      <c r="A36" t="s">
        <v>1020</v>
      </c>
      <c r="B36" t="s">
        <v>117</v>
      </c>
      <c r="D36" t="s">
        <v>1021</v>
      </c>
      <c r="G36" t="s">
        <v>1019</v>
      </c>
      <c r="H36" s="11" t="e">
        <f>_xlfn.LET(
  _xlpm.deck,clc_build!G$40,
    IF(
1&lt;=clc_build!G$40,
MAX(0, MIN(0.25, (1.5 - _xlpm.deck)*0.25/0.5)),
MAX(0.27, MIN(1, 0.25 + (1 - _xlpm.deck) *0.75/0.6))))</f>
        <v>#N/A</v>
      </c>
      <c r="I36" s="11" t="e">
        <f>_xlfn.LET(
  _xlpm.deck,clc_build!H$40,
    IF(
1&lt;=clc_build!H$40,
MAX(0, MIN(0.25, (1.5 - _xlpm.deck)*0.25/0.5)),
MAX(0.27, MIN(1, 0.25 + (1 - _xlpm.deck) *0.75/0.6))))</f>
        <v>#N/A</v>
      </c>
      <c r="J36" s="11" t="e">
        <f>_xlfn.LET(
  _xlpm.deck,clc_build!I$40,
    IF(
1&lt;=clc_build!I$40,
MAX(0, MIN(0.25, (1.5 - _xlpm.deck)*0.25/0.5)),
MAX(0.27, MIN(1, 0.25 + (1 - _xlpm.deck) *0.75/0.6))))</f>
        <v>#N/A</v>
      </c>
      <c r="K36" s="11" t="e">
        <f>_xlfn.LET(
  _xlpm.deck,clc_build!J$40,
    IF(
1&lt;=clc_build!J$40,
MAX(0, MIN(0.25, (1.5 - _xlpm.deck)*0.25/0.5)),
MAX(0.27, MIN(1, 0.25 + (1 - _xlpm.deck) *0.75/0.6))))</f>
        <v>#N/A</v>
      </c>
      <c r="L36" s="11" t="e">
        <f>_xlfn.LET(
  _xlpm.deck,clc_build!K$40,
    IF(
1&lt;=clc_build!K$40,
MAX(0, MIN(0.25, (1.5 - _xlpm.deck)*0.25/0.5)),
MAX(0.27, MIN(1, 0.25 + (1 - _xlpm.deck) *0.75/0.6))))</f>
        <v>#N/A</v>
      </c>
      <c r="M36" s="11" t="e">
        <f>_xlfn.LET(
  _xlpm.deck,clc_build!L$40,
    IF(
1&lt;=clc_build!L$40,
MAX(0, MIN(0.25, (1.5 - _xlpm.deck)*0.25/0.5)),
MAX(0.27, MIN(1, 0.25 + (1 - _xlpm.deck) *0.75/0.6))))</f>
        <v>#N/A</v>
      </c>
      <c r="N36" s="11" t="e">
        <f>_xlfn.LET(
  _xlpm.deck,clc_build!M$40,
    IF(
1&lt;=clc_build!M$40,
MAX(0, MIN(0.25, (1.5 - _xlpm.deck)*0.25/0.5)),
MAX(0.27, MIN(1, 0.25 + (1 - _xlpm.deck) *0.75/0.6))))</f>
        <v>#N/A</v>
      </c>
      <c r="O36" s="11" t="e">
        <f>_xlfn.LET(
  _xlpm.deck,clc_build!N$40,
    IF(
1&lt;=clc_build!N$40,
MAX(0, MIN(0.25, (1.5 - _xlpm.deck)*0.25/0.5)),
MAX(0.27, MIN(1, 0.25 + (1 - _xlpm.deck) *0.75/0.6))))</f>
        <v>#N/A</v>
      </c>
      <c r="P36" s="11" t="e">
        <f>_xlfn.LET(
  _xlpm.deck,clc_build!O$40,
    IF(
1&lt;=clc_build!O$40,
MAX(0, MIN(0.25, (1.5 - _xlpm.deck)*0.25/0.5)),
MAX(0.27, MIN(1, 0.25 + (1 - _xlpm.deck) *0.75/0.6))))</f>
        <v>#N/A</v>
      </c>
      <c r="Q36" s="11" t="e">
        <f>_xlfn.LET(
  _xlpm.deck,clc_build!P$40,
    IF(
1&lt;=clc_build!P$40,
MAX(0, MIN(0.25, (1.5 - _xlpm.deck)*0.25/0.5)),
MAX(0.27, MIN(1, 0.25 + (1 - _xlpm.deck) *0.75/0.6))))</f>
        <v>#N/A</v>
      </c>
      <c r="R36" s="11">
        <f>_xlfn.LET(
  _xlpm.deck,clc_build!Q$40,
    IF(
1&lt;=clc_build!Q$40,
MAX(0, MIN(0.25, (1.5 - _xlpm.deck)*0.25/0.5)),
MAX(0.27, MIN(1, 0.25 + (1 - _xlpm.deck) *0.75/0.6))))</f>
        <v>1</v>
      </c>
      <c r="S36" s="11">
        <f>_xlfn.LET(
  _xlpm.deck,clc_build!R$40,
    IF(
1&lt;=clc_build!R$40,
MAX(0, MIN(0.25, (1.5 - _xlpm.deck)*0.25/0.5)),
MAX(0.27, MIN(1, 0.25 + (1 - _xlpm.deck) *0.75/0.6))))</f>
        <v>1</v>
      </c>
      <c r="T36" s="11">
        <f>_xlfn.LET(
  _xlpm.deck,clc_build!S$40,
    IF(
1&lt;=clc_build!S$40,
MAX(0, MIN(0.25, (1.5 - _xlpm.deck)*0.25/0.5)),
MAX(0.27, MIN(1, 0.25 + (1 - _xlpm.deck) *0.75/0.6))))</f>
        <v>1</v>
      </c>
      <c r="U36" s="11">
        <f>_xlfn.LET(
  _xlpm.deck,clc_build!T$40,
    IF(
1&lt;=clc_build!T$40,
MAX(0, MIN(0.25, (1.5 - _xlpm.deck)*0.25/0.5)),
MAX(0.27, MIN(1, 0.25 + (1 - _xlpm.deck) *0.75/0.6))))</f>
        <v>1</v>
      </c>
      <c r="V36" s="11">
        <f>_xlfn.LET(
  _xlpm.deck,clc_build!U$40,
    IF(
1&lt;=clc_build!U$40,
MAX(0, MIN(0.25, (1.5 - _xlpm.deck)*0.25/0.5)),
MAX(0.27, MIN(1, 0.25 + (1 - _xlpm.deck) *0.75/0.6))))</f>
        <v>1</v>
      </c>
    </row>
    <row r="37" spans="1:22" ht="16.5" customHeight="1">
      <c r="A37" t="s">
        <v>1022</v>
      </c>
      <c r="B37" t="s">
        <v>117</v>
      </c>
      <c r="D37" t="s">
        <v>1023</v>
      </c>
      <c r="G37" t="s">
        <v>807</v>
      </c>
      <c r="H37" s="11" t="e">
        <f ca="1">MAX(30,MIN(110,clc_build!G$8))</f>
        <v>#NUM!</v>
      </c>
      <c r="I37" s="11" t="e">
        <f ca="1">MAX(30,MIN(110,clc_build!H$8))</f>
        <v>#NUM!</v>
      </c>
      <c r="J37" s="11" t="e">
        <f ca="1">MAX(30,MIN(110,clc_build!I$8))</f>
        <v>#NUM!</v>
      </c>
      <c r="K37" s="11" t="e">
        <f ca="1">MAX(30,MIN(110,clc_build!J$8))</f>
        <v>#NUM!</v>
      </c>
      <c r="L37" s="11" t="e">
        <f ca="1">MAX(30,MIN(110,clc_build!K$8))</f>
        <v>#NUM!</v>
      </c>
      <c r="M37" s="11" t="e">
        <f ca="1">MAX(30,MIN(110,clc_build!L$8))</f>
        <v>#NUM!</v>
      </c>
      <c r="N37" s="11" t="e">
        <f ca="1">MAX(30,MIN(110,clc_build!M$8))</f>
        <v>#NUM!</v>
      </c>
      <c r="O37" s="11" t="e">
        <f ca="1">MAX(30,MIN(110,clc_build!N$8))</f>
        <v>#NUM!</v>
      </c>
      <c r="P37" s="11" t="e">
        <f ca="1">MAX(30,MIN(110,clc_build!O$8))</f>
        <v>#NUM!</v>
      </c>
      <c r="Q37" s="11" t="e">
        <f ca="1">MAX(30,MIN(110,clc_build!P$8))</f>
        <v>#NUM!</v>
      </c>
      <c r="R37" s="11">
        <f>MAX(30,MIN(110,clc_build!Q$8))</f>
        <v>110</v>
      </c>
      <c r="S37" s="11">
        <f>MAX(30,MIN(110,clc_build!R$8))</f>
        <v>110</v>
      </c>
      <c r="T37" s="11">
        <f>MAX(30,MIN(110,clc_build!S$8))</f>
        <v>110</v>
      </c>
      <c r="U37" s="11">
        <f>MAX(30,MIN(110,clc_build!T$8))</f>
        <v>110</v>
      </c>
      <c r="V37" s="11">
        <f>MAX(30,MIN(110,clc_build!U$8))</f>
        <v>110</v>
      </c>
    </row>
    <row r="38" spans="1:22" ht="16.5" customHeight="1">
      <c r="N38" s="11"/>
      <c r="O38" s="11"/>
      <c r="P38" s="11"/>
      <c r="Q38" s="11"/>
      <c r="R38" s="11"/>
      <c r="S38" s="11"/>
      <c r="T38" s="11"/>
      <c r="U38" s="11"/>
      <c r="V38" s="11"/>
    </row>
    <row r="39" spans="1:22" s="73" customFormat="1" ht="16.5" customHeight="1">
      <c r="A39" s="122" t="s">
        <v>1024</v>
      </c>
      <c r="H39" s="159"/>
      <c r="I39" s="159"/>
      <c r="J39" s="159"/>
      <c r="K39" s="159"/>
      <c r="L39" s="159"/>
      <c r="M39" s="159"/>
      <c r="N39" s="159"/>
      <c r="O39" s="159"/>
      <c r="P39" s="159"/>
      <c r="Q39" s="159"/>
      <c r="R39" s="159"/>
      <c r="S39" s="159"/>
      <c r="T39" s="159"/>
      <c r="U39" s="159"/>
      <c r="V39" s="159"/>
    </row>
    <row r="40" spans="1:22" ht="16.5" customHeight="1">
      <c r="A40" s="77" t="s">
        <v>1025</v>
      </c>
      <c r="C40" t="s">
        <v>119</v>
      </c>
      <c r="D40" t="s">
        <v>1026</v>
      </c>
      <c r="G40" t="s">
        <v>792</v>
      </c>
      <c r="H40" s="4" t="str" cm="1">
        <f t="array" ref="H40">_xlfn.IFS(clc_build!G$11="","grey",
clc_build!G$11&gt;0.8,"red",
clc_build!G$11&gt;0.5,"orange",
clc_build!G$11&gt;0.35,"yellow",
clc_build!G$11&lt;=0.35,"green")</f>
        <v>grey</v>
      </c>
      <c r="I40" s="4" t="str" cm="1">
        <f t="array" ref="I40">_xlfn.IFS(clc_build!H$11="","grey",
clc_build!H$11&gt;0.8,"red",
clc_build!H$11&gt;0.5,"orange",
clc_build!H$11&gt;0.35,"yellow",
clc_build!H$11&lt;=0.35,"green")</f>
        <v>grey</v>
      </c>
      <c r="J40" s="4" t="str" cm="1">
        <f t="array" ref="J40">_xlfn.IFS(clc_build!I$11="","grey",
clc_build!I$11&gt;0.8,"red",
clc_build!I$11&gt;0.5,"orange",
clc_build!I$11&gt;0.35,"yellow",
clc_build!I$11&lt;=0.35,"green")</f>
        <v>grey</v>
      </c>
      <c r="K40" s="4" t="str" cm="1">
        <f t="array" ref="K40">_xlfn.IFS(clc_build!J$11="","grey",
clc_build!J$11&gt;0.8,"red",
clc_build!J$11&gt;0.5,"orange",
clc_build!J$11&gt;0.35,"yellow",
clc_build!J$11&lt;=0.35,"green")</f>
        <v>grey</v>
      </c>
      <c r="L40" s="4" t="str" cm="1">
        <f t="array" ref="L40">_xlfn.IFS(clc_build!K$11="","grey",
clc_build!K$11&gt;0.8,"red",
clc_build!K$11&gt;0.5,"orange",
clc_build!K$11&gt;0.35,"yellow",
clc_build!K$11&lt;=0.35,"green")</f>
        <v>grey</v>
      </c>
      <c r="M40" s="4" t="str" cm="1">
        <f t="array" ref="M40">_xlfn.IFS(clc_build!L$11="","grey",
clc_build!L$11&gt;0.8,"red",
clc_build!L$11&gt;0.5,"orange",
clc_build!L$11&gt;0.35,"yellow",
clc_build!L$11&lt;=0.35,"green")</f>
        <v>grey</v>
      </c>
      <c r="N40" s="4" t="str" cm="1">
        <f t="array" ref="N40">_xlfn.IFS(clc_build!M$11="","grey",
clc_build!M$11&gt;0.8,"red",
clc_build!M$11&gt;0.5,"orange",
clc_build!M$11&gt;0.35,"yellow",
clc_build!M$11&lt;=0.35,"green")</f>
        <v>grey</v>
      </c>
      <c r="O40" s="4" t="str" cm="1">
        <f t="array" ref="O40">_xlfn.IFS(clc_build!N$11="","grey",
clc_build!N$11&gt;0.8,"red",
clc_build!N$11&gt;0.5,"orange",
clc_build!N$11&gt;0.35,"yellow",
clc_build!N$11&lt;=0.35,"green")</f>
        <v>grey</v>
      </c>
      <c r="P40" s="4" t="str" cm="1">
        <f t="array" ref="P40">_xlfn.IFS(clc_build!O$11="","grey",
clc_build!O$11&gt;0.8,"red",
clc_build!O$11&gt;0.5,"orange",
clc_build!O$11&gt;0.35,"yellow",
clc_build!O$11&lt;=0.35,"green")</f>
        <v>grey</v>
      </c>
      <c r="Q40" s="4" t="str" cm="1">
        <f t="array" ref="Q40">_xlfn.IFS(clc_build!P$11="","grey",
clc_build!P$11&gt;0.8,"red",
clc_build!P$11&gt;0.5,"orange",
clc_build!P$11&gt;0.35,"yellow",
clc_build!P$11&lt;=0.35,"green")</f>
        <v>grey</v>
      </c>
      <c r="R40" s="4" t="str" cm="1">
        <f t="array" ref="R40">_xlfn.IFS(clc_build!Q$11="","grey",
clc_build!Q$11&gt;0.8,"red",
clc_build!Q$11&gt;0.5,"orange",
clc_build!Q$11&gt;0.35,"yellow",
clc_build!Q$11&lt;=0.35,"green")</f>
        <v>grey</v>
      </c>
      <c r="S40" s="4" t="str" cm="1">
        <f t="array" ref="S40">_xlfn.IFS(clc_build!R$11="","grey",
clc_build!R$11&gt;0.8,"red",
clc_build!R$11&gt;0.5,"orange",
clc_build!R$11&gt;0.35,"yellow",
clc_build!R$11&lt;=0.35,"green")</f>
        <v>grey</v>
      </c>
      <c r="T40" s="4" t="str" cm="1">
        <f t="array" ref="T40">_xlfn.IFS(clc_build!S$11="","grey",
clc_build!S$11&gt;0.8,"red",
clc_build!S$11&gt;0.5,"orange",
clc_build!S$11&gt;0.35,"yellow",
clc_build!S$11&lt;=0.35,"green")</f>
        <v>grey</v>
      </c>
      <c r="U40" s="4" t="str" cm="1">
        <f t="array" ref="U40">_xlfn.IFS(clc_build!T$11="","grey",
clc_build!T$11&gt;0.8,"red",
clc_build!T$11&gt;0.5,"orange",
clc_build!T$11&gt;0.35,"yellow",
clc_build!T$11&lt;=0.35,"green")</f>
        <v>grey</v>
      </c>
      <c r="V40" s="4" t="str" cm="1">
        <f t="array" ref="V40">_xlfn.IFS(clc_build!U$11="","grey",
clc_build!U$11&gt;0.8,"red",
clc_build!U$11&gt;0.5,"orange",
clc_build!U$11&gt;0.35,"yellow",
clc_build!U$11&lt;=0.35,"green")</f>
        <v>grey</v>
      </c>
    </row>
    <row r="41" spans="1:22" ht="16.5" customHeight="1">
      <c r="A41" s="77" t="s">
        <v>1027</v>
      </c>
      <c r="C41" t="s">
        <v>129</v>
      </c>
      <c r="D41" t="s">
        <v>1028</v>
      </c>
      <c r="G41" t="s">
        <v>792</v>
      </c>
      <c r="H41" s="4" t="str" cm="1">
        <f t="array" ref="H41">_xlfn.IFS(clc_build!G$19="","grey",
clc_build!G$19&gt;2.7,"red",
clc_build!G$19&gt;2.1,"orange",
clc_build!G$19&gt;(1.7+1.3)/2,"yellow",
clc_build!G$19&lt;=(1.7+1.3)/2,"green")</f>
        <v>grey</v>
      </c>
      <c r="I41" s="4" t="str" cm="1">
        <f t="array" ref="I41">_xlfn.IFS(clc_build!H$19="","grey",
clc_build!H$19&gt;2.7,"red",
clc_build!H$19&gt;2.1,"orange",
clc_build!H$19&gt;(1.7+1.3)/2,"yellow",
clc_build!H$19&lt;=(1.7+1.3)/2,"green")</f>
        <v>grey</v>
      </c>
      <c r="J41" s="4" t="str" cm="1">
        <f t="array" ref="J41">_xlfn.IFS(clc_build!I$19="","grey",
clc_build!I$19&gt;2.7,"red",
clc_build!I$19&gt;2.1,"orange",
clc_build!I$19&gt;(1.7+1.3)/2,"yellow",
clc_build!I$19&lt;=(1.7+1.3)/2,"green")</f>
        <v>grey</v>
      </c>
      <c r="K41" s="4" t="str" cm="1">
        <f t="array" ref="K41">_xlfn.IFS(clc_build!J$19="","grey",
clc_build!J$19&gt;2.7,"red",
clc_build!J$19&gt;2.1,"orange",
clc_build!J$19&gt;(1.7+1.3)/2,"yellow",
clc_build!J$19&lt;=(1.7+1.3)/2,"green")</f>
        <v>grey</v>
      </c>
      <c r="L41" s="4" t="str" cm="1">
        <f t="array" ref="L41">_xlfn.IFS(clc_build!K$19="","grey",
clc_build!K$19&gt;2.7,"red",
clc_build!K$19&gt;2.1,"orange",
clc_build!K$19&gt;(1.7+1.3)/2,"yellow",
clc_build!K$19&lt;=(1.7+1.3)/2,"green")</f>
        <v>grey</v>
      </c>
      <c r="M41" s="4" t="str" cm="1">
        <f t="array" ref="M41">_xlfn.IFS(clc_build!L$19="","grey",
clc_build!L$19&gt;2.7,"red",
clc_build!L$19&gt;2.1,"orange",
clc_build!L$19&gt;(1.7+1.3)/2,"yellow",
clc_build!L$19&lt;=(1.7+1.3)/2,"green")</f>
        <v>grey</v>
      </c>
      <c r="N41" s="4" t="str" cm="1">
        <f t="array" ref="N41">_xlfn.IFS(clc_build!M$19="","grey",
clc_build!M$19&gt;2.7,"red",
clc_build!M$19&gt;2.1,"orange",
clc_build!M$19&gt;(1.7+1.3)/2,"yellow",
clc_build!M$19&lt;=(1.7+1.3)/2,"green")</f>
        <v>grey</v>
      </c>
      <c r="O41" s="4" t="str" cm="1">
        <f t="array" ref="O41">_xlfn.IFS(clc_build!N$19="","grey",
clc_build!N$19&gt;2.7,"red",
clc_build!N$19&gt;2.1,"orange",
clc_build!N$19&gt;(1.7+1.3)/2,"yellow",
clc_build!N$19&lt;=(1.7+1.3)/2,"green")</f>
        <v>grey</v>
      </c>
      <c r="P41" s="4" t="str" cm="1">
        <f t="array" ref="P41">_xlfn.IFS(clc_build!O$19="","grey",
clc_build!O$19&gt;2.7,"red",
clc_build!O$19&gt;2.1,"orange",
clc_build!O$19&gt;(1.7+1.3)/2,"yellow",
clc_build!O$19&lt;=(1.7+1.3)/2,"green")</f>
        <v>grey</v>
      </c>
      <c r="Q41" s="4" t="str" cm="1">
        <f t="array" ref="Q41">_xlfn.IFS(clc_build!P$19="","grey",
clc_build!P$19&gt;2.7,"red",
clc_build!P$19&gt;2.1,"orange",
clc_build!P$19&gt;(1.7+1.3)/2,"yellow",
clc_build!P$19&lt;=(1.7+1.3)/2,"green")</f>
        <v>grey</v>
      </c>
      <c r="R41" s="4" t="str" cm="1">
        <f t="array" ref="R41">_xlfn.IFS(clc_build!Q$19="","grey",
clc_build!Q$19&gt;2.7,"red",
clc_build!Q$19&gt;2.1,"orange",
clc_build!Q$19&gt;(1.7+1.3)/2,"yellow",
clc_build!Q$19&lt;=(1.7+1.3)/2,"green")</f>
        <v>grey</v>
      </c>
      <c r="S41" s="4" t="str" cm="1">
        <f t="array" ref="S41">_xlfn.IFS(clc_build!R$19="","grey",
clc_build!R$19&gt;2.7,"red",
clc_build!R$19&gt;2.1,"orange",
clc_build!R$19&gt;(1.7+1.3)/2,"yellow",
clc_build!R$19&lt;=(1.7+1.3)/2,"green")</f>
        <v>grey</v>
      </c>
      <c r="T41" s="4" t="str" cm="1">
        <f t="array" ref="T41">_xlfn.IFS(clc_build!S$19="","grey",
clc_build!S$19&gt;2.7,"red",
clc_build!S$19&gt;2.1,"orange",
clc_build!S$19&gt;(1.7+1.3)/2,"yellow",
clc_build!S$19&lt;=(1.7+1.3)/2,"green")</f>
        <v>grey</v>
      </c>
      <c r="U41" s="4" t="str" cm="1">
        <f t="array" ref="U41">_xlfn.IFS(clc_build!T$19="","grey",
clc_build!T$19&gt;2.7,"red",
clc_build!T$19&gt;2.1,"orange",
clc_build!T$19&gt;(1.7+1.3)/2,"yellow",
clc_build!T$19&lt;=(1.7+1.3)/2,"green")</f>
        <v>grey</v>
      </c>
      <c r="V41" s="4" t="str" cm="1">
        <f t="array" ref="V41">_xlfn.IFS(clc_build!U$19="","grey",
clc_build!U$19&gt;2.7,"red",
clc_build!U$19&gt;2.1,"orange",
clc_build!U$19&gt;(1.7+1.3)/2,"yellow",
clc_build!U$19&lt;=(1.7+1.3)/2,"green")</f>
        <v>grey</v>
      </c>
    </row>
    <row r="42" spans="1:22" ht="16.5" customHeight="1">
      <c r="A42" s="77" t="s">
        <v>1029</v>
      </c>
      <c r="C42" t="s">
        <v>131</v>
      </c>
      <c r="D42" t="s">
        <v>1030</v>
      </c>
      <c r="G42" t="s">
        <v>792</v>
      </c>
      <c r="H42" s="4" t="str" cm="1">
        <f t="array" ref="H42">_xlfn.IFS(clc_build!G$23="","grey",
clc_build!G$23&gt;0.8,"red",
clc_build!G$23&gt;0.5,"orange",
clc_build!G$23&gt;0.3,"yellow",
clc_build!G$23&lt;=0.3,"green")</f>
        <v>grey</v>
      </c>
      <c r="I42" s="4" t="str" cm="1">
        <f t="array" ref="I42">_xlfn.IFS(clc_build!H$23="","grey",
clc_build!H$23&gt;0.8,"red",
clc_build!H$23&gt;0.5,"orange",
clc_build!H$23&gt;0.3,"yellow",
clc_build!H$23&lt;=0.3,"green")</f>
        <v>grey</v>
      </c>
      <c r="J42" s="4" t="str" cm="1">
        <f t="array" ref="J42">_xlfn.IFS(clc_build!I$23="","grey",
clc_build!I$23&gt;0.8,"red",
clc_build!I$23&gt;0.5,"orange",
clc_build!I$23&gt;0.3,"yellow",
clc_build!I$23&lt;=0.3,"green")</f>
        <v>grey</v>
      </c>
      <c r="K42" s="4" t="str" cm="1">
        <f t="array" ref="K42">_xlfn.IFS(clc_build!J$23="","grey",
clc_build!J$23&gt;0.8,"red",
clc_build!J$23&gt;0.5,"orange",
clc_build!J$23&gt;0.3,"yellow",
clc_build!J$23&lt;=0.3,"green")</f>
        <v>grey</v>
      </c>
      <c r="L42" s="4" t="str" cm="1">
        <f t="array" ref="L42">_xlfn.IFS(clc_build!K$23="","grey",
clc_build!K$23&gt;0.8,"red",
clc_build!K$23&gt;0.5,"orange",
clc_build!K$23&gt;0.3,"yellow",
clc_build!K$23&lt;=0.3,"green")</f>
        <v>grey</v>
      </c>
      <c r="M42" s="4" t="str" cm="1">
        <f t="array" ref="M42">_xlfn.IFS(clc_build!L$23="","grey",
clc_build!L$23&gt;0.8,"red",
clc_build!L$23&gt;0.5,"orange",
clc_build!L$23&gt;0.3,"yellow",
clc_build!L$23&lt;=0.3,"green")</f>
        <v>grey</v>
      </c>
      <c r="N42" s="4" t="str" cm="1">
        <f t="array" ref="N42">_xlfn.IFS(clc_build!M$23="","grey",
clc_build!M$23&gt;0.8,"red",
clc_build!M$23&gt;0.5,"orange",
clc_build!M$23&gt;0.3,"yellow",
clc_build!M$23&lt;=0.3,"green")</f>
        <v>grey</v>
      </c>
      <c r="O42" s="4" t="str" cm="1">
        <f t="array" ref="O42">_xlfn.IFS(clc_build!N$23="","grey",
clc_build!N$23&gt;0.8,"red",
clc_build!N$23&gt;0.5,"orange",
clc_build!N$23&gt;0.3,"yellow",
clc_build!N$23&lt;=0.3,"green")</f>
        <v>grey</v>
      </c>
      <c r="P42" s="4" t="str" cm="1">
        <f t="array" ref="P42">_xlfn.IFS(clc_build!O$23="","grey",
clc_build!O$23&gt;0.8,"red",
clc_build!O$23&gt;0.5,"orange",
clc_build!O$23&gt;0.3,"yellow",
clc_build!O$23&lt;=0.3,"green")</f>
        <v>grey</v>
      </c>
      <c r="Q42" s="4" t="str" cm="1">
        <f t="array" ref="Q42">_xlfn.IFS(clc_build!P$23="","grey",
clc_build!P$23&gt;0.8,"red",
clc_build!P$23&gt;0.5,"orange",
clc_build!P$23&gt;0.3,"yellow",
clc_build!P$23&lt;=0.3,"green")</f>
        <v>grey</v>
      </c>
      <c r="R42" s="4" t="str" cm="1">
        <f t="array" ref="R42">_xlfn.IFS(clc_build!Q$23="","grey",
clc_build!Q$23&gt;0.8,"red",
clc_build!Q$23&gt;0.5,"orange",
clc_build!Q$23&gt;0.3,"yellow",
clc_build!Q$23&lt;=0.3,"green")</f>
        <v>grey</v>
      </c>
      <c r="S42" s="4" t="str" cm="1">
        <f t="array" ref="S42">_xlfn.IFS(clc_build!R$23="","grey",
clc_build!R$23&gt;0.8,"red",
clc_build!R$23&gt;0.5,"orange",
clc_build!R$23&gt;0.3,"yellow",
clc_build!R$23&lt;=0.3,"green")</f>
        <v>grey</v>
      </c>
      <c r="T42" s="4" t="str" cm="1">
        <f t="array" ref="T42">_xlfn.IFS(clc_build!S$23="","grey",
clc_build!S$23&gt;0.8,"red",
clc_build!S$23&gt;0.5,"orange",
clc_build!S$23&gt;0.3,"yellow",
clc_build!S$23&lt;=0.3,"green")</f>
        <v>grey</v>
      </c>
      <c r="U42" s="4" t="str" cm="1">
        <f t="array" ref="U42">_xlfn.IFS(clc_build!T$23="","grey",
clc_build!T$23&gt;0.8,"red",
clc_build!T$23&gt;0.5,"orange",
clc_build!T$23&gt;0.3,"yellow",
clc_build!T$23&lt;=0.3,"green")</f>
        <v>grey</v>
      </c>
      <c r="V42" s="4" t="str" cm="1">
        <f t="array" ref="V42">_xlfn.IFS(clc_build!U$23="","grey",
clc_build!U$23&gt;0.8,"red",
clc_build!U$23&gt;0.5,"orange",
clc_build!U$23&gt;0.3,"yellow",
clc_build!U$23&lt;=0.3,"green")</f>
        <v>grey</v>
      </c>
    </row>
    <row r="43" spans="1:22" ht="16.5" customHeight="1">
      <c r="A43" s="173" t="s">
        <v>1031</v>
      </c>
      <c r="B43" s="73"/>
      <c r="C43" s="73" t="s">
        <v>1032</v>
      </c>
      <c r="D43" s="73" t="s">
        <v>1033</v>
      </c>
      <c r="E43" s="73"/>
      <c r="F43" s="73"/>
      <c r="G43" s="73" t="s">
        <v>792</v>
      </c>
      <c r="H43" s="183" t="str" cm="1">
        <f t="array" ref="H43">_xlfn.LET(
_xlpm.Umean,IF(AND(clc_build!G$27="",clc_build!G$31=""),"",(AVERAGE(clc_build!G$27,clc_build!G$31))),
_xlfn.IFS(_xlpm.Umean="","grey",
_xlpm.Umean&gt;0.8,"red",
_xlpm.Umean&gt;0.5,"orange",
_xlpm.Umean&gt;0.4,"yellow",
_xlpm.Umean&lt;=0.4,"green"))</f>
        <v>grey</v>
      </c>
      <c r="I43" s="183" t="str" cm="1">
        <f t="array" ref="I43">_xlfn.LET(
_xlpm.Umean,IF(AND(clc_build!H$27="",clc_build!H$31=""),"",(AVERAGE(clc_build!H$27,clc_build!H$31))),
_xlfn.IFS(_xlpm.Umean="","grey",
_xlpm.Umean&gt;0.8,"red",
_xlpm.Umean&gt;0.5,"orange",
_xlpm.Umean&gt;0.4,"yellow",
_xlpm.Umean&lt;=0.4,"green"))</f>
        <v>grey</v>
      </c>
      <c r="J43" s="183" t="str" cm="1">
        <f t="array" ref="J43">_xlfn.LET(
_xlpm.Umean,IF(AND(clc_build!I$27="",clc_build!I$31=""),"",(AVERAGE(clc_build!I$27,clc_build!I$31))),
_xlfn.IFS(_xlpm.Umean="","grey",
_xlpm.Umean&gt;0.8,"red",
_xlpm.Umean&gt;0.5,"orange",
_xlpm.Umean&gt;0.4,"yellow",
_xlpm.Umean&lt;=0.4,"green"))</f>
        <v>grey</v>
      </c>
      <c r="K43" s="183" t="str" cm="1">
        <f t="array" ref="K43">_xlfn.LET(
_xlpm.Umean,IF(AND(clc_build!J$27="",clc_build!J$31=""),"",(AVERAGE(clc_build!J$27,clc_build!J$31))),
_xlfn.IFS(_xlpm.Umean="","grey",
_xlpm.Umean&gt;0.8,"red",
_xlpm.Umean&gt;0.5,"orange",
_xlpm.Umean&gt;0.4,"yellow",
_xlpm.Umean&lt;=0.4,"green"))</f>
        <v>grey</v>
      </c>
      <c r="L43" s="183" t="str" cm="1">
        <f t="array" ref="L43">_xlfn.LET(
_xlpm.Umean,IF(AND(clc_build!K$27="",clc_build!K$31=""),"",(AVERAGE(clc_build!K$27,clc_build!K$31))),
_xlfn.IFS(_xlpm.Umean="","grey",
_xlpm.Umean&gt;0.8,"red",
_xlpm.Umean&gt;0.5,"orange",
_xlpm.Umean&gt;0.4,"yellow",
_xlpm.Umean&lt;=0.4,"green"))</f>
        <v>grey</v>
      </c>
      <c r="M43" s="183" t="str" cm="1">
        <f t="array" ref="M43">_xlfn.LET(
_xlpm.Umean,IF(AND(clc_build!L$27="",clc_build!L$31=""),"",(AVERAGE(clc_build!L$27,clc_build!L$31))),
_xlfn.IFS(_xlpm.Umean="","grey",
_xlpm.Umean&gt;0.8,"red",
_xlpm.Umean&gt;0.5,"orange",
_xlpm.Umean&gt;0.4,"yellow",
_xlpm.Umean&lt;=0.4,"green"))</f>
        <v>grey</v>
      </c>
      <c r="N43" s="183" t="str" cm="1">
        <f t="array" ref="N43">_xlfn.LET(
_xlpm.Umean,IF(AND(clc_build!M$27="",clc_build!M$31=""),"",(AVERAGE(clc_build!M$27,clc_build!M$31))),
_xlfn.IFS(_xlpm.Umean="","grey",
_xlpm.Umean&gt;0.8,"red",
_xlpm.Umean&gt;0.5,"orange",
_xlpm.Umean&gt;0.4,"yellow",
_xlpm.Umean&lt;=0.4,"green"))</f>
        <v>grey</v>
      </c>
      <c r="O43" s="183" t="str" cm="1">
        <f t="array" ref="O43">_xlfn.LET(
_xlpm.Umean,IF(AND(clc_build!N$27="",clc_build!N$31=""),"",(AVERAGE(clc_build!N$27,clc_build!N$31))),
_xlfn.IFS(_xlpm.Umean="","grey",
_xlpm.Umean&gt;0.8,"red",
_xlpm.Umean&gt;0.5,"orange",
_xlpm.Umean&gt;0.4,"yellow",
_xlpm.Umean&lt;=0.4,"green"))</f>
        <v>grey</v>
      </c>
      <c r="P43" s="183" t="str" cm="1">
        <f t="array" ref="P43">_xlfn.LET(
_xlpm.Umean,IF(AND(clc_build!O$27="",clc_build!O$31=""),"",(AVERAGE(clc_build!O$27,clc_build!O$31))),
_xlfn.IFS(_xlpm.Umean="","grey",
_xlpm.Umean&gt;0.8,"red",
_xlpm.Umean&gt;0.5,"orange",
_xlpm.Umean&gt;0.4,"yellow",
_xlpm.Umean&lt;=0.4,"green"))</f>
        <v>grey</v>
      </c>
      <c r="Q43" s="183" t="str" cm="1">
        <f t="array" ref="Q43">_xlfn.LET(
_xlpm.Umean,IF(AND(clc_build!P$27="",clc_build!P$31=""),"",(AVERAGE(clc_build!P$27,clc_build!P$31))),
_xlfn.IFS(_xlpm.Umean="","grey",
_xlpm.Umean&gt;0.8,"red",
_xlpm.Umean&gt;0.5,"orange",
_xlpm.Umean&gt;0.4,"yellow",
_xlpm.Umean&lt;=0.4,"green"))</f>
        <v>grey</v>
      </c>
      <c r="R43" s="183" t="str" cm="1">
        <f t="array" ref="R43">_xlfn.LET(
_xlpm.Umean,IF(AND(clc_build!Q$27="",clc_build!Q$31=""),"",(AVERAGE(clc_build!Q$27,clc_build!Q$31))),
_xlfn.IFS(_xlpm.Umean="","grey",
_xlpm.Umean&gt;0.8,"red",
_xlpm.Umean&gt;0.5,"orange",
_xlpm.Umean&gt;0.4,"yellow",
_xlpm.Umean&lt;=0.4,"green"))</f>
        <v>grey</v>
      </c>
      <c r="S43" s="183" t="str" cm="1">
        <f t="array" ref="S43">_xlfn.LET(
_xlpm.Umean,IF(AND(clc_build!R$27="",clc_build!R$31=""),"",(AVERAGE(clc_build!R$27,clc_build!R$31))),
_xlfn.IFS(_xlpm.Umean="","grey",
_xlpm.Umean&gt;0.8,"red",
_xlpm.Umean&gt;0.5,"orange",
_xlpm.Umean&gt;0.4,"yellow",
_xlpm.Umean&lt;=0.4,"green"))</f>
        <v>grey</v>
      </c>
      <c r="T43" s="183" t="str" cm="1">
        <f t="array" ref="T43">_xlfn.LET(
_xlpm.Umean,IF(AND(clc_build!S$27="",clc_build!S$31=""),"",(AVERAGE(clc_build!S$27,clc_build!S$31))),
_xlfn.IFS(_xlpm.Umean="","grey",
_xlpm.Umean&gt;0.8,"red",
_xlpm.Umean&gt;0.5,"orange",
_xlpm.Umean&gt;0.4,"yellow",
_xlpm.Umean&lt;=0.4,"green"))</f>
        <v>grey</v>
      </c>
      <c r="U43" s="183" t="str" cm="1">
        <f t="array" ref="U43">_xlfn.LET(
_xlpm.Umean,IF(AND(clc_build!T$27="",clc_build!T$31=""),"",(AVERAGE(clc_build!T$27,clc_build!T$31))),
_xlfn.IFS(_xlpm.Umean="","grey",
_xlpm.Umean&gt;0.8,"red",
_xlpm.Umean&gt;0.5,"orange",
_xlpm.Umean&gt;0.4,"yellow",
_xlpm.Umean&lt;=0.4,"green"))</f>
        <v>grey</v>
      </c>
      <c r="V43" s="183" t="str" cm="1">
        <f t="array" ref="V43">_xlfn.LET(
_xlpm.Umean,IF(AND(clc_build!U$27="",clc_build!U$31=""),"",(AVERAGE(clc_build!U$27,clc_build!U$31))),
_xlfn.IFS(_xlpm.Umean="","grey",
_xlpm.Umean&gt;0.8,"red",
_xlpm.Umean&gt;0.5,"orange",
_xlpm.Umean&gt;0.4,"yellow",
_xlpm.Umean&lt;=0.4,"green"))</f>
        <v>grey</v>
      </c>
    </row>
    <row r="44" spans="1:22" ht="16.5" customHeight="1">
      <c r="A44" s="77"/>
      <c r="H44" s="4"/>
      <c r="N44" s="11"/>
      <c r="O44" s="11"/>
      <c r="P44" s="11"/>
      <c r="Q44" s="11"/>
      <c r="R44" s="11"/>
      <c r="S44" s="11"/>
      <c r="T44" s="11"/>
      <c r="U44" s="11"/>
      <c r="V44" s="11"/>
    </row>
    <row r="45" spans="1:22" s="35" customFormat="1" ht="16.5" customHeight="1" thickBot="1">
      <c r="A45" s="174" t="s">
        <v>1034</v>
      </c>
      <c r="H45" s="194"/>
      <c r="I45" s="194"/>
      <c r="J45" s="133"/>
      <c r="K45" s="133"/>
      <c r="L45" s="133"/>
      <c r="M45" s="133"/>
      <c r="N45" s="133"/>
      <c r="O45" s="133"/>
      <c r="P45" s="133"/>
      <c r="Q45" s="133"/>
      <c r="R45" s="133"/>
      <c r="S45" s="133"/>
      <c r="T45" s="133"/>
      <c r="U45" s="133"/>
      <c r="V45" s="133"/>
    </row>
    <row r="46" spans="1:22" s="171" customFormat="1" ht="16.5" customHeight="1">
      <c r="A46" s="195" t="s">
        <v>1035</v>
      </c>
      <c r="B46" s="171" t="s">
        <v>117</v>
      </c>
      <c r="G46" s="171" t="s">
        <v>1019</v>
      </c>
      <c r="H46" s="179" t="e">
        <f ca="1">"Bewertung der Eignung des Raumes für eine Wärmepumpe. Ein Heizkörper sollte mindestens 100 % der Heizlast decken. 
Der aktuelle Heizkörper leistet " &amp; H14 &amp; " und deckt etwa " &amp; TEXT(clc_build!G39*100,"0") &amp;" Prozent der Heizlast. " &amp; IF(H35&lt;=0.25, "Das ist ausreichend.", "Das ist nicht ausreichend. 
Ein besserer Heizkörper hätte " &amp; H15 &amp; " und würde " &amp; TEXT(clc_build!G40*100,"0") &amp; " Prozent der Heizlast decken. " &amp; IF(H36&lt;=0.25,"Das ist ausreichend.","Das ist nicht ausreichend."))</f>
        <v>#N/A</v>
      </c>
      <c r="I46" s="179" t="e">
        <f ca="1">"Bewertung der Eignung des Raumes für eine Wärmepumpe. Ein Heizkörper sollte mindestens 100 % der Heizlast decken. 
Der aktuelle Heizkörper leistet " &amp; I14 &amp; " und deckt etwa " &amp; TEXT(clc_build!H39*100,"0") &amp;" Prozent der Heizlast. " &amp; IF(I35&lt;=0.25, "Das ist ausreichend.", "Das ist nicht ausreichend. 
Ein besserer Heizkörper hätte " &amp; I15 &amp; " und würde " &amp; TEXT(clc_build!H40*100,"0") &amp; " Prozent der Heizlast decken. " &amp; IF(I36&lt;=0.25,"Das ist ausreichend.","Das ist nicht ausreichend."))</f>
        <v>#N/A</v>
      </c>
      <c r="J46" s="179" t="e">
        <f ca="1">"Bewertung der Eignung des Raumes für eine Wärmepumpe. Ein Heizkörper sollte mindestens 100 % der Heizlast decken. 
Der aktuelle Heizkörper leistet " &amp; J14 &amp; " und deckt etwa " &amp; TEXT(clc_build!I39*100,"0") &amp;" Prozent der Heizlast. " &amp; IF(J35&lt;=0.25, "Das ist ausreichend.", "Das ist nicht ausreichend. 
Ein besserer Heizkörper hätte " &amp; J15 &amp; " und würde " &amp; TEXT(clc_build!I40*100,"0") &amp; " Prozent der Heizlast decken. " &amp; IF(J36&lt;=0.25,"Das ist ausreichend.","Das ist nicht ausreichend."))</f>
        <v>#N/A</v>
      </c>
      <c r="K46" s="179" t="e">
        <f ca="1">"Bewertung der Eignung des Raumes für eine Wärmepumpe. Ein Heizkörper sollte mindestens 100 % der Heizlast decken. 
Der aktuelle Heizkörper leistet " &amp; K14 &amp; " und deckt etwa " &amp; TEXT(clc_build!J39*100,"0") &amp;" Prozent der Heizlast. " &amp; IF(K35&lt;=0.25, "Das ist ausreichend.", "Das ist nicht ausreichend. 
Ein besserer Heizkörper hätte " &amp; K15 &amp; " und würde " &amp; TEXT(clc_build!J40*100,"0") &amp; " Prozent der Heizlast decken. " &amp; IF(K36&lt;=0.25,"Das ist ausreichend.","Das ist nicht ausreichend."))</f>
        <v>#N/A</v>
      </c>
      <c r="L46" s="179" t="e">
        <f ca="1">"Bewertung der Eignung des Raumes für eine Wärmepumpe. Ein Heizkörper sollte mindestens 100 % der Heizlast decken. 
Der aktuelle Heizkörper leistet " &amp; L14 &amp; " und deckt etwa " &amp; TEXT(clc_build!K39*100,"0") &amp;" Prozent der Heizlast. " &amp; IF(L35&lt;=0.25, "Das ist ausreichend.", "Das ist nicht ausreichend. 
Ein besserer Heizkörper hätte " &amp; L15 &amp; " und würde " &amp; TEXT(clc_build!K40*100,"0") &amp; " Prozent der Heizlast decken. " &amp; IF(L36&lt;=0.25,"Das ist ausreichend.","Das ist nicht ausreichend."))</f>
        <v>#N/A</v>
      </c>
      <c r="M46" s="179" t="e">
        <f ca="1">"Bewertung der Eignung des Raumes für eine Wärmepumpe. Ein Heizkörper sollte mindestens 100 % der Heizlast decken. 
Der aktuelle Heizkörper leistet " &amp; M14 &amp; " und deckt etwa " &amp; TEXT(clc_build!L39*100,"0") &amp;" Prozent der Heizlast. " &amp; IF(M35&lt;=0.25, "Das ist ausreichend.", "Das ist nicht ausreichend. 
Ein besserer Heizkörper hätte " &amp; M15 &amp; " und würde " &amp; TEXT(clc_build!L40*100,"0") &amp; " Prozent der Heizlast decken. " &amp; IF(M36&lt;=0.25,"Das ist ausreichend.","Das ist nicht ausreichend."))</f>
        <v>#N/A</v>
      </c>
      <c r="N46" s="179" t="e">
        <f ca="1">"Bewertung der Eignung des Raumes für eine Wärmepumpe. Ein Heizkörper sollte mindestens 100 % der Heizlast decken. 
Der aktuelle Heizkörper leistet " &amp; N14 &amp; " und deckt etwa " &amp; TEXT(clc_build!M39*100,"0") &amp;" Prozent der Heizlast. " &amp; IF(N35&lt;=0.25, "Das ist ausreichend.", "Das ist nicht ausreichend. 
Ein besserer Heizkörper hätte " &amp; N15 &amp; " und würde " &amp; TEXT(clc_build!M40*100,"0") &amp; " Prozent der Heizlast decken. " &amp; IF(N36&lt;=0.25,"Das ist ausreichend.","Das ist nicht ausreichend."))</f>
        <v>#N/A</v>
      </c>
      <c r="O46" s="179" t="e">
        <f ca="1">"Bewertung der Eignung des Raumes für eine Wärmepumpe. Ein Heizkörper sollte mindestens 100 % der Heizlast decken. 
Der aktuelle Heizkörper leistet " &amp; O14 &amp; " und deckt etwa " &amp; TEXT(clc_build!N39*100,"0") &amp;" Prozent der Heizlast. " &amp; IF(O35&lt;=0.25, "Das ist ausreichend.", "Das ist nicht ausreichend. 
Ein besserer Heizkörper hätte " &amp; O15 &amp; " und würde " &amp; TEXT(clc_build!N40*100,"0") &amp; " Prozent der Heizlast decken. " &amp; IF(O36&lt;=0.25,"Das ist ausreichend.","Das ist nicht ausreichend."))</f>
        <v>#N/A</v>
      </c>
      <c r="P46" s="179" t="e">
        <f ca="1">"Bewertung der Eignung des Raumes für eine Wärmepumpe. Ein Heizkörper sollte mindestens 100 % der Heizlast decken. 
Der aktuelle Heizkörper leistet " &amp; P14 &amp; " und deckt etwa " &amp; TEXT(clc_build!O39*100,"0") &amp;" Prozent der Heizlast. " &amp; IF(P35&lt;=0.25, "Das ist ausreichend.", "Das ist nicht ausreichend. 
Ein besserer Heizkörper hätte " &amp; P15 &amp; " und würde " &amp; TEXT(clc_build!O40*100,"0") &amp; " Prozent der Heizlast decken. " &amp; IF(P36&lt;=0.25,"Das ist ausreichend.","Das ist nicht ausreichend."))</f>
        <v>#N/A</v>
      </c>
      <c r="Q46" s="179" t="e">
        <f ca="1">"Bewertung der Eignung des Raumes für eine Wärmepumpe. Ein Heizkörper sollte mindestens 100 % der Heizlast decken. 
Der aktuelle Heizkörper leistet " &amp; Q14 &amp; " und deckt etwa " &amp; TEXT(clc_build!P39*100,"0") &amp;" Prozent der Heizlast. " &amp; IF(Q35&lt;=0.25, "Das ist ausreichend.", "Das ist nicht ausreichend. 
Ein besserer Heizkörper hätte " &amp; Q15 &amp; " und würde " &amp; TEXT(clc_build!P40*100,"0") &amp; " Prozent der Heizlast decken. " &amp; IF(Q36&lt;=0.25,"Das ist ausreichend.","Das ist nicht ausreichend."))</f>
        <v>#N/A</v>
      </c>
      <c r="R46" s="179" t="str">
        <f>"Bewertung der Eignung des Raumes für eine Wärmepumpe. Ein Heizkörper sollte mindestens 100 % der Heizlast decken. 
Der aktuelle Heizkörper leistet " &amp; R14 &amp; " und deckt etwa " &amp; TEXT(clc_build!Q39*100,"0") &amp;" Prozent der Heizlast. " &amp; IF(R35&lt;=0.25, "Das ist ausreichend.", "Das ist nicht ausreichend. 
Ein besserer Heizkörper hätte " &amp; R15 &amp; " und würde " &amp; TEXT(clc_build!Q40*100,"0") &amp; " Prozent der Heizlast decken. " &amp; IF(R36&lt;=0.25,"Das ist ausreichend.","Das ist nicht ausreichend."))</f>
        <v>Bewertung der Eignung des Raumes für eine Wärmepumpe. Ein Heizkörper sollte mindestens 100 % der Heizlast decken. 
Der aktuelle Heizkörper leistet 0 Watt und deckt etwa 0 Prozent der Heizlast. Das ist nicht ausreichend. 
Ein besserer Heizkörper hätte 0 Watt und würde 0 Prozent der Heizlast decken. Das ist nicht ausreichend.</v>
      </c>
      <c r="S46" s="179" t="str">
        <f>"Bewertung der Eignung des Raumes für eine Wärmepumpe. Ein Heizkörper sollte mindestens 100 % der Heizlast decken. 
Der aktuelle Heizkörper leistet " &amp; S14 &amp; " und deckt etwa " &amp; TEXT(clc_build!R39*100,"0") &amp;" Prozent der Heizlast. " &amp; IF(S35&lt;=0.25, "Das ist ausreichend.", "Das ist nicht ausreichend. 
Ein besserer Heizkörper hätte " &amp; S15 &amp; " und würde " &amp; TEXT(clc_build!R40*100,"0") &amp; " Prozent der Heizlast decken. " &amp; IF(S36&lt;=0.25,"Das ist ausreichend.","Das ist nicht ausreichend."))</f>
        <v>Bewertung der Eignung des Raumes für eine Wärmepumpe. Ein Heizkörper sollte mindestens 100 % der Heizlast decken. 
Der aktuelle Heizkörper leistet 0 Watt und deckt etwa 0 Prozent der Heizlast. Das ist nicht ausreichend. 
Ein besserer Heizkörper hätte 0 Watt und würde 0 Prozent der Heizlast decken. Das ist nicht ausreichend.</v>
      </c>
      <c r="T46" s="179" t="str">
        <f>"Bewertung der Eignung des Raumes für eine Wärmepumpe. Ein Heizkörper sollte mindestens 100 % der Heizlast decken. 
Der aktuelle Heizkörper leistet " &amp; T14 &amp; " und deckt etwa " &amp; TEXT(clc_build!S39*100,"0") &amp;" Prozent der Heizlast. " &amp; IF(T35&lt;=0.25, "Das ist ausreichend.", "Das ist nicht ausreichend. 
Ein besserer Heizkörper hätte " &amp; T15 &amp; " und würde " &amp; TEXT(clc_build!S40*100,"0") &amp; " Prozent der Heizlast decken. " &amp; IF(T36&lt;=0.25,"Das ist ausreichend.","Das ist nicht ausreichend."))</f>
        <v>Bewertung der Eignung des Raumes für eine Wärmepumpe. Ein Heizkörper sollte mindestens 100 % der Heizlast decken. 
Der aktuelle Heizkörper leistet 0 Watt und deckt etwa 0 Prozent der Heizlast. Das ist nicht ausreichend. 
Ein besserer Heizkörper hätte 0 Watt und würde 0 Prozent der Heizlast decken. Das ist nicht ausreichend.</v>
      </c>
      <c r="U46" s="179" t="str">
        <f>"Bewertung der Eignung des Raumes für eine Wärmepumpe. Ein Heizkörper sollte mindestens 100 % der Heizlast decken. 
Der aktuelle Heizkörper leistet " &amp; U14 &amp; " und deckt etwa " &amp; TEXT(clc_build!T39*100,"0") &amp;" Prozent der Heizlast. " &amp; IF(U35&lt;=0.25, "Das ist ausreichend.", "Das ist nicht ausreichend. 
Ein besserer Heizkörper hätte " &amp; U15 &amp; " und würde " &amp; TEXT(clc_build!T40*100,"0") &amp; " Prozent der Heizlast decken. " &amp; IF(U36&lt;=0.25,"Das ist ausreichend.","Das ist nicht ausreichend."))</f>
        <v>Bewertung der Eignung des Raumes für eine Wärmepumpe. Ein Heizkörper sollte mindestens 100 % der Heizlast decken. 
Der aktuelle Heizkörper leistet 0 Watt und deckt etwa 0 Prozent der Heizlast. Das ist nicht ausreichend. 
Ein besserer Heizkörper hätte 0 Watt und würde 0 Prozent der Heizlast decken. Das ist nicht ausreichend.</v>
      </c>
      <c r="V46" s="179" t="str">
        <f>"Bewertung der Eignung des Raumes für eine Wärmepumpe. Ein Heizkörper sollte mindestens 100 % der Heizlast decken. 
Der aktuelle Heizkörper leistet " &amp; V14 &amp; " und deckt etwa " &amp; TEXT(clc_build!U39*100,"0") &amp;" Prozent der Heizlast. " &amp; IF(V35&lt;=0.25, "Das ist ausreichend.", "Das ist nicht ausreichend. 
Ein besserer Heizkörper hätte " &amp; V15 &amp; " und würde " &amp; TEXT(clc_build!U40*100,"0") &amp; " Prozent der Heizlast decken. " &amp; IF(V36&lt;=0.25,"Das ist ausreichend.","Das ist nicht ausreichend."))</f>
        <v>Bewertung der Eignung des Raumes für eine Wärmepumpe. Ein Heizkörper sollte mindestens 100 % der Heizlast decken. 
Der aktuelle Heizkörper leistet 0 Watt und deckt etwa 0 Prozent der Heizlast. Das ist nicht ausreichend. 
Ein besserer Heizkörper hätte 0 Watt und würde 0 Prozent der Heizlast decken. Das ist nicht ausreichend.</v>
      </c>
    </row>
    <row r="47" spans="1:22" s="171" customFormat="1" ht="16.5" customHeight="1">
      <c r="A47" s="195" t="s">
        <v>1036</v>
      </c>
      <c r="B47" s="171" t="s">
        <v>117</v>
      </c>
      <c r="G47" s="171" t="s">
        <v>1019</v>
      </c>
      <c r="H47" s="4" t="e" cm="1">
        <f t="array" aca="1" ref="H47" ca="1">"Bewertung der geschätzten Raumheizlast. 
Die Raumheizlast beträgt " &amp; H20 &amp; ". Das sind " &amp; TEXT(H12,0) &amp; " Watt je Quadratmeter. Das ist " &amp; _xlfn.IFS(
H12&lt;=0,"kein plausibler Wert.",
H12&lt;50,"ein sehr guter Wert.",
H12&lt;70,"ein guter Wert.",
H12&lt;90,"ein hoher Wert.",
TRUE,"ein sehr hoher Wert.")</f>
        <v>#NUM!</v>
      </c>
      <c r="I47" s="4" t="e" cm="1">
        <f t="array" aca="1" ref="I47" ca="1">"Bewertung der geschätzten Raumheizlast. 
Die Raumheizlast beträgt " &amp; I20 &amp; ". Das sind " &amp; TEXT(I12,0) &amp; " Watt je Quadratmeter. Das ist " &amp; _xlfn.IFS(
I12&lt;=0,"kein plausibler Wert.",
I12&lt;50,"ein sehr guter Wert.",
I12&lt;70,"ein guter Wert.",
I12&lt;90,"ein hoher Wert.",
TRUE,"ein sehr hoher Wert.")</f>
        <v>#NUM!</v>
      </c>
      <c r="J47" s="4" t="e" cm="1">
        <f t="array" aca="1" ref="J47" ca="1">"Bewertung der geschätzten Raumheizlast. 
Die Raumheizlast beträgt " &amp; J20 &amp; ". Das sind " &amp; TEXT(J12,0) &amp; " Watt je Quadratmeter. Das ist " &amp; _xlfn.IFS(
J12&lt;=0,"kein plausibler Wert.",
J12&lt;50,"ein sehr guter Wert.",
J12&lt;70,"ein guter Wert.",
J12&lt;90,"ein hoher Wert.",
TRUE,"ein sehr hoher Wert.")</f>
        <v>#NUM!</v>
      </c>
      <c r="K47" s="4" t="e" cm="1">
        <f t="array" aca="1" ref="K47" ca="1">"Bewertung der geschätzten Raumheizlast. 
Die Raumheizlast beträgt " &amp; K20 &amp; ". Das sind " &amp; TEXT(K12,0) &amp; " Watt je Quadratmeter. Das ist " &amp; _xlfn.IFS(
K12&lt;=0,"kein plausibler Wert.",
K12&lt;50,"ein sehr guter Wert.",
K12&lt;70,"ein guter Wert.",
K12&lt;90,"ein hoher Wert.",
TRUE,"ein sehr hoher Wert.")</f>
        <v>#NUM!</v>
      </c>
      <c r="L47" s="4" t="e" cm="1">
        <f t="array" aca="1" ref="L47" ca="1">"Bewertung der geschätzten Raumheizlast. 
Die Raumheizlast beträgt " &amp; L20 &amp; ". Das sind " &amp; TEXT(L12,0) &amp; " Watt je Quadratmeter. Das ist " &amp; _xlfn.IFS(
L12&lt;=0,"kein plausibler Wert.",
L12&lt;50,"ein sehr guter Wert.",
L12&lt;70,"ein guter Wert.",
L12&lt;90,"ein hoher Wert.",
TRUE,"ein sehr hoher Wert.")</f>
        <v>#NUM!</v>
      </c>
      <c r="M47" s="4" t="e" cm="1">
        <f t="array" aca="1" ref="M47" ca="1">"Bewertung der geschätzten Raumheizlast. 
Die Raumheizlast beträgt " &amp; M20 &amp; ". Das sind " &amp; TEXT(M12,0) &amp; " Watt je Quadratmeter. Das ist " &amp; _xlfn.IFS(
M12&lt;=0,"kein plausibler Wert.",
M12&lt;50,"ein sehr guter Wert.",
M12&lt;70,"ein guter Wert.",
M12&lt;90,"ein hoher Wert.",
TRUE,"ein sehr hoher Wert.")</f>
        <v>#NUM!</v>
      </c>
      <c r="N47" s="4" t="e" cm="1">
        <f t="array" aca="1" ref="N47" ca="1">"Bewertung der geschätzten Raumheizlast. 
Die Raumheizlast beträgt " &amp; N20 &amp; ". Das sind " &amp; TEXT(N12,0) &amp; " Watt je Quadratmeter. Das ist " &amp; _xlfn.IFS(
N12&lt;=0,"kein plausibler Wert.",
N12&lt;50,"ein sehr guter Wert.",
N12&lt;70,"ein guter Wert.",
N12&lt;90,"ein hoher Wert.",
TRUE,"ein sehr hoher Wert.")</f>
        <v>#NUM!</v>
      </c>
      <c r="O47" s="4" t="e" cm="1">
        <f t="array" aca="1" ref="O47" ca="1">"Bewertung der geschätzten Raumheizlast. 
Die Raumheizlast beträgt " &amp; O20 &amp; ". Das sind " &amp; TEXT(O12,0) &amp; " Watt je Quadratmeter. Das ist " &amp; _xlfn.IFS(
O12&lt;=0,"kein plausibler Wert.",
O12&lt;50,"ein sehr guter Wert.",
O12&lt;70,"ein guter Wert.",
O12&lt;90,"ein hoher Wert.",
TRUE,"ein sehr hoher Wert.")</f>
        <v>#NUM!</v>
      </c>
      <c r="P47" s="4" t="e" cm="1">
        <f t="array" aca="1" ref="P47" ca="1">"Bewertung der geschätzten Raumheizlast. 
Die Raumheizlast beträgt " &amp; P20 &amp; ". Das sind " &amp; TEXT(P12,0) &amp; " Watt je Quadratmeter. Das ist " &amp; _xlfn.IFS(
P12&lt;=0,"kein plausibler Wert.",
P12&lt;50,"ein sehr guter Wert.",
P12&lt;70,"ein guter Wert.",
P12&lt;90,"ein hoher Wert.",
TRUE,"ein sehr hoher Wert.")</f>
        <v>#NUM!</v>
      </c>
      <c r="Q47" s="4" t="e" cm="1">
        <f t="array" aca="1" ref="Q47" ca="1">"Bewertung der geschätzten Raumheizlast. 
Die Raumheizlast beträgt " &amp; Q20 &amp; ". Das sind " &amp; TEXT(Q12,0) &amp; " Watt je Quadratmeter. Das ist " &amp; _xlfn.IFS(
Q12&lt;=0,"kein plausibler Wert.",
Q12&lt;50,"ein sehr guter Wert.",
Q12&lt;70,"ein guter Wert.",
Q12&lt;90,"ein hoher Wert.",
TRUE,"ein sehr hoher Wert.")</f>
        <v>#NUM!</v>
      </c>
      <c r="R47" s="4" t="str" cm="1">
        <f t="array" ref="R47">"Bewertung der geschätzten Raumheizlast. 
Die Raumheizlast beträgt " &amp; R20 &amp; ". Das sind " &amp; TEXT(R12,0) &amp; " Watt je Quadratmeter. Das ist " &amp; _xlfn.IFS(
R12&lt;=0,"kein plausibler Wert.",
R12&lt;50,"ein sehr guter Wert.",
R12&lt;70,"ein guter Wert.",
R12&lt;90,"ein hoher Wert.",
TRUE,"ein sehr hoher Wert.")</f>
        <v>Bewertung der geschätzten Raumheizlast. 
Die Raumheizlast beträgt 0 Watt. Das sind 0 Watt je Quadratmeter. Das ist kein plausibler Wert.</v>
      </c>
      <c r="S47" s="4" t="str" cm="1">
        <f t="array" ref="S47">"Bewertung der geschätzten Raumheizlast. 
Die Raumheizlast beträgt " &amp; S20 &amp; ". Das sind " &amp; TEXT(S12,0) &amp; " Watt je Quadratmeter. Das ist " &amp; _xlfn.IFS(
S12&lt;=0,"kein plausibler Wert.",
S12&lt;50,"ein sehr guter Wert.",
S12&lt;70,"ein guter Wert.",
S12&lt;90,"ein hoher Wert.",
TRUE,"ein sehr hoher Wert.")</f>
        <v>Bewertung der geschätzten Raumheizlast. 
Die Raumheizlast beträgt 0 Watt. Das sind 0 Watt je Quadratmeter. Das ist kein plausibler Wert.</v>
      </c>
      <c r="T47" s="4" t="str" cm="1">
        <f t="array" ref="T47">"Bewertung der geschätzten Raumheizlast. 
Die Raumheizlast beträgt " &amp; T20 &amp; ". Das sind " &amp; TEXT(T12,0) &amp; " Watt je Quadratmeter. Das ist " &amp; _xlfn.IFS(
T12&lt;=0,"kein plausibler Wert.",
T12&lt;50,"ein sehr guter Wert.",
T12&lt;70,"ein guter Wert.",
T12&lt;90,"ein hoher Wert.",
TRUE,"ein sehr hoher Wert.")</f>
        <v>Bewertung der geschätzten Raumheizlast. 
Die Raumheizlast beträgt 0 Watt. Das sind 0 Watt je Quadratmeter. Das ist kein plausibler Wert.</v>
      </c>
      <c r="U47" s="4" t="str" cm="1">
        <f t="array" ref="U47">"Bewertung der geschätzten Raumheizlast. 
Die Raumheizlast beträgt " &amp; U20 &amp; ". Das sind " &amp; TEXT(U12,0) &amp; " Watt je Quadratmeter. Das ist " &amp; _xlfn.IFS(
U12&lt;=0,"kein plausibler Wert.",
U12&lt;50,"ein sehr guter Wert.",
U12&lt;70,"ein guter Wert.",
U12&lt;90,"ein hoher Wert.",
TRUE,"ein sehr hoher Wert.")</f>
        <v>Bewertung der geschätzten Raumheizlast. 
Die Raumheizlast beträgt 0 Watt. Das sind 0 Watt je Quadratmeter. Das ist kein plausibler Wert.</v>
      </c>
      <c r="V47" s="4" t="str" cm="1">
        <f t="array" ref="V47">"Bewertung der geschätzten Raumheizlast. 
Die Raumheizlast beträgt " &amp; V20 &amp; ". Das sind " &amp; TEXT(V12,0) &amp; " Watt je Quadratmeter. Das ist " &amp; _xlfn.IFS(
V12&lt;=0,"kein plausibler Wert.",
V12&lt;50,"ein sehr guter Wert.",
V12&lt;70,"ein guter Wert.",
V12&lt;90,"ein hoher Wert.",
TRUE,"ein sehr hoher Wert.")</f>
        <v>Bewertung der geschätzten Raumheizlast. 
Die Raumheizlast beträgt 0 Watt. Das sind 0 Watt je Quadratmeter. Das ist kein plausibler Wert.</v>
      </c>
    </row>
    <row r="48" spans="1:22" ht="16.5" customHeight="1">
      <c r="A48" s="77"/>
      <c r="H48" s="4"/>
      <c r="N48" s="11"/>
      <c r="O48" s="11"/>
      <c r="P48" s="11"/>
      <c r="Q48" s="11"/>
      <c r="R48" s="11"/>
      <c r="S48" s="11"/>
      <c r="T48" s="11"/>
      <c r="U48" s="11"/>
      <c r="V48" s="11"/>
    </row>
    <row r="49" spans="1:22" s="35" customFormat="1" ht="16.5" customHeight="1" thickBot="1">
      <c r="A49" s="71" t="s">
        <v>1037</v>
      </c>
      <c r="B49" s="35" t="s">
        <v>117</v>
      </c>
      <c r="D49" s="35" t="s">
        <v>822</v>
      </c>
      <c r="G49" s="35" t="s">
        <v>1038</v>
      </c>
      <c r="H49" s="133" t="str">
        <f>IF(
  OR(
   AND(
    IN_rooms!$R3="Badezimmer",IN_rooms!R$6&gt;24),
     AND(IN_rooms!$R3&lt;&gt;"Badezimmer",IN_rooms!R$6&gt;20)),TXT_rooms!$E$20,"")</f>
        <v/>
      </c>
      <c r="I49" s="133" t="str">
        <f>IF(clc_load!J$5="Bad*",
IF(clc_load!J$10&gt;24,TXT_rooms!$E$20,""),
IF(clc_load!J$10&gt;20,TXT_rooms!$E$20,"")
)</f>
        <v/>
      </c>
      <c r="J49" s="133" t="str">
        <f>IF(clc_load!K$5="Bad*",
IF(clc_load!K$10&gt;24,TXT_rooms!$E$20,""),
IF(clc_load!K$10&gt;20,TXT_rooms!$E$20,"")
)</f>
        <v/>
      </c>
      <c r="K49" s="133" t="str">
        <f>IF(clc_load!L$5="Bad*",
IF(clc_load!L$10&gt;24,TXT_rooms!$E$20,""),
IF(clc_load!L$10&gt;20,TXT_rooms!$E$20,"")
)</f>
        <v/>
      </c>
      <c r="L49" s="133" t="str">
        <f>IF(clc_load!M$5="Bad*",
IF(clc_load!M$10&gt;24,TXT_rooms!$E$20,""),
IF(clc_load!M$10&gt;20,TXT_rooms!$E$20,"")
)</f>
        <v/>
      </c>
      <c r="M49" s="133" t="str">
        <f>IF(clc_load!N$5="Bad*",
IF(clc_load!N$10&gt;24,TXT_rooms!$E$20,""),
IF(clc_load!N$10&gt;20,TXT_rooms!$E$20,"")
)</f>
        <v/>
      </c>
    </row>
    <row r="50" spans="1:22" ht="16.5" customHeight="1">
      <c r="A50" t="s">
        <v>1039</v>
      </c>
      <c r="F50" t="s">
        <v>1040</v>
      </c>
      <c r="H50" s="11" t="b">
        <f>IN_rooms!R9&gt;0.75*2*(4+1)/SQRT(4)*SQRT(IN_rooms!R4)</f>
        <v>0</v>
      </c>
      <c r="I50" s="11" t="b">
        <f>IN_rooms!S9&gt;0.75*2*(4+1)/SQRT(4)*SQRT(IN_rooms!S4)</f>
        <v>0</v>
      </c>
      <c r="J50" s="11" t="b">
        <f>IN_rooms!T9&gt;0.75*2*(4+1)/SQRT(4)*SQRT(IN_rooms!T4)</f>
        <v>0</v>
      </c>
      <c r="K50" s="11" t="b">
        <f>IN_rooms!U9&gt;0.75*2*(4+1)/SQRT(4)*SQRT(IN_rooms!U4)</f>
        <v>0</v>
      </c>
      <c r="L50" s="11" t="b">
        <f>IN_rooms!V9&gt;0.75*2*(4+1)/SQRT(4)*SQRT(IN_rooms!V4)</f>
        <v>0</v>
      </c>
      <c r="M50" s="11" t="b">
        <f>IN_rooms!W9&gt;0.75*2*(4+1)/SQRT(4)*SQRT(IN_rooms!W4)</f>
        <v>0</v>
      </c>
      <c r="N50" s="11" t="b">
        <f>IN_rooms!X9&gt;0.75*2*(4+1)/SQRT(4)*SQRT(IN_rooms!X4)</f>
        <v>0</v>
      </c>
      <c r="O50" s="11" t="b">
        <f>IN_rooms!Y9&gt;0.75*2*(4+1)/SQRT(4)*SQRT(IN_rooms!Y4)</f>
        <v>0</v>
      </c>
      <c r="P50" s="11" t="b">
        <f>IN_rooms!Z9&gt;0.75*2*(4+1)/SQRT(4)*SQRT(IN_rooms!Z4)</f>
        <v>0</v>
      </c>
      <c r="Q50" s="11" t="b">
        <f>IN_rooms!AA9&gt;0.75*2*(4+1)/SQRT(4)*SQRT(IN_rooms!AA4)</f>
        <v>0</v>
      </c>
      <c r="R50" s="11" t="b">
        <f>IN_rooms!AB9&gt;0.75*2*(4+1)/SQRT(4)*SQRT(IN_rooms!AB4)</f>
        <v>0</v>
      </c>
      <c r="S50" s="11" t="b">
        <f>IN_rooms!AC9&gt;0.75*2*(4+1)/SQRT(4)*SQRT(IN_rooms!AC4)</f>
        <v>0</v>
      </c>
      <c r="T50" s="11" t="b">
        <f>IN_rooms!AD9&gt;0.75*2*(4+1)/SQRT(4)*SQRT(IN_rooms!AD4)</f>
        <v>0</v>
      </c>
      <c r="U50" s="11" t="b">
        <f>IN_rooms!AE9&gt;0.75*2*(4+1)/SQRT(4)*SQRT(IN_rooms!AE4)</f>
        <v>0</v>
      </c>
      <c r="V50" s="11" t="b">
        <f>IN_rooms!AF9&gt;0.75*2*(4+1)/SQRT(4)*SQRT(IN_rooms!AF4)</f>
        <v>0</v>
      </c>
    </row>
    <row r="51" spans="1:22" ht="16.5" customHeight="1">
      <c r="A51" t="s">
        <v>1041</v>
      </c>
      <c r="H51" t="str">
        <f>IF(H50,"Warnung Raum " &amp; IN_rooms!R$3 &amp; ": Die eingegebene Außenwandlänge ist für übliche Raumgeometrien ungewöhnlich groß. Bitte überprüfen Sie die Eingabewerte.","")</f>
        <v/>
      </c>
      <c r="I51" t="str">
        <f>IF(I50,"Warnung Raum " &amp; IN_rooms!S$3 &amp; ": Die eingegebene Außenwandlänge ist für übliche Raumgeometrien ungewöhnlich groß. Bitte überprüfen Sie die Eingabewerte.","")</f>
        <v/>
      </c>
      <c r="J51" t="str">
        <f>IF(J50,"Warnung Raum " &amp; IN_rooms!T$3 &amp; ": Die eingegebene Außenwandlänge ist für übliche Raumgeometrien ungewöhnlich groß. Bitte überprüfen Sie die Eingabewerte.","")</f>
        <v/>
      </c>
      <c r="K51" t="str">
        <f>IF(K50,"Warnung Raum " &amp; IN_rooms!U$3 &amp; ": Die eingegebene Außenwandlänge ist für übliche Raumgeometrien ungewöhnlich groß. Bitte überprüfen Sie die Eingabewerte.","")</f>
        <v/>
      </c>
      <c r="L51" t="str">
        <f>IF(L50,"Warnung Raum " &amp; IN_rooms!V$3 &amp; ": Die eingegebene Außenwandlänge ist für übliche Raumgeometrien ungewöhnlich groß. Bitte überprüfen Sie die Eingabewerte.","")</f>
        <v/>
      </c>
      <c r="M51" t="str">
        <f>IF(M50,"Warnung Raum " &amp; IN_rooms!W$3 &amp; ": Die eingegebene Außenwandlänge ist für übliche Raumgeometrien ungewöhnlich groß. Bitte überprüfen Sie die Eingabewerte.","")</f>
        <v/>
      </c>
      <c r="N51" t="str">
        <f>IF(N50,"Warnung Raum " &amp; IN_rooms!X$3 &amp; ": Die eingegebene Außenwandlänge ist für übliche Raumgeometrien ungewöhnlich groß. Bitte überprüfen Sie die Eingabewerte.","")</f>
        <v/>
      </c>
      <c r="O51" t="str">
        <f>IF(O50,"Warnung Raum " &amp; IN_rooms!Y$3 &amp; ": Die eingegebene Außenwandlänge ist für übliche Raumgeometrien ungewöhnlich groß. Bitte überprüfen Sie die Eingabewerte.","")</f>
        <v/>
      </c>
      <c r="P51" t="str">
        <f>IF(P50,"Warnung Raum " &amp; IN_rooms!Z$3 &amp; ": Die eingegebene Außenwandlänge ist für übliche Raumgeometrien ungewöhnlich groß. Bitte überprüfen Sie die Eingabewerte.","")</f>
        <v/>
      </c>
      <c r="Q51" t="str">
        <f>IF(Q50,"Warnung Raum " &amp; IN_rooms!AA$3 &amp; ": Die eingegebene Außenwandlänge ist für übliche Raumgeometrien ungewöhnlich groß. Bitte überprüfen Sie die Eingabewerte.","")</f>
        <v/>
      </c>
      <c r="R51" t="str">
        <f>IF(R50,"Warnung Raum " &amp; IN_rooms!AB$3 &amp; ": Die eingegebene Außenwandlänge ist für übliche Raumgeometrien ungewöhnlich groß. Bitte überprüfen Sie die Eingabewerte.","")</f>
        <v/>
      </c>
      <c r="S51" t="str">
        <f>IF(S50,"Warnung Raum " &amp; IN_rooms!AC$3 &amp; ": Die eingegebene Außenwandlänge ist für übliche Raumgeometrien ungewöhnlich groß. Bitte überprüfen Sie die Eingabewerte.","")</f>
        <v/>
      </c>
      <c r="T51" t="str">
        <f>IF(T50,"Warnung Raum " &amp; IN_rooms!AD$3 &amp; ": Die eingegebene Außenwandlänge ist für übliche Raumgeometrien ungewöhnlich groß. Bitte überprüfen Sie die Eingabewerte.","")</f>
        <v/>
      </c>
      <c r="U51" t="str">
        <f>IF(U50,"Warnung Raum " &amp; IN_rooms!AE$3 &amp; ": Die eingegebene Außenwandlänge ist für übliche Raumgeometrien ungewöhnlich groß. Bitte überprüfen Sie die Eingabewerte.","")</f>
        <v/>
      </c>
      <c r="V51" t="str">
        <f>IF(V50,"Warnung Raum " &amp; IN_rooms!AF$3 &amp; ": Die eingegebene Außenwandlänge ist für übliche Raumgeometrien ungewöhnlich groß. Bitte überprüfen Sie die Eingabewerte.","")</f>
        <v/>
      </c>
    </row>
    <row r="52" spans="1:22" ht="16.5" customHeight="1">
      <c r="A52" t="s">
        <v>1042</v>
      </c>
      <c r="H52" s="167" t="b">
        <f>SUM(clc_load!I42,clc_load!I48,clc_load!I54)&gt;IN_rooms!R9*IN_rooms!R5</f>
        <v>0</v>
      </c>
      <c r="I52" s="167" t="b">
        <f>SUM(clc_load!J42,clc_load!J48,clc_load!J54)&gt;IN_rooms!S9*IN_rooms!S5</f>
        <v>0</v>
      </c>
      <c r="J52" s="167" t="b">
        <f>SUM(clc_load!K42,clc_load!K48,clc_load!K54)&gt;IN_rooms!T9*IN_rooms!T5</f>
        <v>0</v>
      </c>
      <c r="K52" s="167" t="b">
        <f>SUM(clc_load!L42,clc_load!L48,clc_load!L54)&gt;IN_rooms!U9*IN_rooms!U5</f>
        <v>0</v>
      </c>
      <c r="L52" s="167" t="b">
        <f>SUM(clc_load!M42,clc_load!M48,clc_load!M54)&gt;IN_rooms!V9*IN_rooms!V5</f>
        <v>0</v>
      </c>
      <c r="M52" s="167" t="b">
        <f>SUM(clc_load!N42,clc_load!N48,clc_load!N54)&gt;IN_rooms!W9*IN_rooms!W5</f>
        <v>0</v>
      </c>
      <c r="N52" s="167" t="b">
        <f>SUM(clc_load!O42,clc_load!O48,clc_load!O54)&gt;IN_rooms!X9*IN_rooms!X5</f>
        <v>0</v>
      </c>
      <c r="O52" s="167" t="b">
        <f>SUM(clc_load!P42,clc_load!P48,clc_load!P54)&gt;IN_rooms!Y9*IN_rooms!Y5</f>
        <v>0</v>
      </c>
      <c r="P52" s="167" t="b">
        <f>SUM(clc_load!Q42,clc_load!Q48,clc_load!Q54)&gt;IN_rooms!Z9*IN_rooms!Z5</f>
        <v>0</v>
      </c>
      <c r="Q52" s="167" t="b">
        <f>SUM(clc_load!R42,clc_load!R48,clc_load!R54)&gt;IN_rooms!AA9*IN_rooms!AA5</f>
        <v>0</v>
      </c>
      <c r="R52" s="167" t="b">
        <f>SUM(clc_load!S42,clc_load!S48,clc_load!S54)&gt;IN_rooms!AB9*IN_rooms!AB5</f>
        <v>0</v>
      </c>
      <c r="S52" s="167" t="b">
        <f>SUM(clc_load!T42,clc_load!T48,clc_load!T54)&gt;IN_rooms!AC9*IN_rooms!AC5</f>
        <v>0</v>
      </c>
      <c r="T52" s="167" t="b">
        <f>SUM(clc_load!U42,clc_load!U48,clc_load!U54)&gt;IN_rooms!AD9*IN_rooms!AD5</f>
        <v>0</v>
      </c>
      <c r="U52" s="167" t="b">
        <f>SUM(clc_load!V42,clc_load!V48,clc_load!V54)&gt;IN_rooms!AE9*IN_rooms!AE5</f>
        <v>0</v>
      </c>
      <c r="V52" s="167" t="b">
        <f>SUM(clc_load!W42,clc_load!W48,clc_load!W54)&gt;IN_rooms!AF9*IN_rooms!AF5</f>
        <v>0</v>
      </c>
    </row>
    <row r="53" spans="1:22" ht="16.5" customHeight="1">
      <c r="A53" t="s">
        <v>1043</v>
      </c>
      <c r="H53" t="str">
        <f>IF(H52,"Warnung Raum " &amp; IN_rooms!R$3 &amp; ": Die berechnete Fensterfläche ist größer als die Netto-Außenwandfläche. Bitte überprüfen Sie die Eingabewerte für Höhe, Breite und Anzahl der Fenster sowie Außenwandlänge und Raumhöhe.","")</f>
        <v/>
      </c>
      <c r="I53" t="str">
        <f>IF(I52,"Warnung Raum " &amp; IN_rooms!S$3 &amp; ": Die berechnete Fensterfläche ist größer als die Netto-Außenwandfläche. Bitte überprüfen Sie die Eingabewerte für Höhe, Breite und Anzahl der Fenster sowie Außenwandlänge und Raumhöhe.","")</f>
        <v/>
      </c>
      <c r="J53" t="str">
        <f>IF(J52,"Warnung Raum " &amp; IN_rooms!T$3 &amp; ": Die berechnete Fensterfläche ist größer als die Netto-Außenwandfläche. Bitte überprüfen Sie die Eingabewerte für Höhe, Breite und Anzahl der Fenster sowie Außenwandlänge und Raumhöhe.","")</f>
        <v/>
      </c>
      <c r="K53" t="str">
        <f>IF(K52,"Warnung Raum " &amp; IN_rooms!U$3 &amp; ": Die berechnete Fensterfläche ist größer als die Netto-Außenwandfläche. Bitte überprüfen Sie die Eingabewerte für Höhe, Breite und Anzahl der Fenster sowie Außenwandlänge und Raumhöhe.","")</f>
        <v/>
      </c>
      <c r="L53" t="str">
        <f>IF(L52,"Warnung Raum " &amp; IN_rooms!V$3 &amp; ": Die berechnete Fensterfläche ist größer als die Netto-Außenwandfläche. Bitte überprüfen Sie die Eingabewerte für Höhe, Breite und Anzahl der Fenster sowie Außenwandlänge und Raumhöhe.","")</f>
        <v/>
      </c>
      <c r="M53" t="str">
        <f>IF(M52,"Warnung Raum " &amp; IN_rooms!W$3 &amp; ": Die berechnete Fensterfläche ist größer als die Netto-Außenwandfläche. Bitte überprüfen Sie die Eingabewerte für Höhe, Breite und Anzahl der Fenster sowie Außenwandlänge und Raumhöhe.","")</f>
        <v/>
      </c>
      <c r="N53" t="str">
        <f>IF(N52,"Warnung Raum " &amp; IN_rooms!X$3 &amp; ": Die berechnete Fensterfläche ist größer als die Netto-Außenwandfläche. Bitte überprüfen Sie die Eingabewerte für Höhe, Breite und Anzahl der Fenster sowie Außenwandlänge und Raumhöhe.","")</f>
        <v/>
      </c>
      <c r="O53" t="str">
        <f>IF(O52,"Warnung Raum " &amp; IN_rooms!Y$3 &amp; ": Die berechnete Fensterfläche ist größer als die Netto-Außenwandfläche. Bitte überprüfen Sie die Eingabewerte für Höhe, Breite und Anzahl der Fenster sowie Außenwandlänge und Raumhöhe.","")</f>
        <v/>
      </c>
      <c r="P53" t="str">
        <f>IF(P52,"Warnung Raum " &amp; IN_rooms!Z$3 &amp; ": Die berechnete Fensterfläche ist größer als die Netto-Außenwandfläche. Bitte überprüfen Sie die Eingabewerte für Höhe, Breite und Anzahl der Fenster sowie Außenwandlänge und Raumhöhe.","")</f>
        <v/>
      </c>
      <c r="Q53" t="str">
        <f>IF(Q52,"Warnung Raum " &amp; IN_rooms!AA$3 &amp; ": Die berechnete Fensterfläche ist größer als die Netto-Außenwandfläche. Bitte überprüfen Sie die Eingabewerte für Höhe, Breite und Anzahl der Fenster sowie Außenwandlänge und Raumhöhe.","")</f>
        <v/>
      </c>
      <c r="R53" t="str">
        <f>IF(R52,"Warnung Raum " &amp; IN_rooms!AB$3 &amp; ": Die berechnete Fensterfläche ist größer als die Netto-Außenwandfläche. Bitte überprüfen Sie die Eingabewerte für Höhe, Breite und Anzahl der Fenster sowie Außenwandlänge und Raumhöhe.","")</f>
        <v/>
      </c>
      <c r="S53" t="str">
        <f>IF(S52,"Warnung Raum " &amp; IN_rooms!AC$3 &amp; ": Die berechnete Fensterfläche ist größer als die Netto-Außenwandfläche. Bitte überprüfen Sie die Eingabewerte für Höhe, Breite und Anzahl der Fenster sowie Außenwandlänge und Raumhöhe.","")</f>
        <v/>
      </c>
      <c r="T53" t="str">
        <f>IF(T52,"Warnung Raum " &amp; IN_rooms!AD$3 &amp; ": Die berechnete Fensterfläche ist größer als die Netto-Außenwandfläche. Bitte überprüfen Sie die Eingabewerte für Höhe, Breite und Anzahl der Fenster sowie Außenwandlänge und Raumhöhe.","")</f>
        <v/>
      </c>
      <c r="U53" t="str">
        <f>IF(U52,"Warnung Raum " &amp; IN_rooms!AE$3 &amp; ": Die berechnete Fensterfläche ist größer als die Netto-Außenwandfläche. Bitte überprüfen Sie die Eingabewerte für Höhe, Breite und Anzahl der Fenster sowie Außenwandlänge und Raumhöhe.","")</f>
        <v/>
      </c>
      <c r="V53" t="str">
        <f>IF(V52,"Warnung Raum " &amp; IN_rooms!AF$3 &amp; ": Die berechnete Fensterfläche ist größer als die Netto-Außenwandfläche. Bitte überprüfen Sie die Eingabewerte für Höhe, Breite und Anzahl der Fenster sowie Außenwandlänge und Raumhöhe.","")</f>
        <v/>
      </c>
    </row>
    <row r="54" spans="1:22" ht="16.5" customHeight="1">
      <c r="A54" t="s">
        <v>1044</v>
      </c>
      <c r="H54" s="11" t="b">
        <f>IF(OR(IN_rooms!R$28="Keine",IN_rooms!R$28=""),FALSE,SUM(clc_load!I60,clc_load!I66)&gt;clc_load!I26)</f>
        <v>0</v>
      </c>
      <c r="I54" s="11" t="b">
        <f>IF(OR(IN_rooms!S$28="Keine",IN_rooms!S$28=""),FALSE,SUM(clc_load!J60,clc_load!J66)&gt;clc_load!J26)</f>
        <v>0</v>
      </c>
      <c r="J54" s="11" t="b">
        <f>IF(OR(IN_rooms!T$28="Keine",IN_rooms!T$28=""),FALSE,SUM(clc_load!K60,clc_load!K66)&gt;clc_load!K26)</f>
        <v>0</v>
      </c>
      <c r="K54" s="11" t="b">
        <f>IF(OR(IN_rooms!U$28="Keine",IN_rooms!U$28=""),FALSE,SUM(clc_load!L60,clc_load!L66)&gt;clc_load!L26)</f>
        <v>0</v>
      </c>
      <c r="L54" s="11" t="b">
        <f>IF(OR(IN_rooms!V$28="Keine",IN_rooms!V$28=""),FALSE,SUM(clc_load!M60,clc_load!M66)&gt;clc_load!M26)</f>
        <v>0</v>
      </c>
      <c r="M54" s="11" t="b">
        <f>IF(OR(IN_rooms!W$28="Keine",IN_rooms!W$28=""),FALSE,SUM(clc_load!N60,clc_load!N66)&gt;clc_load!N26)</f>
        <v>0</v>
      </c>
      <c r="N54" s="11" t="b">
        <f>IF(OR(IN_rooms!X$28="Keine",IN_rooms!X$28=""),FALSE,SUM(clc_load!O60,clc_load!O66)&gt;clc_load!O26)</f>
        <v>0</v>
      </c>
      <c r="O54" s="11" t="b">
        <f>IF(OR(IN_rooms!Y$28="Keine",IN_rooms!Y$28=""),FALSE,SUM(clc_load!P60,clc_load!P66)&gt;clc_load!P26)</f>
        <v>0</v>
      </c>
      <c r="P54" s="11" t="b">
        <f>IF(OR(IN_rooms!Z$28="Keine",IN_rooms!Z$28=""),FALSE,SUM(clc_load!Q60,clc_load!Q66)&gt;clc_load!Q26)</f>
        <v>0</v>
      </c>
      <c r="Q54" s="11" t="b">
        <f>IF(OR(IN_rooms!AA$28="Keine",IN_rooms!AA$28=""),FALSE,SUM(clc_load!R60,clc_load!R66)&gt;clc_load!R26)</f>
        <v>0</v>
      </c>
      <c r="R54" s="11" t="b">
        <f>IF(OR(IN_rooms!AB$28="Keine",IN_rooms!AB$28=""),FALSE,SUM(clc_load!S60,clc_load!S66)&gt;clc_load!S26)</f>
        <v>0</v>
      </c>
      <c r="S54" s="11" t="b">
        <f>IF(OR(IN_rooms!AC$28="Keine",IN_rooms!AC$28=""),FALSE,SUM(clc_load!T60,clc_load!T66)&gt;clc_load!T26)</f>
        <v>0</v>
      </c>
      <c r="T54" s="11" t="b">
        <f>IF(OR(IN_rooms!AD$28="Keine",IN_rooms!AD$28=""),FALSE,SUM(clc_load!U60,clc_load!U66)&gt;clc_load!U26)</f>
        <v>0</v>
      </c>
      <c r="U54" s="11" t="b">
        <f>IF(OR(IN_rooms!AE$28="Keine",IN_rooms!AE$28=""),FALSE,SUM(clc_load!V60,clc_load!V66)&gt;clc_load!V26)</f>
        <v>0</v>
      </c>
      <c r="V54" s="11" t="b">
        <f>IF(OR(IN_rooms!AF$28="Keine",IN_rooms!AF$28=""),FALSE,SUM(clc_load!W60,clc_load!W66)&gt;clc_load!W26)</f>
        <v>0</v>
      </c>
    </row>
    <row r="55" spans="1:22" ht="16.5" customHeight="1">
      <c r="A55" t="s">
        <v>1045</v>
      </c>
      <c r="H55" s="11" t="str">
        <f>IF(H54,"Warnung Raum " &amp; IN_rooms!R$3 &amp; ": Die berechnete Dachfensterfläche ist größer als die Netto-Dachfläche. Bitte überprüfen Sie die Eingabewerte für Höhe, Breite und Anzahl der Dachfenster sowie der Dachfläche(n).","")</f>
        <v/>
      </c>
      <c r="I55" s="11" t="str">
        <f>IF(I54,"Warnung Raum " &amp; IN_rooms!S$3 &amp; ": Die berechnete Dachfensterfläche ist größer als die Netto-Dachfläche. Bitte überprüfen Sie die Eingabewerte für Höhe, Breite und Anzahl der Dachfenster sowie der Dachfläche(n).","")</f>
        <v/>
      </c>
      <c r="J55" s="11" t="str">
        <f>IF(J54,"Warnung Raum " &amp; IN_rooms!T$3 &amp; ": Die berechnete Dachfensterfläche ist größer als die Netto-Dachfläche. Bitte überprüfen Sie die Eingabewerte für Höhe, Breite und Anzahl der Dachfenster sowie der Dachfläche(n).","")</f>
        <v/>
      </c>
      <c r="K55" s="11" t="str">
        <f>IF(K54,"Warnung Raum " &amp; IN_rooms!U$3 &amp; ": Die berechnete Dachfensterfläche ist größer als die Netto-Dachfläche. Bitte überprüfen Sie die Eingabewerte für Höhe, Breite und Anzahl der Dachfenster sowie der Dachfläche(n).","")</f>
        <v/>
      </c>
      <c r="L55" s="11" t="str">
        <f>IF(L54,"Warnung Raum " &amp; IN_rooms!V$3 &amp; ": Die berechnete Dachfensterfläche ist größer als die Netto-Dachfläche. Bitte überprüfen Sie die Eingabewerte für Höhe, Breite und Anzahl der Dachfenster sowie der Dachfläche(n).","")</f>
        <v/>
      </c>
      <c r="M55" s="11" t="str">
        <f>IF(M54,"Warnung Raum " &amp; IN_rooms!W$3 &amp; ": Die berechnete Dachfensterfläche ist größer als die Netto-Dachfläche. Bitte überprüfen Sie die Eingabewerte für Höhe, Breite und Anzahl der Dachfenster sowie der Dachfläche(n).","")</f>
        <v/>
      </c>
      <c r="N55" s="11" t="str">
        <f>IF(N54,"Warnung Raum " &amp; IN_rooms!X$3 &amp; ": Die berechnete Dachfensterfläche ist größer als die Netto-Dachfläche. Bitte überprüfen Sie die Eingabewerte für Höhe, Breite und Anzahl der Dachfenster sowie der Dachfläche(n).","")</f>
        <v/>
      </c>
      <c r="O55" s="11" t="str">
        <f>IF(O54,"Warnung Raum " &amp; IN_rooms!Y$3 &amp; ": Die berechnete Dachfensterfläche ist größer als die Netto-Dachfläche. Bitte überprüfen Sie die Eingabewerte für Höhe, Breite und Anzahl der Dachfenster sowie der Dachfläche(n).","")</f>
        <v/>
      </c>
      <c r="P55" s="11" t="str">
        <f>IF(P54,"Warnung Raum " &amp; IN_rooms!Z$3 &amp; ": Die berechnete Dachfensterfläche ist größer als die Netto-Dachfläche. Bitte überprüfen Sie die Eingabewerte für Höhe, Breite und Anzahl der Dachfenster sowie der Dachfläche(n).","")</f>
        <v/>
      </c>
      <c r="Q55" s="11" t="str">
        <f>IF(Q54,"Warnung Raum " &amp; IN_rooms!AA$3 &amp; ": Die berechnete Dachfensterfläche ist größer als die Netto-Dachfläche. Bitte überprüfen Sie die Eingabewerte für Höhe, Breite und Anzahl der Dachfenster sowie der Dachfläche(n).","")</f>
        <v/>
      </c>
      <c r="R55" s="11" t="str">
        <f>IF(R54,"Warnung Raum " &amp; IN_rooms!AB$3 &amp; ": Die berechnete Dachfensterfläche ist größer als die Netto-Dachfläche. Bitte überprüfen Sie die Eingabewerte für Höhe, Breite und Anzahl der Dachfenster sowie der Dachfläche(n).","")</f>
        <v/>
      </c>
      <c r="S55" s="11" t="str">
        <f>IF(S54,"Warnung Raum " &amp; IN_rooms!AC$3 &amp; ": Die berechnete Dachfensterfläche ist größer als die Netto-Dachfläche. Bitte überprüfen Sie die Eingabewerte für Höhe, Breite und Anzahl der Dachfenster sowie der Dachfläche(n).","")</f>
        <v/>
      </c>
      <c r="T55" s="11" t="str">
        <f>IF(T54,"Warnung Raum " &amp; IN_rooms!AD$3 &amp; ": Die berechnete Dachfensterfläche ist größer als die Netto-Dachfläche. Bitte überprüfen Sie die Eingabewerte für Höhe, Breite und Anzahl der Dachfenster sowie der Dachfläche(n).","")</f>
        <v/>
      </c>
      <c r="U55" s="11" t="str">
        <f>IF(U54,"Warnung Raum " &amp; IN_rooms!AE$3 &amp; ": Die berechnete Dachfensterfläche ist größer als die Netto-Dachfläche. Bitte überprüfen Sie die Eingabewerte für Höhe, Breite und Anzahl der Dachfenster sowie der Dachfläche(n).","")</f>
        <v/>
      </c>
      <c r="V55" s="11" t="str">
        <f>IF(V54,"Warnung Raum " &amp; IN_rooms!AF$3 &amp; ": Die berechnete Dachfensterfläche ist größer als die Netto-Dachfläche. Bitte überprüfen Sie die Eingabewerte für Höhe, Breite und Anzahl der Dachfenster sowie der Dachfläche(n).","")</f>
        <v/>
      </c>
    </row>
    <row r="56" spans="1:22" ht="16.5" customHeight="1">
      <c r="A56" t="s">
        <v>1046</v>
      </c>
      <c r="H56" s="11" t="b">
        <v>0</v>
      </c>
      <c r="I56" s="11" t="b">
        <v>0</v>
      </c>
      <c r="J56" s="11" t="b">
        <v>0</v>
      </c>
      <c r="K56" s="11" t="b">
        <v>0</v>
      </c>
      <c r="L56" s="11" t="b">
        <v>0</v>
      </c>
      <c r="M56" s="11" t="b">
        <v>0</v>
      </c>
      <c r="N56" s="11" t="b">
        <v>0</v>
      </c>
      <c r="O56" s="11" t="b">
        <v>0</v>
      </c>
      <c r="P56" s="11" t="b">
        <v>0</v>
      </c>
      <c r="Q56" s="11" t="b">
        <v>0</v>
      </c>
      <c r="R56" s="11" t="b">
        <v>0</v>
      </c>
      <c r="S56" s="11" t="b">
        <v>0</v>
      </c>
      <c r="T56" s="11" t="b">
        <v>0</v>
      </c>
      <c r="U56" s="11" t="b">
        <v>0</v>
      </c>
      <c r="V56" s="11" t="b">
        <v>0</v>
      </c>
    </row>
    <row r="57" spans="1:22" ht="16.5" customHeight="1">
      <c r="A57" t="s">
        <v>1047</v>
      </c>
      <c r="H57" s="11" t="b">
        <f>IF(H56,"Warnung Raum " &amp; IN_rooms!R$3 &amp; ": Es wurden keine Heizflächen erfasst oder die Eingaben sind unvollständig, bitte prüfen.")</f>
        <v>0</v>
      </c>
      <c r="I57" s="11" t="b">
        <f>IF(I56,"Warnung Raum " &amp; IN_rooms!S$3 &amp; ": Es wurden keine Heizflächen erfasst oder die Eingaben sind unvollständig, bitte prüfen.")</f>
        <v>0</v>
      </c>
      <c r="J57" s="11" t="b">
        <f>IF(J56,"Warnung Raum " &amp; IN_rooms!T$3 &amp; ": Es wurden keine Heizflächen erfasst oder die Eingaben sind unvollständig, bitte prüfen.")</f>
        <v>0</v>
      </c>
      <c r="K57" s="11" t="b">
        <f>IF(K56,"Warnung Raum " &amp; IN_rooms!U$3 &amp; ": Es wurden keine Heizflächen erfasst oder die Eingaben sind unvollständig, bitte prüfen.")</f>
        <v>0</v>
      </c>
      <c r="L57" s="11" t="b">
        <f>IF(L56,"Warnung Raum " &amp; IN_rooms!V$3 &amp; ": Es wurden keine Heizflächen erfasst oder die Eingaben sind unvollständig, bitte prüfen.")</f>
        <v>0</v>
      </c>
      <c r="M57" s="11" t="b">
        <f>IF(M56,"Warnung Raum " &amp; IN_rooms!W$3 &amp; ": Es wurden keine Heizflächen erfasst oder die Eingaben sind unvollständig, bitte prüfen.")</f>
        <v>0</v>
      </c>
      <c r="N57" s="11" t="b">
        <f>IF(N56,"Warnung Raum " &amp; IN_rooms!X$3 &amp; ": Es wurden keine Heizflächen erfasst oder die Eingaben sind unvollständig, bitte prüfen.")</f>
        <v>0</v>
      </c>
      <c r="O57" s="11" t="b">
        <f>IF(O56,"Warnung Raum " &amp; IN_rooms!Y$3 &amp; ": Es wurden keine Heizflächen erfasst oder die Eingaben sind unvollständig, bitte prüfen.")</f>
        <v>0</v>
      </c>
      <c r="P57" s="11" t="b">
        <f>IF(P56,"Warnung Raum " &amp; IN_rooms!Z$3 &amp; ": Es wurden keine Heizflächen erfasst oder die Eingaben sind unvollständig, bitte prüfen.")</f>
        <v>0</v>
      </c>
      <c r="Q57" s="11" t="b">
        <f>IF(Q56,"Warnung Raum " &amp; IN_rooms!AA$3 &amp; ": Es wurden keine Heizflächen erfasst oder die Eingaben sind unvollständig, bitte prüfen.")</f>
        <v>0</v>
      </c>
      <c r="R57" s="11" t="b">
        <f>IF(R56,"Warnung Raum " &amp; IN_rooms!AB$3 &amp; ": Es wurden keine Heizflächen erfasst oder die Eingaben sind unvollständig, bitte prüfen.")</f>
        <v>0</v>
      </c>
      <c r="S57" s="11" t="b">
        <f>IF(S56,"Warnung Raum " &amp; IN_rooms!AC$3 &amp; ": Es wurden keine Heizflächen erfasst oder die Eingaben sind unvollständig, bitte prüfen.")</f>
        <v>0</v>
      </c>
      <c r="T57" s="11" t="b">
        <f>IF(T56,"Warnung Raum " &amp; IN_rooms!AD$3 &amp; ": Es wurden keine Heizflächen erfasst oder die Eingaben sind unvollständig, bitte prüfen.")</f>
        <v>0</v>
      </c>
      <c r="U57" s="11" t="b">
        <f>IF(U56,"Warnung Raum " &amp; IN_rooms!AE$3 &amp; ": Es wurden keine Heizflächen erfasst oder die Eingaben sind unvollständig, bitte prüfen.")</f>
        <v>0</v>
      </c>
      <c r="V57" s="11" t="b">
        <f>IF(V56,"Warnung Raum " &amp; IN_rooms!AF$3 &amp; ": Es wurden keine Heizflächen erfasst oder die Eingaben sind unvollständig, bitte prüfen.")</f>
        <v>0</v>
      </c>
    </row>
    <row r="58" spans="1:22" ht="16.5" customHeight="1">
      <c r="A58" t="s">
        <v>1048</v>
      </c>
      <c r="H58" s="11" t="b">
        <f>IF(OR(IN_rooms!R$28="Keine",IN_rooms!R$28=""),FALSE,IN_rooms!R$34&gt;=IN_rooms!R$5)</f>
        <v>0</v>
      </c>
      <c r="I58" s="11" t="b">
        <f>IF(OR(IN_rooms!S$28="Keine",IN_rooms!S$28=""),FALSE,IN_rooms!S$34&gt;=IN_rooms!S$5)</f>
        <v>0</v>
      </c>
      <c r="J58" s="11" t="b">
        <f>IF(OR(IN_rooms!T$28="Keine",IN_rooms!T$28=""),FALSE,IN_rooms!T$34&gt;=IN_rooms!T$5)</f>
        <v>0</v>
      </c>
      <c r="K58" s="11" t="b">
        <f>IF(OR(IN_rooms!U$28="Keine",IN_rooms!U$28=""),FALSE,IN_rooms!U$34&gt;=IN_rooms!U$5)</f>
        <v>0</v>
      </c>
      <c r="L58" s="11" t="b">
        <f>IF(OR(IN_rooms!V$28="Keine",IN_rooms!V$28=""),FALSE,IN_rooms!V$34&gt;=IN_rooms!V$5)</f>
        <v>0</v>
      </c>
      <c r="M58" s="11" t="b">
        <f>IF(OR(IN_rooms!W$28="Keine",IN_rooms!W$28=""),FALSE,IN_rooms!W$34&gt;=IN_rooms!W$5)</f>
        <v>0</v>
      </c>
      <c r="N58" s="11" t="b">
        <f>IF(OR(IN_rooms!X$28="Keine",IN_rooms!X$28=""),FALSE,IN_rooms!X$34&gt;=IN_rooms!X$5)</f>
        <v>0</v>
      </c>
      <c r="O58" s="11" t="b">
        <f>IF(OR(IN_rooms!Y$28="Keine",IN_rooms!Y$28=""),FALSE,IN_rooms!Y$34&gt;=IN_rooms!Y$5)</f>
        <v>0</v>
      </c>
      <c r="P58" s="11" t="b">
        <f>IF(OR(IN_rooms!Z$28="Keine",IN_rooms!Z$28=""),FALSE,IN_rooms!Z$34&gt;=IN_rooms!Z$5)</f>
        <v>0</v>
      </c>
      <c r="Q58" s="11" t="b">
        <f>IF(OR(IN_rooms!AA$28="Keine",IN_rooms!AA$28=""),FALSE,IN_rooms!AA$34&gt;=IN_rooms!AA$5)</f>
        <v>0</v>
      </c>
      <c r="R58" s="11" t="b">
        <f>IF(OR(IN_rooms!AB$28="Keine",IN_rooms!AB$28=""),FALSE,IN_rooms!AB$34&gt;=IN_rooms!AB$5)</f>
        <v>0</v>
      </c>
      <c r="S58" s="11" t="b">
        <f>IF(OR(IN_rooms!AC$28="Keine",IN_rooms!AC$28=""),FALSE,IN_rooms!AC$34&gt;=IN_rooms!AC$5)</f>
        <v>0</v>
      </c>
      <c r="T58" s="11" t="b">
        <f>IF(OR(IN_rooms!AD$28="Keine",IN_rooms!AD$28=""),FALSE,IN_rooms!AD$34&gt;=IN_rooms!AD$5)</f>
        <v>0</v>
      </c>
      <c r="U58" s="11" t="b">
        <f>IF(OR(IN_rooms!AE$28="Keine",IN_rooms!AE$28=""),FALSE,IN_rooms!AE$34&gt;=IN_rooms!AE$5)</f>
        <v>0</v>
      </c>
      <c r="V58" s="11" t="b">
        <f>IF(OR(IN_rooms!AF$28="Keine",IN_rooms!AF$28=""),FALSE,IN_rooms!AF$34&gt;=IN_rooms!AF$5)</f>
        <v>0</v>
      </c>
    </row>
    <row r="59" spans="1:22" ht="16.5" customHeight="1">
      <c r="A59" t="s">
        <v>1049</v>
      </c>
      <c r="H59" s="11" t="b">
        <f>IF(H58,"Warnung Raum " &amp; IN_rooms!R$3 &amp; ": Unplausible Eingabe für die Höhe des Kniestocks bzw. der Drempelwand, bitte prüfen.")</f>
        <v>0</v>
      </c>
      <c r="I59" s="11" t="b">
        <f>IF(I58,"Warnung Raum " &amp; IN_rooms!S$3 &amp; ": Unplausible Eingabe für die Höhe des Kniestocks bzw. der Drempelwand, bitte prüfen.")</f>
        <v>0</v>
      </c>
      <c r="J59" s="11" t="b">
        <f>IF(J58,"Warnung Raum " &amp; IN_rooms!T$3 &amp; ": Unplausible Eingabe für die Höhe des Kniestocks bzw. der Drempelwand, bitte prüfen.")</f>
        <v>0</v>
      </c>
      <c r="K59" s="11" t="b">
        <f>IF(K58,"Warnung Raum " &amp; IN_rooms!U$3 &amp; ": Unplausible Eingabe für die Höhe des Kniestocks bzw. der Drempelwand, bitte prüfen.")</f>
        <v>0</v>
      </c>
      <c r="L59" s="11" t="b">
        <f>IF(L58,"Warnung Raum " &amp; IN_rooms!V$3 &amp; ": Unplausible Eingabe für die Höhe des Kniestocks bzw. der Drempelwand, bitte prüfen.")</f>
        <v>0</v>
      </c>
      <c r="M59" s="11" t="b">
        <f>IF(M58,"Warnung Raum " &amp; IN_rooms!W$3 &amp; ": Unplausible Eingabe für die Höhe des Kniestocks bzw. der Drempelwand, bitte prüfen.")</f>
        <v>0</v>
      </c>
      <c r="N59" s="11" t="b">
        <f>IF(N58,"Warnung Raum " &amp; IN_rooms!X$3 &amp; ": Unplausible Eingabe für die Höhe des Kniestocks bzw. der Drempelwand, bitte prüfen.")</f>
        <v>0</v>
      </c>
      <c r="O59" s="11" t="b">
        <f>IF(O58,"Warnung Raum " &amp; IN_rooms!Y$3 &amp; ": Unplausible Eingabe für die Höhe des Kniestocks bzw. der Drempelwand, bitte prüfen.")</f>
        <v>0</v>
      </c>
      <c r="P59" s="11" t="b">
        <f>IF(P58,"Warnung Raum " &amp; IN_rooms!Z$3 &amp; ": Unplausible Eingabe für die Höhe des Kniestocks bzw. der Drempelwand, bitte prüfen.")</f>
        <v>0</v>
      </c>
      <c r="Q59" s="11" t="b">
        <f>IF(Q58,"Warnung Raum " &amp; IN_rooms!AA$3 &amp; ": Unplausible Eingabe für die Höhe des Kniestocks bzw. der Drempelwand, bitte prüfen.")</f>
        <v>0</v>
      </c>
      <c r="R59" s="11" t="b">
        <f>IF(R58,"Warnung Raum " &amp; IN_rooms!AB$3 &amp; ": Unplausible Eingabe für die Höhe des Kniestocks bzw. der Drempelwand, bitte prüfen.")</f>
        <v>0</v>
      </c>
      <c r="S59" s="11" t="b">
        <f>IF(S58,"Warnung Raum " &amp; IN_rooms!AC$3 &amp; ": Unplausible Eingabe für die Höhe des Kniestocks bzw. der Drempelwand, bitte prüfen.")</f>
        <v>0</v>
      </c>
      <c r="T59" s="11" t="b">
        <f>IF(T58,"Warnung Raum " &amp; IN_rooms!AD$3 &amp; ": Unplausible Eingabe für die Höhe des Kniestocks bzw. der Drempelwand, bitte prüfen.")</f>
        <v>0</v>
      </c>
      <c r="U59" s="11" t="b">
        <f>IF(U58,"Warnung Raum " &amp; IN_rooms!AE$3 &amp; ": Unplausible Eingabe für die Höhe des Kniestocks bzw. der Drempelwand, bitte prüfen.")</f>
        <v>0</v>
      </c>
      <c r="V59" s="11" t="b">
        <f>IF(V58,"Warnung Raum " &amp; IN_rooms!AF$3 &amp; ": Unplausible Eingabe für die Höhe des Kniestocks bzw. der Drempelwand, bitte prüfen.")</f>
        <v>0</v>
      </c>
    </row>
    <row r="60" spans="1:22" ht="16.5" customHeight="1">
      <c r="A60" t="s">
        <v>1050</v>
      </c>
      <c r="H60" s="11" t="b" cm="1">
        <f t="array" ref="H60">_xlfn.LET(
_xlpm.no_roof,OR(IN_rooms!R$28="Keine",IN_rooms!R$28=""),
_xlpm.alpha,_xlfn.IFS(
IN_build!$P$4="geneigt",25*PI()/180,
IN_build!$P$4="steil",40*PI()/180,
IN_build!$P$4="sehr steil",55*PI()/180),
_xlpm.b_ceil,IN_rooms!R$32,
_xlpm.h_roof,IN_rooms!R$31,
_xlpm.b_room_max,2*SQRT(IN_rooms!R$4),
IF(_xlpm.no_roof,FALSE,IF(IN_rooms!R$28="Eine",_xlpm.b_ceil+COS(_xlpm.alpha)*_xlpm.h_roof&gt;_xlpm.b_room_max,
IF(IN_rooms!R$28="Zwei (symmetrisch)",_xlpm.b_ceil+2*COS(_xlpm.alpha)*_xlpm.h_roof&gt;_xlpm.b_room_max,FALSE))))</f>
        <v>0</v>
      </c>
      <c r="I60" s="11" t="b" cm="1">
        <f t="array" ref="I60">_xlfn.LET(
_xlpm.no_roof,OR(IN_rooms!S$28="Keine",IN_rooms!S$28=""),
_xlpm.alpha,_xlfn.IFS(
IN_build!$P$4="geneigt",25*PI()/180,
IN_build!$P$4="steil",40*PI()/180,
IN_build!$P$4="sehr steil",55*PI()/180),
_xlpm.b_ceil,IN_rooms!S$32,
_xlpm.h_roof,IN_rooms!S$31,
_xlpm.b_room_max,2*SQRT(IN_rooms!S$4),
IF(_xlpm.no_roof,FALSE,IF(IN_rooms!S$28="Eine",_xlpm.b_ceil+COS(_xlpm.alpha)*_xlpm.h_roof&gt;_xlpm.b_room_max,
IF(IN_rooms!S$28="Zwei (symmetrisch)",_xlpm.b_ceil+2*COS(_xlpm.alpha)*_xlpm.h_roof&gt;_xlpm.b_room_max,FALSE))))</f>
        <v>0</v>
      </c>
      <c r="J60" s="11" t="b" cm="1">
        <f t="array" ref="J60">_xlfn.LET(
_xlpm.no_roof,OR(IN_rooms!T$28="Keine",IN_rooms!T$28=""),
_xlpm.alpha,_xlfn.IFS(
IN_build!$P$4="geneigt",25*PI()/180,
IN_build!$P$4="steil",40*PI()/180,
IN_build!$P$4="sehr steil",55*PI()/180),
_xlpm.b_ceil,IN_rooms!T$32,
_xlpm.h_roof,IN_rooms!T$31,
_xlpm.b_room_max,2*SQRT(IN_rooms!T$4),
IF(_xlpm.no_roof,FALSE,IF(IN_rooms!T$28="Eine",_xlpm.b_ceil+COS(_xlpm.alpha)*_xlpm.h_roof&gt;_xlpm.b_room_max,
IF(IN_rooms!T$28="Zwei (symmetrisch)",_xlpm.b_ceil+2*COS(_xlpm.alpha)*_xlpm.h_roof&gt;_xlpm.b_room_max,FALSE))))</f>
        <v>0</v>
      </c>
      <c r="K60" s="11" t="b" cm="1">
        <f t="array" ref="K60">_xlfn.LET(
_xlpm.no_roof,OR(IN_rooms!U$28="Keine",IN_rooms!U$28=""),
_xlpm.alpha,_xlfn.IFS(
IN_build!$P$4="geneigt",25*PI()/180,
IN_build!$P$4="steil",40*PI()/180,
IN_build!$P$4="sehr steil",55*PI()/180),
_xlpm.b_ceil,IN_rooms!U$32,
_xlpm.h_roof,IN_rooms!U$31,
_xlpm.b_room_max,2*SQRT(IN_rooms!U$4),
IF(_xlpm.no_roof,FALSE,IF(IN_rooms!U$28="Eine",_xlpm.b_ceil+COS(_xlpm.alpha)*_xlpm.h_roof&gt;_xlpm.b_room_max,
IF(IN_rooms!U$28="Zwei (symmetrisch)",_xlpm.b_ceil+2*COS(_xlpm.alpha)*_xlpm.h_roof&gt;_xlpm.b_room_max,FALSE))))</f>
        <v>0</v>
      </c>
      <c r="L60" s="11" t="b" cm="1">
        <f t="array" ref="L60">_xlfn.LET(
_xlpm.no_roof,OR(IN_rooms!V$28="Keine",IN_rooms!V$28=""),
_xlpm.alpha,_xlfn.IFS(
IN_build!$P$4="geneigt",25*PI()/180,
IN_build!$P$4="steil",40*PI()/180,
IN_build!$P$4="sehr steil",55*PI()/180),
_xlpm.b_ceil,IN_rooms!V$32,
_xlpm.h_roof,IN_rooms!V$31,
_xlpm.b_room_max,2*SQRT(IN_rooms!V$4),
IF(_xlpm.no_roof,FALSE,IF(IN_rooms!V$28="Eine",_xlpm.b_ceil+COS(_xlpm.alpha)*_xlpm.h_roof&gt;_xlpm.b_room_max,
IF(IN_rooms!V$28="Zwei (symmetrisch)",_xlpm.b_ceil+2*COS(_xlpm.alpha)*_xlpm.h_roof&gt;_xlpm.b_room_max,FALSE))))</f>
        <v>0</v>
      </c>
      <c r="M60" s="11" t="b" cm="1">
        <f t="array" ref="M60">_xlfn.LET(
_xlpm.no_roof,OR(IN_rooms!W$28="Keine",IN_rooms!W$28=""),
_xlpm.alpha,_xlfn.IFS(
IN_build!$P$4="geneigt",25*PI()/180,
IN_build!$P$4="steil",40*PI()/180,
IN_build!$P$4="sehr steil",55*PI()/180),
_xlpm.b_ceil,IN_rooms!W$32,
_xlpm.h_roof,IN_rooms!W$31,
_xlpm.b_room_max,2*SQRT(IN_rooms!W$4),
IF(_xlpm.no_roof,FALSE,IF(IN_rooms!W$28="Eine",_xlpm.b_ceil+COS(_xlpm.alpha)*_xlpm.h_roof&gt;_xlpm.b_room_max,
IF(IN_rooms!W$28="Zwei (symmetrisch)",_xlpm.b_ceil+2*COS(_xlpm.alpha)*_xlpm.h_roof&gt;_xlpm.b_room_max,FALSE))))</f>
        <v>0</v>
      </c>
      <c r="N60" s="11" t="b" cm="1">
        <f t="array" ref="N60">_xlfn.LET(
_xlpm.no_roof,OR(IN_rooms!X$28="Keine",IN_rooms!X$28=""),
_xlpm.alpha,_xlfn.IFS(
IN_build!$P$4="geneigt",25*PI()/180,
IN_build!$P$4="steil",40*PI()/180,
IN_build!$P$4="sehr steil",55*PI()/180),
_xlpm.b_ceil,IN_rooms!X$32,
_xlpm.h_roof,IN_rooms!X$31,
_xlpm.b_room_max,2*SQRT(IN_rooms!X$4),
IF(_xlpm.no_roof,FALSE,IF(IN_rooms!X$28="Eine",_xlpm.b_ceil+COS(_xlpm.alpha)*_xlpm.h_roof&gt;_xlpm.b_room_max,
IF(IN_rooms!X$28="Zwei (symmetrisch)",_xlpm.b_ceil+2*COS(_xlpm.alpha)*_xlpm.h_roof&gt;_xlpm.b_room_max,FALSE))))</f>
        <v>0</v>
      </c>
      <c r="O60" s="11" t="b" cm="1">
        <f t="array" ref="O60">_xlfn.LET(
_xlpm.no_roof,OR(IN_rooms!Y$28="Keine",IN_rooms!Y$28=""),
_xlpm.alpha,_xlfn.IFS(
IN_build!$P$4="geneigt",25*PI()/180,
IN_build!$P$4="steil",40*PI()/180,
IN_build!$P$4="sehr steil",55*PI()/180),
_xlpm.b_ceil,IN_rooms!Y$32,
_xlpm.h_roof,IN_rooms!Y$31,
_xlpm.b_room_max,2*SQRT(IN_rooms!Y$4),
IF(_xlpm.no_roof,FALSE,IF(IN_rooms!Y$28="Eine",_xlpm.b_ceil+COS(_xlpm.alpha)*_xlpm.h_roof&gt;_xlpm.b_room_max,
IF(IN_rooms!Y$28="Zwei (symmetrisch)",_xlpm.b_ceil+2*COS(_xlpm.alpha)*_xlpm.h_roof&gt;_xlpm.b_room_max,FALSE))))</f>
        <v>0</v>
      </c>
      <c r="P60" s="11" t="b" cm="1">
        <f t="array" ref="P60">_xlfn.LET(
_xlpm.no_roof,OR(IN_rooms!Z$28="Keine",IN_rooms!Z$28=""),
_xlpm.alpha,_xlfn.IFS(
IN_build!$P$4="geneigt",25*PI()/180,
IN_build!$P$4="steil",40*PI()/180,
IN_build!$P$4="sehr steil",55*PI()/180),
_xlpm.b_ceil,IN_rooms!Z$32,
_xlpm.h_roof,IN_rooms!Z$31,
_xlpm.b_room_max,2*SQRT(IN_rooms!Z$4),
IF(_xlpm.no_roof,FALSE,IF(IN_rooms!Z$28="Eine",_xlpm.b_ceil+COS(_xlpm.alpha)*_xlpm.h_roof&gt;_xlpm.b_room_max,
IF(IN_rooms!Z$28="Zwei (symmetrisch)",_xlpm.b_ceil+2*COS(_xlpm.alpha)*_xlpm.h_roof&gt;_xlpm.b_room_max,FALSE))))</f>
        <v>0</v>
      </c>
      <c r="Q60" s="11" t="b" cm="1">
        <f t="array" ref="Q60">_xlfn.LET(
_xlpm.no_roof,OR(IN_rooms!AA$28="Keine",IN_rooms!AA$28=""),
_xlpm.alpha,_xlfn.IFS(
IN_build!$P$4="geneigt",25*PI()/180,
IN_build!$P$4="steil",40*PI()/180,
IN_build!$P$4="sehr steil",55*PI()/180),
_xlpm.b_ceil,IN_rooms!AA$32,
_xlpm.h_roof,IN_rooms!AA$31,
_xlpm.b_room_max,2*SQRT(IN_rooms!AA$4),
IF(_xlpm.no_roof,FALSE,IF(IN_rooms!AA$28="Eine",_xlpm.b_ceil+COS(_xlpm.alpha)*_xlpm.h_roof&gt;_xlpm.b_room_max,
IF(IN_rooms!AA$28="Zwei (symmetrisch)",_xlpm.b_ceil+2*COS(_xlpm.alpha)*_xlpm.h_roof&gt;_xlpm.b_room_max,FALSE))))</f>
        <v>0</v>
      </c>
      <c r="R60" s="11" t="b" cm="1">
        <f t="array" ref="R60">_xlfn.LET(
_xlpm.no_roof,OR(IN_rooms!AB$28="Keine",IN_rooms!AB$28=""),
_xlpm.alpha,_xlfn.IFS(
IN_build!$P$4="geneigt",25*PI()/180,
IN_build!$P$4="steil",40*PI()/180,
IN_build!$P$4="sehr steil",55*PI()/180),
_xlpm.b_ceil,IN_rooms!AB$32,
_xlpm.h_roof,IN_rooms!AB$31,
_xlpm.b_room_max,2*SQRT(IN_rooms!AB$4),
IF(_xlpm.no_roof,FALSE,IF(IN_rooms!AB$28="Eine",_xlpm.b_ceil+COS(_xlpm.alpha)*_xlpm.h_roof&gt;_xlpm.b_room_max,
IF(IN_rooms!AB$28="Zwei (symmetrisch)",_xlpm.b_ceil+2*COS(_xlpm.alpha)*_xlpm.h_roof&gt;_xlpm.b_room_max,FALSE))))</f>
        <v>0</v>
      </c>
      <c r="S60" s="11" t="b" cm="1">
        <f t="array" ref="S60">_xlfn.LET(
_xlpm.no_roof,OR(IN_rooms!AC$28="Keine",IN_rooms!AC$28=""),
_xlpm.alpha,_xlfn.IFS(
IN_build!$P$4="geneigt",25*PI()/180,
IN_build!$P$4="steil",40*PI()/180,
IN_build!$P$4="sehr steil",55*PI()/180),
_xlpm.b_ceil,IN_rooms!AC$32,
_xlpm.h_roof,IN_rooms!AC$31,
_xlpm.b_room_max,2*SQRT(IN_rooms!AC$4),
IF(_xlpm.no_roof,FALSE,IF(IN_rooms!AC$28="Eine",_xlpm.b_ceil+COS(_xlpm.alpha)*_xlpm.h_roof&gt;_xlpm.b_room_max,
IF(IN_rooms!AC$28="Zwei (symmetrisch)",_xlpm.b_ceil+2*COS(_xlpm.alpha)*_xlpm.h_roof&gt;_xlpm.b_room_max,FALSE))))</f>
        <v>0</v>
      </c>
      <c r="T60" s="11" t="b" cm="1">
        <f t="array" ref="T60">_xlfn.LET(
_xlpm.no_roof,OR(IN_rooms!AD$28="Keine",IN_rooms!AD$28=""),
_xlpm.alpha,_xlfn.IFS(
IN_build!$P$4="geneigt",25*PI()/180,
IN_build!$P$4="steil",40*PI()/180,
IN_build!$P$4="sehr steil",55*PI()/180),
_xlpm.b_ceil,IN_rooms!AD$32,
_xlpm.h_roof,IN_rooms!AD$31,
_xlpm.b_room_max,2*SQRT(IN_rooms!AD$4),
IF(_xlpm.no_roof,FALSE,IF(IN_rooms!AD$28="Eine",_xlpm.b_ceil+COS(_xlpm.alpha)*_xlpm.h_roof&gt;_xlpm.b_room_max,
IF(IN_rooms!AD$28="Zwei (symmetrisch)",_xlpm.b_ceil+2*COS(_xlpm.alpha)*_xlpm.h_roof&gt;_xlpm.b_room_max,FALSE))))</f>
        <v>0</v>
      </c>
      <c r="U60" s="11" t="b" cm="1">
        <f t="array" ref="U60">_xlfn.LET(
_xlpm.no_roof,OR(IN_rooms!AE$28="Keine",IN_rooms!AE$28=""),
_xlpm.alpha,_xlfn.IFS(
IN_build!$P$4="geneigt",25*PI()/180,
IN_build!$P$4="steil",40*PI()/180,
IN_build!$P$4="sehr steil",55*PI()/180),
_xlpm.b_ceil,IN_rooms!AE$32,
_xlpm.h_roof,IN_rooms!AE$31,
_xlpm.b_room_max,2*SQRT(IN_rooms!AE$4),
IF(_xlpm.no_roof,FALSE,IF(IN_rooms!AE$28="Eine",_xlpm.b_ceil+COS(_xlpm.alpha)*_xlpm.h_roof&gt;_xlpm.b_room_max,
IF(IN_rooms!AE$28="Zwei (symmetrisch)",_xlpm.b_ceil+2*COS(_xlpm.alpha)*_xlpm.h_roof&gt;_xlpm.b_room_max,FALSE))))</f>
        <v>0</v>
      </c>
      <c r="V60" s="11" t="b" cm="1">
        <f t="array" ref="V60">_xlfn.LET(
_xlpm.no_roof,OR(IN_rooms!AF$28="Keine",IN_rooms!AF$28=""),
_xlpm.alpha,_xlfn.IFS(
IN_build!$P$4="geneigt",25*PI()/180,
IN_build!$P$4="steil",40*PI()/180,
IN_build!$P$4="sehr steil",55*PI()/180),
_xlpm.b_ceil,IN_rooms!AF$32,
_xlpm.h_roof,IN_rooms!AF$31,
_xlpm.b_room_max,2*SQRT(IN_rooms!AF$4),
IF(_xlpm.no_roof,FALSE,IF(IN_rooms!AF$28="Eine",_xlpm.b_ceil+COS(_xlpm.alpha)*_xlpm.h_roof&gt;_xlpm.b_room_max,
IF(IN_rooms!AF$28="Zwei (symmetrisch)",_xlpm.b_ceil+2*COS(_xlpm.alpha)*_xlpm.h_roof&gt;_xlpm.b_room_max,FALSE))))</f>
        <v>0</v>
      </c>
    </row>
    <row r="61" spans="1:22" ht="16.5" customHeight="1">
      <c r="A61" t="s">
        <v>1051</v>
      </c>
      <c r="H61" s="11" t="str">
        <f>IF(H60,"Warnung Raum " &amp; IN_rooms!R$3 &amp; ": Die eingegebene Höhe der Dachschräge ist unplausibel groß, bitte prüfen.","")</f>
        <v/>
      </c>
      <c r="I61" s="11" t="str">
        <f>IF(I60,"Warnung Raum " &amp; IN_rooms!S$3 &amp; ": Die eingegebene Höhe der Dachschräge ist unplausibel groß, bitte prüfen.","")</f>
        <v/>
      </c>
      <c r="J61" s="11" t="str">
        <f>IF(J60,"Warnung Raum " &amp; IN_rooms!T$3 &amp; ": Die eingegebene Höhe der Dachschräge ist unplausibel groß, bitte prüfen.","")</f>
        <v/>
      </c>
      <c r="K61" s="11" t="str">
        <f>IF(K60,"Warnung Raum " &amp; IN_rooms!U$3 &amp; ": Die eingegebene Höhe der Dachschräge ist unplausibel groß, bitte prüfen.","")</f>
        <v/>
      </c>
      <c r="L61" s="11" t="str">
        <f>IF(L60,"Warnung Raum " &amp; IN_rooms!V$3 &amp; ": Die eingegebene Höhe der Dachschräge ist unplausibel groß, bitte prüfen.","")</f>
        <v/>
      </c>
      <c r="M61" s="11" t="str">
        <f>IF(M60,"Warnung Raum " &amp; IN_rooms!W$3 &amp; ": Die eingegebene Höhe der Dachschräge ist unplausibel groß, bitte prüfen.","")</f>
        <v/>
      </c>
      <c r="N61" s="11" t="str">
        <f>IF(N60,"Warnung Raum " &amp; IN_rooms!X$3 &amp; ": Die eingegebene Höhe der Dachschräge ist unplausibel groß, bitte prüfen.","")</f>
        <v/>
      </c>
      <c r="O61" s="11" t="str">
        <f>IF(O60,"Warnung Raum " &amp; IN_rooms!Y$3 &amp; ": Die eingegebene Höhe der Dachschräge ist unplausibel groß, bitte prüfen.","")</f>
        <v/>
      </c>
      <c r="P61" s="11" t="str">
        <f>IF(P60,"Warnung Raum " &amp; IN_rooms!Z$3 &amp; ": Die eingegebene Höhe der Dachschräge ist unplausibel groß, bitte prüfen.","")</f>
        <v/>
      </c>
      <c r="Q61" s="11" t="str">
        <f>IF(Q60,"Warnung Raum " &amp; IN_rooms!AA$3 &amp; ": Die eingegebene Höhe der Dachschräge ist unplausibel groß, bitte prüfen.","")</f>
        <v/>
      </c>
      <c r="R61" s="11" t="str">
        <f>IF(R60,"Warnung Raum " &amp; IN_rooms!AB$3 &amp; ": Die eingegebene Höhe der Dachschräge ist unplausibel groß, bitte prüfen.","")</f>
        <v/>
      </c>
      <c r="S61" s="11" t="str">
        <f>IF(S60,"Warnung Raum " &amp; IN_rooms!AC$3 &amp; ": Die eingegebene Höhe der Dachschräge ist unplausibel groß, bitte prüfen.","")</f>
        <v/>
      </c>
      <c r="T61" s="11" t="str">
        <f>IF(T60,"Warnung Raum " &amp; IN_rooms!AD$3 &amp; ": Die eingegebene Höhe der Dachschräge ist unplausibel groß, bitte prüfen.","")</f>
        <v/>
      </c>
      <c r="U61" s="11" t="str">
        <f>IF(U60,"Warnung Raum " &amp; IN_rooms!AE$3 &amp; ": Die eingegebene Höhe der Dachschräge ist unplausibel groß, bitte prüfen.","")</f>
        <v/>
      </c>
      <c r="V61" s="11" t="str">
        <f>IF(V60,"Warnung Raum " &amp; IN_rooms!AF$3 &amp; ": Die eingegebene Höhe der Dachschräge ist unplausibel groß, bitte prüfen.","")</f>
        <v/>
      </c>
    </row>
    <row r="62" spans="1:22" ht="16.5" customHeight="1">
      <c r="A62" t="s">
        <v>1052</v>
      </c>
      <c r="H62" s="11" t="b" cm="1">
        <f t="array" ref="H62">_xlfn.LET(
_xlpm.no_roof,OR(IN_rooms!R$28="Keine",IN_rooms!R$28=""),
_xlpm.alpha,_xlfn.IFS(
IN_build!$P$4="geneigt",25*PI()/180,
IN_build!$P$4="steil",40*PI()/180,
IN_build!$P$4="sehr steil",55*PI()/180),
_xlpm.h_jamb,IN_rooms!R$34,
_xlpm.h_roof,IN_rooms!R$31,
_xlpm.h_room,IN_rooms!R$5,
IF(_xlpm.no_roof,FALSE,_xlpm.h_jamb + SIN(_xlpm.alpha)*_xlpm.h_roof&gt;1.2*_xlpm.h_room))</f>
        <v>0</v>
      </c>
      <c r="I62" s="11" t="b" cm="1">
        <f t="array" ref="I62">_xlfn.LET(
_xlpm.no_roof,OR(IN_rooms!S$28="Keine",IN_rooms!S$28=""),
_xlpm.alpha,_xlfn.IFS(
IN_build!$P$4="geneigt",25*PI()/180,
IN_build!$P$4="steil",40*PI()/180,
IN_build!$P$4="sehr steil",55*PI()/180),
_xlpm.h_jamb,IN_rooms!S$34,
_xlpm.h_roof,IN_rooms!S$31,
_xlpm.h_room,IN_rooms!S$5,
IF(_xlpm.no_roof,FALSE,_xlpm.h_jamb + SIN(_xlpm.alpha)*_xlpm.h_roof&gt;1.2*_xlpm.h_room))</f>
        <v>0</v>
      </c>
      <c r="J62" s="11" t="b" cm="1">
        <f t="array" ref="J62">_xlfn.LET(
_xlpm.no_roof,OR(IN_rooms!T$28="Keine",IN_rooms!T$28=""),
_xlpm.alpha,_xlfn.IFS(
IN_build!$P$4="geneigt",25*PI()/180,
IN_build!$P$4="steil",40*PI()/180,
IN_build!$P$4="sehr steil",55*PI()/180),
_xlpm.h_jamb,IN_rooms!T$34,
_xlpm.h_roof,IN_rooms!T$31,
_xlpm.h_room,IN_rooms!T$5,
IF(_xlpm.no_roof,FALSE,_xlpm.h_jamb + SIN(_xlpm.alpha)*_xlpm.h_roof&gt;1.2*_xlpm.h_room))</f>
        <v>0</v>
      </c>
      <c r="K62" s="11" t="b" cm="1">
        <f t="array" ref="K62">_xlfn.LET(
_xlpm.no_roof,OR(IN_rooms!U$28="Keine",IN_rooms!U$28=""),
_xlpm.alpha,_xlfn.IFS(
IN_build!$P$4="geneigt",25*PI()/180,
IN_build!$P$4="steil",40*PI()/180,
IN_build!$P$4="sehr steil",55*PI()/180),
_xlpm.h_jamb,IN_rooms!U$34,
_xlpm.h_roof,IN_rooms!U$31,
_xlpm.h_room,IN_rooms!U$5,
IF(_xlpm.no_roof,FALSE,_xlpm.h_jamb + SIN(_xlpm.alpha)*_xlpm.h_roof&gt;1.2*_xlpm.h_room))</f>
        <v>0</v>
      </c>
      <c r="L62" s="11" t="b" cm="1">
        <f t="array" ref="L62">_xlfn.LET(
_xlpm.no_roof,OR(IN_rooms!V$28="Keine",IN_rooms!V$28=""),
_xlpm.alpha,_xlfn.IFS(
IN_build!$P$4="geneigt",25*PI()/180,
IN_build!$P$4="steil",40*PI()/180,
IN_build!$P$4="sehr steil",55*PI()/180),
_xlpm.h_jamb,IN_rooms!V$34,
_xlpm.h_roof,IN_rooms!V$31,
_xlpm.h_room,IN_rooms!V$5,
IF(_xlpm.no_roof,FALSE,_xlpm.h_jamb + SIN(_xlpm.alpha)*_xlpm.h_roof&gt;1.2*_xlpm.h_room))</f>
        <v>0</v>
      </c>
      <c r="M62" s="11" t="b" cm="1">
        <f t="array" ref="M62">_xlfn.LET(
_xlpm.no_roof,OR(IN_rooms!W$28="Keine",IN_rooms!W$28=""),
_xlpm.alpha,_xlfn.IFS(
IN_build!$P$4="geneigt",25*PI()/180,
IN_build!$P$4="steil",40*PI()/180,
IN_build!$P$4="sehr steil",55*PI()/180),
_xlpm.h_jamb,IN_rooms!W$34,
_xlpm.h_roof,IN_rooms!W$31,
_xlpm.h_room,IN_rooms!W$5,
IF(_xlpm.no_roof,FALSE,_xlpm.h_jamb + SIN(_xlpm.alpha)*_xlpm.h_roof&gt;1.2*_xlpm.h_room))</f>
        <v>0</v>
      </c>
      <c r="N62" s="11" t="b" cm="1">
        <f t="array" ref="N62">_xlfn.LET(
_xlpm.no_roof,OR(IN_rooms!X$28="Keine",IN_rooms!X$28=""),
_xlpm.alpha,_xlfn.IFS(
IN_build!$P$4="geneigt",25*PI()/180,
IN_build!$P$4="steil",40*PI()/180,
IN_build!$P$4="sehr steil",55*PI()/180),
_xlpm.h_jamb,IN_rooms!X$34,
_xlpm.h_roof,IN_rooms!X$31,
_xlpm.h_room,IN_rooms!X$5,
IF(_xlpm.no_roof,FALSE,_xlpm.h_jamb + SIN(_xlpm.alpha)*_xlpm.h_roof&gt;1.2*_xlpm.h_room))</f>
        <v>0</v>
      </c>
      <c r="O62" s="11" t="b" cm="1">
        <f t="array" ref="O62">_xlfn.LET(
_xlpm.no_roof,OR(IN_rooms!Y$28="Keine",IN_rooms!Y$28=""),
_xlpm.alpha,_xlfn.IFS(
IN_build!$P$4="geneigt",25*PI()/180,
IN_build!$P$4="steil",40*PI()/180,
IN_build!$P$4="sehr steil",55*PI()/180),
_xlpm.h_jamb,IN_rooms!Y$34,
_xlpm.h_roof,IN_rooms!Y$31,
_xlpm.h_room,IN_rooms!Y$5,
IF(_xlpm.no_roof,FALSE,_xlpm.h_jamb + SIN(_xlpm.alpha)*_xlpm.h_roof&gt;1.2*_xlpm.h_room))</f>
        <v>0</v>
      </c>
      <c r="P62" s="11" t="b" cm="1">
        <f t="array" ref="P62">_xlfn.LET(
_xlpm.no_roof,OR(IN_rooms!Z$28="Keine",IN_rooms!Z$28=""),
_xlpm.alpha,_xlfn.IFS(
IN_build!$P$4="geneigt",25*PI()/180,
IN_build!$P$4="steil",40*PI()/180,
IN_build!$P$4="sehr steil",55*PI()/180),
_xlpm.h_jamb,IN_rooms!Z$34,
_xlpm.h_roof,IN_rooms!Z$31,
_xlpm.h_room,IN_rooms!Z$5,
IF(_xlpm.no_roof,FALSE,_xlpm.h_jamb + SIN(_xlpm.alpha)*_xlpm.h_roof&gt;1.2*_xlpm.h_room))</f>
        <v>0</v>
      </c>
      <c r="Q62" s="11" t="b" cm="1">
        <f t="array" ref="Q62">_xlfn.LET(
_xlpm.no_roof,OR(IN_rooms!AA$28="Keine",IN_rooms!AA$28=""),
_xlpm.alpha,_xlfn.IFS(
IN_build!$P$4="geneigt",25*PI()/180,
IN_build!$P$4="steil",40*PI()/180,
IN_build!$P$4="sehr steil",55*PI()/180),
_xlpm.h_jamb,IN_rooms!AA$34,
_xlpm.h_roof,IN_rooms!AA$31,
_xlpm.h_room,IN_rooms!AA$5,
IF(_xlpm.no_roof,FALSE,_xlpm.h_jamb + SIN(_xlpm.alpha)*_xlpm.h_roof&gt;1.2*_xlpm.h_room))</f>
        <v>0</v>
      </c>
      <c r="R62" s="11" t="b" cm="1">
        <f t="array" ref="R62">_xlfn.LET(
_xlpm.no_roof,OR(IN_rooms!AB$28="Keine",IN_rooms!AB$28=""),
_xlpm.alpha,_xlfn.IFS(
IN_build!$P$4="geneigt",25*PI()/180,
IN_build!$P$4="steil",40*PI()/180,
IN_build!$P$4="sehr steil",55*PI()/180),
_xlpm.h_jamb,IN_rooms!AB$34,
_xlpm.h_roof,IN_rooms!AB$31,
_xlpm.h_room,IN_rooms!AB$5,
IF(_xlpm.no_roof,FALSE,_xlpm.h_jamb + SIN(_xlpm.alpha)*_xlpm.h_roof&gt;1.2*_xlpm.h_room))</f>
        <v>0</v>
      </c>
      <c r="S62" s="11" t="b" cm="1">
        <f t="array" ref="S62">_xlfn.LET(
_xlpm.no_roof,OR(IN_rooms!AC$28="Keine",IN_rooms!AC$28=""),
_xlpm.alpha,_xlfn.IFS(
IN_build!$P$4="geneigt",25*PI()/180,
IN_build!$P$4="steil",40*PI()/180,
IN_build!$P$4="sehr steil",55*PI()/180),
_xlpm.h_jamb,IN_rooms!AC$34,
_xlpm.h_roof,IN_rooms!AC$31,
_xlpm.h_room,IN_rooms!AC$5,
IF(_xlpm.no_roof,FALSE,_xlpm.h_jamb + SIN(_xlpm.alpha)*_xlpm.h_roof&gt;1.2*_xlpm.h_room))</f>
        <v>0</v>
      </c>
      <c r="T62" s="11" t="b" cm="1">
        <f t="array" ref="T62">_xlfn.LET(
_xlpm.no_roof,OR(IN_rooms!AD$28="Keine",IN_rooms!AD$28=""),
_xlpm.alpha,_xlfn.IFS(
IN_build!$P$4="geneigt",25*PI()/180,
IN_build!$P$4="steil",40*PI()/180,
IN_build!$P$4="sehr steil",55*PI()/180),
_xlpm.h_jamb,IN_rooms!AD$34,
_xlpm.h_roof,IN_rooms!AD$31,
_xlpm.h_room,IN_rooms!AD$5,
IF(_xlpm.no_roof,FALSE,_xlpm.h_jamb + SIN(_xlpm.alpha)*_xlpm.h_roof&gt;1.2*_xlpm.h_room))</f>
        <v>0</v>
      </c>
      <c r="U62" s="11" t="b" cm="1">
        <f t="array" ref="U62">_xlfn.LET(
_xlpm.no_roof,OR(IN_rooms!AE$28="Keine",IN_rooms!AE$28=""),
_xlpm.alpha,_xlfn.IFS(
IN_build!$P$4="geneigt",25*PI()/180,
IN_build!$P$4="steil",40*PI()/180,
IN_build!$P$4="sehr steil",55*PI()/180),
_xlpm.h_jamb,IN_rooms!AE$34,
_xlpm.h_roof,IN_rooms!AE$31,
_xlpm.h_room,IN_rooms!AE$5,
IF(_xlpm.no_roof,FALSE,_xlpm.h_jamb + SIN(_xlpm.alpha)*_xlpm.h_roof&gt;1.2*_xlpm.h_room))</f>
        <v>0</v>
      </c>
      <c r="V62" s="11" t="b" cm="1">
        <f t="array" ref="V62">_xlfn.LET(
_xlpm.no_roof,OR(IN_rooms!AF$28="Keine",IN_rooms!AF$28=""),
_xlpm.alpha,_xlfn.IFS(
IN_build!$P$4="geneigt",25*PI()/180,
IN_build!$P$4="steil",40*PI()/180,
IN_build!$P$4="sehr steil",55*PI()/180),
_xlpm.h_jamb,IN_rooms!AF$34,
_xlpm.h_roof,IN_rooms!AF$31,
_xlpm.h_room,IN_rooms!AF$5,
IF(_xlpm.no_roof,FALSE,_xlpm.h_jamb + SIN(_xlpm.alpha)*_xlpm.h_roof&gt;1.2*_xlpm.h_room))</f>
        <v>0</v>
      </c>
    </row>
    <row r="63" spans="1:22" ht="16.5" customHeight="1">
      <c r="A63" t="s">
        <v>1053</v>
      </c>
      <c r="H63" s="11" t="str">
        <f>IF(H62,"Warnung Raum " &amp; IN_rooms!R$3 &amp; ": Die Höhe der Dachschräge und die höhe der Drempelwand / Kniestock sind zu groß für die angegebene Raumhöhe, bitte prüfen.","")</f>
        <v/>
      </c>
      <c r="I63" s="11" t="str">
        <f>IF(I62,"Warnung Raum " &amp; IN_rooms!S$3 &amp; ": Die Höhe der Dachschräge und die höhe der Drempelwand / Kniestock sind zu groß für die angegebene Raumhöhe, bitte prüfen.","")</f>
        <v/>
      </c>
      <c r="J63" s="11" t="str">
        <f>IF(J62,"Warnung Raum " &amp; IN_rooms!T$3 &amp; ": Die Höhe der Dachschräge und die höhe der Drempelwand / Kniestock sind zu groß für die angegebene Raumhöhe, bitte prüfen.","")</f>
        <v/>
      </c>
      <c r="K63" s="11" t="str">
        <f>IF(K62,"Warnung Raum " &amp; IN_rooms!U$3 &amp; ": Die Höhe der Dachschräge und die höhe der Drempelwand / Kniestock sind zu groß für die angegebene Raumhöhe, bitte prüfen.","")</f>
        <v/>
      </c>
      <c r="L63" s="11" t="str">
        <f>IF(L62,"Warnung Raum " &amp; IN_rooms!V$3 &amp; ": Die Höhe der Dachschräge und die höhe der Drempelwand / Kniestock sind zu groß für die angegebene Raumhöhe, bitte prüfen.","")</f>
        <v/>
      </c>
      <c r="M63" s="11" t="str">
        <f>IF(M62,"Warnung Raum " &amp; IN_rooms!W$3 &amp; ": Die Höhe der Dachschräge und die höhe der Drempelwand / Kniestock sind zu groß für die angegebene Raumhöhe, bitte prüfen.","")</f>
        <v/>
      </c>
      <c r="N63" s="11" t="str">
        <f>IF(N62,"Warnung Raum " &amp; IN_rooms!X$3 &amp; ": Die Höhe der Dachschräge und die höhe der Drempelwand / Kniestock sind zu groß für die angegebene Raumhöhe, bitte prüfen.","")</f>
        <v/>
      </c>
      <c r="O63" s="11" t="str">
        <f>IF(O62,"Warnung Raum " &amp; IN_rooms!Y$3 &amp; ": Die Höhe der Dachschräge und die höhe der Drempelwand / Kniestock sind zu groß für die angegebene Raumhöhe, bitte prüfen.","")</f>
        <v/>
      </c>
      <c r="P63" s="11" t="str">
        <f>IF(P62,"Warnung Raum " &amp; IN_rooms!Z$3 &amp; ": Die Höhe der Dachschräge und die höhe der Drempelwand / Kniestock sind zu groß für die angegebene Raumhöhe, bitte prüfen.","")</f>
        <v/>
      </c>
      <c r="Q63" s="11" t="str">
        <f>IF(Q62,"Warnung Raum " &amp; IN_rooms!AA$3 &amp; ": Die Höhe der Dachschräge und die höhe der Drempelwand / Kniestock sind zu groß für die angegebene Raumhöhe, bitte prüfen.","")</f>
        <v/>
      </c>
      <c r="R63" s="11" t="str">
        <f>IF(R62,"Warnung Raum " &amp; IN_rooms!AB$3 &amp; ": Die Höhe der Dachschräge und die höhe der Drempelwand / Kniestock sind zu groß für die angegebene Raumhöhe, bitte prüfen.","")</f>
        <v/>
      </c>
      <c r="S63" s="11" t="str">
        <f>IF(S62,"Warnung Raum " &amp; IN_rooms!AC$3 &amp; ": Die Höhe der Dachschräge und die höhe der Drempelwand / Kniestock sind zu groß für die angegebene Raumhöhe, bitte prüfen.","")</f>
        <v/>
      </c>
      <c r="T63" s="11" t="str">
        <f>IF(T62,"Warnung Raum " &amp; IN_rooms!AD$3 &amp; ": Die Höhe der Dachschräge und die höhe der Drempelwand / Kniestock sind zu groß für die angegebene Raumhöhe, bitte prüfen.","")</f>
        <v/>
      </c>
      <c r="U63" s="11" t="str">
        <f>IF(U62,"Warnung Raum " &amp; IN_rooms!AE$3 &amp; ": Die Höhe der Dachschräge und die höhe der Drempelwand / Kniestock sind zu groß für die angegebene Raumhöhe, bitte prüfen.","")</f>
        <v/>
      </c>
      <c r="V63" s="11" t="str">
        <f>IF(V62,"Warnung Raum " &amp; IN_rooms!AF$3 &amp; ": Die Höhe der Dachschräge und die höhe der Drempelwand / Kniestock sind zu groß für die angegebene Raumhöhe, bitte prüfen.","")</f>
        <v/>
      </c>
    </row>
    <row r="64" spans="1:22" ht="16.5" customHeight="1">
      <c r="A64" t="s">
        <v>1054</v>
      </c>
      <c r="H64" s="11" t="b">
        <f>IF(OR(ISNUMBER(SEARCH("bad",IN_rooms!R$3)),ISNUMBER(SEARCH("wc",IN_rooms!R$3))),IN_rooms!R$6&gt;24,IN_rooms!R$6&gt;21)</f>
        <v>0</v>
      </c>
      <c r="I64" s="11" t="b">
        <f>IF(OR(ISNUMBER(SEARCH("bad",IN_rooms!S$3)),ISNUMBER(SEARCH("wc",IN_rooms!S$3))),IN_rooms!S$6&gt;24,IN_rooms!S$6&gt;21)</f>
        <v>0</v>
      </c>
      <c r="J64" s="11" t="b">
        <f>IF(OR(ISNUMBER(SEARCH("bad",IN_rooms!T$3)),ISNUMBER(SEARCH("wc",IN_rooms!T$3))),IN_rooms!T$6&gt;24,IN_rooms!T$6&gt;21)</f>
        <v>0</v>
      </c>
      <c r="K64" s="11" t="b">
        <f>IF(OR(ISNUMBER(SEARCH("bad",IN_rooms!U$3)),ISNUMBER(SEARCH("wc",IN_rooms!U$3))),IN_rooms!U$6&gt;24,IN_rooms!U$6&gt;21)</f>
        <v>0</v>
      </c>
      <c r="L64" s="11" t="b">
        <f>IF(OR(ISNUMBER(SEARCH("bad",IN_rooms!V$3)),ISNUMBER(SEARCH("wc",IN_rooms!V$3))),IN_rooms!V$6&gt;24,IN_rooms!V$6&gt;21)</f>
        <v>0</v>
      </c>
      <c r="M64" s="11" t="b">
        <f>IF(OR(ISNUMBER(SEARCH("bad",IN_rooms!W$3)),ISNUMBER(SEARCH("wc",IN_rooms!W$3))),IN_rooms!W$6&gt;24,IN_rooms!W$6&gt;21)</f>
        <v>0</v>
      </c>
      <c r="N64" s="11" t="b">
        <f>IF(OR(ISNUMBER(SEARCH("bad",IN_rooms!X$3)),ISNUMBER(SEARCH("wc",IN_rooms!X$3))),IN_rooms!X$6&gt;24,IN_rooms!X$6&gt;21)</f>
        <v>0</v>
      </c>
      <c r="O64" s="11" t="b">
        <f>IF(OR(ISNUMBER(SEARCH("bad",IN_rooms!Y$3)),ISNUMBER(SEARCH("wc",IN_rooms!Y$3))),IN_rooms!Y$6&gt;24,IN_rooms!Y$6&gt;21)</f>
        <v>0</v>
      </c>
      <c r="P64" s="11" t="b">
        <f>IF(OR(ISNUMBER(SEARCH("bad",IN_rooms!Z$3)),ISNUMBER(SEARCH("wc",IN_rooms!Z$3))),IN_rooms!Z$6&gt;24,IN_rooms!Z$6&gt;21)</f>
        <v>0</v>
      </c>
      <c r="Q64" s="11" t="b">
        <f>IF(OR(ISNUMBER(SEARCH("bad",IN_rooms!AA$3)),ISNUMBER(SEARCH("wc",IN_rooms!AA$3))),IN_rooms!AA$6&gt;24,IN_rooms!AA$6&gt;21)</f>
        <v>0</v>
      </c>
      <c r="R64" s="11" t="b">
        <f>IF(OR(ISNUMBER(SEARCH("bad",IN_rooms!AB$3)),ISNUMBER(SEARCH("wc",IN_rooms!AB$3))),IN_rooms!AB$6&gt;24,IN_rooms!AB$6&gt;21)</f>
        <v>0</v>
      </c>
      <c r="S64" s="11" t="b">
        <f>IF(OR(ISNUMBER(SEARCH("bad",IN_rooms!AC$3)),ISNUMBER(SEARCH("wc",IN_rooms!AC$3))),IN_rooms!AC$6&gt;24,IN_rooms!AC$6&gt;21)</f>
        <v>0</v>
      </c>
      <c r="T64" s="11" t="b">
        <f>IF(OR(ISNUMBER(SEARCH("bad",IN_rooms!AD$3)),ISNUMBER(SEARCH("wc",IN_rooms!AD$3))),IN_rooms!AD$6&gt;24,IN_rooms!AD$6&gt;21)</f>
        <v>0</v>
      </c>
      <c r="U64" s="11" t="b">
        <f>IF(OR(ISNUMBER(SEARCH("bad",IN_rooms!AE$3)),ISNUMBER(SEARCH("wc",IN_rooms!AE$3))),IN_rooms!AE$6&gt;24,IN_rooms!AE$6&gt;21)</f>
        <v>0</v>
      </c>
      <c r="V64" s="11" t="b">
        <f>IF(OR(ISNUMBER(SEARCH("bad",IN_rooms!AF$3)),ISNUMBER(SEARCH("wc",IN_rooms!AF$3))),IN_rooms!AF$6&gt;24,IN_rooms!AF$6&gt;21)</f>
        <v>0</v>
      </c>
    </row>
    <row r="65" spans="1:22" ht="16.5" customHeight="1">
      <c r="A65" t="s">
        <v>1055</v>
      </c>
      <c r="H65" s="11" t="str">
        <f>IF(H64,"Hinweis Raum " &amp; IN_rooms!R$3 &amp; ": Die Raumtemperatur ist vergleichsweise hoch. Nach Norm werden 20 °C in Wohnräumen und 24 °C in Bädern angesetzt.","")</f>
        <v/>
      </c>
      <c r="I65" s="11" t="str">
        <f>IF(I64,"Hinweis Raum " &amp; IN_rooms!S$3 &amp; ": Die Raumtemperatur ist vergleichsweise hoch. Nach Norm werden 20 °C in Wohnräumen und 24 °C in Bädern angesetzt.","")</f>
        <v/>
      </c>
      <c r="J65" s="11" t="str">
        <f>IF(J64,"Hinweis Raum " &amp; IN_rooms!T$3 &amp; ": Die Raumtemperatur ist vergleichsweise hoch. Nach Norm werden 20 °C in Wohnräumen und 24 °C in Bädern angesetzt.","")</f>
        <v/>
      </c>
      <c r="K65" s="11" t="str">
        <f>IF(K64,"Hinweis Raum " &amp; IN_rooms!U$3 &amp; ": Die Raumtemperatur ist vergleichsweise hoch. Nach Norm werden 20 °C in Wohnräumen und 24 °C in Bädern angesetzt.","")</f>
        <v/>
      </c>
      <c r="L65" s="11" t="str">
        <f>IF(L64,"Hinweis Raum " &amp; IN_rooms!V$3 &amp; ": Die Raumtemperatur ist vergleichsweise hoch. Nach Norm werden 20 °C in Wohnräumen und 24 °C in Bädern angesetzt.","")</f>
        <v/>
      </c>
      <c r="M65" s="11" t="str">
        <f>IF(M64,"Hinweis Raum " &amp; IN_rooms!W$3 &amp; ": Die Raumtemperatur ist vergleichsweise hoch. Nach Norm werden 20 °C in Wohnräumen und 24 °C in Bädern angesetzt.","")</f>
        <v/>
      </c>
      <c r="N65" s="11" t="str">
        <f>IF(N64,"Hinweis Raum " &amp; IN_rooms!X$3 &amp; ": Die Raumtemperatur ist vergleichsweise hoch. Nach Norm werden 20 °C in Wohnräumen und 24 °C in Bädern angesetzt.","")</f>
        <v/>
      </c>
      <c r="O65" s="11" t="str">
        <f>IF(O64,"Hinweis Raum " &amp; IN_rooms!Y$3 &amp; ": Die Raumtemperatur ist vergleichsweise hoch. Nach Norm werden 20 °C in Wohnräumen und 24 °C in Bädern angesetzt.","")</f>
        <v/>
      </c>
      <c r="P65" s="11" t="str">
        <f>IF(P64,"Hinweis Raum " &amp; IN_rooms!Z$3 &amp; ": Die Raumtemperatur ist vergleichsweise hoch. Nach Norm werden 20 °C in Wohnräumen und 24 °C in Bädern angesetzt.","")</f>
        <v/>
      </c>
      <c r="Q65" s="11" t="str">
        <f>IF(Q64,"Hinweis Raum " &amp; IN_rooms!AA$3 &amp; ": Die Raumtemperatur ist vergleichsweise hoch. Nach Norm werden 20 °C in Wohnräumen und 24 °C in Bädern angesetzt.","")</f>
        <v/>
      </c>
      <c r="R65" s="11" t="str">
        <f>IF(R64,"Hinweis Raum " &amp; IN_rooms!AB$3 &amp; ": Die Raumtemperatur ist vergleichsweise hoch. Nach Norm werden 20 °C in Wohnräumen und 24 °C in Bädern angesetzt.","")</f>
        <v/>
      </c>
      <c r="S65" s="11" t="str">
        <f>IF(S64,"Hinweis Raum " &amp; IN_rooms!AC$3 &amp; ": Die Raumtemperatur ist vergleichsweise hoch. Nach Norm werden 20 °C in Wohnräumen und 24 °C in Bädern angesetzt.","")</f>
        <v/>
      </c>
      <c r="T65" s="11" t="str">
        <f>IF(T64,"Hinweis Raum " &amp; IN_rooms!AD$3 &amp; ": Die Raumtemperatur ist vergleichsweise hoch. Nach Norm werden 20 °C in Wohnräumen und 24 °C in Bädern angesetzt.","")</f>
        <v/>
      </c>
      <c r="U65" s="11" t="str">
        <f>IF(U64,"Hinweis Raum " &amp; IN_rooms!AE$3 &amp; ": Die Raumtemperatur ist vergleichsweise hoch. Nach Norm werden 20 °C in Wohnräumen und 24 °C in Bädern angesetzt.","")</f>
        <v/>
      </c>
      <c r="V65" s="11" t="str">
        <f>IF(V64,"Hinweis Raum " &amp; IN_rooms!AF$3 &amp; ": Die Raumtemperatur ist vergleichsweise hoch. Nach Norm werden 20 °C in Wohnräumen und 24 °C in Bädern angesetzt.","")</f>
        <v/>
      </c>
    </row>
  </sheetData>
  <conditionalFormatting sqref="A2:B2">
    <cfRule type="expression" dxfId="54" priority="2">
      <formula>#REF!="x"</formula>
    </cfRule>
  </conditionalFormatting>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11A9-967C-4B8D-B43B-64204D0E57BD}">
  <sheetPr>
    <tabColor rgb="FFFFC000"/>
  </sheetPr>
  <dimension ref="A1:H50"/>
  <sheetViews>
    <sheetView zoomScaleNormal="100" workbookViewId="0">
      <pane ySplit="1" topLeftCell="A27" activePane="bottomLeft" state="frozen"/>
      <selection pane="bottomLeft" activeCell="H61" sqref="H61"/>
    </sheetView>
  </sheetViews>
  <sheetFormatPr defaultColWidth="11.42578125" defaultRowHeight="15"/>
  <cols>
    <col min="1" max="1" width="52" customWidth="1"/>
    <col min="2" max="2" width="7.7109375" bestFit="1" customWidth="1"/>
    <col min="3" max="3" width="10.5703125" bestFit="1" customWidth="1"/>
    <col min="4" max="4" width="25" bestFit="1" customWidth="1"/>
    <col min="5" max="5" width="7.28515625" hidden="1" customWidth="1"/>
    <col min="6" max="6" width="0" hidden="1" customWidth="1"/>
    <col min="7" max="7" width="15.85546875" bestFit="1" customWidth="1"/>
    <col min="8" max="8" width="113.5703125" style="4" customWidth="1"/>
  </cols>
  <sheetData>
    <row r="1" spans="1:8">
      <c r="A1" s="6" t="s">
        <v>0</v>
      </c>
      <c r="B1" s="6" t="s">
        <v>726</v>
      </c>
      <c r="C1" s="6" t="s">
        <v>211</v>
      </c>
      <c r="D1" s="6" t="s">
        <v>53</v>
      </c>
      <c r="E1" s="6" t="s">
        <v>2</v>
      </c>
      <c r="F1" s="6" t="s">
        <v>457</v>
      </c>
      <c r="G1" s="6" t="s">
        <v>961</v>
      </c>
      <c r="H1" s="22" t="s">
        <v>297</v>
      </c>
    </row>
    <row r="2" spans="1:8" ht="14.25" customHeight="1">
      <c r="A2" t="s">
        <v>1056</v>
      </c>
      <c r="G2" t="s">
        <v>1057</v>
      </c>
      <c r="H2" s="192" t="e">
        <f ca="1">IF(clc_build!G81&lt;=0,0.125,MIN(clc_build!G81+0.25,0.875))</f>
        <v>#DIV/0!</v>
      </c>
    </row>
    <row r="3" spans="1:8" ht="14.25" customHeight="1" thickBot="1">
      <c r="A3" s="35" t="s">
        <v>1058</v>
      </c>
      <c r="B3" s="35" t="s">
        <v>1059</v>
      </c>
      <c r="C3" s="35"/>
      <c r="D3" s="35" t="s">
        <v>1060</v>
      </c>
      <c r="E3" s="35"/>
      <c r="F3" s="35"/>
      <c r="G3" s="35" t="s">
        <v>1057</v>
      </c>
      <c r="H3" s="178" t="e" cm="1">
        <f t="array" ref="H3">_xlfn.IFS(OR(clc_build!G73&gt;=0.5,clc_build!G75&gt;=0.75),TXT_build!D2,
OR(clc_build!G66&gt;0,clc_build!G76&gt;=0.75),TXT_build!D3,
clc_build!G68&gt;0,TXT_build!D4,
clc_build!G78&gt;=1,TXT_build!D5)</f>
        <v>#DIV/0!</v>
      </c>
    </row>
    <row r="4" spans="1:8" ht="14.25" customHeight="1">
      <c r="A4" t="s">
        <v>1061</v>
      </c>
      <c r="B4" t="s">
        <v>1062</v>
      </c>
      <c r="D4" t="s">
        <v>1063</v>
      </c>
      <c r="H4" s="4" t="e">
        <f>IF(clc_build!G76=1,"Alle ",TEXT(clc_build!$G$66,"0")&amp;" von "&amp;TEXT(clc_build!$G$49,"0")&amp;" der ")</f>
        <v>#DIV/0!</v>
      </c>
    </row>
    <row r="5" spans="1:8" ht="14.25" customHeight="1" thickBot="1">
      <c r="A5" s="35" t="s">
        <v>1064</v>
      </c>
      <c r="B5" s="35" t="s">
        <v>1062</v>
      </c>
      <c r="C5" s="35"/>
      <c r="D5" s="35" t="s">
        <v>1065</v>
      </c>
      <c r="E5" s="35"/>
      <c r="F5" s="35"/>
      <c r="G5" s="35" t="s">
        <v>1062</v>
      </c>
      <c r="H5" s="178" t="e" cm="1">
        <f t="array" ref="H5">_xlfn.IFS(
OR(clc_build!$G$73&gt;=0.5,AND(clc_build!$G$74&gt;=0.75,clc_build!$G$71&gt;=1)),TXT_build!$D$15&amp;H4&amp;TXT_build!$D$16,
clc_build!$G$74&gt;=0.25,TXT_build!$D$17,
clc_build!$G$68&gt;=1,TXT_build!$D$18,
clc_build!$G$78&gt;1,TXT_build!$D$19,
TRUE,"FEHLER - keine eindeutige Bewertung der Heizkörper möglich")</f>
        <v>#DIV/0!</v>
      </c>
    </row>
    <row r="6" spans="1:8" ht="14.25" customHeight="1">
      <c r="A6" t="s">
        <v>1066</v>
      </c>
      <c r="B6" t="s">
        <v>1067</v>
      </c>
      <c r="H6" s="179" t="e">
        <f ca="1">SUM(clc_build!G3:AA3)</f>
        <v>#NUM!</v>
      </c>
    </row>
    <row r="7" spans="1:8" ht="14.25" customHeight="1">
      <c r="A7" t="s">
        <v>1068</v>
      </c>
      <c r="B7" t="s">
        <v>1067</v>
      </c>
      <c r="H7" s="180" t="e">
        <f ca="1" xml:space="preserve"> MAX(SUM(clc_build!$G$12:$AA$12), SUM(clc_build!$G$16:$AA$16),SUM(clc_build!$G$20:$AA$20), SUM(clc_build!$G$24:$AA$24), SUM(clc_build!$G$28:$AA$28), SUM(clc_build!$G$32:$AA$32))</f>
        <v>#NUM!</v>
      </c>
    </row>
    <row r="8" spans="1:8" ht="14.25" customHeight="1">
      <c r="A8" t="s">
        <v>1069</v>
      </c>
      <c r="H8" s="180" t="e">
        <f ca="1">LARGE(CHOOSE({1,2,3,4,5,6},
SUM(clc_build!$G$12:$AA$12),
SUM(clc_build!$G$16:$AA$16),
SUM(clc_build!$G$20:$AA$20),
SUM(clc_build!$G$24:$AA$24),
SUM(clc_build!$G$28:$AA$28),
SUM(clc_build!$G$32:$AA$32)
),2)</f>
        <v>#NUM!</v>
      </c>
    </row>
    <row r="9" spans="1:8" ht="14.25" customHeight="1">
      <c r="A9" t="s">
        <v>1070</v>
      </c>
      <c r="H9" s="180" t="e">
        <f ca="1">LARGE(CHOOSE({1,2,3,4,5,6},
SUM(clc_build!$G$12:$AA$12),
SUM(clc_build!$G$16:$AA$16),
SUM(clc_build!$G$20:$AA$20),
SUM(clc_build!$G$24:$AA$24),
SUM(clc_build!$G$28:$AA$28),
SUM(clc_build!$G$32:$AA$32)
),3)</f>
        <v>#NUM!</v>
      </c>
    </row>
    <row r="10" spans="1:8" ht="14.25" customHeight="1">
      <c r="A10" t="s">
        <v>1071</v>
      </c>
      <c r="B10" t="s">
        <v>1067</v>
      </c>
      <c r="C10" t="s">
        <v>119</v>
      </c>
      <c r="D10" t="s">
        <v>1072</v>
      </c>
      <c r="H10" s="181" t="e">
        <f ca="1">IF(ROUND(SUM(clc_build!$G$12:$AA$12)/H6,1)&lt;0.15,"unter 10 Prozent", TEXT(ROUND(SUM(clc_build!$G$12:$AA$12)/H6,1)*100,0)&amp;" Prozent")</f>
        <v>#NUM!</v>
      </c>
    </row>
    <row r="11" spans="1:8" ht="14.25" customHeight="1">
      <c r="A11" t="s">
        <v>1073</v>
      </c>
      <c r="B11" t="s">
        <v>1067</v>
      </c>
      <c r="C11" t="s">
        <v>341</v>
      </c>
      <c r="D11" t="s">
        <v>1074</v>
      </c>
      <c r="H11" s="181" t="e">
        <f ca="1">IF(ROUND(SUM(clc_build!$G$16:$AA$16)/H6,1)&lt;0.15,"unter 10 Prozent", TEXT(ROUND(SUM(clc_build!$G$16:$AA$16)/H6,1)*100,0)&amp;" Prozent")</f>
        <v>#NUM!</v>
      </c>
    </row>
    <row r="12" spans="1:8" ht="14.25" customHeight="1">
      <c r="A12" t="s">
        <v>1075</v>
      </c>
      <c r="B12" t="s">
        <v>1067</v>
      </c>
      <c r="C12" t="s">
        <v>129</v>
      </c>
      <c r="D12" t="s">
        <v>1076</v>
      </c>
      <c r="H12" s="181" t="e">
        <f ca="1">IF(ROUND(SUM(clc_build!$G$20:$AA$20)/H6,1)&lt;0.15,"unter 10 Prozent", TEXT(ROUND(SUM(clc_build!$G$20:$AA$20)/H6,1)*100,0)&amp;" Prozent")</f>
        <v>#NUM!</v>
      </c>
    </row>
    <row r="13" spans="1:8" ht="14.25" customHeight="1">
      <c r="A13" t="s">
        <v>1077</v>
      </c>
      <c r="B13" t="s">
        <v>1067</v>
      </c>
      <c r="C13" t="s">
        <v>131</v>
      </c>
      <c r="D13" t="s">
        <v>1078</v>
      </c>
      <c r="H13" s="181" t="e">
        <f ca="1">IF(ROUND(SUM(clc_build!$G$24:$AA$24)/H6,1)&lt;0.15,"unter 10 Prozent", TEXT(ROUND(SUM(clc_build!$G$24:$AA$24)/H6,1)*100,0)&amp;" Prozent")</f>
        <v>#NUM!</v>
      </c>
    </row>
    <row r="14" spans="1:8" ht="14.25" customHeight="1">
      <c r="A14" t="s">
        <v>1079</v>
      </c>
      <c r="B14" t="s">
        <v>1067</v>
      </c>
      <c r="C14" t="s">
        <v>135</v>
      </c>
      <c r="D14" t="s">
        <v>1080</v>
      </c>
      <c r="H14" s="181" t="e">
        <f ca="1">IF(ROUND(SUM(clc_build!$G$28:$AA$28)/H6,1)&lt;0.15,"unter 10 Prozent", TEXT(ROUND(SUM(clc_build!$G$28:$AA$28)/H6,1)*100,0)&amp;" Prozent")</f>
        <v>#NUM!</v>
      </c>
    </row>
    <row r="15" spans="1:8" ht="14.25" customHeight="1">
      <c r="A15" s="73" t="s">
        <v>1081</v>
      </c>
      <c r="B15" s="73" t="s">
        <v>1067</v>
      </c>
      <c r="C15" s="73" t="s">
        <v>133</v>
      </c>
      <c r="D15" s="73" t="s">
        <v>1082</v>
      </c>
      <c r="E15" s="73"/>
      <c r="F15" s="73"/>
      <c r="G15" s="73"/>
      <c r="H15" s="182" t="e">
        <f ca="1">IF(ROUND(SUM(clc_build!$G$32:$AA$32)/H6,1)&lt;0.15,"unter 10 Prozent", TEXT(ROUND(SUM(clc_build!$G$32:$AA$32)/H6,1)*100,0)&amp;" Prozent")</f>
        <v>#NUM!</v>
      </c>
    </row>
    <row r="16" spans="1:8" ht="14.25" customHeight="1">
      <c r="A16" s="73" t="s">
        <v>1083</v>
      </c>
      <c r="B16" s="73" t="s">
        <v>1067</v>
      </c>
      <c r="C16" s="73"/>
      <c r="D16" s="73" t="s">
        <v>1084</v>
      </c>
      <c r="E16" s="73"/>
      <c r="F16" s="73"/>
      <c r="G16" s="73"/>
      <c r="H16" s="183" t="e" cm="1">
        <f t="array" aca="1" ref="H16" ca="1">_xlfn.LET(
  _xlpm.Bauteil1, _xlfn.IFS(
    SUM(clc_build!$G$12:$AA$12)=H7, "Außenwand",
    SUM(clc_build!$G$20:$AA$20)=H7, "Fenster",
    SUM(clc_build!$G$24:$AA$24)=H7, "Dach",
    SUM(clc_build!$G$28:$AA$28)=H7, "Fußboden",
    SUM(clc_build!$G$32:$AA$32)=H7, "Decke"
  ),
  _xlpm.Bauteil2, _xlfn.IFS(
    SUM(clc_build!$G$12:$AA$12)=H8, "Außenwand",
    SUM(clc_build!$G$20:$AA$20)=H8, "Fenster",
    SUM(clc_build!$G$24:$AA$24)=H8, "Dach",
    SUM(clc_build!$G$28:$AA$28)=H8, "Fußboden",
    SUM(clc_build!$G$32:$AA$32)=H8, "Decke"
  ),
  _xlpm.Bauteil3, _xlfn.IFS(
    SUM(clc_build!$G$12:$AA$12)=H9, "Außenwand",
    SUM(clc_build!$G$20:$AA$20)=H9, "Fenster",
    SUM(clc_build!$G$24:$AA$24)=H9, "Dach",
    SUM(clc_build!$G$28:$AA$28)=H9, "Fußboden",
    SUM(clc_build!$G$32:$AA$32)=H9, "Decke"
  ),
  _xlpm.GedA, INDEX(IN_build!Q7:Q11, MATCH(_xlpm.Bauteil1, IN_build!E7:E11, 0)),
  _xlpm.GedB, INDEX(IN_build!Q7:Q11, MATCH(_xlpm.Bauteil2, IN_build!E7:E11, 0)),
  _xlpm.GedC, INDEX(IN_build!Q7:Q11, MATCH(_xlpm.Bauteil3, IN_build!E7:E11, 0)),
  _xlpm.output, IF(_xlpm.GedA&lt;&gt;"Ja", _xlpm.Bauteil1,IF(_xlpm.GedB&lt;&gt;"Ja", _xlpm.Bauteil2,IF(_xlpm.GedC&lt;&gt;"Ja", _xlpm.Bauteil3, ""))),
  _xlfn.IFS(
  _xlpm.output="Außenwand", " hat die Außenwand.",
  _xlpm.output="Innenwand", " hat die Innenwand.",
  _xlpm.output="Fenster", " haben die Fenster.",
  _xlpm.output="Dach", " hat das Dach.",
  _xlpm.output="Fußboden", " hat der Fußboden.",
  _xlpm.output="Decke", " hat die Decke."
))</f>
        <v>#NUM!</v>
      </c>
    </row>
    <row r="17" spans="1:8" ht="14.25" customHeight="1">
      <c r="A17" t="s">
        <v>1085</v>
      </c>
      <c r="B17" t="s">
        <v>1067</v>
      </c>
      <c r="C17" t="s">
        <v>119</v>
      </c>
      <c r="H17" s="180" t="e">
        <f ca="1">AVERAGE(clc_build!G11:'clc_build'!AA11)</f>
        <v>#DIV/0!</v>
      </c>
    </row>
    <row r="18" spans="1:8" ht="14.25" customHeight="1">
      <c r="A18" s="77" t="s">
        <v>1086</v>
      </c>
      <c r="B18" t="s">
        <v>1067</v>
      </c>
      <c r="C18" t="s">
        <v>129</v>
      </c>
      <c r="H18" s="180" t="e">
        <f ca="1">AVERAGE(clc_build!G19:'clc_build'!AA19)</f>
        <v>#DIV/0!</v>
      </c>
    </row>
    <row r="19" spans="1:8" ht="14.25" customHeight="1">
      <c r="A19" s="77" t="s">
        <v>1087</v>
      </c>
      <c r="B19" t="s">
        <v>1067</v>
      </c>
      <c r="C19" t="s">
        <v>131</v>
      </c>
      <c r="H19" s="4" t="e">
        <f ca="1">AVERAGE(clc_build!G23:'clc_build'!AA23)</f>
        <v>#DIV/0!</v>
      </c>
    </row>
    <row r="20" spans="1:8" ht="14.25" customHeight="1">
      <c r="A20" s="77" t="s">
        <v>1088</v>
      </c>
      <c r="B20" t="s">
        <v>1067</v>
      </c>
      <c r="C20" t="s">
        <v>135</v>
      </c>
      <c r="H20" s="4" t="e">
        <f ca="1">AVERAGE(clc_build!G27:'clc_build'!AA27)</f>
        <v>#DIV/0!</v>
      </c>
    </row>
    <row r="21" spans="1:8" ht="14.25" customHeight="1">
      <c r="A21" s="173" t="s">
        <v>1089</v>
      </c>
      <c r="B21" s="73" t="s">
        <v>1067</v>
      </c>
      <c r="C21" s="73" t="s">
        <v>133</v>
      </c>
      <c r="D21" s="73"/>
      <c r="E21" s="73"/>
      <c r="F21" s="73"/>
      <c r="G21" s="73"/>
      <c r="H21" s="183" t="e">
        <f ca="1">AVERAGE(clc_build!G31:'clc_build'!AA31)</f>
        <v>#DIV/0!</v>
      </c>
    </row>
    <row r="22" spans="1:8" ht="14.25" customHeight="1">
      <c r="A22" t="s">
        <v>1090</v>
      </c>
      <c r="B22" t="s">
        <v>1067</v>
      </c>
      <c r="C22" t="s">
        <v>119</v>
      </c>
      <c r="D22" t="s">
        <v>1091</v>
      </c>
      <c r="H22" s="181" t="e">
        <f ca="1">IF(ROUND(SUM(clc_build!$G$12:$AA$12)/H6,1)&lt;0.15,"&lt; 10 % der Verluste", TEXT(ROUND(SUM(clc_build!$G$12:$AA$12)/H6,1)*100,0)&amp;" % der Verluste")</f>
        <v>#NUM!</v>
      </c>
    </row>
    <row r="23" spans="1:8" ht="14.25" customHeight="1">
      <c r="A23" t="s">
        <v>1092</v>
      </c>
      <c r="B23" t="s">
        <v>1067</v>
      </c>
      <c r="C23" t="s">
        <v>129</v>
      </c>
      <c r="D23" t="s">
        <v>1093</v>
      </c>
      <c r="H23" s="181" t="e">
        <f ca="1">IF(ROUND(SUM(clc_build!$G$20:$AA$20)/H6,1)&lt;0.15,"&lt; 10 % der Verluste", TEXT(ROUND(SUM(clc_build!$G$20:$AA$20)/H6,1)*100,0)&amp;" % der Verluste")</f>
        <v>#NUM!</v>
      </c>
    </row>
    <row r="24" spans="1:8" ht="14.25" customHeight="1">
      <c r="A24" t="s">
        <v>1094</v>
      </c>
      <c r="B24" t="s">
        <v>1067</v>
      </c>
      <c r="C24" t="s">
        <v>131</v>
      </c>
      <c r="D24" t="s">
        <v>1095</v>
      </c>
      <c r="H24" s="181" t="e">
        <f ca="1">IF(ROUND(SUM(clc_build!$G$24:$AA$24)/H6,1)&lt;0.15,"&lt; 10 % der Verluste", TEXT(ROUND(SUM(clc_build!$G$24:$AA$24)/H6,1)*100,0)&amp;" % der Verluste")</f>
        <v>#NUM!</v>
      </c>
    </row>
    <row r="25" spans="1:8" ht="14.25" customHeight="1">
      <c r="A25" s="73" t="s">
        <v>1096</v>
      </c>
      <c r="B25" s="73" t="s">
        <v>1067</v>
      </c>
      <c r="C25" s="73" t="s">
        <v>1032</v>
      </c>
      <c r="D25" s="73" t="s">
        <v>1097</v>
      </c>
      <c r="E25" s="73"/>
      <c r="F25" s="73"/>
      <c r="G25" s="73"/>
      <c r="H25" s="182" t="e">
        <f ca="1">IF(ROUND((SUM(clc_build!$G$28:$AA$28)+SUM(clc_build!$G$32:$AA$32))/H6,1)&lt;0.15,"&lt; 10 % der Verluste", TEXT(ROUND((SUM(clc_build!$G$28:$AA$28)+SUM(clc_build!$G$32:$AA$32))/H6,1)*100,0)&amp;" % der Verluste")</f>
        <v>#NUM!</v>
      </c>
    </row>
    <row r="26" spans="1:8" ht="14.25" customHeight="1">
      <c r="A26" s="77" t="s">
        <v>1098</v>
      </c>
      <c r="D26" t="s">
        <v>1099</v>
      </c>
      <c r="H26" s="4" t="e" cm="1">
        <f t="array" aca="1" ref="H26" ca="1">_xlfn.IFS(clc_build!G88&gt;=0.75,"red",
OR(clc_build!G88&gt;=0.5,clc_build!G87&gt;=0.75),"orange",
OR(clc_build!G88&gt;0,(clc_build!G87+clc_build!G88)&gt;=0.25,clc_build!G83&lt;0.5),"yellow",
TRUE,"green")</f>
        <v>#DIV/0!</v>
      </c>
    </row>
    <row r="27" spans="1:8" ht="14.25" customHeight="1">
      <c r="A27" s="77" t="s">
        <v>1025</v>
      </c>
      <c r="C27" t="s">
        <v>119</v>
      </c>
      <c r="D27" t="s">
        <v>1026</v>
      </c>
      <c r="H27" s="4" t="str" cm="1">
        <f t="array" aca="1" ref="H27" ca="1">IFERROR(_xlfn.IFS(
H17&gt;0.8,"red",
H17&gt;0.5,"orange",
H17&gt;0.35,"yellow",
H17&lt;=0.35,"green"),"grey")</f>
        <v>grey</v>
      </c>
    </row>
    <row r="28" spans="1:8" ht="14.25" customHeight="1">
      <c r="A28" s="77" t="s">
        <v>1027</v>
      </c>
      <c r="C28" t="s">
        <v>129</v>
      </c>
      <c r="D28" t="s">
        <v>1028</v>
      </c>
      <c r="H28" s="4" t="e" cm="1">
        <f t="array" ref="H28">_xlfn.LET(
_xlpm.r_win_27, COUNTIF(clc_build!G19:AA19,"&gt;2,7")/clc_build!$G$49,
_xlpm.r_win_21, COUNTIF(clc_build!G19:AA19,"&gt;2,1")/clc_build!$G$49,
_xlpm.r_win_17,COUNTIF(clc_build!G19:AA19,"&gt;1,3")/clc_build!$G$49,
_xlpm.r_win_13,COUNTIF(clc_build!G19:AA19,"&lt;=1,3")/clc_build!$G$49,
_xlfn.IFS(
_xlpm.r_win_27&gt;=0.5,"red",
OR(_xlpm.r_win_27&gt;=0.25,_xlpm.r_win_21&gt;=0.5),"orange",
OR(_xlpm.r_win_21&gt;=0.1,_xlpm.r_win_17&gt;=0.5),"yellow",
TRUE,"green",TRUE,"grey"))</f>
        <v>#DIV/0!</v>
      </c>
    </row>
    <row r="29" spans="1:8" ht="14.25" customHeight="1">
      <c r="A29" s="77" t="s">
        <v>1029</v>
      </c>
      <c r="C29" t="s">
        <v>131</v>
      </c>
      <c r="D29" t="s">
        <v>1030</v>
      </c>
      <c r="H29" s="4" t="str" cm="1">
        <f t="array" aca="1" ref="H29" ca="1">IFERROR(_xlfn.IFS(H19&gt;0.8,"red",
H19&gt;0.5,"orange",
H19&gt;0.3,"yellow",
H19&lt;=0.3,"green"),"grey")</f>
        <v>grey</v>
      </c>
    </row>
    <row r="30" spans="1:8" ht="14.25" customHeight="1">
      <c r="A30" s="77" t="s">
        <v>1100</v>
      </c>
      <c r="C30" t="s">
        <v>135</v>
      </c>
      <c r="D30" t="s">
        <v>1101</v>
      </c>
      <c r="H30" s="4" t="str" cm="1">
        <f t="array" aca="1" ref="H30" ca="1">IFERROR(_xlfn.IFS(AND(H20&gt;0.8,NOT(LEFT(H14,1)="u")),"red",
H20&gt;0.5,"orange",
H20&gt;0.4,"yellow",
H20&lt;=0.4,"green"),"grey")</f>
        <v>grey</v>
      </c>
    </row>
    <row r="31" spans="1:8" ht="14.25" customHeight="1">
      <c r="A31" s="77" t="s">
        <v>1102</v>
      </c>
      <c r="C31" t="s">
        <v>133</v>
      </c>
      <c r="D31" t="s">
        <v>1103</v>
      </c>
      <c r="H31" s="4" t="str" cm="1">
        <f t="array" aca="1" ref="H31" ca="1">IFERROR(_xlfn.IFS(AND(H21&gt;0.8,NOT(LEFT(H15,1)="u")),"red",
H21&gt;0.5,"orange",
H21&gt;0.3,"yellow",
H21&lt;=0.3,"green"),"grey")</f>
        <v>grey</v>
      </c>
    </row>
    <row r="32" spans="1:8" ht="14.25" customHeight="1">
      <c r="A32" s="173" t="s">
        <v>1031</v>
      </c>
      <c r="B32" s="73"/>
      <c r="C32" s="73" t="s">
        <v>1032</v>
      </c>
      <c r="D32" s="73" t="s">
        <v>1033</v>
      </c>
      <c r="E32" s="73"/>
      <c r="F32" s="73"/>
      <c r="G32" s="73"/>
      <c r="H32" s="183" t="str" cm="1">
        <f t="array" aca="1" ref="H32" ca="1">IFERROR(_xlfn.IFS(AND(H30="red",H31="red"),"red",
OR(H30="red",H31="red",H30="orange",H31="orange"),"orange",
OR(H30="yellow",H31="yellow"),"yellow",
TRUE,"green"),"grey")</f>
        <v>green</v>
      </c>
    </row>
    <row r="33" spans="1:8" ht="14.25" customHeight="1">
      <c r="A33" t="s">
        <v>1083</v>
      </c>
      <c r="B33" t="s">
        <v>1067</v>
      </c>
      <c r="D33" t="s">
        <v>1104</v>
      </c>
      <c r="G33" t="s">
        <v>1067</v>
      </c>
      <c r="H33" s="4" t="e" cm="1">
        <f t="array" aca="1" ref="H33" ca="1">_xlfn.IFS(H26="red",TXT_build!D20&amp;H16,
H26="orange",TXT_build!D22&amp;H16,
H26="yellow",TXT_build!D24&amp;H16,
TRUE,TXT_build!D26)</f>
        <v>#DIV/0!</v>
      </c>
    </row>
    <row r="34" spans="1:8" ht="14.25" customHeight="1">
      <c r="A34" t="s">
        <v>1105</v>
      </c>
      <c r="B34" t="s">
        <v>1067</v>
      </c>
      <c r="C34" t="s">
        <v>119</v>
      </c>
      <c r="D34" t="s">
        <v>949</v>
      </c>
      <c r="G34" t="s">
        <v>1067</v>
      </c>
      <c r="H34" s="4" t="e" cm="1">
        <f t="array" aca="1" ref="H34" ca="1">_xlfn.IFS(OR(H27="grey", LEFT(H10,1)="u"),TXT_build!D64,
H27="red",TXT_build!D28&amp;H10&amp;TXT_build!D29,
H27="orange",TXT_build!D30&amp;H10&amp;TXT_build!D31,
H27="yellow",TXT_build!D32&amp;H10&amp;TXT_build!D33,
H27="green",TXT_build!D34)</f>
        <v>#NUM!</v>
      </c>
    </row>
    <row r="35" spans="1:8" ht="14.25" customHeight="1">
      <c r="A35" s="77" t="s">
        <v>1106</v>
      </c>
      <c r="B35" t="s">
        <v>1067</v>
      </c>
      <c r="C35" t="s">
        <v>129</v>
      </c>
      <c r="D35" t="s">
        <v>951</v>
      </c>
      <c r="G35" t="s">
        <v>1067</v>
      </c>
      <c r="H35" s="4" t="e" cm="1">
        <f t="array" aca="1" ref="H35" ca="1">_xlfn.IFS(OR(H28="grey", LEFT(H12,1)="u"),TXT_build!D65,
H28="red",TXT_build!D35&amp;H12&amp;TXT_build!D36,
H28="orange",TXT_build!D37&amp;H12&amp;TXT_build!D38,
H28="yellow",TXT_build!D39,
TRUE,TXT_build!D40)</f>
        <v>#DIV/0!</v>
      </c>
    </row>
    <row r="36" spans="1:8" ht="14.25" customHeight="1">
      <c r="A36" s="77" t="s">
        <v>1107</v>
      </c>
      <c r="B36" t="s">
        <v>1067</v>
      </c>
      <c r="C36" t="s">
        <v>131</v>
      </c>
      <c r="D36" t="s">
        <v>953</v>
      </c>
      <c r="G36" t="s">
        <v>1067</v>
      </c>
      <c r="H36" s="4" t="e" cm="1">
        <f t="array" aca="1" ref="H36" ca="1">_xlfn.IFS(OR(H29="grey", LEFT(H13,1)="u"),TXT_build!D66,
H29="red",TXT_build!D41&amp;H13&amp;TXT_build!D42,
H29="orange",TXT_build!D43&amp;H13&amp;TXT_build!D44,
H29="yellow",TXT_build!D45,
H29="green",TXT_build!D46)</f>
        <v>#NUM!</v>
      </c>
    </row>
    <row r="37" spans="1:8" ht="14.25" customHeight="1">
      <c r="A37" s="77" t="s">
        <v>1108</v>
      </c>
      <c r="B37" t="s">
        <v>1067</v>
      </c>
      <c r="C37" t="s">
        <v>135</v>
      </c>
      <c r="D37" t="s">
        <v>957</v>
      </c>
      <c r="G37" t="s">
        <v>1067</v>
      </c>
      <c r="H37" s="180" t="e" cm="1">
        <f t="array" aca="1" ref="H37" ca="1">_xlfn.IFS(OR(H30="grey", LEFT(H14,1)="u"),TXT_build!D68,
H30="red",TXT_build!D51&amp;H14&amp;TXT_build!D52,
H30="orange",TXT_build!D53&amp;H14&amp;TXT_build!D54,
H30="yellow",TXT_build!D55,
H30="green",TXT_build!D56)</f>
        <v>#NUM!</v>
      </c>
    </row>
    <row r="38" spans="1:8" ht="14.25" customHeight="1">
      <c r="A38" s="77" t="s">
        <v>1109</v>
      </c>
      <c r="B38" t="s">
        <v>1067</v>
      </c>
      <c r="C38" t="s">
        <v>133</v>
      </c>
      <c r="D38" t="s">
        <v>955</v>
      </c>
      <c r="G38" t="s">
        <v>1067</v>
      </c>
      <c r="H38" s="4" t="e" cm="1">
        <f t="array" aca="1" ref="H38" ca="1">_xlfn.IFS(OR(H31="grey", LEFT(H15,1)="u"),TXT_build!D67,
H31="red",TXT_build!D57&amp;H15&amp;TXT_build!D58,
H31="orange",TXT_build!D59&amp;H15&amp;TXT_build!D60,
H31="yellow",TXT_build!D61,
H31="green",TXT_build!D62)</f>
        <v>#NUM!</v>
      </c>
    </row>
    <row r="39" spans="1:8" ht="14.25" customHeight="1">
      <c r="A39" s="77" t="s">
        <v>1110</v>
      </c>
      <c r="B39" t="s">
        <v>1067</v>
      </c>
      <c r="C39" t="s">
        <v>1032</v>
      </c>
      <c r="D39" t="s">
        <v>959</v>
      </c>
      <c r="G39" t="s">
        <v>1067</v>
      </c>
      <c r="H39" s="179" t="e" cm="1">
        <f t="array" aca="1" ref="H39" ca="1">_xlfn.IFS(OR(H32="grey", AND(LEFT(H14,1)="u",LEFT(H15,1)="u")),TXT_build!D69,
H32="red",TXT_build!D47 &amp; H38 &amp; H37,
H32="orange",TXT_build!D48 &amp; H38 &amp; H37,
H32="yellow",TXT_build!D49 &amp; H38 &amp; H37,
TRUE,TXT_build!D50 &amp; H38 &amp; H37)</f>
        <v>#NUM!</v>
      </c>
    </row>
    <row r="40" spans="1:8" ht="14.25" customHeight="1">
      <c r="A40" s="77" t="s">
        <v>1111</v>
      </c>
      <c r="B40" t="s">
        <v>1067</v>
      </c>
      <c r="D40" t="s">
        <v>1112</v>
      </c>
      <c r="H40" s="179" t="s">
        <v>1113</v>
      </c>
    </row>
    <row r="41" spans="1:8" ht="14.25" customHeight="1">
      <c r="A41" s="77"/>
      <c r="H41" s="184"/>
    </row>
    <row r="42" spans="1:8" ht="14.25" customHeight="1">
      <c r="A42" s="77"/>
      <c r="H42" s="184"/>
    </row>
    <row r="43" spans="1:8" ht="14.25" customHeight="1">
      <c r="A43" s="44" t="s">
        <v>1114</v>
      </c>
      <c r="B43" s="44"/>
      <c r="C43" s="44"/>
      <c r="D43" s="44"/>
      <c r="E43" s="44"/>
      <c r="F43" s="44"/>
      <c r="G43" s="44" t="s">
        <v>1057</v>
      </c>
      <c r="H43" s="193" t="e">
        <f ca="1">IF(clc_build!H81&lt;=0,0.125,MIN(clc_build!H81+0.25,0.875))</f>
        <v>#DIV/0!</v>
      </c>
    </row>
    <row r="44" spans="1:8" ht="14.25" customHeight="1">
      <c r="A44" s="77" t="s">
        <v>1115</v>
      </c>
      <c r="G44" t="s">
        <v>1062</v>
      </c>
      <c r="H44" s="4" t="e">
        <f>IF(clc_build!$G$76&gt;=1,"pic_G3_all_rad_suff","pic_G3_any_rad_notsuff")</f>
        <v>#DIV/0!</v>
      </c>
    </row>
    <row r="45" spans="1:8" ht="14.25" customHeight="1">
      <c r="A45" s="195" t="s">
        <v>1116</v>
      </c>
      <c r="B45" s="171"/>
      <c r="C45" s="171"/>
      <c r="D45" s="171"/>
      <c r="E45" s="171"/>
      <c r="F45" s="171"/>
      <c r="G45" s="171" t="s">
        <v>1057</v>
      </c>
      <c r="H45" s="4" t="e" cm="1">
        <f t="array" aca="1" ref="H45" ca="1">"Bewertung der Eignung des Gebäudes für eine Wärmepumpe anhand der eingegebenen Räume. Die Heizkörper sollten mindestens 100 Prozent der Heizlast decken. 
Mit den aktuellen Heizkörpern wird bei 55 °C Vorlauftemperatur etwa " &amp; TEXT(ROUND(1-clc_build!G81,1)*100,"0") &amp;" Prozent der Heizlast gedeckt. " &amp; IF(clc_build!G81&lt;=0, "Das ist ausreichend.", "Das ist nicht ausreichend. 
Bei Austausch mit besseren Heizkörpern könnten " &amp; TEXT(ROUND(1-clc_build!H81,1)*100,"0") &amp; " Prozent der Heizlast gedeckt werden. " &amp; _xlfn.IFS(clc_build!H81&lt;=0,"Das ist ausreichend.",clc_build!H81&lt;=0.15,"Das ist fast ausreichend.",AND(clc_build!G81-clc_build!H81&gt;0.2,clc_build!H81&lt;0.2),"Das ist deutlich besser, aber voraussichtlich noch nicht ausreichend.",TRUE,"Das ist noch nicht ausreichend."))</f>
        <v>#DIV/0!</v>
      </c>
    </row>
    <row r="46" spans="1:8" ht="14.25" customHeight="1">
      <c r="A46" s="77" t="s">
        <v>1117</v>
      </c>
      <c r="H46" s="4" t="e">
        <f>IF(clc_build!$G$76&gt;=1,"rating-green","rating-orange")</f>
        <v>#DIV/0!</v>
      </c>
    </row>
    <row r="47" spans="1:8">
      <c r="H47" s="196"/>
    </row>
    <row r="48" spans="1:8">
      <c r="A48" s="6"/>
      <c r="H48" s="196"/>
    </row>
    <row r="49" spans="8:8">
      <c r="H49" s="197"/>
    </row>
    <row r="50" spans="8:8">
      <c r="H50" s="191" t="s">
        <v>1118</v>
      </c>
    </row>
  </sheetData>
  <phoneticPr fontId="10" type="noConversion"/>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F437-CB29-4E6E-BEDC-758D3DFDC079}">
  <sheetPr>
    <tabColor rgb="FF9F5987"/>
  </sheetPr>
  <dimension ref="A8:D25"/>
  <sheetViews>
    <sheetView workbookViewId="0">
      <selection activeCell="I31" sqref="I31"/>
    </sheetView>
  </sheetViews>
  <sheetFormatPr defaultColWidth="11.42578125" defaultRowHeight="15"/>
  <cols>
    <col min="1" max="1" width="99.5703125" style="11" customWidth="1"/>
    <col min="3" max="3" width="16.42578125" customWidth="1"/>
    <col min="4" max="4" width="15.85546875" hidden="1" customWidth="1"/>
  </cols>
  <sheetData>
    <row r="8" spans="1:4">
      <c r="C8" t="s">
        <v>1119</v>
      </c>
      <c r="D8" t="s">
        <v>1120</v>
      </c>
    </row>
    <row r="9" spans="1:4">
      <c r="C9" t="s">
        <v>1121</v>
      </c>
      <c r="D9" t="s">
        <v>1121</v>
      </c>
    </row>
    <row r="10" spans="1:4">
      <c r="A10" s="11" t="s">
        <v>1122</v>
      </c>
      <c r="B10" t="s">
        <v>1123</v>
      </c>
      <c r="C10" s="12">
        <v>0.24</v>
      </c>
      <c r="D10" s="12">
        <v>0.35</v>
      </c>
    </row>
    <row r="11" spans="1:4">
      <c r="A11" s="11" t="s">
        <v>1124</v>
      </c>
      <c r="B11" t="s">
        <v>1125</v>
      </c>
      <c r="C11" s="12">
        <v>1.3</v>
      </c>
      <c r="D11" s="12">
        <v>1.9</v>
      </c>
    </row>
    <row r="12" spans="1:4">
      <c r="A12" s="11" t="s">
        <v>1126</v>
      </c>
      <c r="B12" t="s">
        <v>1127</v>
      </c>
      <c r="C12" s="12">
        <v>1.4</v>
      </c>
      <c r="D12" s="12">
        <v>1.9</v>
      </c>
    </row>
    <row r="13" spans="1:4" ht="30">
      <c r="A13" s="11" t="s">
        <v>1128</v>
      </c>
      <c r="B13" t="s">
        <v>1129</v>
      </c>
      <c r="C13" s="12">
        <v>1.1000000000000001</v>
      </c>
      <c r="D13" s="12" t="s">
        <v>1130</v>
      </c>
    </row>
    <row r="14" spans="1:4">
      <c r="A14" s="11" t="s">
        <v>1131</v>
      </c>
      <c r="B14" t="s">
        <v>1132</v>
      </c>
      <c r="C14" s="12">
        <v>1.5</v>
      </c>
      <c r="D14" s="12">
        <v>1.9</v>
      </c>
    </row>
    <row r="15" spans="1:4">
      <c r="A15" s="11" t="s">
        <v>1133</v>
      </c>
      <c r="B15" t="s">
        <v>1134</v>
      </c>
      <c r="C15" s="12">
        <v>2</v>
      </c>
      <c r="D15" s="12">
        <v>2.7</v>
      </c>
    </row>
    <row r="16" spans="1:4">
      <c r="A16" s="11" t="s">
        <v>1135</v>
      </c>
      <c r="B16" t="s">
        <v>1136</v>
      </c>
      <c r="C16" s="12">
        <v>1.6</v>
      </c>
      <c r="D16" s="12">
        <v>1.9</v>
      </c>
    </row>
    <row r="17" spans="1:4">
      <c r="A17" s="11" t="s">
        <v>1137</v>
      </c>
      <c r="B17" t="s">
        <v>1138</v>
      </c>
      <c r="C17" s="12">
        <v>2</v>
      </c>
      <c r="D17" s="12">
        <v>2.8</v>
      </c>
    </row>
    <row r="18" spans="1:4" ht="30">
      <c r="A18" s="11" t="s">
        <v>1139</v>
      </c>
      <c r="B18" t="s">
        <v>1140</v>
      </c>
      <c r="C18" s="12">
        <v>1.6</v>
      </c>
      <c r="D18" s="12" t="s">
        <v>113</v>
      </c>
    </row>
    <row r="19" spans="1:4" ht="30">
      <c r="A19" s="11" t="s">
        <v>1141</v>
      </c>
      <c r="B19" t="s">
        <v>1142</v>
      </c>
      <c r="C19" s="12">
        <v>2.2999999999999998</v>
      </c>
      <c r="D19" s="12">
        <v>3</v>
      </c>
    </row>
    <row r="20" spans="1:4">
      <c r="A20" s="11" t="s">
        <v>1143</v>
      </c>
      <c r="B20" t="s">
        <v>1144</v>
      </c>
      <c r="C20" s="12">
        <v>1.8</v>
      </c>
      <c r="D20" s="12">
        <v>1.8</v>
      </c>
    </row>
    <row r="21" spans="1:4" ht="30">
      <c r="A21" s="11" t="s">
        <v>1145</v>
      </c>
      <c r="B21" t="s">
        <v>1146</v>
      </c>
      <c r="C21" s="12">
        <v>0.24</v>
      </c>
      <c r="D21" s="12">
        <v>0.35</v>
      </c>
    </row>
    <row r="22" spans="1:4">
      <c r="A22" s="11" t="s">
        <v>1147</v>
      </c>
      <c r="B22" t="s">
        <v>1148</v>
      </c>
      <c r="C22" s="12">
        <v>0.2</v>
      </c>
      <c r="D22" s="12">
        <v>0.35</v>
      </c>
    </row>
    <row r="23" spans="1:4" ht="30">
      <c r="A23" s="11" t="s">
        <v>1149</v>
      </c>
      <c r="B23" t="s">
        <v>1150</v>
      </c>
      <c r="C23" s="12">
        <v>0.3</v>
      </c>
      <c r="D23" s="12" t="s">
        <v>113</v>
      </c>
    </row>
    <row r="24" spans="1:4" ht="30">
      <c r="A24" s="11" t="s">
        <v>1151</v>
      </c>
      <c r="B24" t="s">
        <v>1152</v>
      </c>
      <c r="C24" s="12">
        <v>0.5</v>
      </c>
      <c r="D24" s="12" t="s">
        <v>113</v>
      </c>
    </row>
    <row r="25" spans="1:4">
      <c r="A25" s="11" t="s">
        <v>1153</v>
      </c>
      <c r="B25" t="s">
        <v>1154</v>
      </c>
      <c r="C25" s="12">
        <v>0.24</v>
      </c>
      <c r="D25" s="12">
        <v>0.35</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27C9-94E7-4FA5-B449-A9C8E0CC43A1}">
  <sheetPr>
    <tabColor theme="5"/>
  </sheetPr>
  <dimension ref="B2:AF295"/>
  <sheetViews>
    <sheetView zoomScale="85" zoomScaleNormal="85" workbookViewId="0"/>
  </sheetViews>
  <sheetFormatPr defaultColWidth="11.42578125" defaultRowHeight="15"/>
  <cols>
    <col min="2" max="2" width="30.42578125" customWidth="1"/>
    <col min="3" max="3" width="17.28515625" bestFit="1" customWidth="1"/>
    <col min="5" max="5" width="32" customWidth="1"/>
    <col min="6" max="6" width="17.85546875" customWidth="1"/>
    <col min="7" max="7" width="28.140625" customWidth="1"/>
    <col min="9" max="9" width="33.140625" bestFit="1" customWidth="1"/>
    <col min="11" max="11" width="37.85546875" bestFit="1" customWidth="1"/>
    <col min="12" max="12" width="23.85546875" bestFit="1" customWidth="1"/>
    <col min="13" max="13" width="22" bestFit="1" customWidth="1"/>
    <col min="14" max="14" width="19.140625" bestFit="1" customWidth="1"/>
    <col min="15" max="15" width="17" bestFit="1" customWidth="1"/>
    <col min="16" max="16" width="18" hidden="1" customWidth="1"/>
    <col min="17" max="17" width="18.85546875" bestFit="1" customWidth="1"/>
    <col min="18" max="18" width="21.140625" bestFit="1" customWidth="1"/>
    <col min="19" max="19" width="21.5703125" bestFit="1" customWidth="1"/>
    <col min="20" max="20" width="21.7109375" bestFit="1" customWidth="1"/>
    <col min="21" max="21" width="25.5703125" bestFit="1" customWidth="1"/>
    <col min="22" max="22" width="28.42578125" bestFit="1" customWidth="1"/>
    <col min="23" max="23" width="29.28515625" bestFit="1" customWidth="1"/>
    <col min="24" max="24" width="25.42578125" bestFit="1" customWidth="1"/>
    <col min="25" max="25" width="21.85546875" bestFit="1" customWidth="1"/>
    <col min="26" max="26" width="27.85546875" bestFit="1" customWidth="1"/>
    <col min="27" max="27" width="27.28515625" bestFit="1" customWidth="1"/>
    <col min="28" max="28" width="35.85546875" customWidth="1"/>
    <col min="29" max="29" width="11.42578125" customWidth="1"/>
  </cols>
  <sheetData>
    <row r="2" spans="2:32">
      <c r="K2" s="6" t="s">
        <v>1155</v>
      </c>
    </row>
    <row r="3" spans="2:32">
      <c r="E3" s="6" t="s">
        <v>1156</v>
      </c>
      <c r="F3" s="6"/>
      <c r="I3" t="s">
        <v>1157</v>
      </c>
      <c r="K3" t="s">
        <v>1158</v>
      </c>
      <c r="L3" t="s">
        <v>1159</v>
      </c>
      <c r="M3" t="s">
        <v>1160</v>
      </c>
      <c r="N3" t="s">
        <v>1161</v>
      </c>
      <c r="O3" t="s">
        <v>157</v>
      </c>
      <c r="P3" t="s">
        <v>153</v>
      </c>
    </row>
    <row r="4" spans="2:32">
      <c r="E4" t="s">
        <v>1162</v>
      </c>
      <c r="I4" t="s">
        <v>1159</v>
      </c>
      <c r="K4" t="s">
        <v>1163</v>
      </c>
      <c r="L4" t="s">
        <v>1163</v>
      </c>
      <c r="M4" t="s">
        <v>1164</v>
      </c>
      <c r="N4" t="s">
        <v>1165</v>
      </c>
      <c r="O4" t="s">
        <v>1166</v>
      </c>
      <c r="P4" t="s">
        <v>1167</v>
      </c>
    </row>
    <row r="5" spans="2:32">
      <c r="E5" t="s">
        <v>1168</v>
      </c>
      <c r="I5" t="s">
        <v>1158</v>
      </c>
      <c r="K5" t="s">
        <v>1169</v>
      </c>
      <c r="L5" t="s">
        <v>1169</v>
      </c>
      <c r="M5" t="s">
        <v>1170</v>
      </c>
      <c r="N5" t="s">
        <v>1171</v>
      </c>
      <c r="O5" t="s">
        <v>1172</v>
      </c>
    </row>
    <row r="6" spans="2:32">
      <c r="E6" t="s">
        <v>1173</v>
      </c>
      <c r="I6" t="s">
        <v>1160</v>
      </c>
      <c r="K6" t="s">
        <v>1174</v>
      </c>
      <c r="L6" t="s">
        <v>1174</v>
      </c>
      <c r="N6" t="s">
        <v>1175</v>
      </c>
      <c r="O6" t="s">
        <v>1176</v>
      </c>
    </row>
    <row r="7" spans="2:32">
      <c r="E7" t="s">
        <v>1177</v>
      </c>
      <c r="I7" t="s">
        <v>1161</v>
      </c>
      <c r="K7" t="s">
        <v>1178</v>
      </c>
      <c r="L7" t="s">
        <v>1178</v>
      </c>
    </row>
    <row r="8" spans="2:32">
      <c r="I8" t="s">
        <v>153</v>
      </c>
      <c r="K8" t="s">
        <v>1179</v>
      </c>
      <c r="L8" t="s">
        <v>1179</v>
      </c>
    </row>
    <row r="9" spans="2:32">
      <c r="B9" t="s">
        <v>1180</v>
      </c>
      <c r="C9" t="s">
        <v>1181</v>
      </c>
      <c r="E9" t="s">
        <v>1182</v>
      </c>
    </row>
    <row r="10" spans="2:32">
      <c r="B10" t="s">
        <v>1183</v>
      </c>
      <c r="C10">
        <v>0</v>
      </c>
      <c r="E10" t="s">
        <v>1184</v>
      </c>
    </row>
    <row r="11" spans="2:32">
      <c r="B11" t="s">
        <v>1185</v>
      </c>
      <c r="C11">
        <v>20</v>
      </c>
      <c r="E11" t="s">
        <v>1186</v>
      </c>
      <c r="AC11" t="s">
        <v>1187</v>
      </c>
      <c r="AE11" t="s">
        <v>1188</v>
      </c>
    </row>
    <row r="12" spans="2:32">
      <c r="B12" t="s">
        <v>1189</v>
      </c>
      <c r="C12">
        <v>40</v>
      </c>
      <c r="E12" t="s">
        <v>1190</v>
      </c>
      <c r="AC12" t="s">
        <v>1191</v>
      </c>
      <c r="AD12" t="s">
        <v>1192</v>
      </c>
      <c r="AE12" t="s">
        <v>1191</v>
      </c>
      <c r="AF12" t="s">
        <v>1192</v>
      </c>
    </row>
    <row r="13" spans="2:32">
      <c r="B13" t="s">
        <v>1193</v>
      </c>
      <c r="C13">
        <v>60</v>
      </c>
      <c r="K13" t="s">
        <v>412</v>
      </c>
      <c r="AC13">
        <v>280</v>
      </c>
      <c r="AD13">
        <v>250</v>
      </c>
      <c r="AE13">
        <v>300</v>
      </c>
      <c r="AF13">
        <v>160</v>
      </c>
    </row>
    <row r="14" spans="2:32">
      <c r="K14" t="s">
        <v>1194</v>
      </c>
      <c r="L14" t="s">
        <v>1195</v>
      </c>
      <c r="M14" t="s">
        <v>1196</v>
      </c>
      <c r="N14" t="s">
        <v>1197</v>
      </c>
      <c r="O14" t="s">
        <v>1198</v>
      </c>
      <c r="P14" t="s">
        <v>1199</v>
      </c>
      <c r="Q14" t="s">
        <v>1200</v>
      </c>
      <c r="R14" t="s">
        <v>1201</v>
      </c>
      <c r="S14" t="s">
        <v>1202</v>
      </c>
      <c r="T14" t="s">
        <v>1203</v>
      </c>
      <c r="U14" t="s">
        <v>1204</v>
      </c>
      <c r="V14" t="s">
        <v>1205</v>
      </c>
      <c r="W14" t="s">
        <v>1206</v>
      </c>
      <c r="X14" t="s">
        <v>1207</v>
      </c>
      <c r="Y14" t="s">
        <v>1208</v>
      </c>
      <c r="Z14" t="s">
        <v>1209</v>
      </c>
      <c r="AA14" t="s">
        <v>1210</v>
      </c>
      <c r="AC14">
        <v>430</v>
      </c>
      <c r="AD14">
        <v>70</v>
      </c>
      <c r="AE14">
        <v>300</v>
      </c>
      <c r="AF14">
        <v>250</v>
      </c>
    </row>
    <row r="15" spans="2:32">
      <c r="K15">
        <v>65</v>
      </c>
      <c r="L15">
        <v>65</v>
      </c>
      <c r="M15">
        <v>100</v>
      </c>
      <c r="N15">
        <v>100</v>
      </c>
      <c r="O15">
        <v>100</v>
      </c>
      <c r="P15">
        <v>155</v>
      </c>
      <c r="Q15">
        <v>155</v>
      </c>
      <c r="S15" s="98">
        <v>70</v>
      </c>
      <c r="T15" s="98">
        <v>110</v>
      </c>
      <c r="U15" s="98">
        <v>65</v>
      </c>
      <c r="V15" s="98">
        <v>145</v>
      </c>
      <c r="AA15">
        <v>73</v>
      </c>
      <c r="AC15">
        <v>430</v>
      </c>
      <c r="AD15">
        <v>110</v>
      </c>
      <c r="AE15">
        <v>450</v>
      </c>
      <c r="AF15">
        <v>110</v>
      </c>
    </row>
    <row r="16" spans="2:32">
      <c r="E16" t="s">
        <v>1211</v>
      </c>
      <c r="G16" t="s">
        <v>1211</v>
      </c>
      <c r="S16" s="99">
        <v>110</v>
      </c>
      <c r="T16" s="99">
        <v>160</v>
      </c>
      <c r="U16" s="99">
        <v>105</v>
      </c>
      <c r="V16" s="99">
        <v>185</v>
      </c>
      <c r="AA16">
        <v>134</v>
      </c>
      <c r="AC16">
        <v>430</v>
      </c>
      <c r="AD16">
        <v>160</v>
      </c>
      <c r="AE16">
        <v>450</v>
      </c>
      <c r="AF16">
        <v>160</v>
      </c>
    </row>
    <row r="17" spans="2:32">
      <c r="S17" s="98">
        <v>160</v>
      </c>
      <c r="T17" s="98">
        <v>250</v>
      </c>
      <c r="U17" s="98">
        <v>145</v>
      </c>
      <c r="V17" s="100">
        <v>225</v>
      </c>
      <c r="AA17">
        <v>196</v>
      </c>
      <c r="AC17">
        <v>430</v>
      </c>
      <c r="AD17">
        <v>220</v>
      </c>
      <c r="AE17">
        <v>450</v>
      </c>
      <c r="AF17">
        <v>250</v>
      </c>
    </row>
    <row r="18" spans="2:32">
      <c r="B18" t="s">
        <v>1212</v>
      </c>
      <c r="E18" t="s">
        <v>1213</v>
      </c>
      <c r="G18" t="s">
        <v>1213</v>
      </c>
      <c r="S18" s="99">
        <v>220</v>
      </c>
      <c r="U18" s="99">
        <v>185</v>
      </c>
      <c r="AA18">
        <v>257</v>
      </c>
      <c r="AC18">
        <v>580</v>
      </c>
      <c r="AD18">
        <v>70</v>
      </c>
      <c r="AE18">
        <v>600</v>
      </c>
      <c r="AF18">
        <v>110</v>
      </c>
    </row>
    <row r="19" spans="2:32">
      <c r="E19" t="s">
        <v>1214</v>
      </c>
      <c r="G19" t="s">
        <v>1215</v>
      </c>
      <c r="S19">
        <v>250</v>
      </c>
      <c r="U19" s="100">
        <v>225</v>
      </c>
      <c r="AC19">
        <v>580</v>
      </c>
      <c r="AD19">
        <v>110</v>
      </c>
      <c r="AE19">
        <v>600</v>
      </c>
      <c r="AF19">
        <v>160</v>
      </c>
    </row>
    <row r="20" spans="2:32">
      <c r="B20" t="s">
        <v>1216</v>
      </c>
      <c r="E20" t="s">
        <v>1217</v>
      </c>
      <c r="G20" t="s">
        <v>1217</v>
      </c>
      <c r="AC20">
        <v>580</v>
      </c>
      <c r="AD20">
        <v>160</v>
      </c>
      <c r="AE20">
        <v>600</v>
      </c>
      <c r="AF20">
        <v>250</v>
      </c>
    </row>
    <row r="21" spans="2:32">
      <c r="B21" t="s">
        <v>1218</v>
      </c>
      <c r="E21" t="s">
        <v>1219</v>
      </c>
      <c r="G21" t="s">
        <v>1219</v>
      </c>
      <c r="AC21">
        <v>580</v>
      </c>
      <c r="AD21">
        <v>220</v>
      </c>
      <c r="AE21">
        <v>1000</v>
      </c>
      <c r="AF21">
        <v>110</v>
      </c>
    </row>
    <row r="22" spans="2:32">
      <c r="B22" t="s">
        <v>1220</v>
      </c>
      <c r="E22" t="s">
        <v>1221</v>
      </c>
      <c r="G22" t="s">
        <v>1221</v>
      </c>
      <c r="K22" s="6" t="s">
        <v>561</v>
      </c>
      <c r="AC22">
        <v>680</v>
      </c>
      <c r="AD22">
        <v>160</v>
      </c>
      <c r="AE22">
        <v>1000</v>
      </c>
      <c r="AF22">
        <v>160</v>
      </c>
    </row>
    <row r="23" spans="2:32">
      <c r="B23" t="s">
        <v>1222</v>
      </c>
      <c r="E23" t="s">
        <v>1223</v>
      </c>
      <c r="G23" t="s">
        <v>1223</v>
      </c>
      <c r="K23" t="s">
        <v>1224</v>
      </c>
      <c r="L23" t="s">
        <v>1225</v>
      </c>
      <c r="M23" t="s">
        <v>1226</v>
      </c>
      <c r="N23" t="s">
        <v>1227</v>
      </c>
      <c r="O23" t="s">
        <v>1228</v>
      </c>
      <c r="P23" t="s">
        <v>1229</v>
      </c>
      <c r="Q23" t="s">
        <v>1230</v>
      </c>
      <c r="R23" t="s">
        <v>1231</v>
      </c>
      <c r="S23" t="s">
        <v>1232</v>
      </c>
      <c r="T23" t="s">
        <v>1233</v>
      </c>
      <c r="U23" t="s">
        <v>1234</v>
      </c>
      <c r="V23" t="s">
        <v>1235</v>
      </c>
      <c r="W23" t="s">
        <v>1236</v>
      </c>
      <c r="X23" t="s">
        <v>1237</v>
      </c>
      <c r="Y23" t="s">
        <v>1238</v>
      </c>
      <c r="Z23" t="s">
        <v>1239</v>
      </c>
      <c r="AA23" t="s">
        <v>1240</v>
      </c>
      <c r="AB23" t="s">
        <v>1241</v>
      </c>
      <c r="AC23">
        <v>980</v>
      </c>
      <c r="AD23">
        <v>70</v>
      </c>
      <c r="AE23">
        <v>1000</v>
      </c>
      <c r="AF23">
        <v>250</v>
      </c>
    </row>
    <row r="24" spans="2:32">
      <c r="B24" t="s">
        <v>1242</v>
      </c>
      <c r="E24" t="s">
        <v>1243</v>
      </c>
      <c r="G24" t="s">
        <v>1243</v>
      </c>
      <c r="K24">
        <v>350</v>
      </c>
      <c r="L24">
        <v>350</v>
      </c>
      <c r="M24">
        <v>350</v>
      </c>
      <c r="N24">
        <v>350</v>
      </c>
      <c r="O24">
        <v>350</v>
      </c>
      <c r="P24">
        <v>350</v>
      </c>
      <c r="Q24">
        <v>350</v>
      </c>
      <c r="R24">
        <v>350</v>
      </c>
      <c r="S24">
        <v>280</v>
      </c>
      <c r="T24">
        <v>300</v>
      </c>
      <c r="U24">
        <v>190</v>
      </c>
      <c r="V24">
        <v>180</v>
      </c>
      <c r="W24">
        <v>400</v>
      </c>
      <c r="AA24">
        <v>70</v>
      </c>
      <c r="AC24">
        <v>980</v>
      </c>
      <c r="AD24">
        <v>160</v>
      </c>
    </row>
    <row r="25" spans="2:32">
      <c r="B25" t="s">
        <v>1244</v>
      </c>
      <c r="E25" t="s">
        <v>1245</v>
      </c>
      <c r="G25" t="s">
        <v>1245</v>
      </c>
      <c r="K25">
        <v>500</v>
      </c>
      <c r="L25">
        <v>500</v>
      </c>
      <c r="M25">
        <v>500</v>
      </c>
      <c r="N25">
        <v>500</v>
      </c>
      <c r="O25">
        <v>500</v>
      </c>
      <c r="P25">
        <v>500</v>
      </c>
      <c r="Q25">
        <v>500</v>
      </c>
      <c r="R25">
        <v>500</v>
      </c>
      <c r="S25">
        <v>430</v>
      </c>
      <c r="T25">
        <v>450</v>
      </c>
      <c r="U25">
        <v>260</v>
      </c>
      <c r="V25">
        <v>225</v>
      </c>
      <c r="W25">
        <f>W24+100</f>
        <v>500</v>
      </c>
      <c r="AA25">
        <v>140</v>
      </c>
      <c r="AC25">
        <v>980</v>
      </c>
      <c r="AD25">
        <v>220</v>
      </c>
    </row>
    <row r="26" spans="2:32">
      <c r="E26" t="s">
        <v>1220</v>
      </c>
      <c r="G26" t="s">
        <v>1220</v>
      </c>
      <c r="K26">
        <v>600</v>
      </c>
      <c r="L26">
        <v>600</v>
      </c>
      <c r="M26">
        <v>600</v>
      </c>
      <c r="N26">
        <v>600</v>
      </c>
      <c r="O26">
        <v>600</v>
      </c>
      <c r="P26">
        <v>600</v>
      </c>
      <c r="Q26">
        <v>600</v>
      </c>
      <c r="R26">
        <v>600</v>
      </c>
      <c r="S26">
        <v>580</v>
      </c>
      <c r="T26">
        <v>600</v>
      </c>
      <c r="U26">
        <v>300</v>
      </c>
      <c r="V26">
        <v>270</v>
      </c>
      <c r="W26">
        <f t="shared" ref="W26:W50" si="0">W25+100</f>
        <v>600</v>
      </c>
      <c r="AA26">
        <v>210</v>
      </c>
    </row>
    <row r="27" spans="2:32">
      <c r="E27" t="s">
        <v>1222</v>
      </c>
      <c r="G27" t="s">
        <v>1222</v>
      </c>
      <c r="K27">
        <v>900</v>
      </c>
      <c r="L27">
        <v>900</v>
      </c>
      <c r="M27">
        <v>900</v>
      </c>
      <c r="N27">
        <v>900</v>
      </c>
      <c r="O27">
        <v>900</v>
      </c>
      <c r="P27">
        <v>900</v>
      </c>
      <c r="Q27">
        <v>900</v>
      </c>
      <c r="R27">
        <v>900</v>
      </c>
      <c r="S27">
        <v>680</v>
      </c>
      <c r="T27">
        <v>1000</v>
      </c>
      <c r="U27">
        <v>400</v>
      </c>
      <c r="V27">
        <v>315</v>
      </c>
      <c r="W27">
        <f t="shared" si="0"/>
        <v>700</v>
      </c>
      <c r="AA27">
        <v>280</v>
      </c>
    </row>
    <row r="28" spans="2:32">
      <c r="B28" t="s">
        <v>1246</v>
      </c>
      <c r="E28" t="s">
        <v>1242</v>
      </c>
      <c r="G28" t="s">
        <v>1242</v>
      </c>
      <c r="S28">
        <v>980</v>
      </c>
      <c r="U28">
        <v>500</v>
      </c>
      <c r="W28">
        <f t="shared" si="0"/>
        <v>800</v>
      </c>
    </row>
    <row r="29" spans="2:32">
      <c r="B29" t="s">
        <v>356</v>
      </c>
      <c r="E29" t="s">
        <v>1244</v>
      </c>
      <c r="G29" t="s">
        <v>1244</v>
      </c>
      <c r="U29">
        <v>600</v>
      </c>
      <c r="W29">
        <f t="shared" si="0"/>
        <v>900</v>
      </c>
    </row>
    <row r="30" spans="2:32">
      <c r="B30" t="s">
        <v>1247</v>
      </c>
      <c r="E30" t="s">
        <v>1248</v>
      </c>
      <c r="U30">
        <v>750</v>
      </c>
      <c r="W30">
        <f t="shared" si="0"/>
        <v>1000</v>
      </c>
    </row>
    <row r="31" spans="2:32">
      <c r="B31" t="s">
        <v>1249</v>
      </c>
      <c r="E31" t="s">
        <v>1250</v>
      </c>
      <c r="U31">
        <v>900</v>
      </c>
      <c r="W31">
        <f t="shared" si="0"/>
        <v>1100</v>
      </c>
    </row>
    <row r="32" spans="2:32">
      <c r="B32" t="s">
        <v>1251</v>
      </c>
      <c r="E32" t="s">
        <v>56</v>
      </c>
      <c r="U32">
        <v>1000</v>
      </c>
      <c r="W32">
        <f t="shared" si="0"/>
        <v>1200</v>
      </c>
    </row>
    <row r="33" spans="2:28">
      <c r="B33" t="s">
        <v>1252</v>
      </c>
      <c r="E33" t="s">
        <v>59</v>
      </c>
      <c r="U33">
        <v>1200</v>
      </c>
      <c r="W33">
        <f t="shared" si="0"/>
        <v>1300</v>
      </c>
    </row>
    <row r="34" spans="2:28">
      <c r="E34" t="s">
        <v>1253</v>
      </c>
      <c r="U34">
        <v>1500</v>
      </c>
      <c r="W34">
        <f t="shared" si="0"/>
        <v>1400</v>
      </c>
    </row>
    <row r="35" spans="2:28">
      <c r="E35" t="s">
        <v>1254</v>
      </c>
      <c r="U35">
        <v>2000</v>
      </c>
      <c r="W35">
        <f t="shared" si="0"/>
        <v>1500</v>
      </c>
    </row>
    <row r="36" spans="2:28">
      <c r="E36" t="s">
        <v>1255</v>
      </c>
      <c r="U36">
        <v>2500</v>
      </c>
      <c r="W36">
        <f t="shared" si="0"/>
        <v>1600</v>
      </c>
    </row>
    <row r="37" spans="2:28">
      <c r="E37" t="s">
        <v>1256</v>
      </c>
      <c r="W37">
        <f t="shared" si="0"/>
        <v>1700</v>
      </c>
    </row>
    <row r="38" spans="2:28">
      <c r="E38" t="s">
        <v>1257</v>
      </c>
      <c r="W38">
        <f t="shared" si="0"/>
        <v>1800</v>
      </c>
    </row>
    <row r="39" spans="2:28">
      <c r="E39" t="s">
        <v>1258</v>
      </c>
      <c r="K39" s="6" t="s">
        <v>1259</v>
      </c>
      <c r="W39">
        <f t="shared" si="0"/>
        <v>1900</v>
      </c>
    </row>
    <row r="40" spans="2:28">
      <c r="E40" t="s">
        <v>259</v>
      </c>
      <c r="K40" t="s">
        <v>1260</v>
      </c>
      <c r="R40" t="s">
        <v>1261</v>
      </c>
      <c r="S40" t="s">
        <v>1164</v>
      </c>
      <c r="T40" t="s">
        <v>1170</v>
      </c>
      <c r="U40" t="s">
        <v>1165</v>
      </c>
      <c r="V40" t="s">
        <v>1262</v>
      </c>
      <c r="W40">
        <f t="shared" si="0"/>
        <v>2000</v>
      </c>
      <c r="X40" t="s">
        <v>1166</v>
      </c>
      <c r="Y40" t="s">
        <v>1172</v>
      </c>
      <c r="Z40" t="s">
        <v>1176</v>
      </c>
      <c r="AA40" t="s">
        <v>1167</v>
      </c>
      <c r="AB40" t="s">
        <v>1241</v>
      </c>
    </row>
    <row r="41" spans="2:28">
      <c r="E41" t="s">
        <v>1263</v>
      </c>
      <c r="V41">
        <v>1500</v>
      </c>
      <c r="W41">
        <f t="shared" si="0"/>
        <v>2100</v>
      </c>
    </row>
    <row r="42" spans="2:28">
      <c r="E42" t="s">
        <v>1264</v>
      </c>
      <c r="V42">
        <v>2000</v>
      </c>
      <c r="W42">
        <f t="shared" si="0"/>
        <v>2200</v>
      </c>
    </row>
    <row r="43" spans="2:28">
      <c r="E43" t="s">
        <v>1265</v>
      </c>
      <c r="V43">
        <v>2500</v>
      </c>
      <c r="W43">
        <f t="shared" si="0"/>
        <v>2300</v>
      </c>
    </row>
    <row r="44" spans="2:28">
      <c r="E44" t="s">
        <v>1266</v>
      </c>
      <c r="W44">
        <f t="shared" si="0"/>
        <v>2400</v>
      </c>
    </row>
    <row r="45" spans="2:28">
      <c r="E45" t="s">
        <v>1267</v>
      </c>
      <c r="W45">
        <f t="shared" si="0"/>
        <v>2500</v>
      </c>
    </row>
    <row r="46" spans="2:28">
      <c r="E46" t="s">
        <v>1268</v>
      </c>
      <c r="K46" s="6" t="s">
        <v>1269</v>
      </c>
      <c r="W46">
        <f t="shared" si="0"/>
        <v>2600</v>
      </c>
    </row>
    <row r="47" spans="2:28">
      <c r="E47" t="s">
        <v>1270</v>
      </c>
      <c r="K47" t="s">
        <v>1260</v>
      </c>
      <c r="R47" t="s">
        <v>1261</v>
      </c>
      <c r="S47" t="s">
        <v>1164</v>
      </c>
      <c r="T47" t="s">
        <v>1170</v>
      </c>
      <c r="U47" t="s">
        <v>1165</v>
      </c>
      <c r="V47" t="s">
        <v>1171</v>
      </c>
      <c r="W47">
        <f t="shared" si="0"/>
        <v>2700</v>
      </c>
      <c r="X47" t="s">
        <v>1166</v>
      </c>
      <c r="Y47" t="s">
        <v>1172</v>
      </c>
      <c r="Z47" t="s">
        <v>1176</v>
      </c>
      <c r="AA47" t="s">
        <v>1167</v>
      </c>
      <c r="AB47" t="s">
        <v>1241</v>
      </c>
    </row>
    <row r="48" spans="2:28">
      <c r="E48" t="s">
        <v>1271</v>
      </c>
      <c r="W48">
        <f t="shared" si="0"/>
        <v>2800</v>
      </c>
      <c r="AB48">
        <v>300</v>
      </c>
    </row>
    <row r="49" spans="5:28">
      <c r="E49" t="s">
        <v>1272</v>
      </c>
      <c r="W49">
        <f t="shared" si="0"/>
        <v>2900</v>
      </c>
      <c r="AB49">
        <v>450</v>
      </c>
    </row>
    <row r="50" spans="5:28">
      <c r="E50" t="s">
        <v>1273</v>
      </c>
      <c r="W50">
        <f t="shared" si="0"/>
        <v>3000</v>
      </c>
      <c r="AB50">
        <v>600</v>
      </c>
    </row>
    <row r="51" spans="5:28">
      <c r="AB51">
        <v>750</v>
      </c>
    </row>
    <row r="52" spans="5:28">
      <c r="E52" t="s">
        <v>260</v>
      </c>
      <c r="AB52">
        <v>900</v>
      </c>
    </row>
    <row r="53" spans="5:28">
      <c r="E53" t="s">
        <v>1274</v>
      </c>
      <c r="AB53">
        <v>1160</v>
      </c>
    </row>
    <row r="54" spans="5:28">
      <c r="E54" t="s">
        <v>1275</v>
      </c>
      <c r="AB54">
        <v>1310</v>
      </c>
    </row>
    <row r="55" spans="5:28">
      <c r="K55" s="6" t="s">
        <v>1276</v>
      </c>
    </row>
    <row r="56" spans="5:28">
      <c r="E56" t="s">
        <v>1277</v>
      </c>
      <c r="K56" t="s">
        <v>1260</v>
      </c>
      <c r="R56" t="s">
        <v>1261</v>
      </c>
      <c r="S56" t="s">
        <v>1164</v>
      </c>
      <c r="T56" t="s">
        <v>1170</v>
      </c>
      <c r="U56" t="s">
        <v>1165</v>
      </c>
      <c r="V56" t="s">
        <v>1171</v>
      </c>
      <c r="X56" t="s">
        <v>1166</v>
      </c>
      <c r="Y56" t="s">
        <v>1172</v>
      </c>
      <c r="Z56" t="s">
        <v>1176</v>
      </c>
      <c r="AA56" t="s">
        <v>1167</v>
      </c>
      <c r="AB56" t="s">
        <v>1241</v>
      </c>
    </row>
    <row r="57" spans="5:28">
      <c r="E57" t="s">
        <v>122</v>
      </c>
      <c r="K57">
        <v>300</v>
      </c>
      <c r="R57" s="31">
        <v>300</v>
      </c>
    </row>
    <row r="58" spans="5:28">
      <c r="E58" t="s">
        <v>1278</v>
      </c>
      <c r="K58">
        <v>450</v>
      </c>
      <c r="R58" s="32">
        <v>450</v>
      </c>
    </row>
    <row r="59" spans="5:28">
      <c r="E59" t="s">
        <v>1279</v>
      </c>
      <c r="K59">
        <v>550</v>
      </c>
      <c r="R59" s="31">
        <v>550</v>
      </c>
    </row>
    <row r="60" spans="5:28">
      <c r="E60" t="s">
        <v>1280</v>
      </c>
      <c r="K60">
        <v>850</v>
      </c>
      <c r="R60" s="33">
        <v>850</v>
      </c>
    </row>
    <row r="61" spans="5:28">
      <c r="E61" t="s">
        <v>1281</v>
      </c>
      <c r="P61" t="s">
        <v>1282</v>
      </c>
    </row>
    <row r="62" spans="5:28">
      <c r="M62" t="s">
        <v>1212</v>
      </c>
      <c r="N62" t="s">
        <v>1283</v>
      </c>
      <c r="O62" t="s">
        <v>290</v>
      </c>
      <c r="P62" t="s">
        <v>68</v>
      </c>
      <c r="Q62" t="s">
        <v>1284</v>
      </c>
      <c r="R62" t="s">
        <v>1285</v>
      </c>
      <c r="S62" t="s">
        <v>1286</v>
      </c>
      <c r="T62" t="s">
        <v>1287</v>
      </c>
    </row>
    <row r="63" spans="5:28">
      <c r="M63" t="s">
        <v>1222</v>
      </c>
      <c r="N63" s="4">
        <v>0.3</v>
      </c>
      <c r="O63" t="s">
        <v>250</v>
      </c>
      <c r="P63">
        <v>0.04</v>
      </c>
      <c r="Q63">
        <v>2</v>
      </c>
      <c r="R63" s="13">
        <f>(1/UWert_Mod[[#This Row],[U-Wert]]-1/UWert_Mod[[#This Row],[U_no_ins]])*INDEX(PAR[lambda_ins_thick],1)*100</f>
        <v>11.333333333333334</v>
      </c>
      <c r="S63" t="s">
        <v>1288</v>
      </c>
      <c r="T63">
        <v>1</v>
      </c>
    </row>
    <row r="64" spans="5:28">
      <c r="M64" t="s">
        <v>1222</v>
      </c>
      <c r="N64" s="4">
        <v>0.35</v>
      </c>
      <c r="O64" t="s">
        <v>120</v>
      </c>
      <c r="P64">
        <v>0.04</v>
      </c>
      <c r="Q64">
        <v>1.5</v>
      </c>
      <c r="R64" s="13">
        <f>(1/UWert_Mod[[#This Row],[U-Wert]]-1/UWert_Mod[[#This Row],[U_no_ins]])*INDEX(PAR[lambda_ins_thick],1)*100</f>
        <v>8.7619047619047628</v>
      </c>
      <c r="S64" t="s">
        <v>1288</v>
      </c>
      <c r="T64">
        <v>1</v>
      </c>
    </row>
    <row r="65" spans="5:20">
      <c r="E65" t="s">
        <v>285</v>
      </c>
      <c r="M65" t="s">
        <v>1222</v>
      </c>
      <c r="N65" s="4">
        <v>0.45</v>
      </c>
      <c r="O65" t="s">
        <v>252</v>
      </c>
      <c r="P65">
        <v>0.04</v>
      </c>
      <c r="Q65">
        <v>1.5</v>
      </c>
      <c r="R65" s="13">
        <f>(1/UWert_Mod[[#This Row],[U-Wert]]-1/UWert_Mod[[#This Row],[U_no_ins]])*INDEX(PAR[lambda_ins_thick],1)*100</f>
        <v>6.2222222222222232</v>
      </c>
      <c r="S65" t="s">
        <v>1288</v>
      </c>
      <c r="T65">
        <v>1</v>
      </c>
    </row>
    <row r="66" spans="5:20">
      <c r="E66" t="s">
        <v>374</v>
      </c>
      <c r="M66" t="s">
        <v>1222</v>
      </c>
      <c r="N66" s="4">
        <v>0.3</v>
      </c>
      <c r="O66" t="s">
        <v>254</v>
      </c>
      <c r="P66">
        <v>0.04</v>
      </c>
      <c r="Q66">
        <v>1.5</v>
      </c>
      <c r="R66" s="13">
        <f>(1/UWert_Mod[[#This Row],[U-Wert]]-1/UWert_Mod[[#This Row],[U_no_ins]])*INDEX(PAR[lambda_ins_thick],1)*100</f>
        <v>10.666666666666668</v>
      </c>
      <c r="S66" t="s">
        <v>1288</v>
      </c>
      <c r="T66">
        <v>1</v>
      </c>
    </row>
    <row r="67" spans="5:20">
      <c r="E67" t="s">
        <v>246</v>
      </c>
      <c r="M67" t="s">
        <v>1242</v>
      </c>
      <c r="N67" s="4">
        <v>0.3</v>
      </c>
      <c r="O67" t="s">
        <v>250</v>
      </c>
      <c r="P67">
        <v>3.7999999999999999E-2</v>
      </c>
      <c r="Q67">
        <v>2</v>
      </c>
      <c r="R67" s="13">
        <f>(1/UWert_Mod[[#This Row],[U-Wert]]-1/UWert_Mod[[#This Row],[U_no_ins]])*INDEX(PAR[lambda_ins_thick],1)*100</f>
        <v>11.333333333333334</v>
      </c>
      <c r="S67" t="s">
        <v>1289</v>
      </c>
      <c r="T67">
        <v>1</v>
      </c>
    </row>
    <row r="68" spans="5:20">
      <c r="M68" t="s">
        <v>1242</v>
      </c>
      <c r="N68" s="4">
        <v>0.35</v>
      </c>
      <c r="O68" t="s">
        <v>120</v>
      </c>
      <c r="P68">
        <v>3.7999999999999999E-2</v>
      </c>
      <c r="Q68">
        <v>1.5</v>
      </c>
      <c r="R68" s="13">
        <f>(1/UWert_Mod[[#This Row],[U-Wert]]-1/UWert_Mod[[#This Row],[U_no_ins]])*INDEX(PAR[lambda_ins_thick],1)*100</f>
        <v>8.7619047619047628</v>
      </c>
      <c r="S68" t="s">
        <v>1289</v>
      </c>
      <c r="T68">
        <v>1</v>
      </c>
    </row>
    <row r="69" spans="5:20">
      <c r="E69" t="s">
        <v>1290</v>
      </c>
      <c r="F69" t="s">
        <v>1291</v>
      </c>
      <c r="M69" t="s">
        <v>1242</v>
      </c>
      <c r="N69" s="4">
        <v>0.45</v>
      </c>
      <c r="O69" t="s">
        <v>252</v>
      </c>
      <c r="P69">
        <v>3.7999999999999999E-2</v>
      </c>
      <c r="Q69">
        <v>1.5</v>
      </c>
      <c r="R69" s="13">
        <f>(1/UWert_Mod[[#This Row],[U-Wert]]-1/UWert_Mod[[#This Row],[U_no_ins]])*INDEX(PAR[lambda_ins_thick],1)*100</f>
        <v>6.2222222222222232</v>
      </c>
      <c r="S69" t="s">
        <v>1289</v>
      </c>
      <c r="T69">
        <v>1</v>
      </c>
    </row>
    <row r="70" spans="5:20">
      <c r="E70" t="s">
        <v>1292</v>
      </c>
      <c r="M70" t="s">
        <v>1242</v>
      </c>
      <c r="N70" s="4">
        <v>0.3</v>
      </c>
      <c r="O70" t="s">
        <v>254</v>
      </c>
      <c r="P70">
        <v>3.7999999999999999E-2</v>
      </c>
      <c r="Q70">
        <v>1.5</v>
      </c>
      <c r="R70" s="13">
        <f>(1/UWert_Mod[[#This Row],[U-Wert]]-1/UWert_Mod[[#This Row],[U_no_ins]])*INDEX(PAR[lambda_ins_thick],1)*100</f>
        <v>10.666666666666668</v>
      </c>
      <c r="S70" t="s">
        <v>1289</v>
      </c>
      <c r="T70">
        <v>1</v>
      </c>
    </row>
    <row r="71" spans="5:20">
      <c r="E71" t="s">
        <v>1293</v>
      </c>
      <c r="F71" s="185"/>
      <c r="M71" t="s">
        <v>1244</v>
      </c>
      <c r="N71" s="4">
        <v>0.22</v>
      </c>
      <c r="O71" t="s">
        <v>250</v>
      </c>
      <c r="P71">
        <v>3.5000000000000003E-2</v>
      </c>
      <c r="Q71">
        <v>2</v>
      </c>
      <c r="R71" s="13">
        <f>(1/UWert_Mod[[#This Row],[U-Wert]]-1/UWert_Mod[[#This Row],[U_no_ins]])*INDEX(PAR[lambda_ins_thick],1)*100</f>
        <v>16.181818181818183</v>
      </c>
      <c r="S71" t="s">
        <v>1294</v>
      </c>
      <c r="T71">
        <v>1</v>
      </c>
    </row>
    <row r="72" spans="5:20">
      <c r="M72" t="s">
        <v>1244</v>
      </c>
      <c r="N72" s="4">
        <v>0.24</v>
      </c>
      <c r="O72" t="s">
        <v>120</v>
      </c>
      <c r="P72">
        <v>3.5000000000000003E-2</v>
      </c>
      <c r="Q72">
        <v>1.5</v>
      </c>
      <c r="R72" s="13">
        <f>(1/UWert_Mod[[#This Row],[U-Wert]]-1/UWert_Mod[[#This Row],[U_no_ins]])*INDEX(PAR[lambda_ins_thick],1)*100</f>
        <v>14.000000000000002</v>
      </c>
      <c r="S72" t="s">
        <v>1294</v>
      </c>
      <c r="T72">
        <v>1</v>
      </c>
    </row>
    <row r="73" spans="5:20">
      <c r="E73" t="s">
        <v>1295</v>
      </c>
      <c r="M73" t="s">
        <v>1244</v>
      </c>
      <c r="N73" s="4">
        <v>0.4</v>
      </c>
      <c r="O73" t="s">
        <v>252</v>
      </c>
      <c r="P73">
        <v>3.5000000000000003E-2</v>
      </c>
      <c r="Q73">
        <v>1.5</v>
      </c>
      <c r="R73" s="13">
        <f>(1/UWert_Mod[[#This Row],[U-Wert]]-1/UWert_Mod[[#This Row],[U_no_ins]])*INDEX(PAR[lambda_ins_thick],1)*100</f>
        <v>7.3333333333333348</v>
      </c>
      <c r="S73" t="s">
        <v>1294</v>
      </c>
      <c r="T73">
        <v>1</v>
      </c>
    </row>
    <row r="74" spans="5:20">
      <c r="E74" t="s">
        <v>1296</v>
      </c>
      <c r="M74" t="s">
        <v>1244</v>
      </c>
      <c r="N74" s="4">
        <v>0.22</v>
      </c>
      <c r="O74" t="s">
        <v>254</v>
      </c>
      <c r="P74">
        <v>3.5000000000000003E-2</v>
      </c>
      <c r="Q74">
        <v>1.5</v>
      </c>
      <c r="R74" s="13">
        <f>(1/UWert_Mod[[#This Row],[U-Wert]]-1/UWert_Mod[[#This Row],[U_no_ins]])*INDEX(PAR[lambda_ins_thick],1)*100</f>
        <v>15.515151515151517</v>
      </c>
      <c r="S74" t="s">
        <v>1294</v>
      </c>
      <c r="T74">
        <v>1</v>
      </c>
    </row>
    <row r="75" spans="5:20">
      <c r="E75" t="s">
        <v>1297</v>
      </c>
      <c r="M75" t="s">
        <v>1216</v>
      </c>
      <c r="N75" s="4">
        <v>0.45</v>
      </c>
      <c r="O75" t="s">
        <v>250</v>
      </c>
      <c r="P75">
        <v>5.5E-2</v>
      </c>
      <c r="Q75">
        <v>2</v>
      </c>
      <c r="R75" s="13">
        <f>(1/UWert_Mod[[#This Row],[U-Wert]]-1/UWert_Mod[[#This Row],[U_no_ins]])*INDEX(PAR[lambda_ins_thick],1)*100</f>
        <v>6.8888888888888893</v>
      </c>
      <c r="S75" t="s">
        <v>1298</v>
      </c>
      <c r="T75">
        <v>1</v>
      </c>
    </row>
    <row r="76" spans="5:20">
      <c r="E76" t="s">
        <v>1299</v>
      </c>
      <c r="M76" t="s">
        <v>1218</v>
      </c>
      <c r="N76" s="4">
        <v>0.45</v>
      </c>
      <c r="O76" t="s">
        <v>250</v>
      </c>
      <c r="P76">
        <v>0.05</v>
      </c>
      <c r="Q76">
        <v>2</v>
      </c>
      <c r="R76" s="13">
        <f>(1/UWert_Mod[[#This Row],[U-Wert]]-1/UWert_Mod[[#This Row],[U_no_ins]])*INDEX(PAR[lambda_ins_thick],1)*100</f>
        <v>6.8888888888888893</v>
      </c>
      <c r="S76" t="s">
        <v>1298</v>
      </c>
      <c r="T76">
        <v>1</v>
      </c>
    </row>
    <row r="77" spans="5:20">
      <c r="E77" t="s">
        <v>1300</v>
      </c>
      <c r="M77" t="s">
        <v>1216</v>
      </c>
      <c r="N77" s="4">
        <v>0.6</v>
      </c>
      <c r="O77" t="s">
        <v>120</v>
      </c>
      <c r="P77">
        <v>5.5E-2</v>
      </c>
      <c r="Q77">
        <v>1.5</v>
      </c>
      <c r="R77" s="13">
        <f>(1/UWert_Mod[[#This Row],[U-Wert]]-1/UWert_Mod[[#This Row],[U_no_ins]])*INDEX(PAR[lambda_ins_thick],1)*100</f>
        <v>4</v>
      </c>
      <c r="S77" t="s">
        <v>1298</v>
      </c>
      <c r="T77">
        <v>1</v>
      </c>
    </row>
    <row r="78" spans="5:20">
      <c r="E78" t="s">
        <v>1301</v>
      </c>
      <c r="M78" t="s">
        <v>1218</v>
      </c>
      <c r="N78" s="4">
        <v>0.6</v>
      </c>
      <c r="O78" t="s">
        <v>120</v>
      </c>
      <c r="P78">
        <v>0.05</v>
      </c>
      <c r="Q78">
        <v>1.5</v>
      </c>
      <c r="R78" s="13">
        <f>(1/UWert_Mod[[#This Row],[U-Wert]]-1/UWert_Mod[[#This Row],[U_no_ins]])*INDEX(PAR[lambda_ins_thick],1)*100</f>
        <v>4</v>
      </c>
      <c r="S78" t="s">
        <v>1298</v>
      </c>
      <c r="T78">
        <v>1</v>
      </c>
    </row>
    <row r="79" spans="5:20">
      <c r="E79" t="s">
        <v>1302</v>
      </c>
      <c r="M79" t="s">
        <v>1216</v>
      </c>
      <c r="N79" s="4">
        <v>0.7</v>
      </c>
      <c r="O79" t="s">
        <v>252</v>
      </c>
      <c r="P79">
        <v>5.5E-2</v>
      </c>
      <c r="Q79">
        <v>1.5</v>
      </c>
      <c r="R79" s="13">
        <f>(1/UWert_Mod[[#This Row],[U-Wert]]-1/UWert_Mod[[#This Row],[U_no_ins]])*INDEX(PAR[lambda_ins_thick],1)*100</f>
        <v>3.0476190476190479</v>
      </c>
      <c r="S79" t="s">
        <v>1298</v>
      </c>
      <c r="T79">
        <v>1</v>
      </c>
    </row>
    <row r="80" spans="5:20">
      <c r="E80" t="s">
        <v>1303</v>
      </c>
      <c r="M80" t="s">
        <v>1218</v>
      </c>
      <c r="N80" s="4">
        <v>0.7</v>
      </c>
      <c r="O80" t="s">
        <v>252</v>
      </c>
      <c r="P80">
        <v>0.05</v>
      </c>
      <c r="Q80">
        <v>1.5</v>
      </c>
      <c r="R80" s="13">
        <f>(1/UWert_Mod[[#This Row],[U-Wert]]-1/UWert_Mod[[#This Row],[U_no_ins]])*INDEX(PAR[lambda_ins_thick],1)*100</f>
        <v>3.0476190476190479</v>
      </c>
      <c r="S80" t="s">
        <v>1298</v>
      </c>
      <c r="T80">
        <v>1</v>
      </c>
    </row>
    <row r="81" spans="5:20">
      <c r="E81" t="s">
        <v>1304</v>
      </c>
      <c r="M81" t="s">
        <v>1216</v>
      </c>
      <c r="N81" s="4">
        <v>0.45</v>
      </c>
      <c r="O81" t="s">
        <v>254</v>
      </c>
      <c r="P81">
        <v>5.5E-2</v>
      </c>
      <c r="Q81">
        <v>1.5</v>
      </c>
      <c r="R81" s="13">
        <f>(1/UWert_Mod[[#This Row],[U-Wert]]-1/UWert_Mod[[#This Row],[U_no_ins]])*INDEX(PAR[lambda_ins_thick],1)*100</f>
        <v>6.2222222222222232</v>
      </c>
      <c r="S81" t="s">
        <v>1298</v>
      </c>
      <c r="T81">
        <v>1</v>
      </c>
    </row>
    <row r="82" spans="5:20">
      <c r="E82" t="s">
        <v>1305</v>
      </c>
      <c r="M82" t="s">
        <v>1218</v>
      </c>
      <c r="N82" s="4">
        <v>0.45</v>
      </c>
      <c r="O82" t="s">
        <v>254</v>
      </c>
      <c r="P82">
        <v>0.05</v>
      </c>
      <c r="Q82">
        <v>1.5</v>
      </c>
      <c r="R82" s="13">
        <f>(1/UWert_Mod[[#This Row],[U-Wert]]-1/UWert_Mod[[#This Row],[U_no_ins]])*INDEX(PAR[lambda_ins_thick],1)*100</f>
        <v>6.2222222222222232</v>
      </c>
      <c r="S82" t="s">
        <v>1298</v>
      </c>
      <c r="T82">
        <v>1</v>
      </c>
    </row>
    <row r="83" spans="5:20">
      <c r="M83" t="s">
        <v>1220</v>
      </c>
      <c r="N83" s="4">
        <v>0.3</v>
      </c>
      <c r="O83" t="s">
        <v>250</v>
      </c>
      <c r="P83">
        <v>4.4999999999999998E-2</v>
      </c>
      <c r="Q83">
        <v>2</v>
      </c>
      <c r="R83" s="13">
        <f>(1/UWert_Mod[[#This Row],[U-Wert]]-1/UWert_Mod[[#This Row],[U_no_ins]])*INDEX(PAR[lambda_ins_thick],1)*100</f>
        <v>11.333333333333334</v>
      </c>
      <c r="S83" t="s">
        <v>1306</v>
      </c>
      <c r="T83">
        <v>1</v>
      </c>
    </row>
    <row r="84" spans="5:20">
      <c r="E84" t="s">
        <v>1307</v>
      </c>
      <c r="M84" t="s">
        <v>1220</v>
      </c>
      <c r="N84" s="4">
        <v>0.4</v>
      </c>
      <c r="O84" t="s">
        <v>120</v>
      </c>
      <c r="P84">
        <v>4.4999999999999998E-2</v>
      </c>
      <c r="Q84">
        <v>1.5</v>
      </c>
      <c r="R84" s="13">
        <f>(1/UWert_Mod[[#This Row],[U-Wert]]-1/UWert_Mod[[#This Row],[U_no_ins]])*INDEX(PAR[lambda_ins_thick],1)*100</f>
        <v>7.3333333333333348</v>
      </c>
      <c r="S84" t="s">
        <v>1306</v>
      </c>
      <c r="T84" t="s">
        <v>1308</v>
      </c>
    </row>
    <row r="85" spans="5:20">
      <c r="E85" t="s">
        <v>1309</v>
      </c>
      <c r="M85" t="s">
        <v>1220</v>
      </c>
      <c r="N85" s="4">
        <v>0.5</v>
      </c>
      <c r="O85" t="s">
        <v>252</v>
      </c>
      <c r="P85">
        <v>4.4999999999999998E-2</v>
      </c>
      <c r="Q85">
        <v>1.5</v>
      </c>
      <c r="R85" s="13">
        <f>(1/UWert_Mod[[#This Row],[U-Wert]]-1/UWert_Mod[[#This Row],[U_no_ins]])*INDEX(PAR[lambda_ins_thick],1)*100</f>
        <v>5.3333333333333339</v>
      </c>
      <c r="S85" t="s">
        <v>1306</v>
      </c>
      <c r="T85">
        <v>1</v>
      </c>
    </row>
    <row r="86" spans="5:20">
      <c r="E86" t="s">
        <v>1310</v>
      </c>
      <c r="M86" t="s">
        <v>1220</v>
      </c>
      <c r="N86" s="4">
        <v>0.3</v>
      </c>
      <c r="O86" t="s">
        <v>254</v>
      </c>
      <c r="P86">
        <v>4.4999999999999998E-2</v>
      </c>
      <c r="Q86">
        <v>1.5</v>
      </c>
      <c r="R86" s="13">
        <f>(1/UWert_Mod[[#This Row],[U-Wert]]-1/UWert_Mod[[#This Row],[U_no_ins]])*INDEX(PAR[lambda_ins_thick],1)*100</f>
        <v>10.666666666666668</v>
      </c>
      <c r="S86" t="s">
        <v>1306</v>
      </c>
      <c r="T86">
        <v>1</v>
      </c>
    </row>
    <row r="87" spans="5:20">
      <c r="N87" s="4"/>
    </row>
    <row r="88" spans="5:20">
      <c r="E88" t="s">
        <v>1311</v>
      </c>
      <c r="G88" s="74" t="s">
        <v>1311</v>
      </c>
      <c r="N88" s="4"/>
    </row>
    <row r="89" spans="5:20">
      <c r="E89">
        <v>10</v>
      </c>
      <c r="G89" s="45">
        <v>10</v>
      </c>
      <c r="N89" s="4"/>
    </row>
    <row r="90" spans="5:20">
      <c r="E90">
        <v>11</v>
      </c>
      <c r="G90" s="61">
        <v>11</v>
      </c>
      <c r="N90" s="4"/>
    </row>
    <row r="91" spans="5:20">
      <c r="E91">
        <v>20</v>
      </c>
      <c r="G91" s="45">
        <v>20</v>
      </c>
      <c r="N91" s="4"/>
    </row>
    <row r="92" spans="5:20">
      <c r="E92">
        <v>21</v>
      </c>
      <c r="G92" s="61">
        <v>21</v>
      </c>
      <c r="N92" s="4"/>
    </row>
    <row r="93" spans="5:20">
      <c r="E93">
        <v>22</v>
      </c>
      <c r="G93" s="45">
        <v>22</v>
      </c>
      <c r="N93" s="4"/>
    </row>
    <row r="94" spans="5:20">
      <c r="E94">
        <v>30</v>
      </c>
      <c r="G94" s="61">
        <v>30</v>
      </c>
      <c r="N94" s="4"/>
      <c r="R94" s="42"/>
    </row>
    <row r="95" spans="5:20">
      <c r="E95">
        <v>33</v>
      </c>
      <c r="G95" s="51">
        <v>33</v>
      </c>
      <c r="N95" s="4"/>
      <c r="R95" s="13"/>
    </row>
    <row r="96" spans="5:20">
      <c r="N96" s="4"/>
    </row>
    <row r="97" spans="5:19">
      <c r="N97" s="4"/>
    </row>
    <row r="98" spans="5:19">
      <c r="E98" s="6" t="s">
        <v>1312</v>
      </c>
      <c r="F98" s="6"/>
      <c r="N98" s="4"/>
    </row>
    <row r="99" spans="5:19">
      <c r="E99">
        <v>65</v>
      </c>
      <c r="N99" s="4"/>
    </row>
    <row r="100" spans="5:19">
      <c r="E100">
        <v>105</v>
      </c>
      <c r="N100" s="4"/>
    </row>
    <row r="101" spans="5:19">
      <c r="E101">
        <v>145</v>
      </c>
      <c r="N101" s="4"/>
    </row>
    <row r="102" spans="5:19">
      <c r="E102">
        <v>185</v>
      </c>
      <c r="N102" s="4"/>
      <c r="S102" s="4"/>
    </row>
    <row r="103" spans="5:19">
      <c r="E103">
        <v>225</v>
      </c>
      <c r="N103" s="4"/>
      <c r="S103" s="4"/>
    </row>
    <row r="104" spans="5:19">
      <c r="N104" s="4"/>
      <c r="S104" s="4"/>
    </row>
    <row r="105" spans="5:19">
      <c r="E105" t="s">
        <v>1313</v>
      </c>
      <c r="F105" t="s">
        <v>1314</v>
      </c>
      <c r="N105" s="4"/>
      <c r="S105" s="4"/>
    </row>
    <row r="106" spans="5:19">
      <c r="E106" t="s">
        <v>159</v>
      </c>
      <c r="F106">
        <v>0</v>
      </c>
      <c r="N106" s="4"/>
      <c r="S106" s="4"/>
    </row>
    <row r="107" spans="5:19">
      <c r="E107" t="s">
        <v>313</v>
      </c>
      <c r="F107">
        <v>0.5</v>
      </c>
      <c r="N107" s="4"/>
      <c r="S107" s="4"/>
    </row>
    <row r="108" spans="5:19">
      <c r="E108" t="s">
        <v>329</v>
      </c>
      <c r="F108">
        <v>1</v>
      </c>
      <c r="N108" s="4"/>
      <c r="S108" s="4"/>
    </row>
    <row r="109" spans="5:19">
      <c r="E109" t="s">
        <v>1315</v>
      </c>
      <c r="F109">
        <v>0.3</v>
      </c>
      <c r="N109" s="4"/>
      <c r="S109" s="4"/>
    </row>
    <row r="110" spans="5:19">
      <c r="N110" s="4"/>
      <c r="S110" s="4"/>
    </row>
    <row r="111" spans="5:19">
      <c r="E111" t="s">
        <v>1316</v>
      </c>
      <c r="F111" t="s">
        <v>1317</v>
      </c>
      <c r="N111" s="4"/>
      <c r="S111" s="4"/>
    </row>
    <row r="112" spans="5:19">
      <c r="E112">
        <v>50</v>
      </c>
      <c r="F112" s="40">
        <v>0.3</v>
      </c>
      <c r="N112" s="4"/>
      <c r="S112" s="4"/>
    </row>
    <row r="113" spans="5:19">
      <c r="E113">
        <v>70</v>
      </c>
      <c r="F113" s="40">
        <v>0.2</v>
      </c>
      <c r="N113" s="4"/>
      <c r="S113" s="4"/>
    </row>
    <row r="114" spans="5:19">
      <c r="E114">
        <v>90</v>
      </c>
      <c r="F114" s="40">
        <v>0.05</v>
      </c>
      <c r="N114" s="4"/>
      <c r="S114" s="4"/>
    </row>
    <row r="115" spans="5:19">
      <c r="N115" s="4"/>
      <c r="S115" s="4"/>
    </row>
    <row r="116" spans="5:19">
      <c r="N116" s="4"/>
      <c r="S116" s="4"/>
    </row>
    <row r="117" spans="5:19">
      <c r="N117" s="4"/>
      <c r="S117" s="4"/>
    </row>
    <row r="118" spans="5:19">
      <c r="N118" s="4"/>
      <c r="S118" s="4"/>
    </row>
    <row r="119" spans="5:19">
      <c r="N119" s="4"/>
      <c r="S119" s="4"/>
    </row>
    <row r="120" spans="5:19">
      <c r="N120" s="4"/>
      <c r="S120" s="4"/>
    </row>
    <row r="121" spans="5:19">
      <c r="N121" s="4"/>
      <c r="S121" s="4"/>
    </row>
    <row r="122" spans="5:19">
      <c r="N122" s="4"/>
      <c r="S122" s="4"/>
    </row>
    <row r="123" spans="5:19">
      <c r="N123" s="4"/>
      <c r="S123" s="4"/>
    </row>
    <row r="124" spans="5:19">
      <c r="N124" s="4"/>
      <c r="S124" s="4"/>
    </row>
    <row r="125" spans="5:19">
      <c r="N125" s="4"/>
      <c r="S125" s="4"/>
    </row>
    <row r="126" spans="5:19">
      <c r="N126" s="4"/>
      <c r="S126" s="4"/>
    </row>
    <row r="127" spans="5:19">
      <c r="N127" s="4"/>
      <c r="S127" s="4"/>
    </row>
    <row r="128" spans="5:19">
      <c r="N128" s="4"/>
      <c r="S128" s="4"/>
    </row>
    <row r="129" spans="14:19">
      <c r="N129" s="4"/>
      <c r="S129" s="4"/>
    </row>
    <row r="130" spans="14:19">
      <c r="N130" s="4"/>
      <c r="S130" s="4"/>
    </row>
    <row r="131" spans="14:19">
      <c r="N131" s="4"/>
      <c r="S131" s="4"/>
    </row>
    <row r="132" spans="14:19">
      <c r="N132" s="4"/>
      <c r="S132" s="4"/>
    </row>
    <row r="133" spans="14:19">
      <c r="N133" s="4"/>
      <c r="S133" s="4"/>
    </row>
    <row r="134" spans="14:19">
      <c r="N134" s="4"/>
      <c r="S134" s="4"/>
    </row>
    <row r="135" spans="14:19">
      <c r="N135" s="4"/>
      <c r="S135" s="4"/>
    </row>
    <row r="136" spans="14:19">
      <c r="N136" s="4"/>
      <c r="S136" s="4"/>
    </row>
    <row r="137" spans="14:19">
      <c r="N137" s="4"/>
      <c r="S137" s="4"/>
    </row>
    <row r="138" spans="14:19">
      <c r="N138" s="4"/>
      <c r="S138" s="4"/>
    </row>
    <row r="139" spans="14:19">
      <c r="N139" s="4"/>
      <c r="S139" s="4"/>
    </row>
    <row r="140" spans="14:19">
      <c r="N140" s="4"/>
      <c r="S140" s="4"/>
    </row>
    <row r="141" spans="14:19">
      <c r="N141" s="4"/>
      <c r="S141" s="4"/>
    </row>
    <row r="142" spans="14:19">
      <c r="N142" s="4"/>
      <c r="S142" s="4"/>
    </row>
    <row r="143" spans="14:19">
      <c r="N143" s="4"/>
      <c r="S143" s="4"/>
    </row>
    <row r="144" spans="14:19">
      <c r="N144" s="4"/>
      <c r="S144" s="4"/>
    </row>
    <row r="145" spans="14:19">
      <c r="N145" s="4"/>
      <c r="S145" s="4"/>
    </row>
    <row r="146" spans="14:19">
      <c r="N146" s="4"/>
      <c r="S146" s="4"/>
    </row>
    <row r="147" spans="14:19">
      <c r="N147" s="4"/>
      <c r="S147" s="4"/>
    </row>
    <row r="148" spans="14:19">
      <c r="N148" s="4"/>
      <c r="S148" s="4"/>
    </row>
    <row r="149" spans="14:19">
      <c r="N149" s="4"/>
      <c r="S149" s="4"/>
    </row>
    <row r="150" spans="14:19">
      <c r="N150" s="4"/>
      <c r="S150" s="4"/>
    </row>
    <row r="151" spans="14:19">
      <c r="N151" s="4"/>
      <c r="S151" s="4"/>
    </row>
    <row r="152" spans="14:19">
      <c r="N152" s="4"/>
      <c r="S152" s="4"/>
    </row>
    <row r="153" spans="14:19">
      <c r="N153" s="4"/>
      <c r="S153" s="4"/>
    </row>
    <row r="154" spans="14:19">
      <c r="N154" s="4"/>
      <c r="S154" s="4"/>
    </row>
    <row r="155" spans="14:19">
      <c r="N155" s="4"/>
      <c r="S155" s="4"/>
    </row>
    <row r="156" spans="14:19">
      <c r="N156" s="4"/>
      <c r="S156" s="4"/>
    </row>
    <row r="157" spans="14:19">
      <c r="N157" s="4"/>
      <c r="S157" s="4"/>
    </row>
    <row r="158" spans="14:19">
      <c r="N158" s="4"/>
      <c r="S158" s="4"/>
    </row>
    <row r="159" spans="14:19">
      <c r="N159" s="4"/>
      <c r="S159" s="4"/>
    </row>
    <row r="160" spans="14:19">
      <c r="N160" s="4"/>
      <c r="S160" s="4"/>
    </row>
    <row r="161" spans="14:19">
      <c r="N161" s="4"/>
      <c r="S161" s="4"/>
    </row>
    <row r="162" spans="14:19">
      <c r="N162" s="4"/>
      <c r="S162" s="4"/>
    </row>
    <row r="163" spans="14:19">
      <c r="N163" s="4"/>
      <c r="S163" s="4"/>
    </row>
    <row r="164" spans="14:19">
      <c r="N164" s="4"/>
      <c r="S164" s="4"/>
    </row>
    <row r="165" spans="14:19">
      <c r="N165" s="4"/>
      <c r="S165" s="4"/>
    </row>
    <row r="166" spans="14:19">
      <c r="N166" s="4"/>
      <c r="S166" s="4"/>
    </row>
    <row r="167" spans="14:19">
      <c r="N167" s="4"/>
      <c r="S167" s="4"/>
    </row>
    <row r="168" spans="14:19">
      <c r="N168" s="4"/>
      <c r="S168" s="4"/>
    </row>
    <row r="169" spans="14:19">
      <c r="N169" s="4"/>
      <c r="S169" s="4"/>
    </row>
    <row r="170" spans="14:19">
      <c r="N170" s="4"/>
      <c r="S170" s="4"/>
    </row>
    <row r="171" spans="14:19">
      <c r="N171" s="4"/>
      <c r="S171" s="4"/>
    </row>
    <row r="172" spans="14:19">
      <c r="N172" s="4"/>
      <c r="S172" s="4"/>
    </row>
    <row r="173" spans="14:19">
      <c r="N173" s="4"/>
      <c r="S173" s="4"/>
    </row>
    <row r="174" spans="14:19">
      <c r="N174" s="4"/>
      <c r="S174" s="4"/>
    </row>
    <row r="175" spans="14:19">
      <c r="N175" s="4"/>
      <c r="S175" s="4"/>
    </row>
    <row r="176" spans="14:19">
      <c r="N176" s="4"/>
      <c r="S176" s="4"/>
    </row>
    <row r="177" spans="14:19">
      <c r="N177" s="4"/>
      <c r="S177" s="4"/>
    </row>
    <row r="178" spans="14:19">
      <c r="N178" s="4"/>
      <c r="S178" s="4"/>
    </row>
    <row r="179" spans="14:19">
      <c r="N179" s="4"/>
      <c r="S179" s="4"/>
    </row>
    <row r="180" spans="14:19">
      <c r="N180" s="4"/>
      <c r="S180" s="4"/>
    </row>
    <row r="181" spans="14:19">
      <c r="N181" s="4"/>
      <c r="S181" s="4"/>
    </row>
    <row r="182" spans="14:19">
      <c r="N182" s="4"/>
      <c r="S182" s="4"/>
    </row>
    <row r="183" spans="14:19">
      <c r="N183" s="4"/>
      <c r="S183" s="4"/>
    </row>
    <row r="184" spans="14:19">
      <c r="N184" s="4"/>
      <c r="S184" s="4"/>
    </row>
    <row r="185" spans="14:19">
      <c r="N185" s="4"/>
      <c r="S185" s="4"/>
    </row>
    <row r="186" spans="14:19">
      <c r="N186" s="4"/>
      <c r="S186" s="4"/>
    </row>
    <row r="187" spans="14:19">
      <c r="N187" s="4"/>
      <c r="S187" s="4"/>
    </row>
    <row r="188" spans="14:19">
      <c r="N188" s="4"/>
      <c r="S188" s="4"/>
    </row>
    <row r="189" spans="14:19">
      <c r="N189" s="4"/>
      <c r="S189" s="4"/>
    </row>
    <row r="190" spans="14:19">
      <c r="N190" s="4"/>
      <c r="S190" s="4"/>
    </row>
    <row r="191" spans="14:19">
      <c r="N191" s="4"/>
      <c r="S191" s="4"/>
    </row>
    <row r="192" spans="14:19">
      <c r="N192" s="4"/>
      <c r="S192" s="4"/>
    </row>
    <row r="193" spans="14:19">
      <c r="N193" s="4"/>
      <c r="S193" s="4"/>
    </row>
    <row r="194" spans="14:19">
      <c r="N194" s="4"/>
      <c r="S194" s="4"/>
    </row>
    <row r="195" spans="14:19">
      <c r="N195" s="4"/>
      <c r="S195" s="4"/>
    </row>
    <row r="196" spans="14:19">
      <c r="N196" s="4"/>
      <c r="S196" s="4"/>
    </row>
    <row r="197" spans="14:19">
      <c r="N197" s="4"/>
      <c r="S197" s="4"/>
    </row>
    <row r="198" spans="14:19">
      <c r="N198" s="4"/>
      <c r="S198" s="4"/>
    </row>
    <row r="199" spans="14:19">
      <c r="N199" s="4"/>
      <c r="S199" s="4"/>
    </row>
    <row r="200" spans="14:19">
      <c r="N200" s="4"/>
      <c r="S200" s="4"/>
    </row>
    <row r="201" spans="14:19">
      <c r="N201" s="4"/>
      <c r="S201" s="4"/>
    </row>
    <row r="202" spans="14:19">
      <c r="N202" s="4"/>
      <c r="S202" s="4"/>
    </row>
    <row r="203" spans="14:19">
      <c r="N203" s="4"/>
      <c r="S203" s="4"/>
    </row>
    <row r="204" spans="14:19">
      <c r="N204" s="4"/>
      <c r="S204" s="4"/>
    </row>
    <row r="205" spans="14:19">
      <c r="N205" s="4"/>
      <c r="S205" s="4"/>
    </row>
    <row r="206" spans="14:19">
      <c r="N206" s="4"/>
      <c r="S206" s="4"/>
    </row>
    <row r="207" spans="14:19">
      <c r="N207" s="4"/>
      <c r="S207" s="4"/>
    </row>
    <row r="208" spans="14:19">
      <c r="N208" s="4"/>
      <c r="S208" s="4"/>
    </row>
    <row r="209" spans="14:19">
      <c r="N209" s="4"/>
      <c r="S209" s="4"/>
    </row>
    <row r="210" spans="14:19">
      <c r="N210" s="4"/>
      <c r="S210" s="4"/>
    </row>
    <row r="211" spans="14:19">
      <c r="N211" s="4"/>
      <c r="S211" s="4"/>
    </row>
    <row r="212" spans="14:19">
      <c r="N212" s="4"/>
      <c r="S212" s="4"/>
    </row>
    <row r="213" spans="14:19">
      <c r="N213" s="4"/>
      <c r="S213" s="4"/>
    </row>
    <row r="214" spans="14:19">
      <c r="N214" s="4"/>
      <c r="S214" s="4"/>
    </row>
    <row r="215" spans="14:19">
      <c r="N215" s="4"/>
      <c r="S215" s="4"/>
    </row>
    <row r="216" spans="14:19">
      <c r="N216" s="4"/>
      <c r="S216" s="4"/>
    </row>
    <row r="217" spans="14:19">
      <c r="N217" s="4"/>
      <c r="S217" s="4"/>
    </row>
    <row r="218" spans="14:19">
      <c r="N218" s="4"/>
      <c r="S218" s="4"/>
    </row>
    <row r="219" spans="14:19">
      <c r="N219" s="4"/>
      <c r="S219" s="4"/>
    </row>
    <row r="220" spans="14:19">
      <c r="N220" s="4"/>
      <c r="S220" s="4"/>
    </row>
    <row r="221" spans="14:19">
      <c r="N221" s="4"/>
      <c r="S221" s="4"/>
    </row>
    <row r="222" spans="14:19">
      <c r="N222" s="4"/>
      <c r="S222" s="4"/>
    </row>
    <row r="223" spans="14:19">
      <c r="N223" s="4"/>
      <c r="S223" s="4"/>
    </row>
    <row r="224" spans="14:19">
      <c r="N224" s="4"/>
      <c r="S224" s="4"/>
    </row>
    <row r="225" spans="14:19">
      <c r="N225" s="4"/>
      <c r="S225" s="4"/>
    </row>
    <row r="226" spans="14:19">
      <c r="N226" s="4"/>
      <c r="S226" s="4"/>
    </row>
    <row r="227" spans="14:19">
      <c r="N227" s="4"/>
      <c r="S227" s="4"/>
    </row>
    <row r="228" spans="14:19">
      <c r="N228" s="4"/>
      <c r="S228" s="4"/>
    </row>
    <row r="229" spans="14:19">
      <c r="N229" s="4"/>
      <c r="S229" s="4"/>
    </row>
    <row r="230" spans="14:19">
      <c r="N230" s="4"/>
      <c r="S230" s="4"/>
    </row>
    <row r="231" spans="14:19">
      <c r="N231" s="4"/>
      <c r="S231" s="4"/>
    </row>
    <row r="232" spans="14:19">
      <c r="N232" s="4"/>
      <c r="S232" s="4"/>
    </row>
    <row r="233" spans="14:19">
      <c r="N233" s="4"/>
      <c r="S233" s="4"/>
    </row>
    <row r="234" spans="14:19">
      <c r="N234" s="4"/>
      <c r="S234" s="4"/>
    </row>
    <row r="235" spans="14:19">
      <c r="N235" s="4"/>
      <c r="S235" s="4"/>
    </row>
    <row r="236" spans="14:19">
      <c r="N236" s="4"/>
      <c r="S236" s="4"/>
    </row>
    <row r="237" spans="14:19">
      <c r="N237" s="4"/>
      <c r="S237" s="4"/>
    </row>
    <row r="238" spans="14:19">
      <c r="N238" s="4"/>
      <c r="S238" s="4"/>
    </row>
    <row r="239" spans="14:19">
      <c r="N239" s="4"/>
      <c r="S239" s="4"/>
    </row>
    <row r="240" spans="14:19">
      <c r="N240" s="4"/>
      <c r="S240" s="4"/>
    </row>
    <row r="241" spans="14:19">
      <c r="N241" s="4"/>
      <c r="S241" s="4"/>
    </row>
    <row r="242" spans="14:19">
      <c r="N242" s="4"/>
      <c r="S242" s="4"/>
    </row>
    <row r="243" spans="14:19">
      <c r="N243" s="4"/>
      <c r="S243" s="4"/>
    </row>
    <row r="244" spans="14:19">
      <c r="N244" s="4"/>
      <c r="S244" s="4"/>
    </row>
    <row r="245" spans="14:19">
      <c r="N245" s="4"/>
      <c r="S245" s="4"/>
    </row>
    <row r="246" spans="14:19">
      <c r="N246" s="4"/>
      <c r="S246" s="4"/>
    </row>
    <row r="247" spans="14:19">
      <c r="N247" s="4"/>
      <c r="S247" s="4"/>
    </row>
    <row r="248" spans="14:19">
      <c r="N248" s="4"/>
      <c r="S248" s="4"/>
    </row>
    <row r="249" spans="14:19">
      <c r="N249" s="4"/>
      <c r="S249" s="4"/>
    </row>
    <row r="250" spans="14:19">
      <c r="N250" s="4"/>
      <c r="S250" s="4"/>
    </row>
    <row r="251" spans="14:19">
      <c r="N251" s="4"/>
      <c r="S251" s="4"/>
    </row>
    <row r="252" spans="14:19">
      <c r="N252" s="4"/>
      <c r="S252" s="4"/>
    </row>
    <row r="253" spans="14:19">
      <c r="N253" s="4"/>
      <c r="S253" s="4"/>
    </row>
    <row r="254" spans="14:19">
      <c r="N254" s="4"/>
      <c r="S254" s="4"/>
    </row>
    <row r="255" spans="14:19">
      <c r="N255" s="4"/>
      <c r="S255" s="4"/>
    </row>
    <row r="256" spans="14:19">
      <c r="N256" s="4"/>
      <c r="S256" s="4"/>
    </row>
    <row r="257" spans="14:19">
      <c r="N257" s="4"/>
      <c r="S257" s="4"/>
    </row>
    <row r="258" spans="14:19">
      <c r="N258" s="4"/>
      <c r="S258" s="4"/>
    </row>
    <row r="259" spans="14:19">
      <c r="N259" s="4"/>
      <c r="S259" s="4"/>
    </row>
    <row r="260" spans="14:19">
      <c r="N260" s="4"/>
      <c r="S260" s="4"/>
    </row>
    <row r="261" spans="14:19">
      <c r="N261" s="4"/>
      <c r="S261" s="4"/>
    </row>
    <row r="262" spans="14:19">
      <c r="N262" s="4"/>
      <c r="S262" s="4"/>
    </row>
    <row r="263" spans="14:19">
      <c r="N263" s="4"/>
      <c r="S263" s="4"/>
    </row>
    <row r="264" spans="14:19">
      <c r="N264" s="4"/>
      <c r="S264" s="4"/>
    </row>
    <row r="265" spans="14:19">
      <c r="N265" s="4"/>
      <c r="S265" s="4"/>
    </row>
    <row r="266" spans="14:19">
      <c r="N266" s="4"/>
      <c r="S266" s="4"/>
    </row>
    <row r="267" spans="14:19">
      <c r="N267" s="4"/>
      <c r="S267" s="4"/>
    </row>
    <row r="268" spans="14:19">
      <c r="N268" s="4"/>
      <c r="S268" s="4"/>
    </row>
    <row r="269" spans="14:19">
      <c r="N269" s="4"/>
      <c r="S269" s="4"/>
    </row>
    <row r="270" spans="14:19">
      <c r="N270" s="4"/>
      <c r="S270" s="4"/>
    </row>
    <row r="271" spans="14:19">
      <c r="N271" s="4"/>
      <c r="S271" s="4"/>
    </row>
    <row r="272" spans="14:19">
      <c r="N272" s="4"/>
      <c r="S272" s="4"/>
    </row>
    <row r="273" spans="14:19">
      <c r="N273" s="4"/>
      <c r="S273" s="4"/>
    </row>
    <row r="274" spans="14:19">
      <c r="N274" s="4"/>
      <c r="S274" s="4"/>
    </row>
    <row r="275" spans="14:19">
      <c r="Q275" t="s">
        <v>1175</v>
      </c>
      <c r="S275" s="4"/>
    </row>
    <row r="276" spans="14:19">
      <c r="Q276">
        <v>516</v>
      </c>
      <c r="S276" s="4"/>
    </row>
    <row r="277" spans="14:19">
      <c r="Q277">
        <v>616</v>
      </c>
      <c r="S277" s="4"/>
    </row>
    <row r="278" spans="14:19">
      <c r="Q278">
        <v>766</v>
      </c>
      <c r="S278" s="4"/>
    </row>
    <row r="279" spans="14:19">
      <c r="Q279">
        <v>1016</v>
      </c>
      <c r="S279" s="4"/>
    </row>
    <row r="280" spans="14:19">
      <c r="S280" s="4"/>
    </row>
    <row r="281" spans="14:19">
      <c r="S281" s="4"/>
    </row>
    <row r="282" spans="14:19">
      <c r="Q282" s="31" t="s">
        <v>1175</v>
      </c>
      <c r="S282" s="4"/>
    </row>
    <row r="283" spans="14:19">
      <c r="S283" s="4"/>
    </row>
    <row r="284" spans="14:19">
      <c r="S284" s="4"/>
    </row>
    <row r="285" spans="14:19">
      <c r="S285" s="4"/>
    </row>
    <row r="286" spans="14:19">
      <c r="S286" s="4"/>
    </row>
    <row r="287" spans="14:19">
      <c r="S287" s="4"/>
    </row>
    <row r="288" spans="14:19">
      <c r="S288" s="4"/>
    </row>
    <row r="289" spans="17:19">
      <c r="S289" s="4"/>
    </row>
    <row r="290" spans="17:19">
      <c r="S290" s="4"/>
    </row>
    <row r="291" spans="17:19">
      <c r="Q291" s="31" t="s">
        <v>1175</v>
      </c>
      <c r="S291" s="4"/>
    </row>
    <row r="292" spans="17:19">
      <c r="S292" s="4"/>
    </row>
    <row r="293" spans="17:19">
      <c r="S293" s="4"/>
    </row>
    <row r="294" spans="17:19">
      <c r="S294" s="4"/>
    </row>
    <row r="295" spans="17:19">
      <c r="S295" s="4"/>
    </row>
  </sheetData>
  <phoneticPr fontId="10" type="noConversion"/>
  <pageMargins left="0.7" right="0.7" top="0.78740157499999996" bottom="0.78740157499999996" header="0.3" footer="0.3"/>
  <tableParts count="6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1BA7-7CA3-49E9-A8C0-B4E6B5917005}">
  <sheetPr>
    <tabColor theme="5"/>
  </sheetPr>
  <dimension ref="B4:AE775"/>
  <sheetViews>
    <sheetView zoomScale="85" zoomScaleNormal="85" workbookViewId="0">
      <selection activeCell="B4" sqref="B4"/>
    </sheetView>
  </sheetViews>
  <sheetFormatPr defaultColWidth="13.42578125" defaultRowHeight="14.25"/>
  <cols>
    <col min="1" max="1" width="13.42578125" style="1" customWidth="1"/>
    <col min="2" max="2" width="10.5703125" style="1" customWidth="1"/>
    <col min="3" max="3" width="28.28515625" style="1" bestFit="1" customWidth="1"/>
    <col min="4" max="4" width="25.28515625" style="1" bestFit="1" customWidth="1"/>
    <col min="5" max="5" width="25.28515625" style="1" customWidth="1"/>
    <col min="6" max="6" width="21.42578125" style="1" customWidth="1"/>
    <col min="7" max="7" width="16.42578125" style="1" customWidth="1"/>
    <col min="8" max="8" width="17.140625" style="1" customWidth="1"/>
    <col min="9" max="9" width="18.140625" style="1" customWidth="1"/>
    <col min="10" max="10" width="20.28515625" style="1" customWidth="1"/>
    <col min="11" max="11" width="25.28515625" style="1" customWidth="1"/>
    <col min="12" max="12" width="19" style="1" customWidth="1"/>
    <col min="13" max="14" width="12.85546875" style="1" hidden="1" customWidth="1"/>
    <col min="15" max="15" width="14" style="1" customWidth="1"/>
    <col min="16" max="17" width="13.5703125" style="1" customWidth="1"/>
    <col min="18" max="20" width="14.42578125" style="1" customWidth="1"/>
    <col min="21" max="22" width="13" style="1" customWidth="1"/>
    <col min="23" max="23" width="13.140625" style="1" customWidth="1"/>
    <col min="24" max="24" width="25" style="1" customWidth="1"/>
    <col min="25" max="25" width="34.28515625" style="1" bestFit="1" customWidth="1"/>
    <col min="26" max="26" width="35.5703125" style="1" customWidth="1"/>
    <col min="27" max="27" width="38.7109375" style="1" customWidth="1"/>
    <col min="28" max="28" width="25.5703125" style="1" customWidth="1"/>
    <col min="29" max="29" width="14" style="1" customWidth="1"/>
    <col min="30" max="16384" width="13.42578125" style="1"/>
  </cols>
  <sheetData>
    <row r="4" spans="2:29" ht="60">
      <c r="B4" s="96" t="s">
        <v>1318</v>
      </c>
      <c r="C4" s="96" t="s">
        <v>1291</v>
      </c>
      <c r="D4" s="96" t="s">
        <v>1319</v>
      </c>
      <c r="E4" s="96" t="s">
        <v>1320</v>
      </c>
      <c r="F4" s="96" t="s">
        <v>1321</v>
      </c>
      <c r="G4" s="96" t="s">
        <v>1322</v>
      </c>
      <c r="H4" s="96" t="s">
        <v>1323</v>
      </c>
      <c r="I4" s="96" t="s">
        <v>1324</v>
      </c>
      <c r="J4" s="96" t="s">
        <v>1325</v>
      </c>
      <c r="K4" s="96" t="s">
        <v>1326</v>
      </c>
      <c r="L4" s="96" t="s">
        <v>1327</v>
      </c>
      <c r="M4" s="96" t="s">
        <v>1328</v>
      </c>
      <c r="N4" s="96" t="s">
        <v>1329</v>
      </c>
      <c r="O4" s="96" t="s">
        <v>1330</v>
      </c>
      <c r="P4" s="96" t="s">
        <v>1331</v>
      </c>
      <c r="Q4" s="96" t="s">
        <v>1332</v>
      </c>
      <c r="R4" s="96" t="s">
        <v>1333</v>
      </c>
      <c r="S4" s="96" t="s">
        <v>1334</v>
      </c>
      <c r="T4" s="96" t="s">
        <v>1335</v>
      </c>
      <c r="U4" s="96" t="s">
        <v>1336</v>
      </c>
      <c r="V4" s="96" t="s">
        <v>1337</v>
      </c>
      <c r="W4" s="96" t="s">
        <v>1338</v>
      </c>
      <c r="X4" s="96" t="s">
        <v>1339</v>
      </c>
      <c r="Y4" s="96" t="s">
        <v>1340</v>
      </c>
      <c r="Z4" s="96" t="s">
        <v>1341</v>
      </c>
      <c r="AA4" s="96" t="s">
        <v>1342</v>
      </c>
      <c r="AB4" s="96" t="s">
        <v>1343</v>
      </c>
      <c r="AC4" s="96" t="s">
        <v>457</v>
      </c>
    </row>
    <row r="5" spans="2:29">
      <c r="B5" s="80">
        <v>1</v>
      </c>
      <c r="C5" s="80" t="s">
        <v>1344</v>
      </c>
      <c r="D5" s="80" t="s">
        <v>1260</v>
      </c>
      <c r="E5" s="80" t="s">
        <v>1158</v>
      </c>
      <c r="F5" s="80" t="s">
        <v>1163</v>
      </c>
      <c r="G5" s="81">
        <v>350</v>
      </c>
      <c r="H5" s="82">
        <v>1000</v>
      </c>
      <c r="I5" s="82">
        <v>0.35</v>
      </c>
      <c r="J5" s="83"/>
      <c r="K5" s="81">
        <v>300</v>
      </c>
      <c r="L5" s="81">
        <v>65</v>
      </c>
      <c r="M5" s="82"/>
      <c r="N5" s="82"/>
      <c r="O5" s="82"/>
      <c r="P5" s="82"/>
      <c r="Q5" s="82"/>
      <c r="R5" s="82"/>
      <c r="S5" s="82"/>
      <c r="T5" s="82"/>
      <c r="U5" s="82"/>
      <c r="V5" s="82"/>
      <c r="W5" s="82"/>
      <c r="X5" s="82">
        <v>1.25</v>
      </c>
      <c r="Y5" s="81"/>
      <c r="Z5" s="81">
        <v>436</v>
      </c>
      <c r="AA5" s="81"/>
      <c r="AB5" s="81"/>
      <c r="AC5" s="84"/>
    </row>
    <row r="6" spans="2:29">
      <c r="B6" s="1">
        <v>2</v>
      </c>
      <c r="C6" s="1" t="s">
        <v>1344</v>
      </c>
      <c r="D6" s="1" t="s">
        <v>1260</v>
      </c>
      <c r="E6" s="1" t="s">
        <v>1158</v>
      </c>
      <c r="F6" s="1" t="s">
        <v>1169</v>
      </c>
      <c r="G6" s="37">
        <v>350</v>
      </c>
      <c r="H6" s="85">
        <v>1000</v>
      </c>
      <c r="I6" s="85">
        <v>0.35</v>
      </c>
      <c r="J6" s="86"/>
      <c r="K6" s="37">
        <v>300</v>
      </c>
      <c r="L6" s="37">
        <v>65</v>
      </c>
      <c r="M6" s="85"/>
      <c r="N6" s="85"/>
      <c r="O6" s="85"/>
      <c r="P6" s="85"/>
      <c r="Q6" s="85"/>
      <c r="R6" s="85"/>
      <c r="S6" s="85"/>
      <c r="T6" s="85"/>
      <c r="U6" s="85"/>
      <c r="V6" s="85"/>
      <c r="W6" s="85"/>
      <c r="X6" s="85">
        <v>1.25</v>
      </c>
      <c r="Y6" s="37"/>
      <c r="Z6" s="37">
        <v>605</v>
      </c>
      <c r="AA6" s="37"/>
      <c r="AB6" s="37"/>
      <c r="AC6" s="87"/>
    </row>
    <row r="7" spans="2:29">
      <c r="B7" s="88">
        <v>3</v>
      </c>
      <c r="C7" s="88" t="s">
        <v>1344</v>
      </c>
      <c r="D7" s="88" t="s">
        <v>1260</v>
      </c>
      <c r="E7" s="88" t="s">
        <v>1158</v>
      </c>
      <c r="F7" s="88" t="s">
        <v>1345</v>
      </c>
      <c r="G7" s="89">
        <v>350</v>
      </c>
      <c r="H7" s="90">
        <v>1000</v>
      </c>
      <c r="I7" s="90">
        <v>0.35</v>
      </c>
      <c r="J7" s="91"/>
      <c r="K7" s="89">
        <v>300</v>
      </c>
      <c r="L7" s="89">
        <v>100</v>
      </c>
      <c r="M7" s="90"/>
      <c r="N7" s="90"/>
      <c r="O7" s="90"/>
      <c r="P7" s="90"/>
      <c r="Q7" s="90"/>
      <c r="R7" s="90"/>
      <c r="S7" s="90"/>
      <c r="T7" s="90"/>
      <c r="U7" s="90"/>
      <c r="V7" s="90"/>
      <c r="W7" s="90"/>
      <c r="X7" s="90">
        <v>1.25</v>
      </c>
      <c r="Y7" s="89"/>
      <c r="Z7" s="89">
        <v>677</v>
      </c>
      <c r="AA7" s="89"/>
      <c r="AB7" s="89"/>
      <c r="AC7" s="92"/>
    </row>
    <row r="8" spans="2:29">
      <c r="B8" s="1">
        <v>4</v>
      </c>
      <c r="C8" s="1" t="s">
        <v>1344</v>
      </c>
      <c r="D8" s="1" t="s">
        <v>1260</v>
      </c>
      <c r="E8" s="1" t="s">
        <v>1158</v>
      </c>
      <c r="F8" s="1" t="s">
        <v>1174</v>
      </c>
      <c r="G8" s="37">
        <v>350</v>
      </c>
      <c r="H8" s="85">
        <v>1000</v>
      </c>
      <c r="I8" s="85">
        <v>0.35</v>
      </c>
      <c r="J8" s="86"/>
      <c r="K8" s="37">
        <v>300</v>
      </c>
      <c r="L8" s="37">
        <v>100</v>
      </c>
      <c r="M8" s="85"/>
      <c r="N8" s="85"/>
      <c r="O8" s="85"/>
      <c r="P8" s="85"/>
      <c r="Q8" s="85"/>
      <c r="R8" s="85"/>
      <c r="S8" s="85"/>
      <c r="T8" s="85"/>
      <c r="U8" s="85"/>
      <c r="V8" s="85"/>
      <c r="W8" s="85"/>
      <c r="X8" s="85">
        <v>1.27</v>
      </c>
      <c r="Y8" s="37"/>
      <c r="Z8" s="37">
        <v>915</v>
      </c>
      <c r="AA8" s="37"/>
      <c r="AB8" s="37"/>
      <c r="AC8" s="87"/>
    </row>
    <row r="9" spans="2:29">
      <c r="B9" s="88">
        <v>5</v>
      </c>
      <c r="C9" s="88" t="s">
        <v>1344</v>
      </c>
      <c r="D9" s="88" t="s">
        <v>1260</v>
      </c>
      <c r="E9" s="88" t="s">
        <v>1158</v>
      </c>
      <c r="F9" s="88" t="s">
        <v>1178</v>
      </c>
      <c r="G9" s="89">
        <v>350</v>
      </c>
      <c r="H9" s="90">
        <v>1000</v>
      </c>
      <c r="I9" s="90">
        <v>0.35</v>
      </c>
      <c r="J9" s="91"/>
      <c r="K9" s="89">
        <v>300</v>
      </c>
      <c r="L9" s="89">
        <v>100</v>
      </c>
      <c r="M9" s="90"/>
      <c r="N9" s="90"/>
      <c r="O9" s="90"/>
      <c r="P9" s="90"/>
      <c r="Q9" s="90"/>
      <c r="R9" s="90"/>
      <c r="S9" s="90"/>
      <c r="T9" s="90"/>
      <c r="U9" s="90"/>
      <c r="V9" s="90"/>
      <c r="W9" s="90"/>
      <c r="X9" s="90">
        <v>1.28</v>
      </c>
      <c r="Y9" s="89"/>
      <c r="Z9" s="89">
        <v>1102</v>
      </c>
      <c r="AA9" s="89"/>
      <c r="AB9" s="89"/>
      <c r="AC9" s="92"/>
    </row>
    <row r="10" spans="2:29">
      <c r="B10" s="1">
        <v>6</v>
      </c>
      <c r="C10" s="1" t="s">
        <v>1344</v>
      </c>
      <c r="D10" s="1" t="s">
        <v>1260</v>
      </c>
      <c r="E10" s="1" t="s">
        <v>1158</v>
      </c>
      <c r="F10" s="1" t="s">
        <v>1346</v>
      </c>
      <c r="G10" s="37">
        <v>350</v>
      </c>
      <c r="H10" s="85">
        <v>1000</v>
      </c>
      <c r="I10" s="85">
        <v>0.35</v>
      </c>
      <c r="J10" s="86"/>
      <c r="K10" s="37">
        <v>300</v>
      </c>
      <c r="L10" s="37">
        <v>155</v>
      </c>
      <c r="M10" s="85"/>
      <c r="N10" s="85"/>
      <c r="O10" s="85"/>
      <c r="P10" s="85"/>
      <c r="Q10" s="85"/>
      <c r="R10" s="85"/>
      <c r="S10" s="85"/>
      <c r="T10" s="85"/>
      <c r="U10" s="85"/>
      <c r="V10" s="85"/>
      <c r="W10" s="85"/>
      <c r="X10" s="85">
        <v>1.27</v>
      </c>
      <c r="Y10" s="37"/>
      <c r="Z10" s="37">
        <v>874</v>
      </c>
      <c r="AA10" s="37"/>
      <c r="AB10" s="37"/>
      <c r="AC10" s="87"/>
    </row>
    <row r="11" spans="2:29">
      <c r="B11" s="88">
        <v>7</v>
      </c>
      <c r="C11" s="88" t="s">
        <v>1344</v>
      </c>
      <c r="D11" s="88" t="s">
        <v>1260</v>
      </c>
      <c r="E11" s="88" t="s">
        <v>1158</v>
      </c>
      <c r="F11" s="88" t="s">
        <v>1179</v>
      </c>
      <c r="G11" s="89">
        <v>350</v>
      </c>
      <c r="H11" s="90">
        <v>1000</v>
      </c>
      <c r="I11" s="90">
        <v>0.35</v>
      </c>
      <c r="J11" s="91"/>
      <c r="K11" s="89">
        <v>300</v>
      </c>
      <c r="L11" s="89">
        <v>155</v>
      </c>
      <c r="M11" s="90"/>
      <c r="N11" s="90"/>
      <c r="O11" s="90"/>
      <c r="P11" s="90"/>
      <c r="Q11" s="90"/>
      <c r="R11" s="90"/>
      <c r="S11" s="90"/>
      <c r="T11" s="90"/>
      <c r="U11" s="90"/>
      <c r="V11" s="90"/>
      <c r="W11" s="90"/>
      <c r="X11" s="90">
        <v>1.3</v>
      </c>
      <c r="Y11" s="89"/>
      <c r="Z11" s="89">
        <v>1566</v>
      </c>
      <c r="AA11" s="89"/>
      <c r="AB11" s="89"/>
      <c r="AC11" s="92"/>
    </row>
    <row r="12" spans="2:29">
      <c r="B12" s="1">
        <v>8</v>
      </c>
      <c r="C12" s="1" t="s">
        <v>1344</v>
      </c>
      <c r="D12" s="1" t="s">
        <v>1260</v>
      </c>
      <c r="E12" s="1" t="s">
        <v>1158</v>
      </c>
      <c r="F12" s="1" t="s">
        <v>1163</v>
      </c>
      <c r="G12" s="37">
        <v>500</v>
      </c>
      <c r="H12" s="85">
        <v>1000</v>
      </c>
      <c r="I12" s="85">
        <v>0.5</v>
      </c>
      <c r="J12" s="86"/>
      <c r="K12" s="37">
        <v>450</v>
      </c>
      <c r="L12" s="37">
        <v>65</v>
      </c>
      <c r="M12" s="85"/>
      <c r="N12" s="85"/>
      <c r="O12" s="85"/>
      <c r="P12" s="85"/>
      <c r="Q12" s="85"/>
      <c r="R12" s="85"/>
      <c r="S12" s="85"/>
      <c r="T12" s="85"/>
      <c r="U12" s="85"/>
      <c r="V12" s="85"/>
      <c r="W12" s="85"/>
      <c r="X12" s="85">
        <v>1.25</v>
      </c>
      <c r="Y12" s="37"/>
      <c r="Z12" s="37">
        <v>586</v>
      </c>
      <c r="AA12" s="37"/>
      <c r="AB12" s="37"/>
      <c r="AC12" s="87"/>
    </row>
    <row r="13" spans="2:29">
      <c r="B13" s="88">
        <v>9</v>
      </c>
      <c r="C13" s="88" t="s">
        <v>1344</v>
      </c>
      <c r="D13" s="88" t="s">
        <v>1260</v>
      </c>
      <c r="E13" s="88" t="s">
        <v>1158</v>
      </c>
      <c r="F13" s="88" t="s">
        <v>1169</v>
      </c>
      <c r="G13" s="89">
        <v>500</v>
      </c>
      <c r="H13" s="90">
        <v>1000</v>
      </c>
      <c r="I13" s="90">
        <v>0.5</v>
      </c>
      <c r="J13" s="91"/>
      <c r="K13" s="89">
        <v>450</v>
      </c>
      <c r="L13" s="89">
        <v>65</v>
      </c>
      <c r="M13" s="90"/>
      <c r="N13" s="90"/>
      <c r="O13" s="90"/>
      <c r="P13" s="90"/>
      <c r="Q13" s="90"/>
      <c r="R13" s="90"/>
      <c r="S13" s="90"/>
      <c r="T13" s="90"/>
      <c r="U13" s="90"/>
      <c r="V13" s="90"/>
      <c r="W13" s="90"/>
      <c r="X13" s="90">
        <v>1.27</v>
      </c>
      <c r="Y13" s="89"/>
      <c r="Z13" s="89">
        <v>808</v>
      </c>
      <c r="AA13" s="89"/>
      <c r="AB13" s="89"/>
      <c r="AC13" s="92"/>
    </row>
    <row r="14" spans="2:29">
      <c r="B14" s="1">
        <v>10</v>
      </c>
      <c r="C14" s="1" t="s">
        <v>1344</v>
      </c>
      <c r="D14" s="1" t="s">
        <v>1260</v>
      </c>
      <c r="E14" s="1" t="s">
        <v>1158</v>
      </c>
      <c r="F14" s="1" t="s">
        <v>1345</v>
      </c>
      <c r="G14" s="37">
        <v>500</v>
      </c>
      <c r="H14" s="85">
        <v>1000</v>
      </c>
      <c r="I14" s="85">
        <v>0.5</v>
      </c>
      <c r="J14" s="86"/>
      <c r="K14" s="37">
        <v>450</v>
      </c>
      <c r="L14" s="37">
        <v>100</v>
      </c>
      <c r="M14" s="85"/>
      <c r="N14" s="85"/>
      <c r="O14" s="85"/>
      <c r="P14" s="85"/>
      <c r="Q14" s="85"/>
      <c r="R14" s="85"/>
      <c r="S14" s="85"/>
      <c r="T14" s="85"/>
      <c r="U14" s="85"/>
      <c r="V14" s="85"/>
      <c r="W14" s="85"/>
      <c r="X14" s="85">
        <v>1.27</v>
      </c>
      <c r="Y14" s="37"/>
      <c r="Z14" s="37">
        <v>883</v>
      </c>
      <c r="AA14" s="37"/>
      <c r="AB14" s="37"/>
      <c r="AC14" s="87"/>
    </row>
    <row r="15" spans="2:29">
      <c r="B15" s="88">
        <v>11</v>
      </c>
      <c r="C15" s="88" t="s">
        <v>1344</v>
      </c>
      <c r="D15" s="88" t="s">
        <v>1260</v>
      </c>
      <c r="E15" s="88" t="s">
        <v>1158</v>
      </c>
      <c r="F15" s="88" t="s">
        <v>1174</v>
      </c>
      <c r="G15" s="89">
        <v>500</v>
      </c>
      <c r="H15" s="90">
        <v>1000</v>
      </c>
      <c r="I15" s="90">
        <v>0.5</v>
      </c>
      <c r="J15" s="91"/>
      <c r="K15" s="89">
        <v>450</v>
      </c>
      <c r="L15" s="89">
        <v>100</v>
      </c>
      <c r="M15" s="90"/>
      <c r="N15" s="90"/>
      <c r="O15" s="90"/>
      <c r="P15" s="90"/>
      <c r="Q15" s="90"/>
      <c r="R15" s="90"/>
      <c r="S15" s="90"/>
      <c r="T15" s="90"/>
      <c r="U15" s="90"/>
      <c r="V15" s="90"/>
      <c r="W15" s="90"/>
      <c r="X15" s="90">
        <v>1.3</v>
      </c>
      <c r="Y15" s="89"/>
      <c r="Z15" s="89">
        <v>1212</v>
      </c>
      <c r="AA15" s="89"/>
      <c r="AB15" s="89"/>
      <c r="AC15" s="92"/>
    </row>
    <row r="16" spans="2:29">
      <c r="B16" s="1">
        <v>12</v>
      </c>
      <c r="C16" s="1" t="s">
        <v>1344</v>
      </c>
      <c r="D16" s="1" t="s">
        <v>1260</v>
      </c>
      <c r="E16" s="1" t="s">
        <v>1158</v>
      </c>
      <c r="F16" s="1" t="s">
        <v>1178</v>
      </c>
      <c r="G16" s="37">
        <v>500</v>
      </c>
      <c r="H16" s="85">
        <v>1000</v>
      </c>
      <c r="I16" s="85">
        <v>0.5</v>
      </c>
      <c r="J16" s="86"/>
      <c r="K16" s="37">
        <v>450</v>
      </c>
      <c r="L16" s="37">
        <v>100</v>
      </c>
      <c r="M16" s="85"/>
      <c r="N16" s="85"/>
      <c r="O16" s="85"/>
      <c r="P16" s="85"/>
      <c r="Q16" s="85"/>
      <c r="R16" s="85"/>
      <c r="S16" s="85"/>
      <c r="T16" s="85"/>
      <c r="U16" s="85"/>
      <c r="V16" s="85"/>
      <c r="W16" s="85"/>
      <c r="X16" s="85">
        <v>1.29</v>
      </c>
      <c r="Y16" s="37"/>
      <c r="Z16" s="37">
        <v>1461</v>
      </c>
      <c r="AA16" s="37"/>
      <c r="AB16" s="37"/>
      <c r="AC16" s="87"/>
    </row>
    <row r="17" spans="2:29">
      <c r="B17" s="88">
        <v>13</v>
      </c>
      <c r="C17" s="88" t="s">
        <v>1344</v>
      </c>
      <c r="D17" s="88" t="s">
        <v>1260</v>
      </c>
      <c r="E17" s="88" t="s">
        <v>1158</v>
      </c>
      <c r="F17" s="88" t="s">
        <v>1346</v>
      </c>
      <c r="G17" s="89">
        <v>500</v>
      </c>
      <c r="H17" s="90">
        <v>1000</v>
      </c>
      <c r="I17" s="90">
        <v>0.5</v>
      </c>
      <c r="J17" s="91"/>
      <c r="K17" s="89">
        <v>450</v>
      </c>
      <c r="L17" s="89">
        <v>155</v>
      </c>
      <c r="M17" s="90"/>
      <c r="N17" s="90"/>
      <c r="O17" s="90"/>
      <c r="P17" s="90"/>
      <c r="Q17" s="90"/>
      <c r="R17" s="90"/>
      <c r="S17" s="90"/>
      <c r="T17" s="90"/>
      <c r="U17" s="90"/>
      <c r="V17" s="90"/>
      <c r="W17" s="90"/>
      <c r="X17" s="90">
        <v>1.3</v>
      </c>
      <c r="Y17" s="89"/>
      <c r="Z17" s="89">
        <v>1236</v>
      </c>
      <c r="AA17" s="89"/>
      <c r="AB17" s="89"/>
      <c r="AC17" s="92"/>
    </row>
    <row r="18" spans="2:29">
      <c r="B18" s="1">
        <v>14</v>
      </c>
      <c r="C18" s="1" t="s">
        <v>1344</v>
      </c>
      <c r="D18" s="1" t="s">
        <v>1260</v>
      </c>
      <c r="E18" s="1" t="s">
        <v>1158</v>
      </c>
      <c r="F18" s="1" t="s">
        <v>1179</v>
      </c>
      <c r="G18" s="37">
        <v>500</v>
      </c>
      <c r="H18" s="85">
        <v>1000</v>
      </c>
      <c r="I18" s="85">
        <v>0.5</v>
      </c>
      <c r="J18" s="86"/>
      <c r="K18" s="37">
        <v>450</v>
      </c>
      <c r="L18" s="37">
        <v>155</v>
      </c>
      <c r="M18" s="85"/>
      <c r="N18" s="85"/>
      <c r="O18" s="85"/>
      <c r="P18" s="85"/>
      <c r="Q18" s="85"/>
      <c r="R18" s="85"/>
      <c r="S18" s="85"/>
      <c r="T18" s="85"/>
      <c r="U18" s="85"/>
      <c r="V18" s="85"/>
      <c r="W18" s="85"/>
      <c r="X18" s="85">
        <v>1.31</v>
      </c>
      <c r="Y18" s="37"/>
      <c r="Z18" s="37">
        <v>2124</v>
      </c>
      <c r="AA18" s="37"/>
      <c r="AB18" s="37"/>
      <c r="AC18" s="87"/>
    </row>
    <row r="19" spans="2:29">
      <c r="B19" s="88">
        <v>15</v>
      </c>
      <c r="C19" s="88" t="s">
        <v>1344</v>
      </c>
      <c r="D19" s="88" t="s">
        <v>1260</v>
      </c>
      <c r="E19" s="88" t="s">
        <v>1158</v>
      </c>
      <c r="F19" s="88" t="s">
        <v>1163</v>
      </c>
      <c r="G19" s="89">
        <v>600</v>
      </c>
      <c r="H19" s="90">
        <v>1000</v>
      </c>
      <c r="I19" s="90">
        <v>0.6</v>
      </c>
      <c r="J19" s="91"/>
      <c r="K19" s="89">
        <v>550</v>
      </c>
      <c r="L19" s="89">
        <v>65</v>
      </c>
      <c r="M19" s="90"/>
      <c r="N19" s="90"/>
      <c r="O19" s="90"/>
      <c r="P19" s="90"/>
      <c r="Q19" s="90"/>
      <c r="R19" s="90"/>
      <c r="S19" s="90"/>
      <c r="T19" s="90"/>
      <c r="U19" s="90"/>
      <c r="V19" s="90"/>
      <c r="W19" s="90"/>
      <c r="X19" s="90">
        <v>1.27</v>
      </c>
      <c r="Y19" s="89"/>
      <c r="Z19" s="89">
        <v>683</v>
      </c>
      <c r="AA19" s="89"/>
      <c r="AB19" s="89"/>
      <c r="AC19" s="92"/>
    </row>
    <row r="20" spans="2:29">
      <c r="B20" s="1">
        <v>16</v>
      </c>
      <c r="C20" s="1" t="s">
        <v>1344</v>
      </c>
      <c r="D20" s="1" t="s">
        <v>1260</v>
      </c>
      <c r="E20" s="1" t="s">
        <v>1158</v>
      </c>
      <c r="F20" s="1" t="s">
        <v>1169</v>
      </c>
      <c r="G20" s="37">
        <v>600</v>
      </c>
      <c r="H20" s="85">
        <v>1000</v>
      </c>
      <c r="I20" s="85">
        <v>0.6</v>
      </c>
      <c r="J20" s="86"/>
      <c r="K20" s="37">
        <v>550</v>
      </c>
      <c r="L20" s="37">
        <v>65</v>
      </c>
      <c r="M20" s="85"/>
      <c r="N20" s="85"/>
      <c r="O20" s="85"/>
      <c r="P20" s="85"/>
      <c r="Q20" s="85"/>
      <c r="R20" s="85"/>
      <c r="S20" s="85"/>
      <c r="T20" s="85"/>
      <c r="U20" s="85"/>
      <c r="V20" s="85"/>
      <c r="W20" s="85"/>
      <c r="X20" s="85">
        <v>1.28</v>
      </c>
      <c r="Y20" s="37"/>
      <c r="Z20" s="37">
        <v>943</v>
      </c>
      <c r="AA20" s="37"/>
      <c r="AB20" s="37"/>
      <c r="AC20" s="87"/>
    </row>
    <row r="21" spans="2:29">
      <c r="B21" s="88">
        <v>17</v>
      </c>
      <c r="C21" s="88" t="s">
        <v>1344</v>
      </c>
      <c r="D21" s="88" t="s">
        <v>1260</v>
      </c>
      <c r="E21" s="88" t="s">
        <v>1158</v>
      </c>
      <c r="F21" s="88" t="s">
        <v>1345</v>
      </c>
      <c r="G21" s="89">
        <v>600</v>
      </c>
      <c r="H21" s="90">
        <v>1000</v>
      </c>
      <c r="I21" s="90">
        <v>0.6</v>
      </c>
      <c r="J21" s="91"/>
      <c r="K21" s="89">
        <v>550</v>
      </c>
      <c r="L21" s="89">
        <v>100</v>
      </c>
      <c r="M21" s="90"/>
      <c r="N21" s="90"/>
      <c r="O21" s="90"/>
      <c r="P21" s="90"/>
      <c r="Q21" s="90"/>
      <c r="R21" s="90"/>
      <c r="S21" s="90"/>
      <c r="T21" s="90"/>
      <c r="U21" s="90"/>
      <c r="V21" s="90"/>
      <c r="W21" s="90"/>
      <c r="X21" s="90">
        <v>1.28</v>
      </c>
      <c r="Y21" s="89"/>
      <c r="Z21" s="89">
        <v>1027</v>
      </c>
      <c r="AA21" s="89"/>
      <c r="AB21" s="89"/>
      <c r="AC21" s="92"/>
    </row>
    <row r="22" spans="2:29">
      <c r="B22" s="1">
        <v>18</v>
      </c>
      <c r="C22" s="1" t="s">
        <v>1344</v>
      </c>
      <c r="D22" s="1" t="s">
        <v>1260</v>
      </c>
      <c r="E22" s="1" t="s">
        <v>1158</v>
      </c>
      <c r="F22" s="1" t="s">
        <v>1174</v>
      </c>
      <c r="G22" s="37">
        <v>600</v>
      </c>
      <c r="H22" s="85">
        <v>1000</v>
      </c>
      <c r="I22" s="85">
        <v>0.6</v>
      </c>
      <c r="J22" s="86"/>
      <c r="K22" s="37">
        <v>550</v>
      </c>
      <c r="L22" s="37">
        <v>100</v>
      </c>
      <c r="M22" s="85"/>
      <c r="N22" s="85"/>
      <c r="O22" s="85"/>
      <c r="P22" s="85"/>
      <c r="Q22" s="85"/>
      <c r="R22" s="85"/>
      <c r="S22" s="85"/>
      <c r="T22" s="85"/>
      <c r="U22" s="85"/>
      <c r="V22" s="85"/>
      <c r="W22" s="85"/>
      <c r="X22" s="85">
        <v>1.3</v>
      </c>
      <c r="Y22" s="37"/>
      <c r="Z22" s="37">
        <v>1406</v>
      </c>
      <c r="AA22" s="37"/>
      <c r="AB22" s="37"/>
      <c r="AC22" s="87"/>
    </row>
    <row r="23" spans="2:29">
      <c r="B23" s="88">
        <v>19</v>
      </c>
      <c r="C23" s="88" t="s">
        <v>1344</v>
      </c>
      <c r="D23" s="88" t="s">
        <v>1260</v>
      </c>
      <c r="E23" s="88" t="s">
        <v>1158</v>
      </c>
      <c r="F23" s="88" t="s">
        <v>1178</v>
      </c>
      <c r="G23" s="89">
        <v>600</v>
      </c>
      <c r="H23" s="90">
        <v>1000</v>
      </c>
      <c r="I23" s="90">
        <v>0.6</v>
      </c>
      <c r="J23" s="91"/>
      <c r="K23" s="89">
        <v>550</v>
      </c>
      <c r="L23" s="89">
        <v>100</v>
      </c>
      <c r="M23" s="90"/>
      <c r="N23" s="90"/>
      <c r="O23" s="90"/>
      <c r="P23" s="90"/>
      <c r="Q23" s="90"/>
      <c r="R23" s="90"/>
      <c r="S23" s="90"/>
      <c r="T23" s="90"/>
      <c r="U23" s="90"/>
      <c r="V23" s="90"/>
      <c r="W23" s="90"/>
      <c r="X23" s="90">
        <v>1.3</v>
      </c>
      <c r="Y23" s="89"/>
      <c r="Z23" s="89">
        <v>1694</v>
      </c>
      <c r="AA23" s="89"/>
      <c r="AB23" s="89"/>
      <c r="AC23" s="92"/>
    </row>
    <row r="24" spans="2:29">
      <c r="B24" s="1">
        <v>20</v>
      </c>
      <c r="C24" s="1" t="s">
        <v>1344</v>
      </c>
      <c r="D24" s="1" t="s">
        <v>1260</v>
      </c>
      <c r="E24" s="1" t="s">
        <v>1158</v>
      </c>
      <c r="F24" s="1" t="s">
        <v>1346</v>
      </c>
      <c r="G24" s="37">
        <v>600</v>
      </c>
      <c r="H24" s="85">
        <v>1000</v>
      </c>
      <c r="I24" s="85">
        <v>0.6</v>
      </c>
      <c r="J24" s="86"/>
      <c r="K24" s="37">
        <v>550</v>
      </c>
      <c r="L24" s="37">
        <v>155</v>
      </c>
      <c r="M24" s="85"/>
      <c r="N24" s="85"/>
      <c r="O24" s="85"/>
      <c r="P24" s="85"/>
      <c r="Q24" s="85"/>
      <c r="R24" s="85"/>
      <c r="S24" s="85"/>
      <c r="T24" s="85"/>
      <c r="U24" s="85"/>
      <c r="V24" s="85"/>
      <c r="W24" s="85"/>
      <c r="X24" s="85">
        <v>1.3</v>
      </c>
      <c r="Y24" s="37"/>
      <c r="Z24" s="37">
        <v>1429</v>
      </c>
      <c r="AA24" s="37"/>
      <c r="AB24" s="37"/>
      <c r="AC24" s="87"/>
    </row>
    <row r="25" spans="2:29">
      <c r="B25" s="88">
        <v>21</v>
      </c>
      <c r="C25" s="88" t="s">
        <v>1344</v>
      </c>
      <c r="D25" s="88" t="s">
        <v>1260</v>
      </c>
      <c r="E25" s="88" t="s">
        <v>1158</v>
      </c>
      <c r="F25" s="88" t="s">
        <v>1179</v>
      </c>
      <c r="G25" s="89">
        <v>600</v>
      </c>
      <c r="H25" s="90">
        <v>1000</v>
      </c>
      <c r="I25" s="90">
        <v>0.6</v>
      </c>
      <c r="J25" s="91"/>
      <c r="K25" s="89">
        <v>550</v>
      </c>
      <c r="L25" s="89">
        <v>155</v>
      </c>
      <c r="M25" s="90"/>
      <c r="N25" s="90"/>
      <c r="O25" s="90"/>
      <c r="P25" s="90"/>
      <c r="Q25" s="90"/>
      <c r="R25" s="90"/>
      <c r="S25" s="90"/>
      <c r="T25" s="90"/>
      <c r="U25" s="90"/>
      <c r="V25" s="90"/>
      <c r="W25" s="90"/>
      <c r="X25" s="90">
        <v>1.31</v>
      </c>
      <c r="Y25" s="89"/>
      <c r="Z25" s="89">
        <v>2461</v>
      </c>
      <c r="AA25" s="89"/>
      <c r="AB25" s="89"/>
      <c r="AC25" s="92"/>
    </row>
    <row r="26" spans="2:29">
      <c r="B26" s="1">
        <v>22</v>
      </c>
      <c r="C26" s="1" t="s">
        <v>1344</v>
      </c>
      <c r="D26" s="1" t="s">
        <v>1260</v>
      </c>
      <c r="E26" s="1" t="s">
        <v>1158</v>
      </c>
      <c r="F26" s="1" t="s">
        <v>1163</v>
      </c>
      <c r="G26" s="37">
        <v>900</v>
      </c>
      <c r="H26" s="85">
        <v>1000</v>
      </c>
      <c r="I26" s="85">
        <v>0.9</v>
      </c>
      <c r="J26" s="86"/>
      <c r="K26" s="37">
        <v>850</v>
      </c>
      <c r="L26" s="37">
        <v>65</v>
      </c>
      <c r="M26" s="85"/>
      <c r="N26" s="85"/>
      <c r="O26" s="85"/>
      <c r="P26" s="85"/>
      <c r="Q26" s="85"/>
      <c r="R26" s="85"/>
      <c r="S26" s="85"/>
      <c r="T26" s="85"/>
      <c r="U26" s="85"/>
      <c r="V26" s="85"/>
      <c r="W26" s="85"/>
      <c r="X26" s="85">
        <v>1.29</v>
      </c>
      <c r="Y26" s="37"/>
      <c r="Z26" s="37">
        <v>978</v>
      </c>
      <c r="AA26" s="37"/>
      <c r="AB26" s="37"/>
      <c r="AC26" s="87"/>
    </row>
    <row r="27" spans="2:29">
      <c r="B27" s="88">
        <v>23</v>
      </c>
      <c r="C27" s="88" t="s">
        <v>1344</v>
      </c>
      <c r="D27" s="88" t="s">
        <v>1260</v>
      </c>
      <c r="E27" s="88" t="s">
        <v>1158</v>
      </c>
      <c r="F27" s="88" t="s">
        <v>1169</v>
      </c>
      <c r="G27" s="89">
        <v>900</v>
      </c>
      <c r="H27" s="90">
        <v>1000</v>
      </c>
      <c r="I27" s="90">
        <v>0.9</v>
      </c>
      <c r="J27" s="91"/>
      <c r="K27" s="89">
        <v>850</v>
      </c>
      <c r="L27" s="89">
        <v>65</v>
      </c>
      <c r="M27" s="90"/>
      <c r="N27" s="90"/>
      <c r="O27" s="90"/>
      <c r="P27" s="90"/>
      <c r="Q27" s="90"/>
      <c r="R27" s="90"/>
      <c r="S27" s="90"/>
      <c r="T27" s="90"/>
      <c r="U27" s="90"/>
      <c r="V27" s="90"/>
      <c r="W27" s="90"/>
      <c r="X27" s="90">
        <v>1.3</v>
      </c>
      <c r="Y27" s="89"/>
      <c r="Z27" s="89">
        <v>1345</v>
      </c>
      <c r="AA27" s="89"/>
      <c r="AB27" s="89"/>
      <c r="AC27" s="92"/>
    </row>
    <row r="28" spans="2:29">
      <c r="B28" s="1">
        <v>24</v>
      </c>
      <c r="C28" s="1" t="s">
        <v>1344</v>
      </c>
      <c r="D28" s="1" t="s">
        <v>1260</v>
      </c>
      <c r="E28" s="1" t="s">
        <v>1158</v>
      </c>
      <c r="F28" s="1" t="s">
        <v>1345</v>
      </c>
      <c r="G28" s="37">
        <v>900</v>
      </c>
      <c r="H28" s="85">
        <v>1000</v>
      </c>
      <c r="I28" s="85">
        <v>0.9</v>
      </c>
      <c r="J28" s="86"/>
      <c r="K28" s="37">
        <v>850</v>
      </c>
      <c r="L28" s="37">
        <v>100</v>
      </c>
      <c r="M28" s="85"/>
      <c r="N28" s="85"/>
      <c r="O28" s="85"/>
      <c r="P28" s="85"/>
      <c r="Q28" s="85"/>
      <c r="R28" s="85"/>
      <c r="S28" s="85"/>
      <c r="T28" s="85"/>
      <c r="U28" s="85"/>
      <c r="V28" s="85"/>
      <c r="W28" s="85"/>
      <c r="X28" s="85">
        <v>1.3</v>
      </c>
      <c r="Y28" s="37"/>
      <c r="Z28" s="37">
        <v>1437</v>
      </c>
      <c r="AA28" s="37"/>
      <c r="AB28" s="37"/>
      <c r="AC28" s="87"/>
    </row>
    <row r="29" spans="2:29">
      <c r="B29" s="88">
        <v>25</v>
      </c>
      <c r="C29" s="88" t="s">
        <v>1344</v>
      </c>
      <c r="D29" s="88" t="s">
        <v>1260</v>
      </c>
      <c r="E29" s="88" t="s">
        <v>1158</v>
      </c>
      <c r="F29" s="88" t="s">
        <v>1174</v>
      </c>
      <c r="G29" s="89">
        <v>900</v>
      </c>
      <c r="H29" s="90">
        <v>1000</v>
      </c>
      <c r="I29" s="90">
        <v>0.9</v>
      </c>
      <c r="J29" s="91"/>
      <c r="K29" s="89">
        <v>850</v>
      </c>
      <c r="L29" s="89">
        <v>100</v>
      </c>
      <c r="M29" s="90"/>
      <c r="N29" s="90"/>
      <c r="O29" s="90"/>
      <c r="P29" s="90"/>
      <c r="Q29" s="90"/>
      <c r="R29" s="90"/>
      <c r="S29" s="90"/>
      <c r="T29" s="90"/>
      <c r="U29" s="90"/>
      <c r="V29" s="90"/>
      <c r="W29" s="90"/>
      <c r="X29" s="90">
        <v>1.3</v>
      </c>
      <c r="Y29" s="89"/>
      <c r="Z29" s="89">
        <v>1961</v>
      </c>
      <c r="AA29" s="89"/>
      <c r="AB29" s="89"/>
      <c r="AC29" s="92"/>
    </row>
    <row r="30" spans="2:29">
      <c r="B30" s="1">
        <v>26</v>
      </c>
      <c r="C30" s="1" t="s">
        <v>1344</v>
      </c>
      <c r="D30" s="1" t="s">
        <v>1260</v>
      </c>
      <c r="E30" s="1" t="s">
        <v>1158</v>
      </c>
      <c r="F30" s="1" t="s">
        <v>1178</v>
      </c>
      <c r="G30" s="37">
        <v>900</v>
      </c>
      <c r="H30" s="85">
        <v>1000</v>
      </c>
      <c r="I30" s="85">
        <v>0.9</v>
      </c>
      <c r="J30" s="86"/>
      <c r="K30" s="37">
        <v>850</v>
      </c>
      <c r="L30" s="37">
        <v>100</v>
      </c>
      <c r="M30" s="85"/>
      <c r="N30" s="85"/>
      <c r="O30" s="85"/>
      <c r="P30" s="85"/>
      <c r="Q30" s="85"/>
      <c r="R30" s="85"/>
      <c r="S30" s="85"/>
      <c r="T30" s="85"/>
      <c r="U30" s="85"/>
      <c r="V30" s="85"/>
      <c r="W30" s="85"/>
      <c r="X30" s="85">
        <v>1.32</v>
      </c>
      <c r="Y30" s="37"/>
      <c r="Z30" s="37">
        <v>2355</v>
      </c>
      <c r="AA30" s="37"/>
      <c r="AB30" s="37"/>
      <c r="AC30" s="87"/>
    </row>
    <row r="31" spans="2:29">
      <c r="B31" s="88">
        <v>27</v>
      </c>
      <c r="C31" s="88" t="s">
        <v>1344</v>
      </c>
      <c r="D31" s="88" t="s">
        <v>1260</v>
      </c>
      <c r="E31" s="88" t="s">
        <v>1158</v>
      </c>
      <c r="F31" s="88" t="s">
        <v>1346</v>
      </c>
      <c r="G31" s="89">
        <v>900</v>
      </c>
      <c r="H31" s="90">
        <v>1000</v>
      </c>
      <c r="I31" s="90">
        <v>0.9</v>
      </c>
      <c r="J31" s="91"/>
      <c r="K31" s="89">
        <v>850</v>
      </c>
      <c r="L31" s="89">
        <v>155</v>
      </c>
      <c r="M31" s="90"/>
      <c r="N31" s="90"/>
      <c r="O31" s="90"/>
      <c r="P31" s="90"/>
      <c r="Q31" s="90"/>
      <c r="R31" s="90"/>
      <c r="S31" s="90"/>
      <c r="T31" s="90"/>
      <c r="U31" s="90"/>
      <c r="V31" s="90"/>
      <c r="W31" s="90"/>
      <c r="X31" s="90">
        <v>1.32</v>
      </c>
      <c r="Y31" s="89"/>
      <c r="Z31" s="89">
        <v>1956</v>
      </c>
      <c r="AA31" s="89"/>
      <c r="AB31" s="89"/>
      <c r="AC31" s="92"/>
    </row>
    <row r="32" spans="2:29">
      <c r="B32" s="1">
        <v>28</v>
      </c>
      <c r="C32" s="1" t="s">
        <v>1344</v>
      </c>
      <c r="D32" s="1" t="s">
        <v>1260</v>
      </c>
      <c r="E32" s="1" t="s">
        <v>1158</v>
      </c>
      <c r="F32" s="1" t="s">
        <v>1179</v>
      </c>
      <c r="G32" s="37">
        <v>900</v>
      </c>
      <c r="H32" s="85">
        <v>1000</v>
      </c>
      <c r="I32" s="85">
        <v>0.9</v>
      </c>
      <c r="J32" s="86"/>
      <c r="K32" s="37">
        <v>850</v>
      </c>
      <c r="L32" s="37">
        <v>155</v>
      </c>
      <c r="M32" s="85"/>
      <c r="N32" s="85"/>
      <c r="O32" s="85"/>
      <c r="P32" s="85"/>
      <c r="Q32" s="85"/>
      <c r="R32" s="85"/>
      <c r="S32" s="85"/>
      <c r="T32" s="85"/>
      <c r="U32" s="85"/>
      <c r="V32" s="85"/>
      <c r="W32" s="85"/>
      <c r="X32" s="85">
        <v>1.32</v>
      </c>
      <c r="Y32" s="37"/>
      <c r="Z32" s="37">
        <v>3315</v>
      </c>
      <c r="AA32" s="37"/>
      <c r="AB32" s="37"/>
      <c r="AC32" s="87"/>
    </row>
    <row r="33" spans="2:31">
      <c r="B33" s="88">
        <v>29</v>
      </c>
      <c r="C33" s="88" t="s">
        <v>1344</v>
      </c>
      <c r="D33" s="88" t="s">
        <v>1261</v>
      </c>
      <c r="E33" s="88" t="s">
        <v>1159</v>
      </c>
      <c r="F33" s="88" t="s">
        <v>1163</v>
      </c>
      <c r="G33" s="89">
        <v>350</v>
      </c>
      <c r="H33" s="90">
        <v>1000</v>
      </c>
      <c r="I33" s="90">
        <v>0.35</v>
      </c>
      <c r="J33" s="91"/>
      <c r="K33" s="89">
        <v>300</v>
      </c>
      <c r="L33" s="89">
        <v>65</v>
      </c>
      <c r="M33" s="90"/>
      <c r="N33" s="90"/>
      <c r="O33" s="90"/>
      <c r="P33" s="90"/>
      <c r="Q33" s="90"/>
      <c r="R33" s="90"/>
      <c r="S33" s="90"/>
      <c r="T33" s="90"/>
      <c r="U33" s="90"/>
      <c r="V33" s="90"/>
      <c r="W33" s="90"/>
      <c r="X33" s="90">
        <v>1.25</v>
      </c>
      <c r="Y33" s="89"/>
      <c r="Z33" s="89">
        <v>368</v>
      </c>
      <c r="AA33" s="89"/>
      <c r="AB33" s="89"/>
      <c r="AC33" s="92"/>
    </row>
    <row r="34" spans="2:31">
      <c r="B34" s="1">
        <v>30</v>
      </c>
      <c r="C34" s="1" t="s">
        <v>1344</v>
      </c>
      <c r="D34" s="1" t="s">
        <v>1261</v>
      </c>
      <c r="E34" s="1" t="s">
        <v>1159</v>
      </c>
      <c r="F34" s="1" t="s">
        <v>1169</v>
      </c>
      <c r="G34" s="37">
        <v>350</v>
      </c>
      <c r="H34" s="85">
        <v>1000</v>
      </c>
      <c r="I34" s="85">
        <v>0.35</v>
      </c>
      <c r="J34" s="86"/>
      <c r="K34" s="37">
        <v>300</v>
      </c>
      <c r="L34" s="37">
        <v>65</v>
      </c>
      <c r="M34" s="85"/>
      <c r="N34" s="85"/>
      <c r="O34" s="85"/>
      <c r="P34" s="85"/>
      <c r="Q34" s="85"/>
      <c r="R34" s="85"/>
      <c r="S34" s="85"/>
      <c r="T34" s="85"/>
      <c r="U34" s="85"/>
      <c r="V34" s="85"/>
      <c r="W34" s="85"/>
      <c r="X34" s="85">
        <v>1.26</v>
      </c>
      <c r="Y34" s="37"/>
      <c r="Z34" s="37">
        <v>531</v>
      </c>
      <c r="AA34" s="37"/>
      <c r="AB34" s="37"/>
      <c r="AC34" s="87"/>
    </row>
    <row r="35" spans="2:31">
      <c r="B35" s="88">
        <v>31</v>
      </c>
      <c r="C35" s="88" t="s">
        <v>1344</v>
      </c>
      <c r="D35" s="88" t="s">
        <v>1261</v>
      </c>
      <c r="E35" s="88" t="s">
        <v>1159</v>
      </c>
      <c r="F35" s="88" t="s">
        <v>1345</v>
      </c>
      <c r="G35" s="89">
        <v>350</v>
      </c>
      <c r="H35" s="90">
        <v>1000</v>
      </c>
      <c r="I35" s="90">
        <v>0.35</v>
      </c>
      <c r="J35" s="91"/>
      <c r="K35" s="89">
        <v>300</v>
      </c>
      <c r="L35" s="89">
        <v>100</v>
      </c>
      <c r="M35" s="90"/>
      <c r="N35" s="90"/>
      <c r="O35" s="90"/>
      <c r="P35" s="90"/>
      <c r="Q35" s="90"/>
      <c r="R35" s="90"/>
      <c r="S35" s="90"/>
      <c r="T35" s="90"/>
      <c r="U35" s="90"/>
      <c r="V35" s="90"/>
      <c r="W35" s="90"/>
      <c r="X35" s="90">
        <v>1.29</v>
      </c>
      <c r="Y35" s="89"/>
      <c r="Z35" s="89">
        <v>598</v>
      </c>
      <c r="AA35" s="89"/>
      <c r="AB35" s="89"/>
      <c r="AC35" s="92"/>
      <c r="AE35" s="7"/>
    </row>
    <row r="36" spans="2:31">
      <c r="B36" s="1">
        <v>32</v>
      </c>
      <c r="C36" s="1" t="s">
        <v>1344</v>
      </c>
      <c r="D36" s="1" t="s">
        <v>1261</v>
      </c>
      <c r="E36" s="1" t="s">
        <v>1159</v>
      </c>
      <c r="F36" s="1" t="s">
        <v>1174</v>
      </c>
      <c r="G36" s="37">
        <v>350</v>
      </c>
      <c r="H36" s="85">
        <v>1000</v>
      </c>
      <c r="I36" s="85">
        <v>0.35</v>
      </c>
      <c r="J36" s="86"/>
      <c r="K36" s="37">
        <v>300</v>
      </c>
      <c r="L36" s="37">
        <v>100</v>
      </c>
      <c r="M36" s="85"/>
      <c r="N36" s="85"/>
      <c r="O36" s="85"/>
      <c r="P36" s="85"/>
      <c r="Q36" s="85"/>
      <c r="R36" s="85"/>
      <c r="S36" s="85"/>
      <c r="T36" s="85"/>
      <c r="U36" s="85"/>
      <c r="V36" s="85"/>
      <c r="W36" s="85"/>
      <c r="X36" s="85">
        <v>1.29</v>
      </c>
      <c r="Y36" s="37"/>
      <c r="Z36" s="37">
        <v>823</v>
      </c>
      <c r="AA36" s="37"/>
      <c r="AB36" s="37"/>
      <c r="AC36" s="87"/>
      <c r="AE36" s="7"/>
    </row>
    <row r="37" spans="2:31">
      <c r="B37" s="88">
        <v>33</v>
      </c>
      <c r="C37" s="88" t="s">
        <v>1344</v>
      </c>
      <c r="D37" s="88" t="s">
        <v>1261</v>
      </c>
      <c r="E37" s="88" t="s">
        <v>1159</v>
      </c>
      <c r="F37" s="88" t="s">
        <v>1178</v>
      </c>
      <c r="G37" s="89">
        <v>350</v>
      </c>
      <c r="H37" s="90">
        <v>1000</v>
      </c>
      <c r="I37" s="90">
        <v>0.35</v>
      </c>
      <c r="J37" s="91"/>
      <c r="K37" s="89">
        <v>300</v>
      </c>
      <c r="L37" s="89">
        <v>100</v>
      </c>
      <c r="M37" s="90"/>
      <c r="N37" s="90"/>
      <c r="O37" s="90"/>
      <c r="P37" s="90"/>
      <c r="Q37" s="90"/>
      <c r="R37" s="90"/>
      <c r="S37" s="90"/>
      <c r="T37" s="90"/>
      <c r="U37" s="90"/>
      <c r="V37" s="90"/>
      <c r="W37" s="90"/>
      <c r="X37" s="90">
        <v>1.28</v>
      </c>
      <c r="Y37" s="89"/>
      <c r="Z37" s="89">
        <v>1018</v>
      </c>
      <c r="AA37" s="89"/>
      <c r="AB37" s="89"/>
      <c r="AC37" s="92"/>
      <c r="AE37" s="7"/>
    </row>
    <row r="38" spans="2:31">
      <c r="B38" s="1">
        <v>34</v>
      </c>
      <c r="C38" s="1" t="s">
        <v>1344</v>
      </c>
      <c r="D38" s="1" t="s">
        <v>1261</v>
      </c>
      <c r="E38" s="1" t="s">
        <v>1159</v>
      </c>
      <c r="F38" s="1" t="s">
        <v>1346</v>
      </c>
      <c r="G38" s="37">
        <v>350</v>
      </c>
      <c r="H38" s="85">
        <v>1000</v>
      </c>
      <c r="I38" s="85">
        <v>0.35</v>
      </c>
      <c r="J38" s="86"/>
      <c r="K38" s="37">
        <v>300</v>
      </c>
      <c r="L38" s="37">
        <v>155</v>
      </c>
      <c r="M38" s="85"/>
      <c r="N38" s="85"/>
      <c r="O38" s="85"/>
      <c r="P38" s="85"/>
      <c r="Q38" s="85"/>
      <c r="R38" s="85"/>
      <c r="S38" s="85"/>
      <c r="T38" s="85"/>
      <c r="U38" s="85"/>
      <c r="V38" s="85"/>
      <c r="W38" s="85"/>
      <c r="X38" s="85">
        <v>1.28</v>
      </c>
      <c r="Y38" s="37"/>
      <c r="Z38" s="37">
        <v>897.5</v>
      </c>
      <c r="AA38" s="37"/>
      <c r="AB38" s="37"/>
      <c r="AC38" s="87"/>
      <c r="AE38" s="7"/>
    </row>
    <row r="39" spans="2:31">
      <c r="B39" s="88">
        <v>35</v>
      </c>
      <c r="C39" s="88" t="s">
        <v>1344</v>
      </c>
      <c r="D39" s="88" t="s">
        <v>1261</v>
      </c>
      <c r="E39" s="88" t="s">
        <v>1159</v>
      </c>
      <c r="F39" s="88" t="s">
        <v>1179</v>
      </c>
      <c r="G39" s="89">
        <v>350</v>
      </c>
      <c r="H39" s="90">
        <v>1000</v>
      </c>
      <c r="I39" s="90">
        <v>0.35</v>
      </c>
      <c r="J39" s="91"/>
      <c r="K39" s="89">
        <v>300</v>
      </c>
      <c r="L39" s="89">
        <v>155</v>
      </c>
      <c r="M39" s="90"/>
      <c r="N39" s="90"/>
      <c r="O39" s="90"/>
      <c r="P39" s="90"/>
      <c r="Q39" s="90"/>
      <c r="R39" s="90"/>
      <c r="S39" s="90"/>
      <c r="T39" s="90"/>
      <c r="U39" s="90"/>
      <c r="V39" s="90"/>
      <c r="W39" s="90"/>
      <c r="X39" s="90">
        <v>1.29</v>
      </c>
      <c r="Y39" s="89"/>
      <c r="Z39" s="89">
        <v>1488</v>
      </c>
      <c r="AA39" s="89"/>
      <c r="AB39" s="89"/>
      <c r="AC39" s="92"/>
      <c r="AE39" s="7"/>
    </row>
    <row r="40" spans="2:31">
      <c r="B40" s="1">
        <v>36</v>
      </c>
      <c r="C40" s="1" t="s">
        <v>1344</v>
      </c>
      <c r="D40" s="1" t="s">
        <v>1261</v>
      </c>
      <c r="E40" s="1" t="s">
        <v>1159</v>
      </c>
      <c r="F40" s="1" t="s">
        <v>1163</v>
      </c>
      <c r="G40" s="37">
        <v>500</v>
      </c>
      <c r="H40" s="85">
        <v>1000</v>
      </c>
      <c r="I40" s="85">
        <v>0.5</v>
      </c>
      <c r="J40" s="86"/>
      <c r="K40" s="37">
        <v>450</v>
      </c>
      <c r="L40" s="37">
        <v>65</v>
      </c>
      <c r="M40" s="85"/>
      <c r="N40" s="85"/>
      <c r="O40" s="85"/>
      <c r="P40" s="85"/>
      <c r="Q40" s="85"/>
      <c r="R40" s="85"/>
      <c r="S40" s="85"/>
      <c r="T40" s="85"/>
      <c r="U40" s="85"/>
      <c r="V40" s="85"/>
      <c r="W40" s="85"/>
      <c r="X40" s="85">
        <v>1.26</v>
      </c>
      <c r="Y40" s="37"/>
      <c r="Z40" s="37">
        <v>500</v>
      </c>
      <c r="AA40" s="37"/>
      <c r="AB40" s="37"/>
      <c r="AC40" s="87"/>
      <c r="AE40" s="7"/>
    </row>
    <row r="41" spans="2:31">
      <c r="B41" s="88">
        <v>37</v>
      </c>
      <c r="C41" s="88" t="s">
        <v>1344</v>
      </c>
      <c r="D41" s="88" t="s">
        <v>1261</v>
      </c>
      <c r="E41" s="88" t="s">
        <v>1159</v>
      </c>
      <c r="F41" s="88" t="s">
        <v>1169</v>
      </c>
      <c r="G41" s="89">
        <v>500</v>
      </c>
      <c r="H41" s="90">
        <v>1000</v>
      </c>
      <c r="I41" s="90">
        <v>0.5</v>
      </c>
      <c r="J41" s="91"/>
      <c r="K41" s="89">
        <v>450</v>
      </c>
      <c r="L41" s="89">
        <v>65</v>
      </c>
      <c r="M41" s="90"/>
      <c r="N41" s="90"/>
      <c r="O41" s="90"/>
      <c r="P41" s="90"/>
      <c r="Q41" s="90"/>
      <c r="R41" s="90"/>
      <c r="S41" s="90"/>
      <c r="T41" s="90"/>
      <c r="U41" s="90"/>
      <c r="V41" s="90"/>
      <c r="W41" s="90"/>
      <c r="X41" s="90">
        <v>1.28</v>
      </c>
      <c r="Y41" s="89"/>
      <c r="Z41" s="89">
        <v>738</v>
      </c>
      <c r="AA41" s="89"/>
      <c r="AB41" s="89"/>
      <c r="AC41" s="92"/>
      <c r="AE41" s="7"/>
    </row>
    <row r="42" spans="2:31">
      <c r="B42" s="1">
        <v>38</v>
      </c>
      <c r="C42" s="1" t="s">
        <v>1344</v>
      </c>
      <c r="D42" s="1" t="s">
        <v>1261</v>
      </c>
      <c r="E42" s="1" t="s">
        <v>1159</v>
      </c>
      <c r="F42" s="1" t="s">
        <v>1345</v>
      </c>
      <c r="G42" s="37">
        <v>500</v>
      </c>
      <c r="H42" s="85">
        <v>1000</v>
      </c>
      <c r="I42" s="85">
        <v>0.5</v>
      </c>
      <c r="J42" s="86"/>
      <c r="K42" s="37">
        <v>450</v>
      </c>
      <c r="L42" s="37">
        <v>100</v>
      </c>
      <c r="M42" s="85"/>
      <c r="N42" s="85"/>
      <c r="O42" s="85"/>
      <c r="P42" s="85"/>
      <c r="Q42" s="85"/>
      <c r="R42" s="85"/>
      <c r="S42" s="85"/>
      <c r="T42" s="85"/>
      <c r="U42" s="85"/>
      <c r="V42" s="85"/>
      <c r="W42" s="85"/>
      <c r="X42" s="85">
        <v>1.29</v>
      </c>
      <c r="Y42" s="37"/>
      <c r="Z42" s="37">
        <v>808</v>
      </c>
      <c r="AA42" s="37"/>
      <c r="AB42" s="37"/>
      <c r="AC42" s="87"/>
      <c r="AE42" s="7"/>
    </row>
    <row r="43" spans="2:31">
      <c r="B43" s="88">
        <v>39</v>
      </c>
      <c r="C43" s="88" t="s">
        <v>1344</v>
      </c>
      <c r="D43" s="88" t="s">
        <v>1261</v>
      </c>
      <c r="E43" s="88" t="s">
        <v>1159</v>
      </c>
      <c r="F43" s="88" t="s">
        <v>1174</v>
      </c>
      <c r="G43" s="89">
        <v>500</v>
      </c>
      <c r="H43" s="90">
        <v>1000</v>
      </c>
      <c r="I43" s="90">
        <v>0.5</v>
      </c>
      <c r="J43" s="91"/>
      <c r="K43" s="89">
        <v>450</v>
      </c>
      <c r="L43" s="89">
        <v>100</v>
      </c>
      <c r="M43" s="90"/>
      <c r="N43" s="90"/>
      <c r="O43" s="90"/>
      <c r="P43" s="90"/>
      <c r="Q43" s="90"/>
      <c r="R43" s="90"/>
      <c r="S43" s="90"/>
      <c r="T43" s="90"/>
      <c r="U43" s="90"/>
      <c r="V43" s="90"/>
      <c r="W43" s="90"/>
      <c r="X43" s="90">
        <v>1.29</v>
      </c>
      <c r="Y43" s="89"/>
      <c r="Z43" s="89">
        <v>1124</v>
      </c>
      <c r="AA43" s="89"/>
      <c r="AB43" s="89"/>
      <c r="AC43" s="92"/>
      <c r="AE43" s="7"/>
    </row>
    <row r="44" spans="2:31">
      <c r="B44" s="1">
        <v>40</v>
      </c>
      <c r="C44" s="1" t="s">
        <v>1344</v>
      </c>
      <c r="D44" s="1" t="s">
        <v>1261</v>
      </c>
      <c r="E44" s="1" t="s">
        <v>1159</v>
      </c>
      <c r="F44" s="1" t="s">
        <v>1178</v>
      </c>
      <c r="G44" s="37">
        <v>500</v>
      </c>
      <c r="H44" s="85">
        <v>1000</v>
      </c>
      <c r="I44" s="85">
        <v>0.5</v>
      </c>
      <c r="J44" s="86"/>
      <c r="K44" s="37">
        <v>450</v>
      </c>
      <c r="L44" s="37">
        <v>100</v>
      </c>
      <c r="M44" s="85"/>
      <c r="N44" s="85"/>
      <c r="O44" s="85"/>
      <c r="P44" s="85"/>
      <c r="Q44" s="85"/>
      <c r="R44" s="85"/>
      <c r="S44" s="85"/>
      <c r="T44" s="85"/>
      <c r="U44" s="85"/>
      <c r="V44" s="85"/>
      <c r="W44" s="85"/>
      <c r="X44" s="85">
        <v>1.29</v>
      </c>
      <c r="Y44" s="37"/>
      <c r="Z44" s="37">
        <v>1432</v>
      </c>
      <c r="AA44" s="37"/>
      <c r="AB44" s="37"/>
      <c r="AC44" s="87"/>
    </row>
    <row r="45" spans="2:31">
      <c r="B45" s="88">
        <v>41</v>
      </c>
      <c r="C45" s="88" t="s">
        <v>1344</v>
      </c>
      <c r="D45" s="88" t="s">
        <v>1261</v>
      </c>
      <c r="E45" s="88" t="s">
        <v>1159</v>
      </c>
      <c r="F45" s="88" t="s">
        <v>1346</v>
      </c>
      <c r="G45" s="89">
        <v>500</v>
      </c>
      <c r="H45" s="90">
        <v>1000</v>
      </c>
      <c r="I45" s="90">
        <v>0.5</v>
      </c>
      <c r="J45" s="91"/>
      <c r="K45" s="89">
        <v>450</v>
      </c>
      <c r="L45" s="89">
        <v>155</v>
      </c>
      <c r="M45" s="90"/>
      <c r="N45" s="90"/>
      <c r="O45" s="90"/>
      <c r="P45" s="90"/>
      <c r="Q45" s="90"/>
      <c r="R45" s="90"/>
      <c r="S45" s="90"/>
      <c r="T45" s="90"/>
      <c r="U45" s="90"/>
      <c r="V45" s="90"/>
      <c r="W45" s="90"/>
      <c r="X45" s="90">
        <v>1.29</v>
      </c>
      <c r="Y45" s="89"/>
      <c r="Z45" s="89">
        <v>1166</v>
      </c>
      <c r="AA45" s="89"/>
      <c r="AB45" s="89"/>
      <c r="AC45" s="92"/>
    </row>
    <row r="46" spans="2:31">
      <c r="B46" s="1">
        <v>42</v>
      </c>
      <c r="C46" s="1" t="s">
        <v>1344</v>
      </c>
      <c r="D46" s="1" t="s">
        <v>1261</v>
      </c>
      <c r="E46" s="1" t="s">
        <v>1159</v>
      </c>
      <c r="F46" s="1" t="s">
        <v>1179</v>
      </c>
      <c r="G46" s="37">
        <v>500</v>
      </c>
      <c r="H46" s="85">
        <v>1000</v>
      </c>
      <c r="I46" s="85">
        <v>0.5</v>
      </c>
      <c r="J46" s="86"/>
      <c r="K46" s="37">
        <v>450</v>
      </c>
      <c r="L46" s="37">
        <v>155</v>
      </c>
      <c r="M46" s="85"/>
      <c r="N46" s="85"/>
      <c r="O46" s="85"/>
      <c r="P46" s="85"/>
      <c r="Q46" s="85"/>
      <c r="R46" s="85"/>
      <c r="S46" s="85"/>
      <c r="T46" s="85"/>
      <c r="U46" s="85"/>
      <c r="V46" s="85"/>
      <c r="W46" s="85"/>
      <c r="X46" s="85">
        <v>1.3</v>
      </c>
      <c r="Y46" s="37"/>
      <c r="Z46" s="37">
        <v>1981</v>
      </c>
      <c r="AA46" s="37"/>
      <c r="AB46" s="37"/>
      <c r="AC46" s="87"/>
    </row>
    <row r="47" spans="2:31">
      <c r="B47" s="88">
        <v>43</v>
      </c>
      <c r="C47" s="88" t="s">
        <v>1344</v>
      </c>
      <c r="D47" s="88" t="s">
        <v>1261</v>
      </c>
      <c r="E47" s="88" t="s">
        <v>1159</v>
      </c>
      <c r="F47" s="88" t="s">
        <v>1163</v>
      </c>
      <c r="G47" s="89">
        <v>600</v>
      </c>
      <c r="H47" s="90">
        <v>1000</v>
      </c>
      <c r="I47" s="90">
        <v>0.6</v>
      </c>
      <c r="J47" s="91"/>
      <c r="K47" s="89">
        <v>550</v>
      </c>
      <c r="L47" s="89">
        <v>65</v>
      </c>
      <c r="M47" s="90"/>
      <c r="N47" s="90"/>
      <c r="O47" s="90"/>
      <c r="P47" s="90"/>
      <c r="Q47" s="90"/>
      <c r="R47" s="90"/>
      <c r="S47" s="90"/>
      <c r="T47" s="90"/>
      <c r="U47" s="90"/>
      <c r="V47" s="90"/>
      <c r="W47" s="90"/>
      <c r="X47" s="90">
        <v>1.26</v>
      </c>
      <c r="Y47" s="89"/>
      <c r="Z47" s="89">
        <v>588</v>
      </c>
      <c r="AA47" s="89"/>
      <c r="AB47" s="89"/>
      <c r="AC47" s="92"/>
    </row>
    <row r="48" spans="2:31">
      <c r="B48" s="1">
        <v>44</v>
      </c>
      <c r="C48" s="1" t="s">
        <v>1344</v>
      </c>
      <c r="D48" s="1" t="s">
        <v>1261</v>
      </c>
      <c r="E48" s="1" t="s">
        <v>1159</v>
      </c>
      <c r="F48" s="1" t="s">
        <v>1169</v>
      </c>
      <c r="G48" s="37">
        <v>600</v>
      </c>
      <c r="H48" s="85">
        <v>1000</v>
      </c>
      <c r="I48" s="85">
        <v>0.6</v>
      </c>
      <c r="J48" s="86"/>
      <c r="K48" s="37">
        <v>550</v>
      </c>
      <c r="L48" s="37">
        <v>65</v>
      </c>
      <c r="M48" s="85"/>
      <c r="N48" s="85"/>
      <c r="O48" s="85"/>
      <c r="P48" s="85"/>
      <c r="Q48" s="85"/>
      <c r="R48" s="85"/>
      <c r="S48" s="85"/>
      <c r="T48" s="85"/>
      <c r="U48" s="85"/>
      <c r="V48" s="85"/>
      <c r="W48" s="85"/>
      <c r="X48" s="85">
        <v>1.29</v>
      </c>
      <c r="Y48" s="37"/>
      <c r="Z48" s="37">
        <v>869</v>
      </c>
      <c r="AA48" s="37"/>
      <c r="AB48" s="37"/>
      <c r="AC48" s="87"/>
    </row>
    <row r="49" spans="2:29">
      <c r="B49" s="88">
        <v>45</v>
      </c>
      <c r="C49" s="88" t="s">
        <v>1344</v>
      </c>
      <c r="D49" s="88" t="s">
        <v>1261</v>
      </c>
      <c r="E49" s="88" t="s">
        <v>1159</v>
      </c>
      <c r="F49" s="88" t="s">
        <v>1345</v>
      </c>
      <c r="G49" s="89">
        <v>600</v>
      </c>
      <c r="H49" s="90">
        <v>1000</v>
      </c>
      <c r="I49" s="90">
        <v>0.6</v>
      </c>
      <c r="J49" s="91"/>
      <c r="K49" s="89">
        <v>550</v>
      </c>
      <c r="L49" s="89">
        <v>100</v>
      </c>
      <c r="M49" s="90"/>
      <c r="N49" s="90"/>
      <c r="O49" s="90"/>
      <c r="P49" s="90"/>
      <c r="Q49" s="90"/>
      <c r="R49" s="90"/>
      <c r="S49" s="90"/>
      <c r="T49" s="90"/>
      <c r="U49" s="90"/>
      <c r="V49" s="90"/>
      <c r="W49" s="90"/>
      <c r="X49" s="90">
        <v>1.29</v>
      </c>
      <c r="Y49" s="89"/>
      <c r="Z49" s="89">
        <v>937</v>
      </c>
      <c r="AA49" s="89"/>
      <c r="AB49" s="89"/>
      <c r="AC49" s="92"/>
    </row>
    <row r="50" spans="2:29">
      <c r="B50" s="1">
        <v>46</v>
      </c>
      <c r="C50" s="1" t="s">
        <v>1344</v>
      </c>
      <c r="D50" s="1" t="s">
        <v>1261</v>
      </c>
      <c r="E50" s="1" t="s">
        <v>1159</v>
      </c>
      <c r="F50" s="1" t="s">
        <v>1174</v>
      </c>
      <c r="G50" s="37">
        <v>600</v>
      </c>
      <c r="H50" s="85">
        <v>1000</v>
      </c>
      <c r="I50" s="85">
        <v>0.6</v>
      </c>
      <c r="J50" s="86"/>
      <c r="K50" s="37">
        <v>550</v>
      </c>
      <c r="L50" s="37">
        <v>100</v>
      </c>
      <c r="M50" s="85"/>
      <c r="N50" s="85"/>
      <c r="O50" s="85"/>
      <c r="P50" s="85"/>
      <c r="Q50" s="85"/>
      <c r="R50" s="85"/>
      <c r="S50" s="85"/>
      <c r="T50" s="85"/>
      <c r="U50" s="85"/>
      <c r="V50" s="85"/>
      <c r="W50" s="85"/>
      <c r="X50" s="85">
        <v>1.29</v>
      </c>
      <c r="Y50" s="37"/>
      <c r="Z50" s="37">
        <v>1318</v>
      </c>
      <c r="AA50" s="37"/>
      <c r="AB50" s="37"/>
      <c r="AC50" s="87"/>
    </row>
    <row r="51" spans="2:29">
      <c r="B51" s="88">
        <v>47</v>
      </c>
      <c r="C51" s="88" t="s">
        <v>1344</v>
      </c>
      <c r="D51" s="88" t="s">
        <v>1261</v>
      </c>
      <c r="E51" s="88" t="s">
        <v>1159</v>
      </c>
      <c r="F51" s="88" t="s">
        <v>1178</v>
      </c>
      <c r="G51" s="89">
        <v>600</v>
      </c>
      <c r="H51" s="90">
        <v>1000</v>
      </c>
      <c r="I51" s="90">
        <v>0.6</v>
      </c>
      <c r="J51" s="91"/>
      <c r="K51" s="89">
        <v>550</v>
      </c>
      <c r="L51" s="89">
        <v>100</v>
      </c>
      <c r="M51" s="90"/>
      <c r="N51" s="90"/>
      <c r="O51" s="90"/>
      <c r="P51" s="90"/>
      <c r="Q51" s="90"/>
      <c r="R51" s="90"/>
      <c r="S51" s="90"/>
      <c r="T51" s="90"/>
      <c r="U51" s="90"/>
      <c r="V51" s="90"/>
      <c r="W51" s="90"/>
      <c r="X51" s="90">
        <v>1.29</v>
      </c>
      <c r="Y51" s="89"/>
      <c r="Z51" s="89">
        <v>1683</v>
      </c>
      <c r="AA51" s="89"/>
      <c r="AB51" s="89"/>
      <c r="AC51" s="92"/>
    </row>
    <row r="52" spans="2:29">
      <c r="B52" s="1">
        <v>48</v>
      </c>
      <c r="C52" s="1" t="s">
        <v>1344</v>
      </c>
      <c r="D52" s="1" t="s">
        <v>1261</v>
      </c>
      <c r="E52" s="1" t="s">
        <v>1159</v>
      </c>
      <c r="F52" s="1" t="s">
        <v>1346</v>
      </c>
      <c r="G52" s="37">
        <v>600</v>
      </c>
      <c r="H52" s="85">
        <v>1000</v>
      </c>
      <c r="I52" s="85">
        <v>0.6</v>
      </c>
      <c r="J52" s="86"/>
      <c r="K52" s="37">
        <v>550</v>
      </c>
      <c r="L52" s="37">
        <v>155</v>
      </c>
      <c r="M52" s="85"/>
      <c r="N52" s="85"/>
      <c r="O52" s="85"/>
      <c r="P52" s="85"/>
      <c r="Q52" s="85"/>
      <c r="R52" s="85"/>
      <c r="S52" s="85"/>
      <c r="T52" s="85"/>
      <c r="U52" s="85"/>
      <c r="V52" s="85"/>
      <c r="W52" s="85"/>
      <c r="X52" s="85">
        <v>1.29</v>
      </c>
      <c r="Y52" s="37"/>
      <c r="Z52" s="37">
        <v>1362</v>
      </c>
      <c r="AA52" s="37"/>
      <c r="AB52" s="37"/>
      <c r="AC52" s="87"/>
    </row>
    <row r="53" spans="2:29">
      <c r="B53" s="88">
        <v>49</v>
      </c>
      <c r="C53" s="88" t="s">
        <v>1344</v>
      </c>
      <c r="D53" s="88" t="s">
        <v>1261</v>
      </c>
      <c r="E53" s="88" t="s">
        <v>1159</v>
      </c>
      <c r="F53" s="88" t="s">
        <v>1179</v>
      </c>
      <c r="G53" s="89">
        <v>600</v>
      </c>
      <c r="H53" s="90">
        <v>1000</v>
      </c>
      <c r="I53" s="90">
        <v>0.6</v>
      </c>
      <c r="J53" s="91"/>
      <c r="K53" s="89">
        <v>550</v>
      </c>
      <c r="L53" s="89">
        <v>155</v>
      </c>
      <c r="M53" s="90"/>
      <c r="N53" s="90"/>
      <c r="O53" s="90"/>
      <c r="P53" s="90"/>
      <c r="Q53" s="90"/>
      <c r="R53" s="90"/>
      <c r="S53" s="90"/>
      <c r="T53" s="90"/>
      <c r="U53" s="90"/>
      <c r="V53" s="90"/>
      <c r="W53" s="90"/>
      <c r="X53" s="90">
        <v>1.3</v>
      </c>
      <c r="Y53" s="89"/>
      <c r="Z53" s="89">
        <v>2303</v>
      </c>
      <c r="AA53" s="89"/>
      <c r="AB53" s="89"/>
      <c r="AC53" s="92"/>
    </row>
    <row r="54" spans="2:29">
      <c r="B54" s="1">
        <v>50</v>
      </c>
      <c r="C54" s="1" t="s">
        <v>1344</v>
      </c>
      <c r="D54" s="1" t="s">
        <v>1261</v>
      </c>
      <c r="E54" s="1" t="s">
        <v>1159</v>
      </c>
      <c r="F54" s="1" t="s">
        <v>1163</v>
      </c>
      <c r="G54" s="37">
        <v>900</v>
      </c>
      <c r="H54" s="85">
        <v>1000</v>
      </c>
      <c r="I54" s="85">
        <v>0.9</v>
      </c>
      <c r="J54" s="86"/>
      <c r="K54" s="37">
        <v>850</v>
      </c>
      <c r="L54" s="37">
        <v>65</v>
      </c>
      <c r="M54" s="85"/>
      <c r="N54" s="85"/>
      <c r="O54" s="85"/>
      <c r="P54" s="85"/>
      <c r="Q54" s="85"/>
      <c r="R54" s="85"/>
      <c r="S54" s="85"/>
      <c r="T54" s="85"/>
      <c r="U54" s="85"/>
      <c r="V54" s="85"/>
      <c r="W54" s="85"/>
      <c r="X54" s="85">
        <v>1.28</v>
      </c>
      <c r="Y54" s="37"/>
      <c r="Z54" s="37">
        <v>847</v>
      </c>
      <c r="AA54" s="37"/>
      <c r="AB54" s="37"/>
      <c r="AC54" s="87"/>
    </row>
    <row r="55" spans="2:29">
      <c r="B55" s="88">
        <v>51</v>
      </c>
      <c r="C55" s="88" t="s">
        <v>1344</v>
      </c>
      <c r="D55" s="88" t="s">
        <v>1261</v>
      </c>
      <c r="E55" s="88" t="s">
        <v>1159</v>
      </c>
      <c r="F55" s="88" t="s">
        <v>1169</v>
      </c>
      <c r="G55" s="89">
        <v>900</v>
      </c>
      <c r="H55" s="90">
        <v>1000</v>
      </c>
      <c r="I55" s="90">
        <v>0.9</v>
      </c>
      <c r="J55" s="91"/>
      <c r="K55" s="89">
        <v>850</v>
      </c>
      <c r="L55" s="89">
        <v>65</v>
      </c>
      <c r="M55" s="90"/>
      <c r="N55" s="90"/>
      <c r="O55" s="90"/>
      <c r="P55" s="90"/>
      <c r="Q55" s="90"/>
      <c r="R55" s="90"/>
      <c r="S55" s="90"/>
      <c r="T55" s="90"/>
      <c r="U55" s="90"/>
      <c r="V55" s="90"/>
      <c r="W55" s="90"/>
      <c r="X55" s="90">
        <v>1.3</v>
      </c>
      <c r="Y55" s="89"/>
      <c r="Z55" s="89">
        <v>1199</v>
      </c>
      <c r="AA55" s="89"/>
      <c r="AB55" s="89"/>
      <c r="AC55" s="92"/>
    </row>
    <row r="56" spans="2:29">
      <c r="B56" s="1">
        <v>52</v>
      </c>
      <c r="C56" s="1" t="s">
        <v>1344</v>
      </c>
      <c r="D56" s="1" t="s">
        <v>1261</v>
      </c>
      <c r="E56" s="1" t="s">
        <v>1159</v>
      </c>
      <c r="F56" s="1" t="s">
        <v>1345</v>
      </c>
      <c r="G56" s="37">
        <v>900</v>
      </c>
      <c r="H56" s="85">
        <v>1000</v>
      </c>
      <c r="I56" s="85">
        <v>0.9</v>
      </c>
      <c r="J56" s="86"/>
      <c r="K56" s="37">
        <v>852</v>
      </c>
      <c r="L56" s="37">
        <v>100</v>
      </c>
      <c r="M56" s="85"/>
      <c r="N56" s="85"/>
      <c r="O56" s="85"/>
      <c r="P56" s="85"/>
      <c r="Q56" s="85"/>
      <c r="R56" s="85"/>
      <c r="S56" s="85"/>
      <c r="T56" s="85"/>
      <c r="U56" s="85"/>
      <c r="V56" s="85"/>
      <c r="W56" s="85"/>
      <c r="X56" s="85">
        <v>1.3</v>
      </c>
      <c r="Y56" s="37"/>
      <c r="Z56" s="37">
        <v>1329</v>
      </c>
      <c r="AA56" s="37"/>
      <c r="AB56" s="37"/>
      <c r="AC56" s="87"/>
    </row>
    <row r="57" spans="2:29">
      <c r="B57" s="88">
        <v>53</v>
      </c>
      <c r="C57" s="88" t="s">
        <v>1344</v>
      </c>
      <c r="D57" s="88" t="s">
        <v>1261</v>
      </c>
      <c r="E57" s="88" t="s">
        <v>1159</v>
      </c>
      <c r="F57" s="88" t="s">
        <v>1174</v>
      </c>
      <c r="G57" s="89">
        <v>900</v>
      </c>
      <c r="H57" s="90">
        <v>1000</v>
      </c>
      <c r="I57" s="90">
        <v>0.9</v>
      </c>
      <c r="J57" s="91"/>
      <c r="K57" s="89">
        <v>850</v>
      </c>
      <c r="L57" s="89">
        <v>100</v>
      </c>
      <c r="M57" s="90"/>
      <c r="N57" s="90"/>
      <c r="O57" s="90"/>
      <c r="P57" s="90"/>
      <c r="Q57" s="90"/>
      <c r="R57" s="90"/>
      <c r="S57" s="90"/>
      <c r="T57" s="90"/>
      <c r="U57" s="90"/>
      <c r="V57" s="90"/>
      <c r="W57" s="90"/>
      <c r="X57" s="90">
        <v>1.33</v>
      </c>
      <c r="Y57" s="89"/>
      <c r="Z57" s="89">
        <v>1843</v>
      </c>
      <c r="AA57" s="89"/>
      <c r="AB57" s="89"/>
      <c r="AC57" s="92"/>
    </row>
    <row r="58" spans="2:29">
      <c r="B58" s="1">
        <v>54</v>
      </c>
      <c r="C58" s="1" t="s">
        <v>1344</v>
      </c>
      <c r="D58" s="1" t="s">
        <v>1261</v>
      </c>
      <c r="E58" s="1" t="s">
        <v>1159</v>
      </c>
      <c r="F58" s="1" t="s">
        <v>1178</v>
      </c>
      <c r="G58" s="37">
        <v>900</v>
      </c>
      <c r="H58" s="85">
        <v>1000</v>
      </c>
      <c r="I58" s="85">
        <v>0.9</v>
      </c>
      <c r="J58" s="86"/>
      <c r="K58" s="37">
        <v>850</v>
      </c>
      <c r="L58" s="37">
        <v>100</v>
      </c>
      <c r="M58" s="85"/>
      <c r="N58" s="85"/>
      <c r="O58" s="85"/>
      <c r="P58" s="85"/>
      <c r="Q58" s="85"/>
      <c r="R58" s="85"/>
      <c r="S58" s="85"/>
      <c r="T58" s="85"/>
      <c r="U58" s="85"/>
      <c r="V58" s="85"/>
      <c r="W58" s="85"/>
      <c r="X58" s="85">
        <v>1.32</v>
      </c>
      <c r="Y58" s="37"/>
      <c r="Z58" s="37">
        <v>2269</v>
      </c>
      <c r="AA58" s="37"/>
      <c r="AB58" s="37"/>
      <c r="AC58" s="87"/>
    </row>
    <row r="59" spans="2:29" ht="14.25" customHeight="1">
      <c r="B59" s="88">
        <v>55</v>
      </c>
      <c r="C59" s="88" t="s">
        <v>1344</v>
      </c>
      <c r="D59" s="88" t="s">
        <v>1261</v>
      </c>
      <c r="E59" s="88" t="s">
        <v>1159</v>
      </c>
      <c r="F59" s="88" t="s">
        <v>1346</v>
      </c>
      <c r="G59" s="89">
        <v>900</v>
      </c>
      <c r="H59" s="90">
        <v>1000</v>
      </c>
      <c r="I59" s="90">
        <v>0.9</v>
      </c>
      <c r="J59" s="91"/>
      <c r="K59" s="89">
        <v>850</v>
      </c>
      <c r="L59" s="89">
        <v>155</v>
      </c>
      <c r="M59" s="90"/>
      <c r="N59" s="90"/>
      <c r="O59" s="90"/>
      <c r="P59" s="90"/>
      <c r="Q59" s="90"/>
      <c r="R59" s="90"/>
      <c r="S59" s="90"/>
      <c r="T59" s="90"/>
      <c r="U59" s="90"/>
      <c r="V59" s="90"/>
      <c r="W59" s="90"/>
      <c r="X59" s="90">
        <v>1.3</v>
      </c>
      <c r="Y59" s="89"/>
      <c r="Z59" s="89">
        <v>1878</v>
      </c>
      <c r="AA59" s="89"/>
      <c r="AB59" s="89"/>
      <c r="AC59" s="92"/>
    </row>
    <row r="60" spans="2:29">
      <c r="B60" s="1">
        <v>56</v>
      </c>
      <c r="C60" s="1" t="s">
        <v>1344</v>
      </c>
      <c r="D60" s="1" t="s">
        <v>1261</v>
      </c>
      <c r="E60" s="1" t="s">
        <v>1159</v>
      </c>
      <c r="F60" s="1" t="s">
        <v>1179</v>
      </c>
      <c r="G60" s="37">
        <v>900</v>
      </c>
      <c r="H60" s="85">
        <v>1000</v>
      </c>
      <c r="I60" s="85">
        <v>0.9</v>
      </c>
      <c r="J60" s="86"/>
      <c r="K60" s="37">
        <v>850</v>
      </c>
      <c r="L60" s="37">
        <v>155</v>
      </c>
      <c r="M60" s="85"/>
      <c r="N60" s="85"/>
      <c r="O60" s="85"/>
      <c r="P60" s="85"/>
      <c r="Q60" s="85"/>
      <c r="R60" s="85"/>
      <c r="S60" s="85"/>
      <c r="T60" s="85"/>
      <c r="U60" s="85"/>
      <c r="V60" s="85"/>
      <c r="W60" s="85"/>
      <c r="X60" s="85">
        <v>1.33</v>
      </c>
      <c r="Y60" s="37"/>
      <c r="Z60" s="37">
        <v>3232</v>
      </c>
      <c r="AA60" s="37"/>
      <c r="AB60" s="37"/>
      <c r="AC60" s="87"/>
    </row>
    <row r="61" spans="2:29">
      <c r="B61" s="88">
        <v>57</v>
      </c>
      <c r="C61" s="88"/>
      <c r="D61" s="88"/>
      <c r="E61" s="88" t="s">
        <v>1160</v>
      </c>
      <c r="F61" s="88" t="s">
        <v>1164</v>
      </c>
      <c r="G61" s="89">
        <v>280</v>
      </c>
      <c r="H61" s="90"/>
      <c r="I61" s="90"/>
      <c r="J61" s="90"/>
      <c r="K61" s="89">
        <v>200</v>
      </c>
      <c r="L61" s="89">
        <v>250</v>
      </c>
      <c r="M61" s="90"/>
      <c r="N61" s="90"/>
      <c r="O61" s="90"/>
      <c r="P61" s="90"/>
      <c r="Q61" s="90"/>
      <c r="R61" s="90"/>
      <c r="S61" s="90"/>
      <c r="T61" s="90"/>
      <c r="U61" s="90"/>
      <c r="V61" s="90"/>
      <c r="W61" s="90"/>
      <c r="X61" s="90">
        <v>1.3</v>
      </c>
      <c r="Y61" s="89"/>
      <c r="Z61" s="89"/>
      <c r="AA61" s="89">
        <v>69</v>
      </c>
      <c r="AB61" s="89"/>
      <c r="AC61" s="92"/>
    </row>
    <row r="62" spans="2:29">
      <c r="B62" s="1">
        <v>58</v>
      </c>
      <c r="E62" s="1" t="s">
        <v>1160</v>
      </c>
      <c r="F62" s="1" t="s">
        <v>1164</v>
      </c>
      <c r="G62" s="37">
        <v>430</v>
      </c>
      <c r="H62" s="85"/>
      <c r="I62" s="85"/>
      <c r="J62" s="85"/>
      <c r="K62" s="37">
        <v>350</v>
      </c>
      <c r="L62" s="37">
        <v>70</v>
      </c>
      <c r="M62" s="85"/>
      <c r="N62" s="85"/>
      <c r="O62" s="85"/>
      <c r="P62" s="85"/>
      <c r="Q62" s="85"/>
      <c r="R62" s="85"/>
      <c r="S62" s="85"/>
      <c r="T62" s="85"/>
      <c r="U62" s="85"/>
      <c r="V62" s="85"/>
      <c r="W62" s="85"/>
      <c r="X62" s="85">
        <v>1.3</v>
      </c>
      <c r="Y62" s="37"/>
      <c r="Z62" s="37"/>
      <c r="AA62" s="37">
        <v>41</v>
      </c>
      <c r="AB62" s="37"/>
      <c r="AC62" s="87"/>
    </row>
    <row r="63" spans="2:29">
      <c r="B63" s="88">
        <v>59</v>
      </c>
      <c r="C63" s="88"/>
      <c r="D63" s="88"/>
      <c r="E63" s="88" t="s">
        <v>1160</v>
      </c>
      <c r="F63" s="88" t="s">
        <v>1164</v>
      </c>
      <c r="G63" s="89">
        <v>430</v>
      </c>
      <c r="H63" s="90"/>
      <c r="I63" s="90"/>
      <c r="J63" s="90"/>
      <c r="K63" s="89">
        <v>350</v>
      </c>
      <c r="L63" s="89">
        <v>110</v>
      </c>
      <c r="M63" s="90"/>
      <c r="N63" s="90"/>
      <c r="O63" s="90"/>
      <c r="P63" s="90"/>
      <c r="Q63" s="90"/>
      <c r="R63" s="90"/>
      <c r="S63" s="90"/>
      <c r="T63" s="90"/>
      <c r="U63" s="90"/>
      <c r="V63" s="90"/>
      <c r="W63" s="90"/>
      <c r="X63" s="90">
        <v>1.3</v>
      </c>
      <c r="Y63" s="89"/>
      <c r="Z63" s="89"/>
      <c r="AA63" s="89">
        <v>53</v>
      </c>
      <c r="AB63" s="89"/>
      <c r="AC63" s="92"/>
    </row>
    <row r="64" spans="2:29" ht="14.25" customHeight="1">
      <c r="B64" s="1">
        <v>60</v>
      </c>
      <c r="E64" s="1" t="s">
        <v>1160</v>
      </c>
      <c r="F64" s="1" t="s">
        <v>1164</v>
      </c>
      <c r="G64" s="37">
        <v>430</v>
      </c>
      <c r="H64" s="85"/>
      <c r="I64" s="85"/>
      <c r="J64" s="85"/>
      <c r="K64" s="37">
        <v>350</v>
      </c>
      <c r="L64" s="37">
        <v>160</v>
      </c>
      <c r="M64" s="85"/>
      <c r="N64" s="85"/>
      <c r="O64" s="85"/>
      <c r="P64" s="85"/>
      <c r="Q64" s="85"/>
      <c r="R64" s="85"/>
      <c r="S64" s="85"/>
      <c r="T64" s="85"/>
      <c r="U64" s="85"/>
      <c r="V64" s="85"/>
      <c r="W64" s="85"/>
      <c r="X64" s="85">
        <v>1.3</v>
      </c>
      <c r="Y64" s="37"/>
      <c r="Z64" s="37"/>
      <c r="AA64" s="37">
        <v>70</v>
      </c>
      <c r="AB64" s="37"/>
      <c r="AC64" s="87"/>
    </row>
    <row r="65" spans="2:29">
      <c r="B65" s="88">
        <v>61</v>
      </c>
      <c r="C65" s="88"/>
      <c r="D65" s="88"/>
      <c r="E65" s="88" t="s">
        <v>1160</v>
      </c>
      <c r="F65" s="88" t="s">
        <v>1164</v>
      </c>
      <c r="G65" s="89">
        <v>430</v>
      </c>
      <c r="H65" s="90"/>
      <c r="I65" s="90"/>
      <c r="J65" s="90"/>
      <c r="K65" s="89">
        <v>350</v>
      </c>
      <c r="L65" s="89">
        <v>220</v>
      </c>
      <c r="M65" s="90"/>
      <c r="N65" s="90"/>
      <c r="O65" s="90"/>
      <c r="P65" s="90"/>
      <c r="Q65" s="90"/>
      <c r="R65" s="90"/>
      <c r="S65" s="90"/>
      <c r="T65" s="90"/>
      <c r="U65" s="90"/>
      <c r="V65" s="90"/>
      <c r="W65" s="90"/>
      <c r="X65" s="90">
        <v>1.3</v>
      </c>
      <c r="Y65" s="89"/>
      <c r="Z65" s="89"/>
      <c r="AA65" s="89">
        <v>92</v>
      </c>
      <c r="AB65" s="89"/>
      <c r="AC65" s="92"/>
    </row>
    <row r="66" spans="2:29" ht="14.25" customHeight="1">
      <c r="B66" s="1">
        <v>62</v>
      </c>
      <c r="E66" s="1" t="s">
        <v>1160</v>
      </c>
      <c r="F66" s="1" t="s">
        <v>1164</v>
      </c>
      <c r="G66" s="37">
        <v>580</v>
      </c>
      <c r="H66" s="85"/>
      <c r="I66" s="85"/>
      <c r="J66" s="85"/>
      <c r="K66" s="37">
        <v>500</v>
      </c>
      <c r="L66" s="37">
        <v>70</v>
      </c>
      <c r="M66" s="85"/>
      <c r="N66" s="85"/>
      <c r="O66" s="85"/>
      <c r="P66" s="85"/>
      <c r="Q66" s="85"/>
      <c r="R66" s="85"/>
      <c r="S66" s="85"/>
      <c r="T66" s="85"/>
      <c r="U66" s="85"/>
      <c r="V66" s="85"/>
      <c r="W66" s="85"/>
      <c r="X66" s="85">
        <v>1.3</v>
      </c>
      <c r="Y66" s="37"/>
      <c r="Z66" s="37"/>
      <c r="AA66" s="37">
        <v>51</v>
      </c>
      <c r="AB66" s="37"/>
      <c r="AC66" s="87"/>
    </row>
    <row r="67" spans="2:29">
      <c r="B67" s="88">
        <v>63</v>
      </c>
      <c r="C67" s="88"/>
      <c r="D67" s="88"/>
      <c r="E67" s="88" t="s">
        <v>1160</v>
      </c>
      <c r="F67" s="88" t="s">
        <v>1164</v>
      </c>
      <c r="G67" s="89">
        <v>580</v>
      </c>
      <c r="H67" s="90"/>
      <c r="I67" s="90"/>
      <c r="J67" s="90"/>
      <c r="K67" s="89">
        <v>500</v>
      </c>
      <c r="L67" s="89">
        <v>110</v>
      </c>
      <c r="M67" s="90"/>
      <c r="N67" s="90"/>
      <c r="O67" s="90"/>
      <c r="P67" s="90"/>
      <c r="Q67" s="90"/>
      <c r="R67" s="90"/>
      <c r="S67" s="90"/>
      <c r="T67" s="90"/>
      <c r="U67" s="90"/>
      <c r="V67" s="90"/>
      <c r="W67" s="90"/>
      <c r="X67" s="90">
        <v>1.3</v>
      </c>
      <c r="Y67" s="89"/>
      <c r="Z67" s="89"/>
      <c r="AA67" s="89">
        <v>69</v>
      </c>
      <c r="AB67" s="89"/>
      <c r="AC67" s="92"/>
    </row>
    <row r="68" spans="2:29" ht="14.25" customHeight="1">
      <c r="B68" s="1">
        <v>64</v>
      </c>
      <c r="E68" s="1" t="s">
        <v>1160</v>
      </c>
      <c r="F68" s="1" t="s">
        <v>1164</v>
      </c>
      <c r="G68" s="37">
        <v>580</v>
      </c>
      <c r="H68" s="85"/>
      <c r="I68" s="85"/>
      <c r="J68" s="85"/>
      <c r="K68" s="37">
        <v>500</v>
      </c>
      <c r="L68" s="37">
        <v>160</v>
      </c>
      <c r="M68" s="85"/>
      <c r="N68" s="85"/>
      <c r="O68" s="85"/>
      <c r="P68" s="85"/>
      <c r="Q68" s="85"/>
      <c r="R68" s="85"/>
      <c r="S68" s="85"/>
      <c r="T68" s="85"/>
      <c r="U68" s="85"/>
      <c r="V68" s="85"/>
      <c r="W68" s="85"/>
      <c r="X68" s="85">
        <v>1.3</v>
      </c>
      <c r="Y68" s="37"/>
      <c r="Z68" s="37"/>
      <c r="AA68" s="37">
        <v>95</v>
      </c>
      <c r="AB68" s="37"/>
      <c r="AC68" s="87"/>
    </row>
    <row r="69" spans="2:29" ht="14.25" customHeight="1">
      <c r="B69" s="88">
        <v>65</v>
      </c>
      <c r="C69" s="88"/>
      <c r="D69" s="88"/>
      <c r="E69" s="88" t="s">
        <v>1160</v>
      </c>
      <c r="F69" s="88" t="s">
        <v>1164</v>
      </c>
      <c r="G69" s="89">
        <v>580</v>
      </c>
      <c r="H69" s="90"/>
      <c r="I69" s="90"/>
      <c r="J69" s="90"/>
      <c r="K69" s="89">
        <v>500</v>
      </c>
      <c r="L69" s="89">
        <v>220</v>
      </c>
      <c r="M69" s="90"/>
      <c r="N69" s="90"/>
      <c r="O69" s="90"/>
      <c r="P69" s="90"/>
      <c r="Q69" s="90"/>
      <c r="R69" s="90"/>
      <c r="S69" s="90"/>
      <c r="T69" s="90"/>
      <c r="U69" s="90"/>
      <c r="V69" s="90"/>
      <c r="W69" s="90"/>
      <c r="X69" s="90">
        <v>1.3</v>
      </c>
      <c r="Y69" s="89"/>
      <c r="Z69" s="89"/>
      <c r="AA69" s="89">
        <v>122</v>
      </c>
      <c r="AB69" s="89"/>
      <c r="AC69" s="92"/>
    </row>
    <row r="70" spans="2:29" ht="14.25" customHeight="1">
      <c r="B70" s="1">
        <v>66</v>
      </c>
      <c r="E70" s="1" t="s">
        <v>1160</v>
      </c>
      <c r="F70" s="1" t="s">
        <v>1164</v>
      </c>
      <c r="G70" s="37">
        <v>680</v>
      </c>
      <c r="H70" s="85"/>
      <c r="I70" s="85"/>
      <c r="J70" s="85"/>
      <c r="K70" s="37">
        <v>600</v>
      </c>
      <c r="L70" s="37">
        <v>160</v>
      </c>
      <c r="M70" s="85"/>
      <c r="N70" s="85"/>
      <c r="O70" s="85"/>
      <c r="P70" s="85"/>
      <c r="Q70" s="85"/>
      <c r="R70" s="85"/>
      <c r="S70" s="85"/>
      <c r="T70" s="85"/>
      <c r="U70" s="85"/>
      <c r="V70" s="85"/>
      <c r="W70" s="85"/>
      <c r="X70" s="85">
        <v>1.3</v>
      </c>
      <c r="Y70" s="37"/>
      <c r="Z70" s="37"/>
      <c r="AA70" s="37">
        <v>111</v>
      </c>
      <c r="AB70" s="37"/>
      <c r="AC70" s="87"/>
    </row>
    <row r="71" spans="2:29">
      <c r="B71" s="88">
        <v>67</v>
      </c>
      <c r="C71" s="88"/>
      <c r="D71" s="88"/>
      <c r="E71" s="88" t="s">
        <v>1160</v>
      </c>
      <c r="F71" s="88" t="s">
        <v>1164</v>
      </c>
      <c r="G71" s="89">
        <v>980</v>
      </c>
      <c r="H71" s="90"/>
      <c r="I71" s="90"/>
      <c r="J71" s="90"/>
      <c r="K71" s="89">
        <v>900</v>
      </c>
      <c r="L71" s="89">
        <v>70</v>
      </c>
      <c r="M71" s="90"/>
      <c r="N71" s="90"/>
      <c r="O71" s="90"/>
      <c r="P71" s="90"/>
      <c r="Q71" s="90"/>
      <c r="R71" s="90"/>
      <c r="S71" s="90"/>
      <c r="T71" s="90"/>
      <c r="U71" s="90"/>
      <c r="V71" s="90"/>
      <c r="W71" s="90"/>
      <c r="X71" s="90">
        <v>1.3</v>
      </c>
      <c r="Y71" s="89"/>
      <c r="Z71" s="89"/>
      <c r="AA71" s="89">
        <v>84</v>
      </c>
      <c r="AB71" s="89"/>
      <c r="AC71" s="92"/>
    </row>
    <row r="72" spans="2:29" ht="14.25" customHeight="1">
      <c r="B72" s="1">
        <v>68</v>
      </c>
      <c r="E72" s="1" t="s">
        <v>1160</v>
      </c>
      <c r="F72" s="1" t="s">
        <v>1164</v>
      </c>
      <c r="G72" s="37">
        <v>980</v>
      </c>
      <c r="H72" s="85"/>
      <c r="I72" s="85"/>
      <c r="J72" s="85"/>
      <c r="K72" s="37">
        <v>900</v>
      </c>
      <c r="L72" s="37">
        <v>160</v>
      </c>
      <c r="M72" s="85"/>
      <c r="N72" s="85"/>
      <c r="O72" s="85"/>
      <c r="P72" s="85"/>
      <c r="Q72" s="85"/>
      <c r="R72" s="85"/>
      <c r="S72" s="85"/>
      <c r="T72" s="85"/>
      <c r="U72" s="85"/>
      <c r="V72" s="85"/>
      <c r="W72" s="85"/>
      <c r="X72" s="85">
        <v>1.3</v>
      </c>
      <c r="Y72" s="37"/>
      <c r="Z72" s="37"/>
      <c r="AA72" s="37">
        <v>154</v>
      </c>
      <c r="AB72" s="37"/>
      <c r="AC72" s="87"/>
    </row>
    <row r="73" spans="2:29" ht="14.25" customHeight="1">
      <c r="B73" s="88">
        <v>69</v>
      </c>
      <c r="C73" s="88"/>
      <c r="D73" s="88"/>
      <c r="E73" s="88" t="s">
        <v>1160</v>
      </c>
      <c r="F73" s="88" t="s">
        <v>1164</v>
      </c>
      <c r="G73" s="89">
        <v>980</v>
      </c>
      <c r="H73" s="90"/>
      <c r="I73" s="90"/>
      <c r="J73" s="90"/>
      <c r="K73" s="89">
        <v>900</v>
      </c>
      <c r="L73" s="89">
        <v>220</v>
      </c>
      <c r="M73" s="90"/>
      <c r="N73" s="90"/>
      <c r="O73" s="90"/>
      <c r="P73" s="90"/>
      <c r="Q73" s="90"/>
      <c r="R73" s="90"/>
      <c r="S73" s="90"/>
      <c r="T73" s="90"/>
      <c r="U73" s="90"/>
      <c r="V73" s="90"/>
      <c r="W73" s="90"/>
      <c r="X73" s="90">
        <v>1.3</v>
      </c>
      <c r="Y73" s="89"/>
      <c r="Z73" s="89"/>
      <c r="AA73" s="89">
        <v>196</v>
      </c>
      <c r="AB73" s="89"/>
      <c r="AC73" s="92"/>
    </row>
    <row r="74" spans="2:29" ht="14.25" customHeight="1">
      <c r="B74" s="1">
        <v>70</v>
      </c>
      <c r="E74" s="1" t="s">
        <v>1160</v>
      </c>
      <c r="F74" s="1" t="s">
        <v>1170</v>
      </c>
      <c r="G74" s="37">
        <v>300</v>
      </c>
      <c r="H74" s="85"/>
      <c r="I74" s="85"/>
      <c r="J74" s="85"/>
      <c r="K74" s="37">
        <v>200</v>
      </c>
      <c r="L74" s="37">
        <v>160</v>
      </c>
      <c r="M74" s="85"/>
      <c r="N74" s="85"/>
      <c r="O74" s="85"/>
      <c r="P74" s="85"/>
      <c r="Q74" s="85"/>
      <c r="R74" s="85"/>
      <c r="S74" s="85"/>
      <c r="T74" s="85"/>
      <c r="U74" s="85"/>
      <c r="V74" s="85"/>
      <c r="W74" s="85"/>
      <c r="X74" s="85">
        <v>1.3</v>
      </c>
      <c r="Y74" s="37"/>
      <c r="Z74" s="37"/>
      <c r="AA74" s="37">
        <v>38</v>
      </c>
      <c r="AB74" s="37"/>
      <c r="AC74" s="87"/>
    </row>
    <row r="75" spans="2:29">
      <c r="B75" s="88">
        <v>71</v>
      </c>
      <c r="C75" s="88"/>
      <c r="D75" s="88"/>
      <c r="E75" s="88" t="s">
        <v>1160</v>
      </c>
      <c r="F75" s="88" t="s">
        <v>1170</v>
      </c>
      <c r="G75" s="89">
        <v>300</v>
      </c>
      <c r="H75" s="90"/>
      <c r="I75" s="90"/>
      <c r="J75" s="90"/>
      <c r="K75" s="89">
        <v>200</v>
      </c>
      <c r="L75" s="89">
        <v>250</v>
      </c>
      <c r="M75" s="90"/>
      <c r="N75" s="90"/>
      <c r="O75" s="90"/>
      <c r="P75" s="90"/>
      <c r="Q75" s="90"/>
      <c r="R75" s="90"/>
      <c r="S75" s="90"/>
      <c r="T75" s="90"/>
      <c r="U75" s="90"/>
      <c r="V75" s="90"/>
      <c r="W75" s="90"/>
      <c r="X75" s="90">
        <v>1.3</v>
      </c>
      <c r="Y75" s="89"/>
      <c r="Z75" s="89"/>
      <c r="AA75" s="89">
        <v>58</v>
      </c>
      <c r="AB75" s="89"/>
      <c r="AC75" s="92"/>
    </row>
    <row r="76" spans="2:29" ht="18.75" customHeight="1">
      <c r="B76" s="1">
        <v>72</v>
      </c>
      <c r="E76" s="1" t="s">
        <v>1160</v>
      </c>
      <c r="F76" s="1" t="s">
        <v>1170</v>
      </c>
      <c r="G76" s="37">
        <v>450</v>
      </c>
      <c r="H76" s="85"/>
      <c r="I76" s="85"/>
      <c r="J76" s="85"/>
      <c r="K76" s="37">
        <v>350</v>
      </c>
      <c r="L76" s="37">
        <v>110</v>
      </c>
      <c r="M76" s="85"/>
      <c r="N76" s="85"/>
      <c r="O76" s="85"/>
      <c r="P76" s="85"/>
      <c r="Q76" s="85"/>
      <c r="R76" s="85"/>
      <c r="S76" s="85"/>
      <c r="T76" s="85"/>
      <c r="U76" s="85"/>
      <c r="V76" s="85"/>
      <c r="W76" s="85"/>
      <c r="X76" s="85">
        <v>1.3</v>
      </c>
      <c r="Y76" s="37"/>
      <c r="Z76" s="37"/>
      <c r="AA76" s="37">
        <v>42</v>
      </c>
      <c r="AB76" s="37"/>
      <c r="AC76" s="87"/>
    </row>
    <row r="77" spans="2:29" ht="14.25" customHeight="1">
      <c r="B77" s="88">
        <v>73</v>
      </c>
      <c r="C77" s="88"/>
      <c r="D77" s="88"/>
      <c r="E77" s="88" t="s">
        <v>1160</v>
      </c>
      <c r="F77" s="88" t="s">
        <v>1170</v>
      </c>
      <c r="G77" s="89">
        <v>450</v>
      </c>
      <c r="H77" s="90"/>
      <c r="I77" s="90"/>
      <c r="J77" s="90"/>
      <c r="K77" s="89">
        <v>350</v>
      </c>
      <c r="L77" s="89">
        <v>160</v>
      </c>
      <c r="M77" s="90"/>
      <c r="N77" s="90"/>
      <c r="O77" s="90"/>
      <c r="P77" s="90"/>
      <c r="Q77" s="90"/>
      <c r="R77" s="90"/>
      <c r="S77" s="90"/>
      <c r="T77" s="90"/>
      <c r="U77" s="90"/>
      <c r="V77" s="90"/>
      <c r="W77" s="90"/>
      <c r="X77" s="90">
        <v>1.3</v>
      </c>
      <c r="Y77" s="89"/>
      <c r="Z77" s="89"/>
      <c r="AA77" s="89">
        <v>56</v>
      </c>
      <c r="AB77" s="89"/>
      <c r="AC77" s="92"/>
    </row>
    <row r="78" spans="2:29">
      <c r="B78" s="1">
        <v>74</v>
      </c>
      <c r="E78" s="1" t="s">
        <v>1160</v>
      </c>
      <c r="F78" s="1" t="s">
        <v>1170</v>
      </c>
      <c r="G78" s="37">
        <v>450</v>
      </c>
      <c r="H78" s="85"/>
      <c r="I78" s="85"/>
      <c r="J78" s="85"/>
      <c r="K78" s="37">
        <v>350</v>
      </c>
      <c r="L78" s="37">
        <v>250</v>
      </c>
      <c r="M78" s="85"/>
      <c r="N78" s="85"/>
      <c r="O78" s="85"/>
      <c r="P78" s="85"/>
      <c r="Q78" s="85"/>
      <c r="R78" s="85"/>
      <c r="S78" s="85"/>
      <c r="T78" s="85"/>
      <c r="U78" s="85"/>
      <c r="V78" s="85"/>
      <c r="W78" s="85"/>
      <c r="X78" s="85">
        <v>1.3</v>
      </c>
      <c r="Y78" s="37"/>
      <c r="Z78" s="37"/>
      <c r="AA78" s="37">
        <v>75</v>
      </c>
      <c r="AB78" s="37"/>
      <c r="AC78" s="87"/>
    </row>
    <row r="79" spans="2:29" ht="14.25" customHeight="1">
      <c r="B79" s="88">
        <v>75</v>
      </c>
      <c r="C79" s="88"/>
      <c r="D79" s="88"/>
      <c r="E79" s="88" t="s">
        <v>1160</v>
      </c>
      <c r="F79" s="88" t="s">
        <v>1170</v>
      </c>
      <c r="G79" s="89">
        <v>600</v>
      </c>
      <c r="H79" s="90"/>
      <c r="I79" s="90"/>
      <c r="J79" s="90"/>
      <c r="K79" s="89">
        <v>500</v>
      </c>
      <c r="L79" s="89">
        <v>110</v>
      </c>
      <c r="M79" s="90"/>
      <c r="N79" s="90"/>
      <c r="O79" s="90"/>
      <c r="P79" s="90"/>
      <c r="Q79" s="90"/>
      <c r="R79" s="90"/>
      <c r="S79" s="90"/>
      <c r="T79" s="90"/>
      <c r="U79" s="90"/>
      <c r="V79" s="90"/>
      <c r="W79" s="90"/>
      <c r="X79" s="90">
        <v>1.3</v>
      </c>
      <c r="Y79" s="89"/>
      <c r="Z79" s="89"/>
      <c r="AA79" s="89">
        <v>55</v>
      </c>
      <c r="AB79" s="89"/>
      <c r="AC79" s="92"/>
    </row>
    <row r="80" spans="2:29">
      <c r="B80" s="1">
        <v>76</v>
      </c>
      <c r="E80" s="1" t="s">
        <v>1160</v>
      </c>
      <c r="F80" s="1" t="s">
        <v>1170</v>
      </c>
      <c r="G80" s="37">
        <v>600</v>
      </c>
      <c r="H80" s="85"/>
      <c r="I80" s="85"/>
      <c r="J80" s="85"/>
      <c r="K80" s="37">
        <v>500</v>
      </c>
      <c r="L80" s="37">
        <v>160</v>
      </c>
      <c r="M80" s="85"/>
      <c r="N80" s="85"/>
      <c r="O80" s="85"/>
      <c r="P80" s="85"/>
      <c r="Q80" s="85"/>
      <c r="R80" s="85"/>
      <c r="S80" s="85"/>
      <c r="T80" s="85"/>
      <c r="U80" s="85"/>
      <c r="V80" s="85"/>
      <c r="W80" s="85"/>
      <c r="X80" s="85">
        <v>1.3</v>
      </c>
      <c r="Y80" s="37"/>
      <c r="Z80" s="37"/>
      <c r="AA80" s="37">
        <v>75</v>
      </c>
      <c r="AB80" s="37"/>
      <c r="AC80" s="87"/>
    </row>
    <row r="81" spans="2:29">
      <c r="B81" s="88">
        <v>77</v>
      </c>
      <c r="C81" s="88"/>
      <c r="D81" s="88"/>
      <c r="E81" s="88" t="s">
        <v>1160</v>
      </c>
      <c r="F81" s="88" t="s">
        <v>1170</v>
      </c>
      <c r="G81" s="89">
        <v>600</v>
      </c>
      <c r="H81" s="90"/>
      <c r="I81" s="90"/>
      <c r="J81" s="90"/>
      <c r="K81" s="89">
        <v>500</v>
      </c>
      <c r="L81" s="89">
        <v>250</v>
      </c>
      <c r="M81" s="90"/>
      <c r="N81" s="90"/>
      <c r="O81" s="90"/>
      <c r="P81" s="90"/>
      <c r="Q81" s="90"/>
      <c r="R81" s="90"/>
      <c r="S81" s="90"/>
      <c r="T81" s="90"/>
      <c r="U81" s="90"/>
      <c r="V81" s="90"/>
      <c r="W81" s="90"/>
      <c r="X81" s="90">
        <v>1.3</v>
      </c>
      <c r="Y81" s="89"/>
      <c r="Z81" s="89"/>
      <c r="AA81" s="89">
        <v>96</v>
      </c>
      <c r="AB81" s="89"/>
      <c r="AC81" s="92"/>
    </row>
    <row r="82" spans="2:29" ht="14.25" customHeight="1">
      <c r="B82" s="1">
        <v>78</v>
      </c>
      <c r="E82" s="1" t="s">
        <v>1160</v>
      </c>
      <c r="F82" s="1" t="s">
        <v>1170</v>
      </c>
      <c r="G82" s="37">
        <v>1000</v>
      </c>
      <c r="H82" s="85"/>
      <c r="I82" s="85"/>
      <c r="J82" s="85"/>
      <c r="K82" s="37">
        <v>900</v>
      </c>
      <c r="L82" s="37">
        <v>110</v>
      </c>
      <c r="M82" s="85"/>
      <c r="N82" s="85"/>
      <c r="O82" s="85"/>
      <c r="P82" s="85"/>
      <c r="Q82" s="85"/>
      <c r="R82" s="85"/>
      <c r="S82" s="85"/>
      <c r="T82" s="85"/>
      <c r="U82" s="85"/>
      <c r="V82" s="85"/>
      <c r="W82" s="85"/>
      <c r="X82" s="85">
        <v>1.3</v>
      </c>
      <c r="Y82" s="37"/>
      <c r="Z82" s="37"/>
      <c r="AA82" s="37">
        <v>92</v>
      </c>
      <c r="AB82" s="37"/>
      <c r="AC82" s="87"/>
    </row>
    <row r="83" spans="2:29" ht="14.25" customHeight="1">
      <c r="B83" s="88">
        <v>79</v>
      </c>
      <c r="C83" s="88"/>
      <c r="D83" s="88"/>
      <c r="E83" s="88" t="s">
        <v>1160</v>
      </c>
      <c r="F83" s="88" t="s">
        <v>1170</v>
      </c>
      <c r="G83" s="89">
        <v>1000</v>
      </c>
      <c r="H83" s="90"/>
      <c r="I83" s="90"/>
      <c r="J83" s="90"/>
      <c r="K83" s="89">
        <v>900</v>
      </c>
      <c r="L83" s="89">
        <v>160</v>
      </c>
      <c r="M83" s="90"/>
      <c r="N83" s="90"/>
      <c r="O83" s="90"/>
      <c r="P83" s="90"/>
      <c r="Q83" s="90"/>
      <c r="R83" s="90"/>
      <c r="S83" s="90"/>
      <c r="T83" s="90"/>
      <c r="U83" s="90"/>
      <c r="V83" s="90"/>
      <c r="W83" s="90"/>
      <c r="X83" s="90">
        <v>1.3</v>
      </c>
      <c r="Y83" s="89"/>
      <c r="Z83" s="89"/>
      <c r="AA83" s="89">
        <v>118</v>
      </c>
      <c r="AB83" s="89"/>
      <c r="AC83" s="92"/>
    </row>
    <row r="84" spans="2:29">
      <c r="B84" s="1">
        <v>80</v>
      </c>
      <c r="E84" s="1" t="s">
        <v>1160</v>
      </c>
      <c r="F84" s="1" t="s">
        <v>1170</v>
      </c>
      <c r="G84" s="37">
        <v>1000</v>
      </c>
      <c r="H84" s="85"/>
      <c r="I84" s="85"/>
      <c r="J84" s="85"/>
      <c r="K84" s="37">
        <v>900</v>
      </c>
      <c r="L84" s="37">
        <v>250</v>
      </c>
      <c r="M84" s="85"/>
      <c r="N84" s="85"/>
      <c r="O84" s="85"/>
      <c r="P84" s="85"/>
      <c r="Q84" s="85"/>
      <c r="R84" s="85"/>
      <c r="S84" s="85"/>
      <c r="T84" s="85"/>
      <c r="U84" s="85"/>
      <c r="V84" s="85"/>
      <c r="W84" s="85"/>
      <c r="X84" s="85">
        <v>1.3</v>
      </c>
      <c r="Y84" s="37"/>
      <c r="Z84" s="37"/>
      <c r="AA84" s="37">
        <v>154</v>
      </c>
      <c r="AB84" s="37"/>
      <c r="AC84" s="87"/>
    </row>
    <row r="85" spans="2:29" ht="14.25" customHeight="1">
      <c r="B85" s="88">
        <v>81</v>
      </c>
      <c r="C85" s="88"/>
      <c r="D85" s="88"/>
      <c r="E85" s="88" t="s">
        <v>1161</v>
      </c>
      <c r="F85" s="88" t="s">
        <v>1165</v>
      </c>
      <c r="G85" s="89">
        <v>190</v>
      </c>
      <c r="H85" s="90"/>
      <c r="I85" s="90"/>
      <c r="J85" s="90"/>
      <c r="K85" s="89">
        <v>120</v>
      </c>
      <c r="L85" s="89">
        <v>65</v>
      </c>
      <c r="M85" s="90">
        <v>2</v>
      </c>
      <c r="N85" s="90"/>
      <c r="O85" s="90"/>
      <c r="P85" s="90"/>
      <c r="Q85" s="90"/>
      <c r="R85" s="90"/>
      <c r="S85" s="90"/>
      <c r="T85" s="90"/>
      <c r="U85" s="90"/>
      <c r="V85" s="90"/>
      <c r="W85" s="90"/>
      <c r="X85" s="90">
        <v>1.3</v>
      </c>
      <c r="Y85" s="89"/>
      <c r="Z85" s="89"/>
      <c r="AA85" s="89">
        <v>14</v>
      </c>
      <c r="AB85" s="89"/>
      <c r="AC85" s="92"/>
    </row>
    <row r="86" spans="2:29" ht="14.25" customHeight="1">
      <c r="B86" s="1">
        <v>82</v>
      </c>
      <c r="E86" s="1" t="s">
        <v>1161</v>
      </c>
      <c r="F86" s="1" t="s">
        <v>1165</v>
      </c>
      <c r="G86" s="37">
        <v>190</v>
      </c>
      <c r="H86" s="85"/>
      <c r="I86" s="85"/>
      <c r="J86" s="85"/>
      <c r="K86" s="37">
        <v>120</v>
      </c>
      <c r="L86" s="37">
        <v>105</v>
      </c>
      <c r="M86" s="85">
        <v>3</v>
      </c>
      <c r="N86" s="85"/>
      <c r="O86" s="85"/>
      <c r="P86" s="85"/>
      <c r="Q86" s="85"/>
      <c r="R86" s="85"/>
      <c r="S86" s="85"/>
      <c r="T86" s="85"/>
      <c r="U86" s="85"/>
      <c r="V86" s="85"/>
      <c r="W86" s="85"/>
      <c r="X86" s="85">
        <v>1.3</v>
      </c>
      <c r="Y86" s="37"/>
      <c r="Z86" s="37"/>
      <c r="AA86" s="37">
        <v>20</v>
      </c>
      <c r="AB86" s="37"/>
      <c r="AC86" s="87"/>
    </row>
    <row r="87" spans="2:29">
      <c r="B87" s="88">
        <v>83</v>
      </c>
      <c r="C87" s="88"/>
      <c r="D87" s="88"/>
      <c r="E87" s="88" t="s">
        <v>1161</v>
      </c>
      <c r="F87" s="88" t="s">
        <v>1165</v>
      </c>
      <c r="G87" s="89">
        <v>190</v>
      </c>
      <c r="H87" s="90"/>
      <c r="I87" s="90"/>
      <c r="J87" s="90"/>
      <c r="K87" s="89">
        <v>120</v>
      </c>
      <c r="L87" s="89">
        <v>145</v>
      </c>
      <c r="M87" s="90">
        <v>4</v>
      </c>
      <c r="N87" s="90"/>
      <c r="O87" s="90"/>
      <c r="P87" s="90"/>
      <c r="Q87" s="90"/>
      <c r="R87" s="90"/>
      <c r="S87" s="90"/>
      <c r="T87" s="90"/>
      <c r="U87" s="90"/>
      <c r="V87" s="90"/>
      <c r="W87" s="90"/>
      <c r="X87" s="90">
        <v>1.3</v>
      </c>
      <c r="Y87" s="89"/>
      <c r="Z87" s="89"/>
      <c r="AA87" s="89">
        <v>26</v>
      </c>
      <c r="AB87" s="89"/>
      <c r="AC87" s="92"/>
    </row>
    <row r="88" spans="2:29" ht="14.25" customHeight="1">
      <c r="B88" s="1">
        <v>84</v>
      </c>
      <c r="E88" s="1" t="s">
        <v>1161</v>
      </c>
      <c r="F88" s="1" t="s">
        <v>1165</v>
      </c>
      <c r="G88" s="37">
        <v>260</v>
      </c>
      <c r="H88" s="85"/>
      <c r="I88" s="85"/>
      <c r="J88" s="85"/>
      <c r="K88" s="37">
        <v>190</v>
      </c>
      <c r="L88" s="37">
        <v>65</v>
      </c>
      <c r="M88" s="85">
        <v>2</v>
      </c>
      <c r="N88" s="85"/>
      <c r="O88" s="85"/>
      <c r="P88" s="85"/>
      <c r="Q88" s="85"/>
      <c r="R88" s="85"/>
      <c r="S88" s="85"/>
      <c r="T88" s="85"/>
      <c r="U88" s="85"/>
      <c r="V88" s="85"/>
      <c r="W88" s="85"/>
      <c r="X88" s="85">
        <v>1.3</v>
      </c>
      <c r="Y88" s="37"/>
      <c r="Z88" s="37"/>
      <c r="AA88" s="37">
        <v>19</v>
      </c>
      <c r="AB88" s="37"/>
      <c r="AC88" s="87"/>
    </row>
    <row r="89" spans="2:29">
      <c r="B89" s="88">
        <v>85</v>
      </c>
      <c r="C89" s="88"/>
      <c r="D89" s="88"/>
      <c r="E89" s="88" t="s">
        <v>1161</v>
      </c>
      <c r="F89" s="88" t="s">
        <v>1165</v>
      </c>
      <c r="G89" s="89">
        <v>260</v>
      </c>
      <c r="H89" s="90"/>
      <c r="I89" s="90"/>
      <c r="J89" s="90"/>
      <c r="K89" s="89">
        <v>190</v>
      </c>
      <c r="L89" s="89">
        <v>105</v>
      </c>
      <c r="M89" s="90">
        <v>3</v>
      </c>
      <c r="N89" s="90"/>
      <c r="O89" s="90"/>
      <c r="P89" s="90"/>
      <c r="Q89" s="90"/>
      <c r="R89" s="90"/>
      <c r="S89" s="90"/>
      <c r="T89" s="90"/>
      <c r="U89" s="90"/>
      <c r="V89" s="90"/>
      <c r="W89" s="90"/>
      <c r="X89" s="90">
        <v>1.3</v>
      </c>
      <c r="Y89" s="89"/>
      <c r="Z89" s="89"/>
      <c r="AA89" s="89">
        <v>26</v>
      </c>
      <c r="AB89" s="89"/>
      <c r="AC89" s="92"/>
    </row>
    <row r="90" spans="2:29" ht="14.25" customHeight="1">
      <c r="B90" s="1">
        <v>86</v>
      </c>
      <c r="E90" s="1" t="s">
        <v>1161</v>
      </c>
      <c r="F90" s="1" t="s">
        <v>1165</v>
      </c>
      <c r="G90" s="37">
        <v>260</v>
      </c>
      <c r="H90" s="85"/>
      <c r="I90" s="85"/>
      <c r="J90" s="85"/>
      <c r="K90" s="37">
        <v>190</v>
      </c>
      <c r="L90" s="37">
        <v>145</v>
      </c>
      <c r="M90" s="85">
        <v>4</v>
      </c>
      <c r="N90" s="85"/>
      <c r="O90" s="85"/>
      <c r="P90" s="85"/>
      <c r="Q90" s="85"/>
      <c r="R90" s="85"/>
      <c r="S90" s="85"/>
      <c r="T90" s="85"/>
      <c r="U90" s="85"/>
      <c r="V90" s="85"/>
      <c r="W90" s="85"/>
      <c r="X90" s="85">
        <v>1.3</v>
      </c>
      <c r="Y90" s="37"/>
      <c r="Z90" s="37"/>
      <c r="AA90" s="37">
        <v>33</v>
      </c>
      <c r="AB90" s="37"/>
      <c r="AC90" s="87"/>
    </row>
    <row r="91" spans="2:29" ht="14.25" customHeight="1">
      <c r="B91" s="88">
        <v>87</v>
      </c>
      <c r="C91" s="88"/>
      <c r="D91" s="88"/>
      <c r="E91" s="88" t="s">
        <v>1161</v>
      </c>
      <c r="F91" s="88" t="s">
        <v>1165</v>
      </c>
      <c r="G91" s="89">
        <v>260</v>
      </c>
      <c r="H91" s="90"/>
      <c r="I91" s="90"/>
      <c r="J91" s="90"/>
      <c r="K91" s="89">
        <v>190</v>
      </c>
      <c r="L91" s="89">
        <v>185</v>
      </c>
      <c r="M91" s="90">
        <v>5</v>
      </c>
      <c r="N91" s="90"/>
      <c r="O91" s="90"/>
      <c r="P91" s="90"/>
      <c r="Q91" s="90"/>
      <c r="R91" s="90"/>
      <c r="S91" s="90"/>
      <c r="T91" s="90"/>
      <c r="U91" s="90"/>
      <c r="V91" s="90"/>
      <c r="W91" s="90"/>
      <c r="X91" s="90">
        <v>1.3</v>
      </c>
      <c r="Y91" s="89"/>
      <c r="Z91" s="89"/>
      <c r="AA91" s="89">
        <v>42</v>
      </c>
      <c r="AB91" s="89"/>
      <c r="AC91" s="92"/>
    </row>
    <row r="92" spans="2:29" ht="14.25" customHeight="1">
      <c r="B92" s="1">
        <v>88</v>
      </c>
      <c r="E92" s="1" t="s">
        <v>1161</v>
      </c>
      <c r="F92" s="1" t="s">
        <v>1165</v>
      </c>
      <c r="G92" s="37">
        <v>260</v>
      </c>
      <c r="H92" s="85"/>
      <c r="I92" s="85"/>
      <c r="J92" s="85"/>
      <c r="K92" s="37">
        <v>190</v>
      </c>
      <c r="L92" s="37">
        <v>225</v>
      </c>
      <c r="M92" s="85">
        <v>6</v>
      </c>
      <c r="N92" s="85"/>
      <c r="O92" s="85"/>
      <c r="P92" s="85"/>
      <c r="Q92" s="85"/>
      <c r="R92" s="85"/>
      <c r="S92" s="85"/>
      <c r="T92" s="85"/>
      <c r="U92" s="85"/>
      <c r="V92" s="85"/>
      <c r="W92" s="85"/>
      <c r="X92" s="85">
        <v>1.3</v>
      </c>
      <c r="Y92" s="37"/>
      <c r="Z92" s="37"/>
      <c r="AA92" s="37">
        <v>47</v>
      </c>
      <c r="AB92" s="37"/>
      <c r="AC92" s="87"/>
    </row>
    <row r="93" spans="2:29" ht="14.25" customHeight="1">
      <c r="B93" s="88">
        <v>89</v>
      </c>
      <c r="C93" s="88"/>
      <c r="D93" s="88"/>
      <c r="E93" s="88" t="s">
        <v>1161</v>
      </c>
      <c r="F93" s="88" t="s">
        <v>1165</v>
      </c>
      <c r="G93" s="89">
        <v>300</v>
      </c>
      <c r="H93" s="90"/>
      <c r="I93" s="90"/>
      <c r="J93" s="90"/>
      <c r="K93" s="89">
        <v>230</v>
      </c>
      <c r="L93" s="89">
        <v>65</v>
      </c>
      <c r="M93" s="90">
        <v>2</v>
      </c>
      <c r="N93" s="90"/>
      <c r="O93" s="90"/>
      <c r="P93" s="90"/>
      <c r="Q93" s="90"/>
      <c r="R93" s="90"/>
      <c r="S93" s="90"/>
      <c r="T93" s="90"/>
      <c r="U93" s="90"/>
      <c r="V93" s="90"/>
      <c r="W93" s="90"/>
      <c r="X93" s="90">
        <v>1.3</v>
      </c>
      <c r="Y93" s="89"/>
      <c r="Z93" s="89"/>
      <c r="AA93" s="89">
        <v>22</v>
      </c>
      <c r="AB93" s="89"/>
      <c r="AC93" s="92"/>
    </row>
    <row r="94" spans="2:29">
      <c r="B94" s="1">
        <v>90</v>
      </c>
      <c r="E94" s="1" t="s">
        <v>1161</v>
      </c>
      <c r="F94" s="1" t="s">
        <v>1165</v>
      </c>
      <c r="G94" s="37">
        <v>300</v>
      </c>
      <c r="H94" s="85"/>
      <c r="I94" s="85"/>
      <c r="J94" s="85"/>
      <c r="K94" s="37">
        <v>230</v>
      </c>
      <c r="L94" s="37">
        <v>105</v>
      </c>
      <c r="M94" s="85">
        <v>3</v>
      </c>
      <c r="N94" s="85"/>
      <c r="O94" s="85"/>
      <c r="P94" s="85"/>
      <c r="Q94" s="85"/>
      <c r="R94" s="85"/>
      <c r="S94" s="85"/>
      <c r="T94" s="85"/>
      <c r="U94" s="85"/>
      <c r="V94" s="85"/>
      <c r="W94" s="85"/>
      <c r="X94" s="85">
        <v>1.3</v>
      </c>
      <c r="Y94" s="37"/>
      <c r="Z94" s="37"/>
      <c r="AA94" s="37">
        <v>31</v>
      </c>
      <c r="AB94" s="37"/>
      <c r="AC94" s="87"/>
    </row>
    <row r="95" spans="2:29">
      <c r="B95" s="88">
        <v>91</v>
      </c>
      <c r="C95" s="88"/>
      <c r="D95" s="88"/>
      <c r="E95" s="88" t="s">
        <v>1161</v>
      </c>
      <c r="F95" s="88" t="s">
        <v>1165</v>
      </c>
      <c r="G95" s="89">
        <v>300</v>
      </c>
      <c r="H95" s="90"/>
      <c r="I95" s="90"/>
      <c r="J95" s="90"/>
      <c r="K95" s="89">
        <v>230</v>
      </c>
      <c r="L95" s="89">
        <v>145</v>
      </c>
      <c r="M95" s="90">
        <v>4</v>
      </c>
      <c r="N95" s="90"/>
      <c r="O95" s="90"/>
      <c r="P95" s="90"/>
      <c r="Q95" s="90"/>
      <c r="R95" s="90"/>
      <c r="S95" s="90"/>
      <c r="T95" s="90"/>
      <c r="U95" s="90"/>
      <c r="V95" s="90"/>
      <c r="W95" s="90"/>
      <c r="X95" s="90">
        <v>1.3</v>
      </c>
      <c r="Y95" s="89"/>
      <c r="Z95" s="89"/>
      <c r="AA95" s="89">
        <v>40</v>
      </c>
      <c r="AB95" s="89"/>
      <c r="AC95" s="92"/>
    </row>
    <row r="96" spans="2:29">
      <c r="B96" s="1">
        <v>92</v>
      </c>
      <c r="E96" s="1" t="s">
        <v>1161</v>
      </c>
      <c r="F96" s="1" t="s">
        <v>1165</v>
      </c>
      <c r="G96" s="37">
        <v>300</v>
      </c>
      <c r="H96" s="85"/>
      <c r="I96" s="85"/>
      <c r="J96" s="85"/>
      <c r="K96" s="37">
        <v>230</v>
      </c>
      <c r="L96" s="37">
        <v>185</v>
      </c>
      <c r="M96" s="85">
        <v>5</v>
      </c>
      <c r="N96" s="85"/>
      <c r="O96" s="85"/>
      <c r="P96" s="85"/>
      <c r="Q96" s="85"/>
      <c r="R96" s="85"/>
      <c r="S96" s="85"/>
      <c r="T96" s="85"/>
      <c r="U96" s="85"/>
      <c r="V96" s="85"/>
      <c r="W96" s="85"/>
      <c r="X96" s="85">
        <v>1.3</v>
      </c>
      <c r="Y96" s="37"/>
      <c r="Z96" s="37"/>
      <c r="AA96" s="37">
        <v>48</v>
      </c>
      <c r="AB96" s="37"/>
      <c r="AC96" s="87"/>
    </row>
    <row r="97" spans="2:29" ht="14.25" customHeight="1">
      <c r="B97" s="88">
        <v>93</v>
      </c>
      <c r="C97" s="88"/>
      <c r="D97" s="88"/>
      <c r="E97" s="88" t="s">
        <v>1161</v>
      </c>
      <c r="F97" s="88" t="s">
        <v>1165</v>
      </c>
      <c r="G97" s="89">
        <v>300</v>
      </c>
      <c r="H97" s="90"/>
      <c r="I97" s="90"/>
      <c r="J97" s="90"/>
      <c r="K97" s="89">
        <v>230</v>
      </c>
      <c r="L97" s="89">
        <v>225</v>
      </c>
      <c r="M97" s="90">
        <v>6</v>
      </c>
      <c r="N97" s="90"/>
      <c r="O97" s="90"/>
      <c r="P97" s="90"/>
      <c r="Q97" s="90"/>
      <c r="R97" s="90"/>
      <c r="S97" s="90"/>
      <c r="T97" s="90"/>
      <c r="U97" s="90"/>
      <c r="V97" s="90"/>
      <c r="W97" s="90"/>
      <c r="X97" s="90">
        <v>1.3</v>
      </c>
      <c r="Y97" s="89"/>
      <c r="Z97" s="89"/>
      <c r="AA97" s="89">
        <v>57</v>
      </c>
      <c r="AB97" s="89"/>
      <c r="AC97" s="92"/>
    </row>
    <row r="98" spans="2:29" ht="14.25" customHeight="1">
      <c r="B98" s="1">
        <v>94</v>
      </c>
      <c r="E98" s="1" t="s">
        <v>1161</v>
      </c>
      <c r="F98" s="1" t="s">
        <v>1165</v>
      </c>
      <c r="G98" s="37">
        <v>400</v>
      </c>
      <c r="H98" s="85"/>
      <c r="I98" s="85"/>
      <c r="J98" s="85"/>
      <c r="K98" s="37">
        <v>330</v>
      </c>
      <c r="L98" s="37">
        <v>65</v>
      </c>
      <c r="M98" s="85">
        <v>2</v>
      </c>
      <c r="N98" s="85"/>
      <c r="O98" s="85"/>
      <c r="P98" s="85"/>
      <c r="Q98" s="85"/>
      <c r="R98" s="85"/>
      <c r="S98" s="85"/>
      <c r="T98" s="85"/>
      <c r="U98" s="85"/>
      <c r="V98" s="85"/>
      <c r="W98" s="85"/>
      <c r="X98" s="85">
        <v>1.3</v>
      </c>
      <c r="Y98" s="37"/>
      <c r="Z98" s="37"/>
      <c r="AA98" s="37">
        <v>28</v>
      </c>
      <c r="AB98" s="37"/>
      <c r="AC98" s="87"/>
    </row>
    <row r="99" spans="2:29">
      <c r="B99" s="88">
        <v>95</v>
      </c>
      <c r="C99" s="88"/>
      <c r="D99" s="88"/>
      <c r="E99" s="88" t="s">
        <v>1161</v>
      </c>
      <c r="F99" s="88" t="s">
        <v>1165</v>
      </c>
      <c r="G99" s="89">
        <v>400</v>
      </c>
      <c r="H99" s="90"/>
      <c r="I99" s="90"/>
      <c r="J99" s="90"/>
      <c r="K99" s="89">
        <v>330</v>
      </c>
      <c r="L99" s="89">
        <v>105</v>
      </c>
      <c r="M99" s="90">
        <v>3</v>
      </c>
      <c r="N99" s="90"/>
      <c r="O99" s="90"/>
      <c r="P99" s="90"/>
      <c r="Q99" s="90"/>
      <c r="R99" s="90"/>
      <c r="S99" s="90"/>
      <c r="T99" s="90"/>
      <c r="U99" s="90"/>
      <c r="V99" s="90"/>
      <c r="W99" s="90"/>
      <c r="X99" s="90">
        <v>1.3</v>
      </c>
      <c r="Y99" s="89"/>
      <c r="Z99" s="89"/>
      <c r="AA99" s="89">
        <v>41</v>
      </c>
      <c r="AB99" s="89"/>
      <c r="AC99" s="92"/>
    </row>
    <row r="100" spans="2:29" ht="14.25" customHeight="1">
      <c r="B100" s="1">
        <v>96</v>
      </c>
      <c r="E100" s="1" t="s">
        <v>1161</v>
      </c>
      <c r="F100" s="1" t="s">
        <v>1165</v>
      </c>
      <c r="G100" s="37">
        <v>400</v>
      </c>
      <c r="H100" s="85"/>
      <c r="I100" s="85"/>
      <c r="J100" s="85"/>
      <c r="K100" s="37">
        <v>330</v>
      </c>
      <c r="L100" s="37">
        <v>145</v>
      </c>
      <c r="M100" s="85">
        <v>4</v>
      </c>
      <c r="N100" s="85"/>
      <c r="O100" s="85"/>
      <c r="P100" s="85"/>
      <c r="Q100" s="85"/>
      <c r="R100" s="85"/>
      <c r="S100" s="85"/>
      <c r="T100" s="85"/>
      <c r="U100" s="85"/>
      <c r="V100" s="85"/>
      <c r="W100" s="85"/>
      <c r="X100" s="85">
        <v>1.3</v>
      </c>
      <c r="Y100" s="37"/>
      <c r="Z100" s="37"/>
      <c r="AA100" s="37">
        <v>52</v>
      </c>
      <c r="AB100" s="37"/>
      <c r="AC100" s="87"/>
    </row>
    <row r="101" spans="2:29">
      <c r="B101" s="88">
        <v>97</v>
      </c>
      <c r="C101" s="88"/>
      <c r="D101" s="88"/>
      <c r="E101" s="88" t="s">
        <v>1161</v>
      </c>
      <c r="F101" s="88" t="s">
        <v>1165</v>
      </c>
      <c r="G101" s="89">
        <v>400</v>
      </c>
      <c r="H101" s="90"/>
      <c r="I101" s="90"/>
      <c r="J101" s="90"/>
      <c r="K101" s="89">
        <v>330</v>
      </c>
      <c r="L101" s="89">
        <v>185</v>
      </c>
      <c r="M101" s="90">
        <v>5</v>
      </c>
      <c r="N101" s="90"/>
      <c r="O101" s="90"/>
      <c r="P101" s="90"/>
      <c r="Q101" s="90"/>
      <c r="R101" s="90"/>
      <c r="S101" s="90"/>
      <c r="T101" s="90"/>
      <c r="U101" s="90"/>
      <c r="V101" s="90"/>
      <c r="W101" s="90"/>
      <c r="X101" s="90">
        <v>1.3</v>
      </c>
      <c r="Y101" s="89"/>
      <c r="Z101" s="89"/>
      <c r="AA101" s="89">
        <v>64</v>
      </c>
      <c r="AB101" s="89"/>
      <c r="AC101" s="92"/>
    </row>
    <row r="102" spans="2:29" ht="14.25" customHeight="1">
      <c r="B102" s="1">
        <v>98</v>
      </c>
      <c r="E102" s="1" t="s">
        <v>1161</v>
      </c>
      <c r="F102" s="1" t="s">
        <v>1165</v>
      </c>
      <c r="G102" s="37">
        <v>400</v>
      </c>
      <c r="H102" s="85"/>
      <c r="I102" s="85"/>
      <c r="J102" s="85"/>
      <c r="K102" s="37">
        <v>330</v>
      </c>
      <c r="L102" s="37">
        <v>225</v>
      </c>
      <c r="M102" s="85">
        <v>6</v>
      </c>
      <c r="N102" s="85"/>
      <c r="O102" s="85"/>
      <c r="P102" s="85"/>
      <c r="Q102" s="85"/>
      <c r="R102" s="85"/>
      <c r="S102" s="85"/>
      <c r="T102" s="85"/>
      <c r="U102" s="85"/>
      <c r="V102" s="85"/>
      <c r="W102" s="85"/>
      <c r="X102" s="85">
        <v>1.3</v>
      </c>
      <c r="Y102" s="37"/>
      <c r="Z102" s="37"/>
      <c r="AA102" s="37">
        <v>75</v>
      </c>
      <c r="AB102" s="37"/>
      <c r="AC102" s="87"/>
    </row>
    <row r="103" spans="2:29">
      <c r="B103" s="88">
        <v>99</v>
      </c>
      <c r="C103" s="88"/>
      <c r="D103" s="88"/>
      <c r="E103" s="88" t="s">
        <v>1161</v>
      </c>
      <c r="F103" s="88" t="s">
        <v>1165</v>
      </c>
      <c r="G103" s="89">
        <v>500</v>
      </c>
      <c r="H103" s="90"/>
      <c r="I103" s="90"/>
      <c r="J103" s="90"/>
      <c r="K103" s="89">
        <v>430</v>
      </c>
      <c r="L103" s="89">
        <v>65</v>
      </c>
      <c r="M103" s="90">
        <v>2</v>
      </c>
      <c r="N103" s="90"/>
      <c r="O103" s="90"/>
      <c r="P103" s="90"/>
      <c r="Q103" s="90"/>
      <c r="R103" s="90"/>
      <c r="S103" s="90"/>
      <c r="T103" s="90"/>
      <c r="U103" s="90"/>
      <c r="V103" s="90"/>
      <c r="W103" s="90"/>
      <c r="X103" s="90">
        <v>1.3</v>
      </c>
      <c r="Y103" s="89"/>
      <c r="Z103" s="89"/>
      <c r="AA103" s="89">
        <v>37</v>
      </c>
      <c r="AB103" s="89"/>
      <c r="AC103" s="92"/>
    </row>
    <row r="104" spans="2:29">
      <c r="B104" s="1">
        <v>100</v>
      </c>
      <c r="E104" s="1" t="s">
        <v>1161</v>
      </c>
      <c r="F104" s="1" t="s">
        <v>1165</v>
      </c>
      <c r="G104" s="37">
        <v>500</v>
      </c>
      <c r="H104" s="85"/>
      <c r="I104" s="85"/>
      <c r="J104" s="85"/>
      <c r="K104" s="37">
        <v>430</v>
      </c>
      <c r="L104" s="37">
        <v>105</v>
      </c>
      <c r="M104" s="85">
        <v>3</v>
      </c>
      <c r="N104" s="85"/>
      <c r="O104" s="85"/>
      <c r="P104" s="85"/>
      <c r="Q104" s="85"/>
      <c r="R104" s="85"/>
      <c r="S104" s="85"/>
      <c r="T104" s="85"/>
      <c r="U104" s="85"/>
      <c r="V104" s="85"/>
      <c r="W104" s="85"/>
      <c r="X104" s="85">
        <v>1.3</v>
      </c>
      <c r="Y104" s="37"/>
      <c r="Z104" s="37"/>
      <c r="AA104" s="37">
        <v>51</v>
      </c>
      <c r="AB104" s="37"/>
      <c r="AC104" s="87"/>
    </row>
    <row r="105" spans="2:29" ht="14.25" customHeight="1">
      <c r="B105" s="88">
        <v>101</v>
      </c>
      <c r="C105" s="88"/>
      <c r="D105" s="88"/>
      <c r="E105" s="88" t="s">
        <v>1161</v>
      </c>
      <c r="F105" s="88" t="s">
        <v>1165</v>
      </c>
      <c r="G105" s="89">
        <v>500</v>
      </c>
      <c r="H105" s="90"/>
      <c r="I105" s="90"/>
      <c r="J105" s="90"/>
      <c r="K105" s="89">
        <v>430</v>
      </c>
      <c r="L105" s="89">
        <v>145</v>
      </c>
      <c r="M105" s="90">
        <v>4</v>
      </c>
      <c r="N105" s="90"/>
      <c r="O105" s="90"/>
      <c r="P105" s="90"/>
      <c r="Q105" s="90"/>
      <c r="R105" s="90"/>
      <c r="S105" s="90"/>
      <c r="T105" s="90"/>
      <c r="U105" s="90"/>
      <c r="V105" s="90"/>
      <c r="W105" s="90"/>
      <c r="X105" s="90">
        <v>1.3</v>
      </c>
      <c r="Y105" s="89"/>
      <c r="Z105" s="89"/>
      <c r="AA105" s="89">
        <v>65</v>
      </c>
      <c r="AB105" s="89"/>
      <c r="AC105" s="92"/>
    </row>
    <row r="106" spans="2:29">
      <c r="B106" s="1">
        <v>102</v>
      </c>
      <c r="E106" s="1" t="s">
        <v>1161</v>
      </c>
      <c r="F106" s="1" t="s">
        <v>1165</v>
      </c>
      <c r="G106" s="37">
        <v>500</v>
      </c>
      <c r="H106" s="85"/>
      <c r="I106" s="85"/>
      <c r="J106" s="85"/>
      <c r="K106" s="37">
        <v>430</v>
      </c>
      <c r="L106" s="37">
        <v>185</v>
      </c>
      <c r="M106" s="85">
        <v>5</v>
      </c>
      <c r="N106" s="85"/>
      <c r="O106" s="85"/>
      <c r="P106" s="85"/>
      <c r="Q106" s="85"/>
      <c r="R106" s="85"/>
      <c r="S106" s="85"/>
      <c r="T106" s="85"/>
      <c r="U106" s="85"/>
      <c r="V106" s="85"/>
      <c r="W106" s="85"/>
      <c r="X106" s="85">
        <v>1.3</v>
      </c>
      <c r="Y106" s="37"/>
      <c r="Z106" s="37"/>
      <c r="AA106" s="37">
        <v>80</v>
      </c>
      <c r="AB106" s="37"/>
      <c r="AC106" s="87"/>
    </row>
    <row r="107" spans="2:29">
      <c r="B107" s="88">
        <v>103</v>
      </c>
      <c r="C107" s="88"/>
      <c r="D107" s="88"/>
      <c r="E107" s="88" t="s">
        <v>1161</v>
      </c>
      <c r="F107" s="88" t="s">
        <v>1165</v>
      </c>
      <c r="G107" s="89">
        <v>500</v>
      </c>
      <c r="H107" s="90"/>
      <c r="I107" s="90"/>
      <c r="J107" s="90"/>
      <c r="K107" s="89">
        <v>430</v>
      </c>
      <c r="L107" s="89">
        <v>225</v>
      </c>
      <c r="M107" s="90">
        <v>6</v>
      </c>
      <c r="N107" s="90"/>
      <c r="O107" s="90"/>
      <c r="P107" s="90"/>
      <c r="Q107" s="90"/>
      <c r="R107" s="90"/>
      <c r="S107" s="90"/>
      <c r="T107" s="90"/>
      <c r="U107" s="90"/>
      <c r="V107" s="90"/>
      <c r="W107" s="90"/>
      <c r="X107" s="90">
        <v>1.3</v>
      </c>
      <c r="Y107" s="89"/>
      <c r="Z107" s="89"/>
      <c r="AA107" s="89">
        <v>94</v>
      </c>
      <c r="AB107" s="89"/>
      <c r="AC107" s="92"/>
    </row>
    <row r="108" spans="2:29" ht="14.25" customHeight="1">
      <c r="B108" s="1">
        <v>104</v>
      </c>
      <c r="E108" s="1" t="s">
        <v>1161</v>
      </c>
      <c r="F108" s="1" t="s">
        <v>1165</v>
      </c>
      <c r="G108" s="37">
        <v>600</v>
      </c>
      <c r="H108" s="85"/>
      <c r="I108" s="85"/>
      <c r="J108" s="85"/>
      <c r="K108" s="37">
        <v>530</v>
      </c>
      <c r="L108" s="37">
        <v>65</v>
      </c>
      <c r="M108" s="85">
        <v>2</v>
      </c>
      <c r="N108" s="85"/>
      <c r="O108" s="85"/>
      <c r="P108" s="85"/>
      <c r="Q108" s="85"/>
      <c r="R108" s="85"/>
      <c r="S108" s="85"/>
      <c r="T108" s="85"/>
      <c r="U108" s="85"/>
      <c r="V108" s="85"/>
      <c r="W108" s="85"/>
      <c r="X108" s="85">
        <v>1.3</v>
      </c>
      <c r="Y108" s="37"/>
      <c r="Z108" s="37"/>
      <c r="AA108" s="37">
        <v>44</v>
      </c>
      <c r="AB108" s="37"/>
      <c r="AC108" s="87"/>
    </row>
    <row r="109" spans="2:29" ht="14.25" customHeight="1">
      <c r="B109" s="88">
        <v>105</v>
      </c>
      <c r="C109" s="88"/>
      <c r="D109" s="88"/>
      <c r="E109" s="88" t="s">
        <v>1161</v>
      </c>
      <c r="F109" s="88" t="s">
        <v>1165</v>
      </c>
      <c r="G109" s="89">
        <v>600</v>
      </c>
      <c r="H109" s="90"/>
      <c r="I109" s="90"/>
      <c r="J109" s="90"/>
      <c r="K109" s="89">
        <v>530</v>
      </c>
      <c r="L109" s="89">
        <v>105</v>
      </c>
      <c r="M109" s="90">
        <v>3</v>
      </c>
      <c r="N109" s="90"/>
      <c r="O109" s="90"/>
      <c r="P109" s="90"/>
      <c r="Q109" s="90"/>
      <c r="R109" s="90"/>
      <c r="S109" s="90"/>
      <c r="T109" s="90"/>
      <c r="U109" s="90"/>
      <c r="V109" s="90"/>
      <c r="W109" s="90"/>
      <c r="X109" s="90">
        <v>1.3</v>
      </c>
      <c r="Y109" s="89"/>
      <c r="Z109" s="89"/>
      <c r="AA109" s="89">
        <v>60</v>
      </c>
      <c r="AB109" s="89"/>
      <c r="AC109" s="92"/>
    </row>
    <row r="110" spans="2:29">
      <c r="B110" s="1">
        <v>106</v>
      </c>
      <c r="E110" s="1" t="s">
        <v>1161</v>
      </c>
      <c r="F110" s="1" t="s">
        <v>1165</v>
      </c>
      <c r="G110" s="37">
        <v>600</v>
      </c>
      <c r="H110" s="85"/>
      <c r="I110" s="85"/>
      <c r="J110" s="85"/>
      <c r="K110" s="37">
        <v>530</v>
      </c>
      <c r="L110" s="37">
        <v>145</v>
      </c>
      <c r="M110" s="85">
        <v>4</v>
      </c>
      <c r="N110" s="85"/>
      <c r="O110" s="85"/>
      <c r="P110" s="85"/>
      <c r="Q110" s="85"/>
      <c r="R110" s="85"/>
      <c r="S110" s="85"/>
      <c r="T110" s="85"/>
      <c r="U110" s="85"/>
      <c r="V110" s="85"/>
      <c r="W110" s="85"/>
      <c r="X110" s="85">
        <v>1.3</v>
      </c>
      <c r="Y110" s="37"/>
      <c r="Z110" s="37"/>
      <c r="AA110" s="37">
        <v>77</v>
      </c>
      <c r="AB110" s="37"/>
      <c r="AC110" s="87"/>
    </row>
    <row r="111" spans="2:29">
      <c r="B111" s="88">
        <v>107</v>
      </c>
      <c r="C111" s="88"/>
      <c r="D111" s="88"/>
      <c r="E111" s="88" t="s">
        <v>1161</v>
      </c>
      <c r="F111" s="88" t="s">
        <v>1165</v>
      </c>
      <c r="G111" s="89">
        <v>600</v>
      </c>
      <c r="H111" s="90"/>
      <c r="I111" s="90"/>
      <c r="J111" s="90"/>
      <c r="K111" s="89">
        <v>530</v>
      </c>
      <c r="L111" s="89">
        <v>185</v>
      </c>
      <c r="M111" s="90">
        <v>5</v>
      </c>
      <c r="N111" s="90"/>
      <c r="O111" s="90"/>
      <c r="P111" s="90"/>
      <c r="Q111" s="90"/>
      <c r="R111" s="90"/>
      <c r="S111" s="90"/>
      <c r="T111" s="90"/>
      <c r="U111" s="90"/>
      <c r="V111" s="90"/>
      <c r="W111" s="90"/>
      <c r="X111" s="90">
        <v>1.3</v>
      </c>
      <c r="Y111" s="89"/>
      <c r="Z111" s="89"/>
      <c r="AA111" s="89">
        <v>65</v>
      </c>
      <c r="AB111" s="89"/>
      <c r="AC111" s="92"/>
    </row>
    <row r="112" spans="2:29" ht="14.25" customHeight="1">
      <c r="B112" s="1">
        <v>108</v>
      </c>
      <c r="E112" s="1" t="s">
        <v>1161</v>
      </c>
      <c r="F112" s="1" t="s">
        <v>1165</v>
      </c>
      <c r="G112" s="37">
        <v>600</v>
      </c>
      <c r="H112" s="85"/>
      <c r="I112" s="85"/>
      <c r="J112" s="85"/>
      <c r="K112" s="37">
        <v>530</v>
      </c>
      <c r="L112" s="37">
        <v>225</v>
      </c>
      <c r="M112" s="85">
        <v>6</v>
      </c>
      <c r="N112" s="85"/>
      <c r="O112" s="85"/>
      <c r="P112" s="85"/>
      <c r="Q112" s="85"/>
      <c r="R112" s="85"/>
      <c r="S112" s="85"/>
      <c r="T112" s="85"/>
      <c r="U112" s="85"/>
      <c r="V112" s="85"/>
      <c r="W112" s="85"/>
      <c r="X112" s="85">
        <v>1.3</v>
      </c>
      <c r="Y112" s="37"/>
      <c r="Z112" s="37"/>
      <c r="AA112" s="37">
        <v>113</v>
      </c>
      <c r="AB112" s="37"/>
      <c r="AC112" s="87"/>
    </row>
    <row r="113" spans="2:29">
      <c r="B113" s="88">
        <v>109</v>
      </c>
      <c r="C113" s="88"/>
      <c r="D113" s="88"/>
      <c r="E113" s="88" t="s">
        <v>1161</v>
      </c>
      <c r="F113" s="88" t="s">
        <v>1165</v>
      </c>
      <c r="G113" s="89">
        <v>750</v>
      </c>
      <c r="H113" s="90"/>
      <c r="I113" s="90"/>
      <c r="J113" s="90"/>
      <c r="K113" s="89">
        <v>680</v>
      </c>
      <c r="L113" s="89">
        <v>65</v>
      </c>
      <c r="M113" s="90">
        <v>2</v>
      </c>
      <c r="N113" s="90"/>
      <c r="O113" s="90"/>
      <c r="P113" s="90"/>
      <c r="Q113" s="90"/>
      <c r="R113" s="90"/>
      <c r="S113" s="90"/>
      <c r="T113" s="90"/>
      <c r="U113" s="90"/>
      <c r="V113" s="90"/>
      <c r="W113" s="90"/>
      <c r="X113" s="90">
        <v>1.3</v>
      </c>
      <c r="Y113" s="89"/>
      <c r="Z113" s="89"/>
      <c r="AA113" s="89">
        <v>55</v>
      </c>
      <c r="AB113" s="89"/>
      <c r="AC113" s="92"/>
    </row>
    <row r="114" spans="2:29">
      <c r="B114" s="1">
        <v>110</v>
      </c>
      <c r="E114" s="1" t="s">
        <v>1161</v>
      </c>
      <c r="F114" s="1" t="s">
        <v>1165</v>
      </c>
      <c r="G114" s="37">
        <v>750</v>
      </c>
      <c r="H114" s="85"/>
      <c r="I114" s="85"/>
      <c r="J114" s="85"/>
      <c r="K114" s="37">
        <v>680</v>
      </c>
      <c r="L114" s="37">
        <v>105</v>
      </c>
      <c r="M114" s="85">
        <v>3</v>
      </c>
      <c r="N114" s="85"/>
      <c r="O114" s="85"/>
      <c r="P114" s="85"/>
      <c r="Q114" s="85"/>
      <c r="R114" s="85"/>
      <c r="S114" s="85"/>
      <c r="T114" s="85"/>
      <c r="U114" s="85"/>
      <c r="V114" s="85"/>
      <c r="W114" s="85"/>
      <c r="X114" s="85">
        <v>1.3</v>
      </c>
      <c r="Y114" s="37"/>
      <c r="Z114" s="37"/>
      <c r="AA114" s="37">
        <v>75</v>
      </c>
      <c r="AB114" s="37"/>
      <c r="AC114" s="87"/>
    </row>
    <row r="115" spans="2:29" ht="14.25" customHeight="1">
      <c r="B115" s="88">
        <v>111</v>
      </c>
      <c r="C115" s="88"/>
      <c r="D115" s="88"/>
      <c r="E115" s="88" t="s">
        <v>1161</v>
      </c>
      <c r="F115" s="88" t="s">
        <v>1165</v>
      </c>
      <c r="G115" s="89">
        <v>750</v>
      </c>
      <c r="H115" s="90"/>
      <c r="I115" s="90"/>
      <c r="J115" s="90"/>
      <c r="K115" s="89">
        <v>680</v>
      </c>
      <c r="L115" s="89">
        <v>145</v>
      </c>
      <c r="M115" s="90">
        <v>4</v>
      </c>
      <c r="N115" s="90"/>
      <c r="O115" s="90"/>
      <c r="P115" s="90"/>
      <c r="Q115" s="90"/>
      <c r="R115" s="90"/>
      <c r="S115" s="90"/>
      <c r="T115" s="90"/>
      <c r="U115" s="90"/>
      <c r="V115" s="90"/>
      <c r="W115" s="90"/>
      <c r="X115" s="90">
        <v>1.3</v>
      </c>
      <c r="Y115" s="89"/>
      <c r="Z115" s="89"/>
      <c r="AA115" s="89">
        <v>95</v>
      </c>
      <c r="AB115" s="89"/>
      <c r="AC115" s="92"/>
    </row>
    <row r="116" spans="2:29">
      <c r="B116" s="1">
        <v>112</v>
      </c>
      <c r="E116" s="1" t="s">
        <v>1161</v>
      </c>
      <c r="F116" s="1" t="s">
        <v>1165</v>
      </c>
      <c r="G116" s="37">
        <v>750</v>
      </c>
      <c r="H116" s="85"/>
      <c r="I116" s="85"/>
      <c r="J116" s="85"/>
      <c r="K116" s="37">
        <v>680</v>
      </c>
      <c r="L116" s="37">
        <v>185</v>
      </c>
      <c r="M116" s="85">
        <v>5</v>
      </c>
      <c r="N116" s="85"/>
      <c r="O116" s="85"/>
      <c r="P116" s="85"/>
      <c r="Q116" s="85"/>
      <c r="R116" s="85"/>
      <c r="S116" s="85"/>
      <c r="T116" s="85"/>
      <c r="U116" s="85"/>
      <c r="V116" s="85"/>
      <c r="W116" s="85"/>
      <c r="X116" s="85">
        <v>1.3</v>
      </c>
      <c r="Y116" s="37"/>
      <c r="Z116" s="37"/>
      <c r="AA116" s="37">
        <v>117</v>
      </c>
      <c r="AB116" s="37"/>
      <c r="AC116" s="87"/>
    </row>
    <row r="117" spans="2:29" ht="14.25" customHeight="1">
      <c r="B117" s="88">
        <v>113</v>
      </c>
      <c r="C117" s="88"/>
      <c r="D117" s="88"/>
      <c r="E117" s="88" t="s">
        <v>1161</v>
      </c>
      <c r="F117" s="88" t="s">
        <v>1165</v>
      </c>
      <c r="G117" s="89">
        <v>750</v>
      </c>
      <c r="H117" s="90"/>
      <c r="I117" s="90"/>
      <c r="J117" s="90"/>
      <c r="K117" s="89">
        <v>680</v>
      </c>
      <c r="L117" s="89">
        <v>225</v>
      </c>
      <c r="M117" s="90">
        <v>6</v>
      </c>
      <c r="N117" s="90"/>
      <c r="O117" s="90"/>
      <c r="P117" s="90"/>
      <c r="Q117" s="90"/>
      <c r="R117" s="90"/>
      <c r="S117" s="90"/>
      <c r="T117" s="90"/>
      <c r="U117" s="90"/>
      <c r="V117" s="90"/>
      <c r="W117" s="90"/>
      <c r="X117" s="90">
        <v>1.3</v>
      </c>
      <c r="Y117" s="89"/>
      <c r="Z117" s="89"/>
      <c r="AA117" s="89">
        <v>137</v>
      </c>
      <c r="AB117" s="89"/>
      <c r="AC117" s="92"/>
    </row>
    <row r="118" spans="2:29">
      <c r="B118" s="1">
        <v>114</v>
      </c>
      <c r="E118" s="1" t="s">
        <v>1161</v>
      </c>
      <c r="F118" s="1" t="s">
        <v>1165</v>
      </c>
      <c r="G118" s="37">
        <v>900</v>
      </c>
      <c r="H118" s="85"/>
      <c r="I118" s="85"/>
      <c r="J118" s="85"/>
      <c r="K118" s="37">
        <v>830</v>
      </c>
      <c r="L118" s="37">
        <v>65</v>
      </c>
      <c r="M118" s="85">
        <v>2</v>
      </c>
      <c r="N118" s="85"/>
      <c r="O118" s="85"/>
      <c r="P118" s="85"/>
      <c r="Q118" s="85"/>
      <c r="R118" s="85"/>
      <c r="S118" s="85"/>
      <c r="T118" s="85"/>
      <c r="U118" s="85"/>
      <c r="V118" s="85"/>
      <c r="W118" s="85"/>
      <c r="X118" s="85">
        <v>1.3</v>
      </c>
      <c r="Y118" s="37"/>
      <c r="Z118" s="37"/>
      <c r="AA118" s="37">
        <v>67</v>
      </c>
      <c r="AB118" s="37"/>
      <c r="AC118" s="87"/>
    </row>
    <row r="119" spans="2:29">
      <c r="B119" s="88">
        <v>115</v>
      </c>
      <c r="C119" s="88"/>
      <c r="D119" s="88"/>
      <c r="E119" s="88" t="s">
        <v>1161</v>
      </c>
      <c r="F119" s="88" t="s">
        <v>1165</v>
      </c>
      <c r="G119" s="89">
        <v>900</v>
      </c>
      <c r="H119" s="90"/>
      <c r="I119" s="90"/>
      <c r="J119" s="90"/>
      <c r="K119" s="89">
        <v>830</v>
      </c>
      <c r="L119" s="89">
        <v>105</v>
      </c>
      <c r="M119" s="90">
        <v>3</v>
      </c>
      <c r="N119" s="90"/>
      <c r="O119" s="90"/>
      <c r="P119" s="90"/>
      <c r="Q119" s="90"/>
      <c r="R119" s="90"/>
      <c r="S119" s="90"/>
      <c r="T119" s="90"/>
      <c r="U119" s="90"/>
      <c r="V119" s="90"/>
      <c r="W119" s="90"/>
      <c r="X119" s="90">
        <v>1.3</v>
      </c>
      <c r="Y119" s="89"/>
      <c r="Z119" s="89"/>
      <c r="AA119" s="89">
        <v>89</v>
      </c>
      <c r="AB119" s="89"/>
      <c r="AC119" s="92"/>
    </row>
    <row r="120" spans="2:29" ht="14.25" customHeight="1">
      <c r="B120" s="1">
        <v>116</v>
      </c>
      <c r="E120" s="1" t="s">
        <v>1161</v>
      </c>
      <c r="F120" s="1" t="s">
        <v>1165</v>
      </c>
      <c r="G120" s="37">
        <v>900</v>
      </c>
      <c r="H120" s="85"/>
      <c r="I120" s="85"/>
      <c r="J120" s="85"/>
      <c r="K120" s="37">
        <v>830</v>
      </c>
      <c r="L120" s="37">
        <v>145</v>
      </c>
      <c r="M120" s="85">
        <v>4</v>
      </c>
      <c r="N120" s="85"/>
      <c r="O120" s="85"/>
      <c r="P120" s="85"/>
      <c r="Q120" s="85"/>
      <c r="R120" s="85"/>
      <c r="S120" s="85"/>
      <c r="T120" s="85"/>
      <c r="U120" s="85"/>
      <c r="V120" s="85"/>
      <c r="W120" s="85"/>
      <c r="X120" s="85">
        <v>1.3</v>
      </c>
      <c r="Y120" s="37"/>
      <c r="Z120" s="37"/>
      <c r="AA120" s="37">
        <v>112</v>
      </c>
      <c r="AB120" s="37"/>
      <c r="AC120" s="87"/>
    </row>
    <row r="121" spans="2:29" ht="14.25" customHeight="1">
      <c r="B121" s="88">
        <v>117</v>
      </c>
      <c r="C121" s="88"/>
      <c r="D121" s="88"/>
      <c r="E121" s="88" t="s">
        <v>1161</v>
      </c>
      <c r="F121" s="88" t="s">
        <v>1165</v>
      </c>
      <c r="G121" s="89">
        <v>900</v>
      </c>
      <c r="H121" s="90"/>
      <c r="I121" s="90"/>
      <c r="J121" s="90"/>
      <c r="K121" s="89">
        <v>830</v>
      </c>
      <c r="L121" s="89">
        <v>185</v>
      </c>
      <c r="M121" s="90">
        <v>5</v>
      </c>
      <c r="N121" s="90"/>
      <c r="O121" s="90"/>
      <c r="P121" s="90"/>
      <c r="Q121" s="90"/>
      <c r="R121" s="90"/>
      <c r="S121" s="90"/>
      <c r="T121" s="90"/>
      <c r="U121" s="90"/>
      <c r="V121" s="90"/>
      <c r="W121" s="90"/>
      <c r="X121" s="90">
        <v>1.3</v>
      </c>
      <c r="Y121" s="89"/>
      <c r="Z121" s="89"/>
      <c r="AA121" s="89">
        <v>138</v>
      </c>
      <c r="AB121" s="89"/>
      <c r="AC121" s="92"/>
    </row>
    <row r="122" spans="2:29">
      <c r="B122" s="1">
        <v>118</v>
      </c>
      <c r="E122" s="1" t="s">
        <v>1161</v>
      </c>
      <c r="F122" s="1" t="s">
        <v>1165</v>
      </c>
      <c r="G122" s="37">
        <v>900</v>
      </c>
      <c r="H122" s="85"/>
      <c r="I122" s="85"/>
      <c r="J122" s="85"/>
      <c r="K122" s="37">
        <v>830</v>
      </c>
      <c r="L122" s="37">
        <v>225</v>
      </c>
      <c r="M122" s="85">
        <v>6</v>
      </c>
      <c r="N122" s="85"/>
      <c r="O122" s="85"/>
      <c r="P122" s="85"/>
      <c r="Q122" s="85"/>
      <c r="R122" s="85"/>
      <c r="S122" s="85"/>
      <c r="T122" s="85"/>
      <c r="U122" s="85"/>
      <c r="V122" s="85"/>
      <c r="W122" s="85"/>
      <c r="X122" s="85">
        <v>1.3</v>
      </c>
      <c r="Y122" s="37"/>
      <c r="Z122" s="37"/>
      <c r="AA122" s="37">
        <v>163</v>
      </c>
      <c r="AB122" s="37"/>
      <c r="AC122" s="87"/>
    </row>
    <row r="123" spans="2:29">
      <c r="B123" s="88">
        <v>119</v>
      </c>
      <c r="C123" s="88"/>
      <c r="D123" s="88"/>
      <c r="E123" s="88" t="s">
        <v>1161</v>
      </c>
      <c r="F123" s="88" t="s">
        <v>1165</v>
      </c>
      <c r="G123" s="89">
        <v>1000</v>
      </c>
      <c r="H123" s="90"/>
      <c r="I123" s="90"/>
      <c r="J123" s="90"/>
      <c r="K123" s="89">
        <v>930</v>
      </c>
      <c r="L123" s="89">
        <v>65</v>
      </c>
      <c r="M123" s="90">
        <v>2</v>
      </c>
      <c r="N123" s="90"/>
      <c r="O123" s="90"/>
      <c r="P123" s="90"/>
      <c r="Q123" s="90"/>
      <c r="R123" s="90"/>
      <c r="S123" s="90"/>
      <c r="T123" s="90"/>
      <c r="U123" s="90"/>
      <c r="V123" s="90"/>
      <c r="W123" s="90"/>
      <c r="X123" s="90">
        <v>1.3</v>
      </c>
      <c r="Y123" s="89"/>
      <c r="Z123" s="89"/>
      <c r="AA123" s="89">
        <v>73</v>
      </c>
      <c r="AB123" s="89"/>
      <c r="AC123" s="92"/>
    </row>
    <row r="124" spans="2:29">
      <c r="B124" s="1">
        <v>120</v>
      </c>
      <c r="E124" s="1" t="s">
        <v>1161</v>
      </c>
      <c r="F124" s="1" t="s">
        <v>1165</v>
      </c>
      <c r="G124" s="37">
        <v>1000</v>
      </c>
      <c r="H124" s="85"/>
      <c r="I124" s="85"/>
      <c r="J124" s="85"/>
      <c r="K124" s="37">
        <v>930</v>
      </c>
      <c r="L124" s="37">
        <v>105</v>
      </c>
      <c r="M124" s="85">
        <v>3</v>
      </c>
      <c r="N124" s="85"/>
      <c r="O124" s="85"/>
      <c r="P124" s="85"/>
      <c r="Q124" s="85"/>
      <c r="R124" s="85"/>
      <c r="S124" s="85"/>
      <c r="T124" s="85"/>
      <c r="U124" s="85"/>
      <c r="V124" s="85"/>
      <c r="W124" s="85"/>
      <c r="X124" s="85">
        <v>1.3</v>
      </c>
      <c r="Y124" s="37"/>
      <c r="Z124" s="37"/>
      <c r="AA124" s="37">
        <v>98</v>
      </c>
      <c r="AB124" s="37"/>
      <c r="AC124" s="87"/>
    </row>
    <row r="125" spans="2:29">
      <c r="B125" s="88">
        <v>121</v>
      </c>
      <c r="C125" s="88"/>
      <c r="D125" s="88"/>
      <c r="E125" s="88" t="s">
        <v>1161</v>
      </c>
      <c r="F125" s="88" t="s">
        <v>1165</v>
      </c>
      <c r="G125" s="89">
        <v>1000</v>
      </c>
      <c r="H125" s="90"/>
      <c r="I125" s="90"/>
      <c r="J125" s="90"/>
      <c r="K125" s="89">
        <v>930</v>
      </c>
      <c r="L125" s="89">
        <v>145</v>
      </c>
      <c r="M125" s="90">
        <v>4</v>
      </c>
      <c r="N125" s="90"/>
      <c r="O125" s="90"/>
      <c r="P125" s="90"/>
      <c r="Q125" s="90"/>
      <c r="R125" s="90"/>
      <c r="S125" s="90"/>
      <c r="T125" s="90"/>
      <c r="U125" s="90"/>
      <c r="V125" s="90"/>
      <c r="W125" s="90"/>
      <c r="X125" s="90">
        <v>1.3</v>
      </c>
      <c r="Y125" s="89"/>
      <c r="Z125" s="89"/>
      <c r="AA125" s="89">
        <v>124</v>
      </c>
      <c r="AB125" s="89"/>
      <c r="AC125" s="92"/>
    </row>
    <row r="126" spans="2:29" ht="14.25" customHeight="1">
      <c r="B126" s="1">
        <v>122</v>
      </c>
      <c r="E126" s="1" t="s">
        <v>1161</v>
      </c>
      <c r="F126" s="1" t="s">
        <v>1165</v>
      </c>
      <c r="G126" s="37">
        <v>1000</v>
      </c>
      <c r="H126" s="85"/>
      <c r="I126" s="85"/>
      <c r="J126" s="85"/>
      <c r="K126" s="37">
        <v>930</v>
      </c>
      <c r="L126" s="37">
        <v>185</v>
      </c>
      <c r="M126" s="85">
        <v>5</v>
      </c>
      <c r="N126" s="85"/>
      <c r="O126" s="85"/>
      <c r="P126" s="85"/>
      <c r="Q126" s="85"/>
      <c r="R126" s="85"/>
      <c r="S126" s="85"/>
      <c r="T126" s="85"/>
      <c r="U126" s="85"/>
      <c r="V126" s="85"/>
      <c r="W126" s="85"/>
      <c r="X126" s="85">
        <v>1.3</v>
      </c>
      <c r="Y126" s="37"/>
      <c r="Z126" s="37"/>
      <c r="AA126" s="37">
        <v>151</v>
      </c>
      <c r="AB126" s="37"/>
      <c r="AC126" s="87"/>
    </row>
    <row r="127" spans="2:29">
      <c r="B127" s="88">
        <v>123</v>
      </c>
      <c r="C127" s="88"/>
      <c r="D127" s="88"/>
      <c r="E127" s="88" t="s">
        <v>1161</v>
      </c>
      <c r="F127" s="88" t="s">
        <v>1165</v>
      </c>
      <c r="G127" s="89">
        <v>1000</v>
      </c>
      <c r="H127" s="90"/>
      <c r="I127" s="90"/>
      <c r="J127" s="90"/>
      <c r="K127" s="89">
        <v>930</v>
      </c>
      <c r="L127" s="89">
        <v>225</v>
      </c>
      <c r="M127" s="90">
        <v>6</v>
      </c>
      <c r="N127" s="90"/>
      <c r="O127" s="90"/>
      <c r="P127" s="90"/>
      <c r="Q127" s="90"/>
      <c r="R127" s="90"/>
      <c r="S127" s="90"/>
      <c r="T127" s="90"/>
      <c r="U127" s="90"/>
      <c r="V127" s="90"/>
      <c r="W127" s="90"/>
      <c r="X127" s="90">
        <v>1.3</v>
      </c>
      <c r="Y127" s="89"/>
      <c r="Z127" s="89"/>
      <c r="AA127" s="89">
        <v>180</v>
      </c>
      <c r="AB127" s="89"/>
      <c r="AC127" s="92"/>
    </row>
    <row r="128" spans="2:29">
      <c r="B128" s="1">
        <v>124</v>
      </c>
      <c r="E128" s="1" t="s">
        <v>1161</v>
      </c>
      <c r="F128" s="1" t="s">
        <v>1165</v>
      </c>
      <c r="G128" s="37">
        <v>1200</v>
      </c>
      <c r="H128" s="85"/>
      <c r="I128" s="85"/>
      <c r="J128" s="85"/>
      <c r="K128" s="37">
        <v>1130</v>
      </c>
      <c r="L128" s="37">
        <v>65</v>
      </c>
      <c r="M128" s="85">
        <v>2</v>
      </c>
      <c r="N128" s="85"/>
      <c r="O128" s="85"/>
      <c r="P128" s="85"/>
      <c r="Q128" s="85"/>
      <c r="R128" s="85"/>
      <c r="S128" s="85"/>
      <c r="T128" s="85"/>
      <c r="U128" s="85"/>
      <c r="V128" s="85"/>
      <c r="W128" s="85"/>
      <c r="X128" s="85">
        <v>1.3</v>
      </c>
      <c r="Y128" s="37"/>
      <c r="Z128" s="37"/>
      <c r="AA128" s="37">
        <v>86</v>
      </c>
      <c r="AB128" s="37"/>
      <c r="AC128" s="87"/>
    </row>
    <row r="129" spans="2:29">
      <c r="B129" s="88">
        <v>125</v>
      </c>
      <c r="C129" s="88"/>
      <c r="D129" s="88"/>
      <c r="E129" s="88" t="s">
        <v>1161</v>
      </c>
      <c r="F129" s="88" t="s">
        <v>1165</v>
      </c>
      <c r="G129" s="89">
        <v>1200</v>
      </c>
      <c r="H129" s="90"/>
      <c r="I129" s="90"/>
      <c r="J129" s="90"/>
      <c r="K129" s="89">
        <v>1130</v>
      </c>
      <c r="L129" s="89">
        <v>105</v>
      </c>
      <c r="M129" s="90">
        <v>3</v>
      </c>
      <c r="N129" s="90"/>
      <c r="O129" s="90"/>
      <c r="P129" s="90"/>
      <c r="Q129" s="90"/>
      <c r="R129" s="90"/>
      <c r="S129" s="90"/>
      <c r="T129" s="90"/>
      <c r="U129" s="90"/>
      <c r="V129" s="90"/>
      <c r="W129" s="90"/>
      <c r="X129" s="90">
        <v>1.3</v>
      </c>
      <c r="Y129" s="89"/>
      <c r="Z129" s="89"/>
      <c r="AA129" s="89">
        <v>116</v>
      </c>
      <c r="AB129" s="89"/>
      <c r="AC129" s="92"/>
    </row>
    <row r="130" spans="2:29" ht="14.25" customHeight="1">
      <c r="B130" s="1">
        <v>126</v>
      </c>
      <c r="E130" s="1" t="s">
        <v>1161</v>
      </c>
      <c r="F130" s="1" t="s">
        <v>1165</v>
      </c>
      <c r="G130" s="37">
        <v>1200</v>
      </c>
      <c r="H130" s="85"/>
      <c r="I130" s="85"/>
      <c r="J130" s="85"/>
      <c r="K130" s="37">
        <v>1130</v>
      </c>
      <c r="L130" s="37">
        <v>145</v>
      </c>
      <c r="M130" s="85">
        <v>4</v>
      </c>
      <c r="N130" s="85"/>
      <c r="O130" s="85"/>
      <c r="P130" s="85"/>
      <c r="Q130" s="85"/>
      <c r="R130" s="85"/>
      <c r="S130" s="85"/>
      <c r="T130" s="85"/>
      <c r="U130" s="85"/>
      <c r="V130" s="85"/>
      <c r="W130" s="85"/>
      <c r="X130" s="85">
        <v>1.3</v>
      </c>
      <c r="Y130" s="37"/>
      <c r="Z130" s="37"/>
      <c r="AA130" s="37">
        <v>147</v>
      </c>
      <c r="AB130" s="37"/>
      <c r="AC130" s="87"/>
    </row>
    <row r="131" spans="2:29" ht="14.25" customHeight="1">
      <c r="B131" s="88">
        <v>127</v>
      </c>
      <c r="C131" s="88"/>
      <c r="D131" s="88"/>
      <c r="E131" s="88" t="s">
        <v>1161</v>
      </c>
      <c r="F131" s="88" t="s">
        <v>1165</v>
      </c>
      <c r="G131" s="89">
        <v>1200</v>
      </c>
      <c r="H131" s="90"/>
      <c r="I131" s="90"/>
      <c r="J131" s="90"/>
      <c r="K131" s="89">
        <v>1130</v>
      </c>
      <c r="L131" s="89">
        <v>185</v>
      </c>
      <c r="M131" s="90">
        <v>5</v>
      </c>
      <c r="N131" s="90"/>
      <c r="O131" s="90"/>
      <c r="P131" s="90"/>
      <c r="Q131" s="90"/>
      <c r="R131" s="90"/>
      <c r="S131" s="90"/>
      <c r="T131" s="90"/>
      <c r="U131" s="90"/>
      <c r="V131" s="90"/>
      <c r="W131" s="90"/>
      <c r="X131" s="90">
        <v>1.3</v>
      </c>
      <c r="Y131" s="89"/>
      <c r="Z131" s="89"/>
      <c r="AA131" s="89">
        <v>179</v>
      </c>
      <c r="AB131" s="89"/>
      <c r="AC131" s="92"/>
    </row>
    <row r="132" spans="2:29">
      <c r="B132" s="1">
        <v>128</v>
      </c>
      <c r="E132" s="1" t="s">
        <v>1161</v>
      </c>
      <c r="F132" s="1" t="s">
        <v>1165</v>
      </c>
      <c r="G132" s="37">
        <v>1200</v>
      </c>
      <c r="H132" s="85"/>
      <c r="I132" s="85"/>
      <c r="J132" s="85"/>
      <c r="K132" s="37">
        <v>1130</v>
      </c>
      <c r="L132" s="37">
        <v>225</v>
      </c>
      <c r="M132" s="85">
        <v>6</v>
      </c>
      <c r="N132" s="85"/>
      <c r="O132" s="85"/>
      <c r="P132" s="85"/>
      <c r="Q132" s="85"/>
      <c r="R132" s="85"/>
      <c r="S132" s="85"/>
      <c r="T132" s="85"/>
      <c r="U132" s="85"/>
      <c r="V132" s="85"/>
      <c r="W132" s="85"/>
      <c r="X132" s="85">
        <v>1.3</v>
      </c>
      <c r="Y132" s="37"/>
      <c r="Z132" s="37"/>
      <c r="AA132" s="37">
        <v>209</v>
      </c>
      <c r="AB132" s="37"/>
      <c r="AC132" s="87"/>
    </row>
    <row r="133" spans="2:29">
      <c r="B133" s="88">
        <v>129</v>
      </c>
      <c r="C133" s="88"/>
      <c r="D133" s="88"/>
      <c r="E133" s="88" t="s">
        <v>1161</v>
      </c>
      <c r="F133" s="88" t="s">
        <v>1165</v>
      </c>
      <c r="G133" s="89">
        <v>1500</v>
      </c>
      <c r="H133" s="90"/>
      <c r="I133" s="90"/>
      <c r="J133" s="90"/>
      <c r="K133" s="89">
        <v>1430</v>
      </c>
      <c r="L133" s="89">
        <v>65</v>
      </c>
      <c r="M133" s="90">
        <v>2</v>
      </c>
      <c r="N133" s="90"/>
      <c r="O133" s="90"/>
      <c r="P133" s="90"/>
      <c r="Q133" s="90"/>
      <c r="R133" s="90"/>
      <c r="S133" s="90"/>
      <c r="T133" s="90"/>
      <c r="U133" s="90"/>
      <c r="V133" s="90"/>
      <c r="W133" s="90"/>
      <c r="X133" s="90">
        <v>1.3</v>
      </c>
      <c r="Y133" s="89"/>
      <c r="Z133" s="89"/>
      <c r="AA133" s="89">
        <v>106</v>
      </c>
      <c r="AB133" s="89"/>
      <c r="AC133" s="92"/>
    </row>
    <row r="134" spans="2:29">
      <c r="B134" s="1">
        <v>130</v>
      </c>
      <c r="E134" s="1" t="s">
        <v>1161</v>
      </c>
      <c r="F134" s="1" t="s">
        <v>1165</v>
      </c>
      <c r="G134" s="37">
        <v>1500</v>
      </c>
      <c r="H134" s="85"/>
      <c r="I134" s="85"/>
      <c r="J134" s="85"/>
      <c r="K134" s="37">
        <v>1430</v>
      </c>
      <c r="L134" s="37">
        <v>105</v>
      </c>
      <c r="M134" s="85">
        <v>3</v>
      </c>
      <c r="N134" s="85"/>
      <c r="O134" s="85"/>
      <c r="P134" s="85"/>
      <c r="Q134" s="85"/>
      <c r="R134" s="85"/>
      <c r="S134" s="85"/>
      <c r="T134" s="85"/>
      <c r="U134" s="85"/>
      <c r="V134" s="85"/>
      <c r="W134" s="85"/>
      <c r="X134" s="85">
        <v>1.3</v>
      </c>
      <c r="Y134" s="37"/>
      <c r="Z134" s="37"/>
      <c r="AA134" s="37">
        <v>143</v>
      </c>
      <c r="AB134" s="37"/>
      <c r="AC134" s="87"/>
    </row>
    <row r="135" spans="2:29">
      <c r="B135" s="88">
        <v>131</v>
      </c>
      <c r="C135" s="88"/>
      <c r="D135" s="88"/>
      <c r="E135" s="88" t="s">
        <v>1161</v>
      </c>
      <c r="F135" s="88" t="s">
        <v>1165</v>
      </c>
      <c r="G135" s="89">
        <v>1500</v>
      </c>
      <c r="H135" s="90"/>
      <c r="I135" s="90"/>
      <c r="J135" s="90"/>
      <c r="K135" s="89">
        <v>1430</v>
      </c>
      <c r="L135" s="89">
        <v>145</v>
      </c>
      <c r="M135" s="90">
        <v>4</v>
      </c>
      <c r="N135" s="90"/>
      <c r="O135" s="90"/>
      <c r="P135" s="90"/>
      <c r="Q135" s="90"/>
      <c r="R135" s="90"/>
      <c r="S135" s="90"/>
      <c r="T135" s="90"/>
      <c r="U135" s="90"/>
      <c r="V135" s="90"/>
      <c r="W135" s="90"/>
      <c r="X135" s="90">
        <v>1.3</v>
      </c>
      <c r="Y135" s="89"/>
      <c r="Z135" s="89"/>
      <c r="AA135" s="89">
        <v>180</v>
      </c>
      <c r="AB135" s="89"/>
      <c r="AC135" s="92"/>
    </row>
    <row r="136" spans="2:29">
      <c r="B136" s="1">
        <v>132</v>
      </c>
      <c r="E136" s="1" t="s">
        <v>1161</v>
      </c>
      <c r="F136" s="1" t="s">
        <v>1165</v>
      </c>
      <c r="G136" s="37">
        <v>1500</v>
      </c>
      <c r="H136" s="85"/>
      <c r="I136" s="85"/>
      <c r="J136" s="85"/>
      <c r="K136" s="37">
        <v>1430</v>
      </c>
      <c r="L136" s="37">
        <v>185</v>
      </c>
      <c r="M136" s="85">
        <v>5</v>
      </c>
      <c r="N136" s="85"/>
      <c r="O136" s="85"/>
      <c r="P136" s="85"/>
      <c r="Q136" s="85"/>
      <c r="R136" s="85"/>
      <c r="S136" s="85"/>
      <c r="T136" s="85"/>
      <c r="U136" s="85"/>
      <c r="V136" s="85"/>
      <c r="W136" s="85"/>
      <c r="X136" s="85">
        <v>1.3</v>
      </c>
      <c r="Y136" s="37"/>
      <c r="Z136" s="37"/>
      <c r="AA136" s="37">
        <v>215</v>
      </c>
      <c r="AB136" s="37"/>
      <c r="AC136" s="87"/>
    </row>
    <row r="137" spans="2:29">
      <c r="B137" s="88">
        <v>133</v>
      </c>
      <c r="C137" s="88"/>
      <c r="D137" s="88"/>
      <c r="E137" s="88" t="s">
        <v>1161</v>
      </c>
      <c r="F137" s="88" t="s">
        <v>1165</v>
      </c>
      <c r="G137" s="89">
        <v>1500</v>
      </c>
      <c r="H137" s="90"/>
      <c r="I137" s="90"/>
      <c r="J137" s="90"/>
      <c r="K137" s="89">
        <v>1430</v>
      </c>
      <c r="L137" s="89">
        <v>225</v>
      </c>
      <c r="M137" s="90">
        <v>6</v>
      </c>
      <c r="N137" s="90"/>
      <c r="O137" s="90"/>
      <c r="P137" s="90"/>
      <c r="Q137" s="90"/>
      <c r="R137" s="90"/>
      <c r="S137" s="90"/>
      <c r="T137" s="90"/>
      <c r="U137" s="90"/>
      <c r="V137" s="90"/>
      <c r="W137" s="90"/>
      <c r="X137" s="90">
        <v>1.3</v>
      </c>
      <c r="Y137" s="89"/>
      <c r="Z137" s="89"/>
      <c r="AA137" s="89">
        <v>250</v>
      </c>
      <c r="AB137" s="89"/>
      <c r="AC137" s="92"/>
    </row>
    <row r="138" spans="2:29">
      <c r="B138" s="1">
        <v>134</v>
      </c>
      <c r="E138" s="1" t="s">
        <v>1161</v>
      </c>
      <c r="F138" s="1" t="s">
        <v>1165</v>
      </c>
      <c r="G138" s="37">
        <v>2000</v>
      </c>
      <c r="H138" s="85"/>
      <c r="I138" s="85"/>
      <c r="J138" s="85"/>
      <c r="K138" s="37">
        <v>1930</v>
      </c>
      <c r="L138" s="37">
        <v>65</v>
      </c>
      <c r="M138" s="85">
        <v>2</v>
      </c>
      <c r="N138" s="85"/>
      <c r="O138" s="85"/>
      <c r="P138" s="85"/>
      <c r="Q138" s="85"/>
      <c r="R138" s="85"/>
      <c r="S138" s="85"/>
      <c r="T138" s="85"/>
      <c r="U138" s="85"/>
      <c r="V138" s="85"/>
      <c r="W138" s="85"/>
      <c r="X138" s="85">
        <v>1.3</v>
      </c>
      <c r="Y138" s="37"/>
      <c r="Z138" s="37"/>
      <c r="AA138" s="37">
        <v>140</v>
      </c>
      <c r="AB138" s="37"/>
      <c r="AC138" s="87"/>
    </row>
    <row r="139" spans="2:29" ht="14.25" customHeight="1">
      <c r="B139" s="88">
        <v>135</v>
      </c>
      <c r="C139" s="88"/>
      <c r="D139" s="88"/>
      <c r="E139" s="88" t="s">
        <v>1161</v>
      </c>
      <c r="F139" s="88" t="s">
        <v>1165</v>
      </c>
      <c r="G139" s="89">
        <v>2000</v>
      </c>
      <c r="H139" s="90"/>
      <c r="I139" s="90"/>
      <c r="J139" s="90"/>
      <c r="K139" s="89">
        <v>1930</v>
      </c>
      <c r="L139" s="89">
        <v>105</v>
      </c>
      <c r="M139" s="90">
        <v>3</v>
      </c>
      <c r="N139" s="90"/>
      <c r="O139" s="90"/>
      <c r="P139" s="90"/>
      <c r="Q139" s="90"/>
      <c r="R139" s="90"/>
      <c r="S139" s="90"/>
      <c r="T139" s="90"/>
      <c r="U139" s="90"/>
      <c r="V139" s="90"/>
      <c r="W139" s="90"/>
      <c r="X139" s="90">
        <v>1.3</v>
      </c>
      <c r="Y139" s="89"/>
      <c r="Z139" s="89"/>
      <c r="AA139" s="89">
        <v>189</v>
      </c>
      <c r="AB139" s="89"/>
      <c r="AC139" s="92"/>
    </row>
    <row r="140" spans="2:29" ht="14.25" customHeight="1">
      <c r="B140" s="1">
        <v>136</v>
      </c>
      <c r="E140" s="1" t="s">
        <v>1161</v>
      </c>
      <c r="F140" s="1" t="s">
        <v>1165</v>
      </c>
      <c r="G140" s="37">
        <v>2000</v>
      </c>
      <c r="H140" s="85"/>
      <c r="I140" s="85"/>
      <c r="J140" s="85"/>
      <c r="K140" s="37">
        <v>1930</v>
      </c>
      <c r="L140" s="37">
        <v>145</v>
      </c>
      <c r="M140" s="85">
        <v>4</v>
      </c>
      <c r="N140" s="85"/>
      <c r="O140" s="85"/>
      <c r="P140" s="85"/>
      <c r="Q140" s="85"/>
      <c r="R140" s="85"/>
      <c r="S140" s="85"/>
      <c r="T140" s="85"/>
      <c r="U140" s="85"/>
      <c r="V140" s="85"/>
      <c r="W140" s="85"/>
      <c r="X140" s="85">
        <v>1.3</v>
      </c>
      <c r="Y140" s="37"/>
      <c r="Z140" s="37"/>
      <c r="AA140" s="37">
        <v>237</v>
      </c>
      <c r="AB140" s="37"/>
      <c r="AC140" s="87"/>
    </row>
    <row r="141" spans="2:29" ht="14.25" customHeight="1">
      <c r="B141" s="88">
        <v>137</v>
      </c>
      <c r="C141" s="88"/>
      <c r="D141" s="88"/>
      <c r="E141" s="88" t="s">
        <v>1161</v>
      </c>
      <c r="F141" s="88" t="s">
        <v>1165</v>
      </c>
      <c r="G141" s="89">
        <v>2000</v>
      </c>
      <c r="H141" s="90"/>
      <c r="I141" s="90"/>
      <c r="J141" s="90"/>
      <c r="K141" s="89">
        <v>1930</v>
      </c>
      <c r="L141" s="89">
        <v>185</v>
      </c>
      <c r="M141" s="90">
        <v>5</v>
      </c>
      <c r="N141" s="90"/>
      <c r="O141" s="90"/>
      <c r="P141" s="90"/>
      <c r="Q141" s="90"/>
      <c r="R141" s="90"/>
      <c r="S141" s="90"/>
      <c r="T141" s="90"/>
      <c r="U141" s="90"/>
      <c r="V141" s="90"/>
      <c r="W141" s="90"/>
      <c r="X141" s="90">
        <v>1.3</v>
      </c>
      <c r="Y141" s="89"/>
      <c r="Z141" s="89"/>
      <c r="AA141" s="89">
        <v>282</v>
      </c>
      <c r="AB141" s="89"/>
      <c r="AC141" s="92"/>
    </row>
    <row r="142" spans="2:29">
      <c r="B142" s="1">
        <v>138</v>
      </c>
      <c r="E142" s="1" t="s">
        <v>1161</v>
      </c>
      <c r="F142" s="1" t="s">
        <v>1165</v>
      </c>
      <c r="G142" s="37">
        <v>2000</v>
      </c>
      <c r="H142" s="85"/>
      <c r="I142" s="85"/>
      <c r="J142" s="85"/>
      <c r="K142" s="37">
        <v>1930</v>
      </c>
      <c r="L142" s="37">
        <v>225</v>
      </c>
      <c r="M142" s="85">
        <v>6</v>
      </c>
      <c r="N142" s="85"/>
      <c r="O142" s="85"/>
      <c r="P142" s="85"/>
      <c r="Q142" s="85"/>
      <c r="R142" s="85"/>
      <c r="S142" s="85"/>
      <c r="T142" s="85"/>
      <c r="U142" s="85"/>
      <c r="V142" s="85"/>
      <c r="W142" s="85"/>
      <c r="X142" s="85">
        <v>1.3</v>
      </c>
      <c r="Y142" s="37"/>
      <c r="Z142" s="37"/>
      <c r="AA142" s="37">
        <v>330</v>
      </c>
      <c r="AB142" s="37"/>
      <c r="AC142" s="87"/>
    </row>
    <row r="143" spans="2:29">
      <c r="B143" s="88">
        <v>139</v>
      </c>
      <c r="C143" s="88"/>
      <c r="D143" s="88"/>
      <c r="E143" s="88" t="s">
        <v>1161</v>
      </c>
      <c r="F143" s="88" t="s">
        <v>1165</v>
      </c>
      <c r="G143" s="89">
        <v>2500</v>
      </c>
      <c r="H143" s="90"/>
      <c r="I143" s="90"/>
      <c r="J143" s="90"/>
      <c r="K143" s="89">
        <v>2430</v>
      </c>
      <c r="L143" s="89">
        <v>65</v>
      </c>
      <c r="M143" s="90">
        <v>2</v>
      </c>
      <c r="N143" s="90"/>
      <c r="O143" s="90"/>
      <c r="P143" s="90"/>
      <c r="Q143" s="90"/>
      <c r="R143" s="90"/>
      <c r="S143" s="90"/>
      <c r="T143" s="90"/>
      <c r="U143" s="90"/>
      <c r="V143" s="90"/>
      <c r="W143" s="90"/>
      <c r="X143" s="90">
        <v>1.3</v>
      </c>
      <c r="Y143" s="89"/>
      <c r="Z143" s="89"/>
      <c r="AA143" s="89">
        <v>174</v>
      </c>
      <c r="AB143" s="89"/>
      <c r="AC143" s="92"/>
    </row>
    <row r="144" spans="2:29">
      <c r="B144" s="1">
        <v>140</v>
      </c>
      <c r="E144" s="1" t="s">
        <v>1161</v>
      </c>
      <c r="F144" s="1" t="s">
        <v>1165</v>
      </c>
      <c r="G144" s="37">
        <v>2500</v>
      </c>
      <c r="H144" s="85"/>
      <c r="I144" s="85"/>
      <c r="J144" s="85"/>
      <c r="K144" s="37">
        <v>2430</v>
      </c>
      <c r="L144" s="37">
        <v>105</v>
      </c>
      <c r="M144" s="85">
        <v>3</v>
      </c>
      <c r="N144" s="85"/>
      <c r="O144" s="85"/>
      <c r="P144" s="85"/>
      <c r="Q144" s="85"/>
      <c r="R144" s="85"/>
      <c r="S144" s="85"/>
      <c r="T144" s="85"/>
      <c r="U144" s="85"/>
      <c r="V144" s="85"/>
      <c r="W144" s="85"/>
      <c r="X144" s="85">
        <v>1.3</v>
      </c>
      <c r="Y144" s="37"/>
      <c r="Z144" s="37"/>
      <c r="AA144" s="37">
        <v>236</v>
      </c>
      <c r="AB144" s="37"/>
      <c r="AC144" s="87"/>
    </row>
    <row r="145" spans="2:29" ht="14.25" customHeight="1">
      <c r="B145" s="88">
        <v>141</v>
      </c>
      <c r="C145" s="88"/>
      <c r="D145" s="88"/>
      <c r="E145" s="88" t="s">
        <v>1161</v>
      </c>
      <c r="F145" s="88" t="s">
        <v>1165</v>
      </c>
      <c r="G145" s="89">
        <v>2500</v>
      </c>
      <c r="H145" s="90"/>
      <c r="I145" s="90"/>
      <c r="J145" s="90"/>
      <c r="K145" s="89">
        <v>2430</v>
      </c>
      <c r="L145" s="89">
        <v>145</v>
      </c>
      <c r="M145" s="90">
        <v>4</v>
      </c>
      <c r="N145" s="90"/>
      <c r="O145" s="90"/>
      <c r="P145" s="90"/>
      <c r="Q145" s="90"/>
      <c r="R145" s="90"/>
      <c r="S145" s="90"/>
      <c r="T145" s="90"/>
      <c r="U145" s="90"/>
      <c r="V145" s="90"/>
      <c r="W145" s="90"/>
      <c r="X145" s="90">
        <v>1.3</v>
      </c>
      <c r="Y145" s="89"/>
      <c r="Z145" s="89"/>
      <c r="AA145" s="89">
        <v>295</v>
      </c>
      <c r="AB145" s="89"/>
      <c r="AC145" s="92"/>
    </row>
    <row r="146" spans="2:29" ht="14.25" customHeight="1">
      <c r="B146" s="1">
        <v>142</v>
      </c>
      <c r="E146" s="1" t="s">
        <v>1161</v>
      </c>
      <c r="F146" s="1" t="s">
        <v>1165</v>
      </c>
      <c r="G146" s="37">
        <v>2500</v>
      </c>
      <c r="H146" s="85"/>
      <c r="I146" s="85"/>
      <c r="J146" s="85"/>
      <c r="K146" s="37">
        <v>2430</v>
      </c>
      <c r="L146" s="37">
        <v>185</v>
      </c>
      <c r="M146" s="85">
        <v>5</v>
      </c>
      <c r="N146" s="85"/>
      <c r="O146" s="85"/>
      <c r="P146" s="85"/>
      <c r="Q146" s="85"/>
      <c r="R146" s="85"/>
      <c r="S146" s="85"/>
      <c r="T146" s="85"/>
      <c r="U146" s="85"/>
      <c r="V146" s="85"/>
      <c r="W146" s="85"/>
      <c r="X146" s="85">
        <v>1.3</v>
      </c>
      <c r="Y146" s="37"/>
      <c r="Z146" s="37"/>
      <c r="AA146" s="37">
        <v>347</v>
      </c>
      <c r="AB146" s="37"/>
      <c r="AC146" s="87"/>
    </row>
    <row r="147" spans="2:29">
      <c r="B147" s="88">
        <v>143</v>
      </c>
      <c r="C147" s="88"/>
      <c r="D147" s="88"/>
      <c r="E147" s="88" t="s">
        <v>1161</v>
      </c>
      <c r="F147" s="88" t="s">
        <v>1165</v>
      </c>
      <c r="G147" s="89">
        <v>2500</v>
      </c>
      <c r="H147" s="90"/>
      <c r="I147" s="90"/>
      <c r="J147" s="90"/>
      <c r="K147" s="89">
        <v>2430</v>
      </c>
      <c r="L147" s="89">
        <v>225</v>
      </c>
      <c r="M147" s="90">
        <v>6</v>
      </c>
      <c r="N147" s="90"/>
      <c r="O147" s="90"/>
      <c r="P147" s="90"/>
      <c r="Q147" s="90"/>
      <c r="R147" s="90"/>
      <c r="S147" s="90"/>
      <c r="T147" s="90"/>
      <c r="U147" s="90"/>
      <c r="V147" s="90"/>
      <c r="W147" s="90"/>
      <c r="X147" s="90">
        <v>1.3</v>
      </c>
      <c r="Y147" s="90"/>
      <c r="Z147" s="90"/>
      <c r="AA147" s="89">
        <v>403</v>
      </c>
      <c r="AB147" s="90"/>
      <c r="AC147" s="92"/>
    </row>
    <row r="148" spans="2:29">
      <c r="B148" s="1">
        <v>144</v>
      </c>
      <c r="E148" s="1" t="s">
        <v>1161</v>
      </c>
      <c r="F148" s="1" t="s">
        <v>1171</v>
      </c>
      <c r="G148" s="37">
        <v>180</v>
      </c>
      <c r="H148" s="85">
        <v>1500</v>
      </c>
      <c r="I148" s="85">
        <v>0.27</v>
      </c>
      <c r="J148" s="85"/>
      <c r="K148" s="37">
        <v>1430</v>
      </c>
      <c r="L148" s="37">
        <v>145</v>
      </c>
      <c r="M148" s="85"/>
      <c r="N148" s="85"/>
      <c r="O148" s="85"/>
      <c r="P148" s="85"/>
      <c r="Q148" s="85"/>
      <c r="R148" s="85"/>
      <c r="S148" s="85"/>
      <c r="T148" s="85"/>
      <c r="U148" s="85"/>
      <c r="V148" s="85"/>
      <c r="W148" s="85"/>
      <c r="X148" s="85">
        <v>1.3</v>
      </c>
      <c r="Y148" s="85">
        <v>905</v>
      </c>
      <c r="Z148" s="85">
        <v>603.33333333333337</v>
      </c>
      <c r="AA148" s="85"/>
      <c r="AB148" s="85"/>
      <c r="AC148" s="87"/>
    </row>
    <row r="149" spans="2:29">
      <c r="B149" s="88">
        <v>145</v>
      </c>
      <c r="C149" s="88"/>
      <c r="D149" s="88"/>
      <c r="E149" s="88" t="s">
        <v>1161</v>
      </c>
      <c r="F149" s="88" t="s">
        <v>1171</v>
      </c>
      <c r="G149" s="89">
        <v>180</v>
      </c>
      <c r="H149" s="90">
        <v>1500</v>
      </c>
      <c r="I149" s="90">
        <v>0.27</v>
      </c>
      <c r="J149" s="90"/>
      <c r="K149" s="89">
        <v>1430</v>
      </c>
      <c r="L149" s="89">
        <v>185</v>
      </c>
      <c r="M149" s="90"/>
      <c r="N149" s="90"/>
      <c r="O149" s="90"/>
      <c r="P149" s="90"/>
      <c r="Q149" s="90"/>
      <c r="R149" s="90"/>
      <c r="S149" s="90"/>
      <c r="T149" s="90"/>
      <c r="U149" s="90"/>
      <c r="V149" s="90"/>
      <c r="W149" s="90"/>
      <c r="X149" s="90">
        <v>1.3</v>
      </c>
      <c r="Y149" s="90">
        <v>1088</v>
      </c>
      <c r="Z149" s="90">
        <v>725.33333333333337</v>
      </c>
      <c r="AA149" s="90"/>
      <c r="AB149" s="90"/>
      <c r="AC149" s="92"/>
    </row>
    <row r="150" spans="2:29">
      <c r="B150" s="1">
        <v>146</v>
      </c>
      <c r="E150" s="1" t="s">
        <v>1161</v>
      </c>
      <c r="F150" s="1" t="s">
        <v>1171</v>
      </c>
      <c r="G150" s="37">
        <v>180</v>
      </c>
      <c r="H150" s="85">
        <v>1500</v>
      </c>
      <c r="I150" s="85">
        <v>0.27</v>
      </c>
      <c r="J150" s="85"/>
      <c r="K150" s="37">
        <v>1430</v>
      </c>
      <c r="L150" s="37">
        <v>225</v>
      </c>
      <c r="M150" s="85"/>
      <c r="N150" s="85"/>
      <c r="O150" s="85"/>
      <c r="P150" s="85"/>
      <c r="Q150" s="85"/>
      <c r="R150" s="85"/>
      <c r="S150" s="85"/>
      <c r="T150" s="85"/>
      <c r="U150" s="85"/>
      <c r="V150" s="85"/>
      <c r="W150" s="85"/>
      <c r="X150" s="85">
        <v>1.3</v>
      </c>
      <c r="Y150" s="85">
        <v>1284</v>
      </c>
      <c r="Z150" s="85">
        <v>856</v>
      </c>
      <c r="AA150" s="85"/>
      <c r="AB150" s="85"/>
      <c r="AC150" s="87"/>
    </row>
    <row r="151" spans="2:29">
      <c r="B151" s="88">
        <v>147</v>
      </c>
      <c r="C151" s="88"/>
      <c r="D151" s="88"/>
      <c r="E151" s="88" t="s">
        <v>1161</v>
      </c>
      <c r="F151" s="88" t="s">
        <v>1171</v>
      </c>
      <c r="G151" s="89">
        <v>180</v>
      </c>
      <c r="H151" s="90">
        <v>2000</v>
      </c>
      <c r="I151" s="90">
        <v>0.36</v>
      </c>
      <c r="J151" s="90"/>
      <c r="K151" s="89">
        <v>1930</v>
      </c>
      <c r="L151" s="89">
        <v>145</v>
      </c>
      <c r="M151" s="90"/>
      <c r="N151" s="90"/>
      <c r="O151" s="90"/>
      <c r="P151" s="90"/>
      <c r="Q151" s="90"/>
      <c r="R151" s="90"/>
      <c r="S151" s="90"/>
      <c r="T151" s="90"/>
      <c r="U151" s="90"/>
      <c r="V151" s="90"/>
      <c r="W151" s="90"/>
      <c r="X151" s="90">
        <v>1.3</v>
      </c>
      <c r="Y151" s="90">
        <v>1220</v>
      </c>
      <c r="Z151" s="90">
        <v>610</v>
      </c>
      <c r="AA151" s="90"/>
      <c r="AB151" s="90"/>
      <c r="AC151" s="92"/>
    </row>
    <row r="152" spans="2:29">
      <c r="B152" s="1">
        <v>148</v>
      </c>
      <c r="E152" s="1" t="s">
        <v>1161</v>
      </c>
      <c r="F152" s="1" t="s">
        <v>1171</v>
      </c>
      <c r="G152" s="37">
        <v>180</v>
      </c>
      <c r="H152" s="85">
        <v>2000</v>
      </c>
      <c r="I152" s="85">
        <v>0.36</v>
      </c>
      <c r="J152" s="85"/>
      <c r="K152" s="37">
        <v>1930</v>
      </c>
      <c r="L152" s="37">
        <v>185</v>
      </c>
      <c r="M152" s="85"/>
      <c r="N152" s="85"/>
      <c r="O152" s="85"/>
      <c r="P152" s="85"/>
      <c r="Q152" s="85"/>
      <c r="R152" s="85"/>
      <c r="S152" s="85"/>
      <c r="T152" s="85"/>
      <c r="U152" s="85"/>
      <c r="V152" s="85"/>
      <c r="W152" s="85"/>
      <c r="X152" s="85">
        <v>1.3</v>
      </c>
      <c r="Y152" s="85">
        <v>1466</v>
      </c>
      <c r="Z152" s="85">
        <v>733</v>
      </c>
      <c r="AA152" s="85"/>
      <c r="AB152" s="85"/>
      <c r="AC152" s="87"/>
    </row>
    <row r="153" spans="2:29">
      <c r="B153" s="88">
        <v>149</v>
      </c>
      <c r="C153" s="88"/>
      <c r="D153" s="88"/>
      <c r="E153" s="88" t="s">
        <v>1161</v>
      </c>
      <c r="F153" s="88" t="s">
        <v>1171</v>
      </c>
      <c r="G153" s="89">
        <v>180</v>
      </c>
      <c r="H153" s="90">
        <v>2000</v>
      </c>
      <c r="I153" s="90">
        <v>0.36</v>
      </c>
      <c r="J153" s="90"/>
      <c r="K153" s="89">
        <v>1930</v>
      </c>
      <c r="L153" s="89">
        <v>225</v>
      </c>
      <c r="M153" s="90"/>
      <c r="N153" s="90"/>
      <c r="O153" s="90"/>
      <c r="P153" s="90"/>
      <c r="Q153" s="90"/>
      <c r="R153" s="90"/>
      <c r="S153" s="90"/>
      <c r="T153" s="90"/>
      <c r="U153" s="90"/>
      <c r="V153" s="90"/>
      <c r="W153" s="90"/>
      <c r="X153" s="90">
        <v>1.3</v>
      </c>
      <c r="Y153" s="90">
        <v>1731</v>
      </c>
      <c r="Z153" s="90">
        <v>865.5</v>
      </c>
      <c r="AA153" s="90"/>
      <c r="AB153" s="90"/>
      <c r="AC153" s="92"/>
    </row>
    <row r="154" spans="2:29" ht="14.25" customHeight="1">
      <c r="B154" s="1">
        <v>150</v>
      </c>
      <c r="E154" s="1" t="s">
        <v>1161</v>
      </c>
      <c r="F154" s="1" t="s">
        <v>1171</v>
      </c>
      <c r="G154" s="37">
        <v>180</v>
      </c>
      <c r="H154" s="85">
        <v>2500</v>
      </c>
      <c r="I154" s="85">
        <v>0.45</v>
      </c>
      <c r="J154" s="85"/>
      <c r="K154" s="37">
        <v>2430</v>
      </c>
      <c r="L154" s="37">
        <v>145</v>
      </c>
      <c r="M154" s="85"/>
      <c r="N154" s="85"/>
      <c r="O154" s="85"/>
      <c r="P154" s="85"/>
      <c r="Q154" s="85"/>
      <c r="R154" s="85"/>
      <c r="S154" s="85"/>
      <c r="T154" s="85"/>
      <c r="U154" s="85"/>
      <c r="V154" s="85"/>
      <c r="W154" s="85"/>
      <c r="X154" s="85">
        <v>1.3</v>
      </c>
      <c r="Y154" s="85">
        <v>1556</v>
      </c>
      <c r="Z154" s="85">
        <v>622.4</v>
      </c>
      <c r="AA154" s="85"/>
      <c r="AB154" s="85"/>
      <c r="AC154" s="87"/>
    </row>
    <row r="155" spans="2:29">
      <c r="B155" s="88">
        <v>151</v>
      </c>
      <c r="C155" s="88"/>
      <c r="D155" s="88"/>
      <c r="E155" s="88" t="s">
        <v>1161</v>
      </c>
      <c r="F155" s="88" t="s">
        <v>1171</v>
      </c>
      <c r="G155" s="89">
        <v>180</v>
      </c>
      <c r="H155" s="90">
        <v>2500</v>
      </c>
      <c r="I155" s="90">
        <v>0.45</v>
      </c>
      <c r="J155" s="90"/>
      <c r="K155" s="89">
        <v>2430</v>
      </c>
      <c r="L155" s="89">
        <v>185</v>
      </c>
      <c r="M155" s="90"/>
      <c r="N155" s="90"/>
      <c r="O155" s="90"/>
      <c r="P155" s="90"/>
      <c r="Q155" s="90"/>
      <c r="R155" s="90"/>
      <c r="S155" s="90"/>
      <c r="T155" s="90"/>
      <c r="U155" s="90"/>
      <c r="V155" s="90"/>
      <c r="W155" s="90"/>
      <c r="X155" s="90">
        <v>1.3</v>
      </c>
      <c r="Y155" s="90">
        <v>1871</v>
      </c>
      <c r="Z155" s="90">
        <v>748.4</v>
      </c>
      <c r="AA155" s="90"/>
      <c r="AB155" s="90"/>
      <c r="AC155" s="92"/>
    </row>
    <row r="156" spans="2:29" ht="14.25" customHeight="1">
      <c r="B156" s="1">
        <v>152</v>
      </c>
      <c r="E156" s="1" t="s">
        <v>1161</v>
      </c>
      <c r="F156" s="1" t="s">
        <v>1171</v>
      </c>
      <c r="G156" s="37">
        <v>180</v>
      </c>
      <c r="H156" s="85">
        <v>2500</v>
      </c>
      <c r="I156" s="85">
        <v>0.45</v>
      </c>
      <c r="J156" s="85"/>
      <c r="K156" s="37">
        <v>2430</v>
      </c>
      <c r="L156" s="37">
        <v>225</v>
      </c>
      <c r="M156" s="85"/>
      <c r="N156" s="85"/>
      <c r="O156" s="85"/>
      <c r="P156" s="85"/>
      <c r="Q156" s="85"/>
      <c r="R156" s="85"/>
      <c r="S156" s="85"/>
      <c r="T156" s="85"/>
      <c r="U156" s="85"/>
      <c r="V156" s="85"/>
      <c r="W156" s="85"/>
      <c r="X156" s="85">
        <v>1.3</v>
      </c>
      <c r="Y156" s="85">
        <v>2209</v>
      </c>
      <c r="Z156" s="85">
        <v>883.6</v>
      </c>
      <c r="AA156" s="85"/>
      <c r="AB156" s="85"/>
      <c r="AC156" s="87"/>
    </row>
    <row r="157" spans="2:29">
      <c r="B157" s="88">
        <v>153</v>
      </c>
      <c r="C157" s="88"/>
      <c r="D157" s="88"/>
      <c r="E157" s="88" t="s">
        <v>1161</v>
      </c>
      <c r="F157" s="88" t="s">
        <v>1171</v>
      </c>
      <c r="G157" s="89">
        <v>225</v>
      </c>
      <c r="H157" s="90">
        <v>1500</v>
      </c>
      <c r="I157" s="90">
        <v>0.33750000000000002</v>
      </c>
      <c r="J157" s="90"/>
      <c r="K157" s="89">
        <v>1430</v>
      </c>
      <c r="L157" s="89">
        <v>145</v>
      </c>
      <c r="M157" s="90"/>
      <c r="N157" s="90"/>
      <c r="O157" s="90"/>
      <c r="P157" s="90"/>
      <c r="Q157" s="90"/>
      <c r="R157" s="90"/>
      <c r="S157" s="90"/>
      <c r="T157" s="90"/>
      <c r="U157" s="90"/>
      <c r="V157" s="90"/>
      <c r="W157" s="90"/>
      <c r="X157" s="90">
        <v>1.3</v>
      </c>
      <c r="Y157" s="90">
        <v>1086</v>
      </c>
      <c r="Z157" s="90">
        <v>724</v>
      </c>
      <c r="AA157" s="90"/>
      <c r="AB157" s="90"/>
      <c r="AC157" s="92"/>
    </row>
    <row r="158" spans="2:29">
      <c r="B158" s="1">
        <v>154</v>
      </c>
      <c r="E158" s="1" t="s">
        <v>1161</v>
      </c>
      <c r="F158" s="1" t="s">
        <v>1171</v>
      </c>
      <c r="G158" s="37">
        <v>225</v>
      </c>
      <c r="H158" s="85">
        <v>1500</v>
      </c>
      <c r="I158" s="85">
        <v>0.33750000000000002</v>
      </c>
      <c r="J158" s="85"/>
      <c r="K158" s="37">
        <v>1430</v>
      </c>
      <c r="L158" s="37">
        <v>185</v>
      </c>
      <c r="M158" s="85"/>
      <c r="N158" s="85"/>
      <c r="O158" s="85"/>
      <c r="P158" s="85"/>
      <c r="Q158" s="85"/>
      <c r="R158" s="85"/>
      <c r="S158" s="85"/>
      <c r="T158" s="85"/>
      <c r="U158" s="85"/>
      <c r="V158" s="85"/>
      <c r="W158" s="85"/>
      <c r="X158" s="85">
        <v>1.3</v>
      </c>
      <c r="Y158" s="85">
        <v>1306</v>
      </c>
      <c r="Z158" s="85">
        <v>870.66666666666674</v>
      </c>
      <c r="AA158" s="85"/>
      <c r="AB158" s="85"/>
      <c r="AC158" s="87"/>
    </row>
    <row r="159" spans="2:29">
      <c r="B159" s="88">
        <v>155</v>
      </c>
      <c r="C159" s="88"/>
      <c r="D159" s="88"/>
      <c r="E159" s="88" t="s">
        <v>1161</v>
      </c>
      <c r="F159" s="88" t="s">
        <v>1171</v>
      </c>
      <c r="G159" s="89">
        <v>225</v>
      </c>
      <c r="H159" s="90">
        <v>1500</v>
      </c>
      <c r="I159" s="90">
        <v>0.33750000000000002</v>
      </c>
      <c r="J159" s="90"/>
      <c r="K159" s="89">
        <v>1430</v>
      </c>
      <c r="L159" s="89">
        <v>225</v>
      </c>
      <c r="M159" s="90"/>
      <c r="N159" s="90"/>
      <c r="O159" s="90"/>
      <c r="P159" s="90"/>
      <c r="Q159" s="90"/>
      <c r="R159" s="90"/>
      <c r="S159" s="90"/>
      <c r="T159" s="90"/>
      <c r="U159" s="90"/>
      <c r="V159" s="90"/>
      <c r="W159" s="90"/>
      <c r="X159" s="90">
        <v>1.3</v>
      </c>
      <c r="Y159" s="90">
        <v>1528</v>
      </c>
      <c r="Z159" s="90">
        <v>1018.6666666666666</v>
      </c>
      <c r="AA159" s="90"/>
      <c r="AB159" s="90"/>
      <c r="AC159" s="92"/>
    </row>
    <row r="160" spans="2:29" ht="14.25" customHeight="1">
      <c r="B160" s="1">
        <v>156</v>
      </c>
      <c r="E160" s="1" t="s">
        <v>1161</v>
      </c>
      <c r="F160" s="1" t="s">
        <v>1171</v>
      </c>
      <c r="G160" s="37">
        <v>225</v>
      </c>
      <c r="H160" s="85">
        <v>2000</v>
      </c>
      <c r="I160" s="85">
        <v>0.45</v>
      </c>
      <c r="J160" s="85"/>
      <c r="K160" s="37">
        <v>1930</v>
      </c>
      <c r="L160" s="37">
        <v>145</v>
      </c>
      <c r="M160" s="85"/>
      <c r="N160" s="85"/>
      <c r="O160" s="85"/>
      <c r="P160" s="85"/>
      <c r="Q160" s="85"/>
      <c r="R160" s="85"/>
      <c r="S160" s="85"/>
      <c r="T160" s="85"/>
      <c r="U160" s="85"/>
      <c r="V160" s="85"/>
      <c r="W160" s="85"/>
      <c r="X160" s="85">
        <v>1.3</v>
      </c>
      <c r="Y160" s="85">
        <v>1435</v>
      </c>
      <c r="Z160" s="85">
        <v>717.5</v>
      </c>
      <c r="AA160" s="85"/>
      <c r="AB160" s="85"/>
      <c r="AC160" s="87"/>
    </row>
    <row r="161" spans="2:29" ht="14.25" customHeight="1">
      <c r="B161" s="88">
        <v>157</v>
      </c>
      <c r="C161" s="88"/>
      <c r="D161" s="88"/>
      <c r="E161" s="88" t="s">
        <v>1161</v>
      </c>
      <c r="F161" s="88" t="s">
        <v>1171</v>
      </c>
      <c r="G161" s="89">
        <v>225</v>
      </c>
      <c r="H161" s="90">
        <v>2000</v>
      </c>
      <c r="I161" s="90">
        <v>0.45</v>
      </c>
      <c r="J161" s="90"/>
      <c r="K161" s="89">
        <v>1930</v>
      </c>
      <c r="L161" s="89">
        <v>185</v>
      </c>
      <c r="M161" s="90"/>
      <c r="N161" s="90"/>
      <c r="O161" s="90"/>
      <c r="P161" s="90"/>
      <c r="Q161" s="90"/>
      <c r="R161" s="90"/>
      <c r="S161" s="90"/>
      <c r="T161" s="90"/>
      <c r="U161" s="90"/>
      <c r="V161" s="90"/>
      <c r="W161" s="90"/>
      <c r="X161" s="90">
        <v>1.3</v>
      </c>
      <c r="Y161" s="90">
        <v>1724</v>
      </c>
      <c r="Z161" s="90">
        <v>862</v>
      </c>
      <c r="AA161" s="90"/>
      <c r="AB161" s="90"/>
      <c r="AC161" s="92"/>
    </row>
    <row r="162" spans="2:29" ht="14.25" customHeight="1">
      <c r="B162" s="1">
        <v>158</v>
      </c>
      <c r="E162" s="1" t="s">
        <v>1161</v>
      </c>
      <c r="F162" s="1" t="s">
        <v>1171</v>
      </c>
      <c r="G162" s="37">
        <v>225</v>
      </c>
      <c r="H162" s="85">
        <v>2000</v>
      </c>
      <c r="I162" s="85">
        <v>0.45</v>
      </c>
      <c r="J162" s="85"/>
      <c r="K162" s="37">
        <v>1930</v>
      </c>
      <c r="L162" s="37">
        <v>225</v>
      </c>
      <c r="M162" s="85"/>
      <c r="N162" s="85"/>
      <c r="O162" s="85"/>
      <c r="P162" s="85"/>
      <c r="Q162" s="85"/>
      <c r="R162" s="85"/>
      <c r="S162" s="85"/>
      <c r="T162" s="85"/>
      <c r="U162" s="85"/>
      <c r="V162" s="85"/>
      <c r="W162" s="85"/>
      <c r="X162" s="85">
        <v>1.3</v>
      </c>
      <c r="Y162" s="85">
        <v>2060</v>
      </c>
      <c r="Z162" s="85">
        <v>1030</v>
      </c>
      <c r="AA162" s="85"/>
      <c r="AB162" s="85"/>
      <c r="AC162" s="87"/>
    </row>
    <row r="163" spans="2:29">
      <c r="B163" s="88">
        <v>159</v>
      </c>
      <c r="C163" s="88"/>
      <c r="D163" s="88"/>
      <c r="E163" s="88" t="s">
        <v>1161</v>
      </c>
      <c r="F163" s="88" t="s">
        <v>1171</v>
      </c>
      <c r="G163" s="89">
        <v>225</v>
      </c>
      <c r="H163" s="90">
        <v>2500</v>
      </c>
      <c r="I163" s="90">
        <v>0.5625</v>
      </c>
      <c r="J163" s="90"/>
      <c r="K163" s="89">
        <v>2430</v>
      </c>
      <c r="L163" s="89">
        <v>145</v>
      </c>
      <c r="M163" s="90"/>
      <c r="N163" s="90"/>
      <c r="O163" s="90"/>
      <c r="P163" s="90"/>
      <c r="Q163" s="90"/>
      <c r="R163" s="90"/>
      <c r="S163" s="90"/>
      <c r="T163" s="90"/>
      <c r="U163" s="90"/>
      <c r="V163" s="90"/>
      <c r="W163" s="90"/>
      <c r="X163" s="90">
        <v>1.3</v>
      </c>
      <c r="Y163" s="90">
        <v>1868</v>
      </c>
      <c r="Z163" s="90">
        <v>747.19999999999993</v>
      </c>
      <c r="AA163" s="90"/>
      <c r="AB163" s="90"/>
      <c r="AC163" s="92"/>
    </row>
    <row r="164" spans="2:29">
      <c r="B164" s="1">
        <v>160</v>
      </c>
      <c r="E164" s="1" t="s">
        <v>1161</v>
      </c>
      <c r="F164" s="1" t="s">
        <v>1171</v>
      </c>
      <c r="G164" s="37">
        <v>225</v>
      </c>
      <c r="H164" s="85">
        <v>2500</v>
      </c>
      <c r="I164" s="85">
        <v>0.5625</v>
      </c>
      <c r="J164" s="85"/>
      <c r="K164" s="37">
        <v>2430</v>
      </c>
      <c r="L164" s="37">
        <v>185</v>
      </c>
      <c r="M164" s="85"/>
      <c r="N164" s="85"/>
      <c r="O164" s="85"/>
      <c r="P164" s="85"/>
      <c r="Q164" s="85"/>
      <c r="R164" s="85"/>
      <c r="S164" s="85"/>
      <c r="T164" s="85"/>
      <c r="U164" s="85"/>
      <c r="V164" s="85"/>
      <c r="W164" s="85"/>
      <c r="X164" s="85">
        <v>1.3</v>
      </c>
      <c r="Y164" s="85">
        <v>2247</v>
      </c>
      <c r="Z164" s="85">
        <v>898.80000000000007</v>
      </c>
      <c r="AA164" s="85"/>
      <c r="AB164" s="85"/>
      <c r="AC164" s="87"/>
    </row>
    <row r="165" spans="2:29" ht="14.25" customHeight="1">
      <c r="B165" s="88">
        <v>161</v>
      </c>
      <c r="C165" s="88"/>
      <c r="D165" s="88"/>
      <c r="E165" s="88" t="s">
        <v>1161</v>
      </c>
      <c r="F165" s="88" t="s">
        <v>1171</v>
      </c>
      <c r="G165" s="89">
        <v>225</v>
      </c>
      <c r="H165" s="90">
        <v>2500</v>
      </c>
      <c r="I165" s="90">
        <v>0.5625</v>
      </c>
      <c r="J165" s="90"/>
      <c r="K165" s="89">
        <v>2430</v>
      </c>
      <c r="L165" s="89">
        <v>225</v>
      </c>
      <c r="M165" s="90"/>
      <c r="N165" s="90"/>
      <c r="O165" s="90"/>
      <c r="P165" s="90"/>
      <c r="Q165" s="90"/>
      <c r="R165" s="90"/>
      <c r="S165" s="90"/>
      <c r="T165" s="90"/>
      <c r="U165" s="90"/>
      <c r="V165" s="90"/>
      <c r="W165" s="90"/>
      <c r="X165" s="90">
        <v>1.3</v>
      </c>
      <c r="Y165" s="90">
        <v>2627</v>
      </c>
      <c r="Z165" s="90">
        <v>1050.8</v>
      </c>
      <c r="AA165" s="90"/>
      <c r="AB165" s="90"/>
      <c r="AC165" s="92"/>
    </row>
    <row r="166" spans="2:29">
      <c r="B166" s="1">
        <v>162</v>
      </c>
      <c r="E166" s="1" t="s">
        <v>1161</v>
      </c>
      <c r="F166" s="1" t="s">
        <v>1171</v>
      </c>
      <c r="G166" s="37">
        <v>270</v>
      </c>
      <c r="H166" s="85">
        <v>1500</v>
      </c>
      <c r="I166" s="85">
        <v>0.40500000000000003</v>
      </c>
      <c r="J166" s="85"/>
      <c r="K166" s="37">
        <v>1430</v>
      </c>
      <c r="L166" s="37">
        <v>145</v>
      </c>
      <c r="M166" s="85"/>
      <c r="N166" s="85"/>
      <c r="O166" s="85"/>
      <c r="P166" s="85"/>
      <c r="Q166" s="85"/>
      <c r="R166" s="85"/>
      <c r="S166" s="85"/>
      <c r="T166" s="85"/>
      <c r="U166" s="85"/>
      <c r="V166" s="85"/>
      <c r="W166" s="85"/>
      <c r="X166" s="85">
        <v>1.3</v>
      </c>
      <c r="Y166" s="85">
        <v>1306</v>
      </c>
      <c r="Z166" s="85">
        <v>870.66666666666674</v>
      </c>
      <c r="AA166" s="85"/>
      <c r="AB166" s="85"/>
      <c r="AC166" s="87"/>
    </row>
    <row r="167" spans="2:29">
      <c r="B167" s="88">
        <v>163</v>
      </c>
      <c r="C167" s="88"/>
      <c r="D167" s="88"/>
      <c r="E167" s="88" t="s">
        <v>1161</v>
      </c>
      <c r="F167" s="88" t="s">
        <v>1171</v>
      </c>
      <c r="G167" s="89">
        <v>270</v>
      </c>
      <c r="H167" s="90">
        <v>1500</v>
      </c>
      <c r="I167" s="90">
        <v>0.40500000000000003</v>
      </c>
      <c r="J167" s="90"/>
      <c r="K167" s="89">
        <v>1430</v>
      </c>
      <c r="L167" s="89">
        <v>185</v>
      </c>
      <c r="M167" s="90"/>
      <c r="N167" s="90"/>
      <c r="O167" s="90"/>
      <c r="P167" s="90"/>
      <c r="Q167" s="90"/>
      <c r="R167" s="90"/>
      <c r="S167" s="90"/>
      <c r="T167" s="90"/>
      <c r="U167" s="90"/>
      <c r="V167" s="90"/>
      <c r="W167" s="90"/>
      <c r="X167" s="90">
        <v>1.3</v>
      </c>
      <c r="Y167" s="90">
        <v>1516</v>
      </c>
      <c r="Z167" s="90">
        <v>1010.6666666666666</v>
      </c>
      <c r="AA167" s="90"/>
      <c r="AB167" s="90"/>
      <c r="AC167" s="92"/>
    </row>
    <row r="168" spans="2:29">
      <c r="B168" s="1">
        <v>164</v>
      </c>
      <c r="E168" s="1" t="s">
        <v>1161</v>
      </c>
      <c r="F168" s="1" t="s">
        <v>1171</v>
      </c>
      <c r="G168" s="37">
        <v>270</v>
      </c>
      <c r="H168" s="85">
        <v>1500</v>
      </c>
      <c r="I168" s="85">
        <v>0.40500000000000003</v>
      </c>
      <c r="J168" s="85"/>
      <c r="K168" s="37">
        <v>1430</v>
      </c>
      <c r="L168" s="37">
        <v>225</v>
      </c>
      <c r="M168" s="85"/>
      <c r="N168" s="85"/>
      <c r="O168" s="85"/>
      <c r="P168" s="85"/>
      <c r="Q168" s="85"/>
      <c r="R168" s="85"/>
      <c r="S168" s="85"/>
      <c r="T168" s="85"/>
      <c r="U168" s="85"/>
      <c r="V168" s="85"/>
      <c r="W168" s="85"/>
      <c r="X168" s="85">
        <v>1.3</v>
      </c>
      <c r="Y168" s="85">
        <v>1783</v>
      </c>
      <c r="Z168" s="85">
        <v>1188.6666666666667</v>
      </c>
      <c r="AA168" s="85"/>
      <c r="AB168" s="85"/>
      <c r="AC168" s="87"/>
    </row>
    <row r="169" spans="2:29">
      <c r="B169" s="88">
        <v>165</v>
      </c>
      <c r="C169" s="88"/>
      <c r="D169" s="88"/>
      <c r="E169" s="88" t="s">
        <v>1161</v>
      </c>
      <c r="F169" s="88" t="s">
        <v>1171</v>
      </c>
      <c r="G169" s="89">
        <v>270</v>
      </c>
      <c r="H169" s="90">
        <v>2000</v>
      </c>
      <c r="I169" s="90">
        <v>0.54</v>
      </c>
      <c r="J169" s="90"/>
      <c r="K169" s="89">
        <v>1930</v>
      </c>
      <c r="L169" s="89">
        <v>145</v>
      </c>
      <c r="M169" s="90"/>
      <c r="N169" s="90"/>
      <c r="O169" s="90"/>
      <c r="P169" s="90"/>
      <c r="Q169" s="90"/>
      <c r="R169" s="90"/>
      <c r="S169" s="90"/>
      <c r="T169" s="90"/>
      <c r="U169" s="90"/>
      <c r="V169" s="90"/>
      <c r="W169" s="90"/>
      <c r="X169" s="90">
        <v>1.3</v>
      </c>
      <c r="Y169" s="90">
        <v>1711</v>
      </c>
      <c r="Z169" s="90">
        <v>855.5</v>
      </c>
      <c r="AA169" s="90"/>
      <c r="AB169" s="90"/>
      <c r="AC169" s="92"/>
    </row>
    <row r="170" spans="2:29" ht="14.25" customHeight="1">
      <c r="B170" s="1">
        <v>166</v>
      </c>
      <c r="E170" s="1" t="s">
        <v>1161</v>
      </c>
      <c r="F170" s="1" t="s">
        <v>1171</v>
      </c>
      <c r="G170" s="37">
        <v>270</v>
      </c>
      <c r="H170" s="85">
        <v>2000</v>
      </c>
      <c r="I170" s="85">
        <v>0.54</v>
      </c>
      <c r="J170" s="85"/>
      <c r="K170" s="37">
        <v>1930</v>
      </c>
      <c r="L170" s="37">
        <v>185</v>
      </c>
      <c r="M170" s="85"/>
      <c r="N170" s="85"/>
      <c r="O170" s="85"/>
      <c r="P170" s="85"/>
      <c r="Q170" s="85"/>
      <c r="R170" s="85"/>
      <c r="S170" s="85"/>
      <c r="T170" s="85"/>
      <c r="U170" s="85"/>
      <c r="V170" s="85"/>
      <c r="W170" s="85"/>
      <c r="X170" s="85">
        <v>1.3</v>
      </c>
      <c r="Y170" s="85">
        <v>2043</v>
      </c>
      <c r="Z170" s="85">
        <v>1021.5000000000001</v>
      </c>
      <c r="AA170" s="85"/>
      <c r="AB170" s="85"/>
      <c r="AC170" s="87"/>
    </row>
    <row r="171" spans="2:29">
      <c r="B171" s="88">
        <v>167</v>
      </c>
      <c r="C171" s="88"/>
      <c r="D171" s="88"/>
      <c r="E171" s="88" t="s">
        <v>1161</v>
      </c>
      <c r="F171" s="88" t="s">
        <v>1171</v>
      </c>
      <c r="G171" s="89">
        <v>270</v>
      </c>
      <c r="H171" s="90">
        <v>2000</v>
      </c>
      <c r="I171" s="90">
        <v>0.54</v>
      </c>
      <c r="J171" s="90"/>
      <c r="K171" s="89">
        <v>1930</v>
      </c>
      <c r="L171" s="89">
        <v>225</v>
      </c>
      <c r="M171" s="90"/>
      <c r="N171" s="90"/>
      <c r="O171" s="90"/>
      <c r="P171" s="90"/>
      <c r="Q171" s="90"/>
      <c r="R171" s="90"/>
      <c r="S171" s="90"/>
      <c r="T171" s="90"/>
      <c r="U171" s="90"/>
      <c r="V171" s="90"/>
      <c r="W171" s="90"/>
      <c r="X171" s="90">
        <v>1.3</v>
      </c>
      <c r="Y171" s="90">
        <v>2403</v>
      </c>
      <c r="Z171" s="90">
        <v>1201.5</v>
      </c>
      <c r="AA171" s="90"/>
      <c r="AB171" s="90"/>
      <c r="AC171" s="92"/>
    </row>
    <row r="172" spans="2:29">
      <c r="B172" s="1">
        <v>168</v>
      </c>
      <c r="E172" s="1" t="s">
        <v>1161</v>
      </c>
      <c r="F172" s="1" t="s">
        <v>1171</v>
      </c>
      <c r="G172" s="37">
        <v>270</v>
      </c>
      <c r="H172" s="85">
        <v>2500</v>
      </c>
      <c r="I172" s="85">
        <v>0.67500000000000004</v>
      </c>
      <c r="J172" s="85"/>
      <c r="K172" s="37">
        <v>2430</v>
      </c>
      <c r="L172" s="37">
        <v>145</v>
      </c>
      <c r="M172" s="85"/>
      <c r="N172" s="85"/>
      <c r="O172" s="85"/>
      <c r="P172" s="85"/>
      <c r="Q172" s="85"/>
      <c r="R172" s="85"/>
      <c r="S172" s="85"/>
      <c r="T172" s="85"/>
      <c r="U172" s="85"/>
      <c r="V172" s="85"/>
      <c r="W172" s="85"/>
      <c r="X172" s="85">
        <v>1.3</v>
      </c>
      <c r="Y172" s="85">
        <v>2183</v>
      </c>
      <c r="Z172" s="85">
        <v>873.19999999999993</v>
      </c>
      <c r="AA172" s="85"/>
      <c r="AB172" s="85"/>
      <c r="AC172" s="87"/>
    </row>
    <row r="173" spans="2:29">
      <c r="B173" s="88">
        <v>169</v>
      </c>
      <c r="C173" s="88"/>
      <c r="D173" s="88"/>
      <c r="E173" s="88" t="s">
        <v>1161</v>
      </c>
      <c r="F173" s="88" t="s">
        <v>1171</v>
      </c>
      <c r="G173" s="89">
        <v>270</v>
      </c>
      <c r="H173" s="90">
        <v>2500</v>
      </c>
      <c r="I173" s="90">
        <v>0.67500000000000004</v>
      </c>
      <c r="J173" s="90"/>
      <c r="K173" s="89">
        <v>2430</v>
      </c>
      <c r="L173" s="89">
        <v>185</v>
      </c>
      <c r="M173" s="90"/>
      <c r="N173" s="90"/>
      <c r="O173" s="90"/>
      <c r="P173" s="90"/>
      <c r="Q173" s="90"/>
      <c r="R173" s="90"/>
      <c r="S173" s="90"/>
      <c r="T173" s="90"/>
      <c r="U173" s="90"/>
      <c r="V173" s="90"/>
      <c r="W173" s="90"/>
      <c r="X173" s="90">
        <v>1.3</v>
      </c>
      <c r="Y173" s="90">
        <v>2608</v>
      </c>
      <c r="Z173" s="90">
        <v>1043.1999999999998</v>
      </c>
      <c r="AA173" s="90"/>
      <c r="AB173" s="90"/>
      <c r="AC173" s="92"/>
    </row>
    <row r="174" spans="2:29">
      <c r="B174" s="1">
        <v>170</v>
      </c>
      <c r="E174" s="1" t="s">
        <v>1161</v>
      </c>
      <c r="F174" s="1" t="s">
        <v>1171</v>
      </c>
      <c r="G174" s="37">
        <v>270</v>
      </c>
      <c r="H174" s="85">
        <v>2500</v>
      </c>
      <c r="I174" s="85">
        <v>0.67500000000000004</v>
      </c>
      <c r="J174" s="85"/>
      <c r="K174" s="37">
        <v>2430</v>
      </c>
      <c r="L174" s="37">
        <v>225</v>
      </c>
      <c r="M174" s="85"/>
      <c r="N174" s="85"/>
      <c r="O174" s="85"/>
      <c r="P174" s="85"/>
      <c r="Q174" s="85"/>
      <c r="R174" s="85"/>
      <c r="S174" s="85"/>
      <c r="T174" s="85"/>
      <c r="U174" s="85"/>
      <c r="V174" s="85"/>
      <c r="W174" s="85"/>
      <c r="X174" s="85">
        <v>1.3</v>
      </c>
      <c r="Y174" s="85">
        <v>3066</v>
      </c>
      <c r="Z174" s="85">
        <v>1226.3999999999999</v>
      </c>
      <c r="AA174" s="85"/>
      <c r="AB174" s="85"/>
      <c r="AC174" s="87"/>
    </row>
    <row r="175" spans="2:29">
      <c r="B175" s="88">
        <v>171</v>
      </c>
      <c r="C175" s="88"/>
      <c r="D175" s="88"/>
      <c r="E175" s="88" t="s">
        <v>1161</v>
      </c>
      <c r="F175" s="88" t="s">
        <v>1171</v>
      </c>
      <c r="G175" s="89">
        <v>315</v>
      </c>
      <c r="H175" s="90">
        <v>1500</v>
      </c>
      <c r="I175" s="90">
        <v>0.47249999999999998</v>
      </c>
      <c r="J175" s="90"/>
      <c r="K175" s="89">
        <v>1430</v>
      </c>
      <c r="L175" s="89">
        <v>145</v>
      </c>
      <c r="M175" s="90"/>
      <c r="N175" s="90"/>
      <c r="O175" s="90"/>
      <c r="P175" s="90"/>
      <c r="Q175" s="90"/>
      <c r="R175" s="90"/>
      <c r="S175" s="90"/>
      <c r="T175" s="90"/>
      <c r="U175" s="90"/>
      <c r="V175" s="90"/>
      <c r="W175" s="90"/>
      <c r="X175" s="90">
        <v>1.3</v>
      </c>
      <c r="Y175" s="90">
        <v>1465</v>
      </c>
      <c r="Z175" s="90">
        <v>976.66666666666663</v>
      </c>
      <c r="AA175" s="90"/>
      <c r="AB175" s="90"/>
      <c r="AC175" s="92"/>
    </row>
    <row r="176" spans="2:29">
      <c r="B176" s="1">
        <v>172</v>
      </c>
      <c r="E176" s="1" t="s">
        <v>1161</v>
      </c>
      <c r="F176" s="1" t="s">
        <v>1171</v>
      </c>
      <c r="G176" s="37">
        <v>315</v>
      </c>
      <c r="H176" s="85">
        <v>1500</v>
      </c>
      <c r="I176" s="85">
        <v>0.47249999999999998</v>
      </c>
      <c r="J176" s="85"/>
      <c r="K176" s="37">
        <v>1430</v>
      </c>
      <c r="L176" s="37">
        <v>185</v>
      </c>
      <c r="M176" s="85"/>
      <c r="N176" s="85"/>
      <c r="O176" s="85"/>
      <c r="P176" s="85"/>
      <c r="Q176" s="85"/>
      <c r="R176" s="85"/>
      <c r="S176" s="85"/>
      <c r="T176" s="85"/>
      <c r="U176" s="85"/>
      <c r="V176" s="85"/>
      <c r="W176" s="85"/>
      <c r="X176" s="85">
        <v>1.3</v>
      </c>
      <c r="Y176" s="85">
        <v>1758</v>
      </c>
      <c r="Z176" s="85">
        <v>1172</v>
      </c>
      <c r="AA176" s="85"/>
      <c r="AB176" s="85"/>
      <c r="AC176" s="87"/>
    </row>
    <row r="177" spans="2:29">
      <c r="B177" s="88">
        <v>173</v>
      </c>
      <c r="C177" s="88"/>
      <c r="D177" s="88"/>
      <c r="E177" s="88" t="s">
        <v>1161</v>
      </c>
      <c r="F177" s="88" t="s">
        <v>1171</v>
      </c>
      <c r="G177" s="89">
        <v>315</v>
      </c>
      <c r="H177" s="90">
        <v>1500</v>
      </c>
      <c r="I177" s="90">
        <v>0.47249999999999998</v>
      </c>
      <c r="J177" s="90"/>
      <c r="K177" s="89">
        <v>1430</v>
      </c>
      <c r="L177" s="89">
        <v>225</v>
      </c>
      <c r="M177" s="90"/>
      <c r="N177" s="90"/>
      <c r="O177" s="90"/>
      <c r="P177" s="90"/>
      <c r="Q177" s="90"/>
      <c r="R177" s="90"/>
      <c r="S177" s="90"/>
      <c r="T177" s="90"/>
      <c r="U177" s="90"/>
      <c r="V177" s="90"/>
      <c r="W177" s="90"/>
      <c r="X177" s="90">
        <v>1.3</v>
      </c>
      <c r="Y177" s="90">
        <v>2049</v>
      </c>
      <c r="Z177" s="90">
        <v>1366</v>
      </c>
      <c r="AA177" s="90"/>
      <c r="AB177" s="90"/>
      <c r="AC177" s="92"/>
    </row>
    <row r="178" spans="2:29">
      <c r="B178" s="1">
        <v>174</v>
      </c>
      <c r="E178" s="1" t="s">
        <v>1161</v>
      </c>
      <c r="F178" s="1" t="s">
        <v>1171</v>
      </c>
      <c r="G178" s="37">
        <v>315</v>
      </c>
      <c r="H178" s="85">
        <v>2000</v>
      </c>
      <c r="I178" s="85">
        <v>0.63</v>
      </c>
      <c r="J178" s="85"/>
      <c r="K178" s="37">
        <v>1930</v>
      </c>
      <c r="L178" s="37">
        <v>145</v>
      </c>
      <c r="M178" s="85"/>
      <c r="N178" s="85"/>
      <c r="O178" s="85"/>
      <c r="P178" s="85"/>
      <c r="Q178" s="85"/>
      <c r="R178" s="85"/>
      <c r="S178" s="85"/>
      <c r="T178" s="85"/>
      <c r="U178" s="85"/>
      <c r="V178" s="85"/>
      <c r="W178" s="85"/>
      <c r="X178" s="85">
        <v>1.3</v>
      </c>
      <c r="Y178" s="85">
        <v>1975</v>
      </c>
      <c r="Z178" s="85">
        <v>987.5</v>
      </c>
      <c r="AA178" s="85"/>
      <c r="AB178" s="85"/>
      <c r="AC178" s="87"/>
    </row>
    <row r="179" spans="2:29" ht="14.25" customHeight="1">
      <c r="B179" s="88">
        <v>175</v>
      </c>
      <c r="C179" s="88"/>
      <c r="D179" s="88"/>
      <c r="E179" s="88" t="s">
        <v>1161</v>
      </c>
      <c r="F179" s="88" t="s">
        <v>1171</v>
      </c>
      <c r="G179" s="89">
        <v>315</v>
      </c>
      <c r="H179" s="90">
        <v>2000</v>
      </c>
      <c r="I179" s="90">
        <v>0.63</v>
      </c>
      <c r="J179" s="90"/>
      <c r="K179" s="89">
        <v>1930</v>
      </c>
      <c r="L179" s="89">
        <v>185</v>
      </c>
      <c r="M179" s="90"/>
      <c r="N179" s="90"/>
      <c r="O179" s="90"/>
      <c r="P179" s="90"/>
      <c r="Q179" s="90"/>
      <c r="R179" s="90"/>
      <c r="S179" s="90"/>
      <c r="T179" s="90"/>
      <c r="U179" s="90"/>
      <c r="V179" s="90"/>
      <c r="W179" s="90"/>
      <c r="X179" s="90">
        <v>1.3</v>
      </c>
      <c r="Y179" s="90">
        <v>2371</v>
      </c>
      <c r="Z179" s="90">
        <v>1185.5</v>
      </c>
      <c r="AA179" s="90"/>
      <c r="AB179" s="90"/>
      <c r="AC179" s="92"/>
    </row>
    <row r="180" spans="2:29" ht="14.25" customHeight="1">
      <c r="B180" s="1">
        <v>176</v>
      </c>
      <c r="E180" s="1" t="s">
        <v>1161</v>
      </c>
      <c r="F180" s="1" t="s">
        <v>1171</v>
      </c>
      <c r="G180" s="37">
        <v>315</v>
      </c>
      <c r="H180" s="85">
        <v>2000</v>
      </c>
      <c r="I180" s="85">
        <v>0.63</v>
      </c>
      <c r="J180" s="85"/>
      <c r="K180" s="37">
        <v>1930</v>
      </c>
      <c r="L180" s="37">
        <v>225</v>
      </c>
      <c r="M180" s="85"/>
      <c r="N180" s="85"/>
      <c r="O180" s="85"/>
      <c r="P180" s="85"/>
      <c r="Q180" s="85"/>
      <c r="R180" s="85"/>
      <c r="S180" s="85"/>
      <c r="T180" s="85"/>
      <c r="U180" s="85"/>
      <c r="V180" s="85"/>
      <c r="W180" s="85"/>
      <c r="X180" s="85">
        <v>1.3</v>
      </c>
      <c r="Y180" s="85">
        <v>2763</v>
      </c>
      <c r="Z180" s="85">
        <v>1381.5</v>
      </c>
      <c r="AA180" s="85"/>
      <c r="AB180" s="85"/>
      <c r="AC180" s="87"/>
    </row>
    <row r="181" spans="2:29">
      <c r="B181" s="88">
        <v>177</v>
      </c>
      <c r="C181" s="88"/>
      <c r="D181" s="88"/>
      <c r="E181" s="88" t="s">
        <v>1161</v>
      </c>
      <c r="F181" s="88" t="s">
        <v>1171</v>
      </c>
      <c r="G181" s="89">
        <v>315</v>
      </c>
      <c r="H181" s="90">
        <v>2500</v>
      </c>
      <c r="I181" s="90">
        <v>0.78749999999999998</v>
      </c>
      <c r="J181" s="90"/>
      <c r="K181" s="89">
        <v>2430</v>
      </c>
      <c r="L181" s="89">
        <v>145</v>
      </c>
      <c r="M181" s="90"/>
      <c r="N181" s="90"/>
      <c r="O181" s="90"/>
      <c r="P181" s="90"/>
      <c r="Q181" s="90"/>
      <c r="R181" s="90"/>
      <c r="S181" s="90"/>
      <c r="T181" s="90"/>
      <c r="U181" s="90"/>
      <c r="V181" s="90"/>
      <c r="W181" s="90"/>
      <c r="X181" s="90">
        <v>1.3</v>
      </c>
      <c r="Y181" s="90">
        <v>2520</v>
      </c>
      <c r="Z181" s="90">
        <v>1008</v>
      </c>
      <c r="AA181" s="90"/>
      <c r="AB181" s="90"/>
      <c r="AC181" s="92"/>
    </row>
    <row r="182" spans="2:29">
      <c r="B182" s="1">
        <v>178</v>
      </c>
      <c r="E182" s="1" t="s">
        <v>1161</v>
      </c>
      <c r="F182" s="1" t="s">
        <v>1171</v>
      </c>
      <c r="G182" s="37">
        <v>315</v>
      </c>
      <c r="H182" s="85">
        <v>2500</v>
      </c>
      <c r="I182" s="85">
        <v>0.78749999999999998</v>
      </c>
      <c r="J182" s="85"/>
      <c r="K182" s="37">
        <v>2430</v>
      </c>
      <c r="L182" s="37">
        <v>185</v>
      </c>
      <c r="M182" s="85"/>
      <c r="N182" s="85"/>
      <c r="O182" s="85"/>
      <c r="P182" s="85"/>
      <c r="Q182" s="85"/>
      <c r="R182" s="85"/>
      <c r="S182" s="85"/>
      <c r="T182" s="85"/>
      <c r="U182" s="85"/>
      <c r="V182" s="85"/>
      <c r="W182" s="85"/>
      <c r="X182" s="85">
        <v>1.3</v>
      </c>
      <c r="Y182" s="85">
        <v>3024</v>
      </c>
      <c r="Z182" s="85">
        <v>1209.5999999999999</v>
      </c>
      <c r="AA182" s="85"/>
      <c r="AB182" s="85"/>
      <c r="AC182" s="87"/>
    </row>
    <row r="183" spans="2:29">
      <c r="B183" s="88">
        <v>179</v>
      </c>
      <c r="C183" s="88"/>
      <c r="D183" s="88"/>
      <c r="E183" s="88" t="s">
        <v>1161</v>
      </c>
      <c r="F183" s="88" t="s">
        <v>1171</v>
      </c>
      <c r="G183" s="89">
        <v>315</v>
      </c>
      <c r="H183" s="90">
        <v>2500</v>
      </c>
      <c r="I183" s="90">
        <v>0.78749999999999998</v>
      </c>
      <c r="J183" s="90"/>
      <c r="K183" s="89">
        <v>2430</v>
      </c>
      <c r="L183" s="89">
        <v>225</v>
      </c>
      <c r="M183" s="90"/>
      <c r="N183" s="90"/>
      <c r="O183" s="90"/>
      <c r="P183" s="90"/>
      <c r="Q183" s="90"/>
      <c r="R183" s="90"/>
      <c r="S183" s="90"/>
      <c r="T183" s="90"/>
      <c r="U183" s="90"/>
      <c r="V183" s="90"/>
      <c r="W183" s="90"/>
      <c r="X183" s="90">
        <v>1.3</v>
      </c>
      <c r="Y183" s="90">
        <v>3524</v>
      </c>
      <c r="Z183" s="90">
        <v>1409.6</v>
      </c>
      <c r="AA183" s="90"/>
      <c r="AB183" s="90"/>
      <c r="AC183" s="92"/>
    </row>
    <row r="184" spans="2:29">
      <c r="B184" s="1">
        <v>180</v>
      </c>
      <c r="E184" s="1" t="s">
        <v>1161</v>
      </c>
      <c r="F184" s="1" t="s">
        <v>1175</v>
      </c>
      <c r="G184" s="37">
        <v>721</v>
      </c>
      <c r="H184" s="85">
        <v>516</v>
      </c>
      <c r="I184" s="93">
        <v>0.37203599999999998</v>
      </c>
      <c r="J184" s="93"/>
      <c r="K184" s="37">
        <v>451</v>
      </c>
      <c r="L184" s="37"/>
      <c r="M184" s="85"/>
      <c r="N184" s="85"/>
      <c r="O184" s="85"/>
      <c r="P184" s="85"/>
      <c r="Q184" s="85"/>
      <c r="R184" s="85"/>
      <c r="S184" s="85"/>
      <c r="T184" s="85"/>
      <c r="U184" s="85"/>
      <c r="V184" s="85"/>
      <c r="W184" s="85"/>
      <c r="X184" s="85">
        <v>1.22</v>
      </c>
      <c r="Y184" s="85">
        <v>406</v>
      </c>
      <c r="Z184" s="85"/>
      <c r="AA184" s="85"/>
      <c r="AB184" s="85"/>
      <c r="AC184" s="87"/>
    </row>
    <row r="185" spans="2:29" ht="14.25" customHeight="1">
      <c r="B185" s="88">
        <v>181</v>
      </c>
      <c r="C185" s="88"/>
      <c r="D185" s="88"/>
      <c r="E185" s="88" t="s">
        <v>1161</v>
      </c>
      <c r="F185" s="88" t="s">
        <v>1175</v>
      </c>
      <c r="G185" s="89">
        <v>721</v>
      </c>
      <c r="H185" s="90">
        <v>616</v>
      </c>
      <c r="I185" s="94">
        <v>0.44413599999999998</v>
      </c>
      <c r="J185" s="94"/>
      <c r="K185" s="89">
        <v>551</v>
      </c>
      <c r="L185" s="89"/>
      <c r="M185" s="90"/>
      <c r="N185" s="90"/>
      <c r="O185" s="90"/>
      <c r="P185" s="90"/>
      <c r="Q185" s="90"/>
      <c r="R185" s="90"/>
      <c r="S185" s="90"/>
      <c r="T185" s="90"/>
      <c r="U185" s="90"/>
      <c r="V185" s="90"/>
      <c r="W185" s="90"/>
      <c r="X185" s="90">
        <v>1.21</v>
      </c>
      <c r="Y185" s="89">
        <v>482</v>
      </c>
      <c r="Z185" s="89"/>
      <c r="AA185" s="89"/>
      <c r="AB185" s="89"/>
      <c r="AC185" s="92"/>
    </row>
    <row r="186" spans="2:29">
      <c r="B186" s="1">
        <v>182</v>
      </c>
      <c r="E186" s="1" t="s">
        <v>1161</v>
      </c>
      <c r="F186" s="1" t="s">
        <v>1175</v>
      </c>
      <c r="G186" s="37">
        <v>721</v>
      </c>
      <c r="H186" s="85">
        <v>766</v>
      </c>
      <c r="I186" s="93">
        <v>0.55228600000000005</v>
      </c>
      <c r="J186" s="93"/>
      <c r="K186" s="37">
        <v>701</v>
      </c>
      <c r="L186" s="37"/>
      <c r="M186" s="85"/>
      <c r="N186" s="85"/>
      <c r="O186" s="85"/>
      <c r="P186" s="85"/>
      <c r="Q186" s="85"/>
      <c r="R186" s="85"/>
      <c r="S186" s="85"/>
      <c r="T186" s="85"/>
      <c r="U186" s="85"/>
      <c r="V186" s="85"/>
      <c r="W186" s="85"/>
      <c r="X186" s="85">
        <v>1.19</v>
      </c>
      <c r="Y186" s="37">
        <v>595</v>
      </c>
      <c r="Z186" s="37"/>
      <c r="AA186" s="37"/>
      <c r="AB186" s="37"/>
      <c r="AC186" s="87"/>
    </row>
    <row r="187" spans="2:29">
      <c r="B187" s="88">
        <v>183</v>
      </c>
      <c r="C187" s="88"/>
      <c r="D187" s="88"/>
      <c r="E187" s="88" t="s">
        <v>1161</v>
      </c>
      <c r="F187" s="88" t="s">
        <v>1175</v>
      </c>
      <c r="G187" s="89">
        <v>721</v>
      </c>
      <c r="H187" s="90">
        <v>1016</v>
      </c>
      <c r="I187" s="94">
        <v>0.73253599999999996</v>
      </c>
      <c r="J187" s="94"/>
      <c r="K187" s="89">
        <v>951</v>
      </c>
      <c r="L187" s="89"/>
      <c r="M187" s="90"/>
      <c r="N187" s="90"/>
      <c r="O187" s="90"/>
      <c r="P187" s="90"/>
      <c r="Q187" s="90"/>
      <c r="R187" s="90"/>
      <c r="S187" s="90"/>
      <c r="T187" s="90"/>
      <c r="U187" s="90"/>
      <c r="V187" s="90"/>
      <c r="W187" s="90"/>
      <c r="X187" s="90">
        <v>1.17</v>
      </c>
      <c r="Y187" s="89">
        <v>781</v>
      </c>
      <c r="Z187" s="89"/>
      <c r="AA187" s="89"/>
      <c r="AB187" s="89"/>
      <c r="AC187" s="92"/>
    </row>
    <row r="188" spans="2:29">
      <c r="B188" s="1">
        <v>184</v>
      </c>
      <c r="E188" s="1" t="s">
        <v>1161</v>
      </c>
      <c r="F188" s="1" t="s">
        <v>1175</v>
      </c>
      <c r="G188" s="37">
        <v>1098</v>
      </c>
      <c r="H188" s="85">
        <v>516</v>
      </c>
      <c r="I188" s="93">
        <v>0.56656799999999996</v>
      </c>
      <c r="J188" s="93"/>
      <c r="K188" s="37">
        <v>451</v>
      </c>
      <c r="L188" s="37"/>
      <c r="M188" s="85"/>
      <c r="N188" s="85"/>
      <c r="O188" s="85"/>
      <c r="P188" s="85"/>
      <c r="Q188" s="85"/>
      <c r="R188" s="85"/>
      <c r="S188" s="85"/>
      <c r="T188" s="85"/>
      <c r="U188" s="85"/>
      <c r="V188" s="85"/>
      <c r="W188" s="85"/>
      <c r="X188" s="85">
        <v>1.24</v>
      </c>
      <c r="Y188" s="37">
        <v>588</v>
      </c>
      <c r="Z188" s="37"/>
      <c r="AA188" s="37"/>
      <c r="AB188" s="37"/>
      <c r="AC188" s="87"/>
    </row>
    <row r="189" spans="2:29">
      <c r="B189" s="88">
        <v>185</v>
      </c>
      <c r="C189" s="88"/>
      <c r="D189" s="88"/>
      <c r="E189" s="88" t="s">
        <v>1161</v>
      </c>
      <c r="F189" s="88" t="s">
        <v>1175</v>
      </c>
      <c r="G189" s="89">
        <v>1098</v>
      </c>
      <c r="H189" s="90">
        <v>616</v>
      </c>
      <c r="I189" s="94">
        <v>0.67636799999999997</v>
      </c>
      <c r="J189" s="94"/>
      <c r="K189" s="89">
        <v>551</v>
      </c>
      <c r="L189" s="89"/>
      <c r="M189" s="90"/>
      <c r="N189" s="90"/>
      <c r="O189" s="90"/>
      <c r="P189" s="90"/>
      <c r="Q189" s="90"/>
      <c r="R189" s="90"/>
      <c r="S189" s="90"/>
      <c r="T189" s="90"/>
      <c r="U189" s="90"/>
      <c r="V189" s="90"/>
      <c r="W189" s="90"/>
      <c r="X189" s="90">
        <v>1.22</v>
      </c>
      <c r="Y189" s="89">
        <v>698</v>
      </c>
      <c r="Z189" s="89"/>
      <c r="AA189" s="89"/>
      <c r="AB189" s="89"/>
      <c r="AC189" s="92"/>
    </row>
    <row r="190" spans="2:29">
      <c r="B190" s="1">
        <v>186</v>
      </c>
      <c r="E190" s="1" t="s">
        <v>1161</v>
      </c>
      <c r="F190" s="1" t="s">
        <v>1175</v>
      </c>
      <c r="G190" s="37">
        <v>1098</v>
      </c>
      <c r="H190" s="85">
        <v>766</v>
      </c>
      <c r="I190" s="93">
        <v>0.84106800000000004</v>
      </c>
      <c r="J190" s="93"/>
      <c r="K190" s="37">
        <v>701</v>
      </c>
      <c r="L190" s="37"/>
      <c r="M190" s="85"/>
      <c r="N190" s="85"/>
      <c r="O190" s="85"/>
      <c r="P190" s="85"/>
      <c r="Q190" s="85"/>
      <c r="R190" s="85"/>
      <c r="S190" s="85"/>
      <c r="T190" s="85"/>
      <c r="U190" s="85"/>
      <c r="V190" s="85"/>
      <c r="W190" s="85"/>
      <c r="X190" s="85">
        <v>1.19</v>
      </c>
      <c r="Y190" s="37">
        <v>862</v>
      </c>
      <c r="Z190" s="37"/>
      <c r="AA190" s="37"/>
      <c r="AB190" s="37"/>
      <c r="AC190" s="87"/>
    </row>
    <row r="191" spans="2:29">
      <c r="B191" s="88">
        <v>187</v>
      </c>
      <c r="C191" s="88"/>
      <c r="D191" s="88"/>
      <c r="E191" s="88" t="s">
        <v>1161</v>
      </c>
      <c r="F191" s="88" t="s">
        <v>1175</v>
      </c>
      <c r="G191" s="89">
        <v>1098</v>
      </c>
      <c r="H191" s="90">
        <v>1016</v>
      </c>
      <c r="I191" s="94">
        <v>1.1155679999999999</v>
      </c>
      <c r="J191" s="94"/>
      <c r="K191" s="89">
        <v>951</v>
      </c>
      <c r="L191" s="89"/>
      <c r="M191" s="90"/>
      <c r="N191" s="90"/>
      <c r="O191" s="90"/>
      <c r="P191" s="90"/>
      <c r="Q191" s="90"/>
      <c r="R191" s="90"/>
      <c r="S191" s="90"/>
      <c r="T191" s="90"/>
      <c r="U191" s="90"/>
      <c r="V191" s="90"/>
      <c r="W191" s="90"/>
      <c r="X191" s="90">
        <v>1.1499999999999999</v>
      </c>
      <c r="Y191" s="89">
        <v>1133</v>
      </c>
      <c r="Z191" s="89"/>
      <c r="AA191" s="89"/>
      <c r="AB191" s="89"/>
      <c r="AC191" s="92"/>
    </row>
    <row r="192" spans="2:29" ht="14.25" customHeight="1">
      <c r="B192" s="1">
        <v>188</v>
      </c>
      <c r="E192" s="1" t="s">
        <v>1161</v>
      </c>
      <c r="F192" s="1" t="s">
        <v>1175</v>
      </c>
      <c r="G192" s="37">
        <v>1475</v>
      </c>
      <c r="H192" s="85">
        <v>516</v>
      </c>
      <c r="I192" s="93">
        <v>0.7611</v>
      </c>
      <c r="J192" s="93"/>
      <c r="K192" s="37">
        <v>451</v>
      </c>
      <c r="L192" s="37"/>
      <c r="M192" s="85"/>
      <c r="N192" s="85"/>
      <c r="O192" s="85"/>
      <c r="P192" s="85"/>
      <c r="Q192" s="85"/>
      <c r="R192" s="85"/>
      <c r="S192" s="85"/>
      <c r="T192" s="85"/>
      <c r="U192" s="85"/>
      <c r="V192" s="85"/>
      <c r="W192" s="85"/>
      <c r="X192" s="85">
        <v>1.25</v>
      </c>
      <c r="Y192" s="37">
        <v>764</v>
      </c>
      <c r="Z192" s="37"/>
      <c r="AA192" s="37"/>
      <c r="AB192" s="37"/>
      <c r="AC192" s="87"/>
    </row>
    <row r="193" spans="2:29" ht="14.25" customHeight="1">
      <c r="B193" s="88">
        <v>189</v>
      </c>
      <c r="C193" s="88"/>
      <c r="D193" s="88"/>
      <c r="E193" s="88" t="s">
        <v>1161</v>
      </c>
      <c r="F193" s="88" t="s">
        <v>1175</v>
      </c>
      <c r="G193" s="89">
        <v>1475</v>
      </c>
      <c r="H193" s="90">
        <v>616</v>
      </c>
      <c r="I193" s="94">
        <v>0.90859999999999996</v>
      </c>
      <c r="J193" s="94"/>
      <c r="K193" s="89">
        <v>551</v>
      </c>
      <c r="L193" s="89"/>
      <c r="M193" s="90"/>
      <c r="N193" s="90"/>
      <c r="O193" s="90"/>
      <c r="P193" s="90"/>
      <c r="Q193" s="90"/>
      <c r="R193" s="90"/>
      <c r="S193" s="90"/>
      <c r="T193" s="90"/>
      <c r="U193" s="90"/>
      <c r="V193" s="90"/>
      <c r="W193" s="90"/>
      <c r="X193" s="90">
        <v>1.24</v>
      </c>
      <c r="Y193" s="89">
        <v>906</v>
      </c>
      <c r="Z193" s="89"/>
      <c r="AA193" s="89"/>
      <c r="AB193" s="89"/>
      <c r="AC193" s="92"/>
    </row>
    <row r="194" spans="2:29">
      <c r="B194" s="1">
        <v>190</v>
      </c>
      <c r="E194" s="1" t="s">
        <v>1161</v>
      </c>
      <c r="F194" s="1" t="s">
        <v>1175</v>
      </c>
      <c r="G194" s="37">
        <v>1475</v>
      </c>
      <c r="H194" s="85">
        <v>766</v>
      </c>
      <c r="I194" s="93">
        <v>1.12985</v>
      </c>
      <c r="J194" s="93"/>
      <c r="K194" s="37">
        <v>701</v>
      </c>
      <c r="L194" s="37"/>
      <c r="M194" s="85"/>
      <c r="N194" s="85"/>
      <c r="O194" s="85"/>
      <c r="P194" s="85"/>
      <c r="Q194" s="85"/>
      <c r="R194" s="85"/>
      <c r="S194" s="85"/>
      <c r="T194" s="85"/>
      <c r="U194" s="85"/>
      <c r="V194" s="85"/>
      <c r="W194" s="85"/>
      <c r="X194" s="85">
        <v>1.21</v>
      </c>
      <c r="Y194" s="37">
        <v>1119</v>
      </c>
      <c r="Z194" s="37"/>
      <c r="AA194" s="37"/>
      <c r="AB194" s="37"/>
      <c r="AC194" s="87"/>
    </row>
    <row r="195" spans="2:29">
      <c r="B195" s="88">
        <v>191</v>
      </c>
      <c r="C195" s="88"/>
      <c r="D195" s="88"/>
      <c r="E195" s="88" t="s">
        <v>1161</v>
      </c>
      <c r="F195" s="88" t="s">
        <v>1175</v>
      </c>
      <c r="G195" s="89">
        <v>1475</v>
      </c>
      <c r="H195" s="90">
        <v>1016</v>
      </c>
      <c r="I195" s="94">
        <v>1.4985999999999999</v>
      </c>
      <c r="J195" s="94"/>
      <c r="K195" s="89">
        <v>951</v>
      </c>
      <c r="L195" s="89"/>
      <c r="M195" s="90"/>
      <c r="N195" s="90"/>
      <c r="O195" s="90"/>
      <c r="P195" s="90"/>
      <c r="Q195" s="90"/>
      <c r="R195" s="90"/>
      <c r="S195" s="90"/>
      <c r="T195" s="90"/>
      <c r="U195" s="90"/>
      <c r="V195" s="90"/>
      <c r="W195" s="90"/>
      <c r="X195" s="90">
        <v>1.18</v>
      </c>
      <c r="Y195" s="89">
        <v>1470</v>
      </c>
      <c r="Z195" s="89"/>
      <c r="AA195" s="89"/>
      <c r="AB195" s="89"/>
      <c r="AC195" s="92"/>
    </row>
    <row r="196" spans="2:29">
      <c r="B196" s="1">
        <v>192</v>
      </c>
      <c r="E196" s="1" t="s">
        <v>1161</v>
      </c>
      <c r="F196" s="1" t="s">
        <v>1175</v>
      </c>
      <c r="G196" s="37">
        <v>1852</v>
      </c>
      <c r="H196" s="85">
        <v>516</v>
      </c>
      <c r="I196" s="93">
        <v>0.95563200000000004</v>
      </c>
      <c r="J196" s="93"/>
      <c r="K196" s="37">
        <v>451</v>
      </c>
      <c r="L196" s="37"/>
      <c r="M196" s="85"/>
      <c r="N196" s="85"/>
      <c r="O196" s="85"/>
      <c r="P196" s="85"/>
      <c r="Q196" s="85"/>
      <c r="R196" s="85"/>
      <c r="S196" s="85"/>
      <c r="T196" s="85"/>
      <c r="U196" s="85"/>
      <c r="V196" s="85"/>
      <c r="W196" s="85"/>
      <c r="X196" s="85">
        <v>1.26</v>
      </c>
      <c r="Y196" s="37">
        <v>934</v>
      </c>
      <c r="Z196" s="37"/>
      <c r="AA196" s="37"/>
      <c r="AB196" s="37"/>
      <c r="AC196" s="87"/>
    </row>
    <row r="197" spans="2:29">
      <c r="B197" s="88">
        <v>193</v>
      </c>
      <c r="C197" s="88"/>
      <c r="D197" s="88"/>
      <c r="E197" s="88" t="s">
        <v>1161</v>
      </c>
      <c r="F197" s="88" t="s">
        <v>1175</v>
      </c>
      <c r="G197" s="89">
        <v>1852</v>
      </c>
      <c r="H197" s="90">
        <v>616</v>
      </c>
      <c r="I197" s="94">
        <v>1.1408320000000001</v>
      </c>
      <c r="J197" s="94"/>
      <c r="K197" s="89">
        <v>551</v>
      </c>
      <c r="L197" s="89"/>
      <c r="M197" s="90"/>
      <c r="N197" s="90"/>
      <c r="O197" s="90"/>
      <c r="P197" s="90"/>
      <c r="Q197" s="90"/>
      <c r="R197" s="90"/>
      <c r="S197" s="90"/>
      <c r="T197" s="90"/>
      <c r="U197" s="90"/>
      <c r="V197" s="90"/>
      <c r="W197" s="90"/>
      <c r="X197" s="90">
        <v>1.25</v>
      </c>
      <c r="Y197" s="89">
        <v>1108</v>
      </c>
      <c r="Z197" s="89"/>
      <c r="AA197" s="89"/>
      <c r="AB197" s="89"/>
      <c r="AC197" s="92"/>
    </row>
    <row r="198" spans="2:29">
      <c r="B198" s="1">
        <v>194</v>
      </c>
      <c r="E198" s="1" t="s">
        <v>1161</v>
      </c>
      <c r="F198" s="1" t="s">
        <v>1175</v>
      </c>
      <c r="G198" s="37">
        <v>1852</v>
      </c>
      <c r="H198" s="85">
        <v>766</v>
      </c>
      <c r="I198" s="93">
        <v>1.4186319999999999</v>
      </c>
      <c r="J198" s="93"/>
      <c r="K198" s="37">
        <v>701</v>
      </c>
      <c r="L198" s="37"/>
      <c r="M198" s="85"/>
      <c r="N198" s="85"/>
      <c r="O198" s="85"/>
      <c r="P198" s="85"/>
      <c r="Q198" s="85"/>
      <c r="R198" s="85"/>
      <c r="S198" s="85"/>
      <c r="T198" s="85"/>
      <c r="U198" s="85"/>
      <c r="V198" s="85"/>
      <c r="W198" s="85"/>
      <c r="X198" s="85">
        <v>1.23</v>
      </c>
      <c r="Y198" s="37">
        <v>1368</v>
      </c>
      <c r="Z198" s="37"/>
      <c r="AA198" s="37"/>
      <c r="AB198" s="37"/>
      <c r="AC198" s="87"/>
    </row>
    <row r="199" spans="2:29">
      <c r="B199" s="88">
        <v>195</v>
      </c>
      <c r="C199" s="88"/>
      <c r="D199" s="88"/>
      <c r="E199" s="88" t="s">
        <v>1161</v>
      </c>
      <c r="F199" s="88" t="s">
        <v>1175</v>
      </c>
      <c r="G199" s="89">
        <v>1852</v>
      </c>
      <c r="H199" s="90">
        <v>1016</v>
      </c>
      <c r="I199" s="94">
        <v>1.881632</v>
      </c>
      <c r="J199" s="94"/>
      <c r="K199" s="89">
        <v>951</v>
      </c>
      <c r="L199" s="89"/>
      <c r="M199" s="90"/>
      <c r="N199" s="90"/>
      <c r="O199" s="90"/>
      <c r="P199" s="90"/>
      <c r="Q199" s="90"/>
      <c r="R199" s="90"/>
      <c r="S199" s="90"/>
      <c r="T199" s="90"/>
      <c r="U199" s="90"/>
      <c r="V199" s="90"/>
      <c r="W199" s="90"/>
      <c r="X199" s="90">
        <v>1.21</v>
      </c>
      <c r="Y199" s="89">
        <v>1798</v>
      </c>
      <c r="Z199" s="89"/>
      <c r="AA199" s="89"/>
      <c r="AB199" s="89"/>
      <c r="AC199" s="92"/>
    </row>
    <row r="200" spans="2:29">
      <c r="B200" s="1">
        <v>196</v>
      </c>
      <c r="E200" s="1" t="s">
        <v>1347</v>
      </c>
      <c r="F200" s="1" t="s">
        <v>1166</v>
      </c>
      <c r="G200" s="37"/>
      <c r="H200" s="85"/>
      <c r="I200" s="85"/>
      <c r="J200" s="85"/>
      <c r="K200" s="37"/>
      <c r="L200" s="37"/>
      <c r="M200" s="85"/>
      <c r="N200" s="85"/>
      <c r="O200" s="85">
        <v>15</v>
      </c>
      <c r="P200" s="85">
        <v>21.3</v>
      </c>
      <c r="Q200" s="85"/>
      <c r="R200" s="85">
        <v>80</v>
      </c>
      <c r="S200" s="85"/>
      <c r="T200" s="85"/>
      <c r="U200" s="85"/>
      <c r="V200" s="85"/>
      <c r="W200" s="85"/>
      <c r="X200" s="85">
        <v>1.25</v>
      </c>
      <c r="Y200" s="85"/>
      <c r="Z200" s="85">
        <v>87</v>
      </c>
      <c r="AA200" s="37"/>
      <c r="AB200" s="37"/>
      <c r="AC200" s="87"/>
    </row>
    <row r="201" spans="2:29" ht="14.25" customHeight="1">
      <c r="B201" s="88">
        <v>197</v>
      </c>
      <c r="C201" s="88"/>
      <c r="D201" s="88"/>
      <c r="E201" s="88" t="s">
        <v>1347</v>
      </c>
      <c r="F201" s="88" t="s">
        <v>1166</v>
      </c>
      <c r="G201" s="89"/>
      <c r="H201" s="90"/>
      <c r="I201" s="90"/>
      <c r="J201" s="90"/>
      <c r="K201" s="89"/>
      <c r="L201" s="89"/>
      <c r="M201" s="90"/>
      <c r="N201" s="90"/>
      <c r="O201" s="90">
        <v>20</v>
      </c>
      <c r="P201" s="90">
        <v>26.9</v>
      </c>
      <c r="Q201" s="90"/>
      <c r="R201" s="90">
        <v>80</v>
      </c>
      <c r="S201" s="90"/>
      <c r="T201" s="90"/>
      <c r="U201" s="90"/>
      <c r="V201" s="90"/>
      <c r="W201" s="90"/>
      <c r="X201" s="90">
        <v>1.25</v>
      </c>
      <c r="Y201" s="90"/>
      <c r="Z201" s="90">
        <v>103</v>
      </c>
      <c r="AA201" s="89"/>
      <c r="AB201" s="89"/>
      <c r="AC201" s="92"/>
    </row>
    <row r="202" spans="2:29" ht="14.25" customHeight="1">
      <c r="B202" s="1">
        <v>198</v>
      </c>
      <c r="E202" s="1" t="s">
        <v>1347</v>
      </c>
      <c r="F202" s="1" t="s">
        <v>1166</v>
      </c>
      <c r="G202" s="37"/>
      <c r="H202" s="85"/>
      <c r="I202" s="85"/>
      <c r="J202" s="85"/>
      <c r="K202" s="37"/>
      <c r="L202" s="37"/>
      <c r="M202" s="85"/>
      <c r="N202" s="85"/>
      <c r="O202" s="85">
        <v>25</v>
      </c>
      <c r="P202" s="85">
        <v>33.700000000000003</v>
      </c>
      <c r="Q202" s="85"/>
      <c r="R202" s="85">
        <v>80</v>
      </c>
      <c r="S202" s="85"/>
      <c r="T202" s="85"/>
      <c r="U202" s="85"/>
      <c r="V202" s="85"/>
      <c r="W202" s="85"/>
      <c r="X202" s="85">
        <v>1.25</v>
      </c>
      <c r="Y202" s="85"/>
      <c r="Z202" s="85">
        <v>124</v>
      </c>
      <c r="AA202" s="37"/>
      <c r="AB202" s="37"/>
      <c r="AC202" s="87"/>
    </row>
    <row r="203" spans="2:29" ht="14.25" customHeight="1">
      <c r="B203" s="88">
        <v>199</v>
      </c>
      <c r="C203" s="88"/>
      <c r="D203" s="88"/>
      <c r="E203" s="88" t="s">
        <v>1347</v>
      </c>
      <c r="F203" s="88" t="s">
        <v>1166</v>
      </c>
      <c r="G203" s="89"/>
      <c r="H203" s="90"/>
      <c r="I203" s="90"/>
      <c r="J203" s="90"/>
      <c r="K203" s="89"/>
      <c r="L203" s="89"/>
      <c r="M203" s="90"/>
      <c r="N203" s="90"/>
      <c r="O203" s="90">
        <v>32</v>
      </c>
      <c r="P203" s="90">
        <v>42.4</v>
      </c>
      <c r="Q203" s="90"/>
      <c r="R203" s="90">
        <v>80</v>
      </c>
      <c r="S203" s="90"/>
      <c r="T203" s="90"/>
      <c r="U203" s="90"/>
      <c r="V203" s="90"/>
      <c r="W203" s="90"/>
      <c r="X203" s="90">
        <v>1.25</v>
      </c>
      <c r="Y203" s="90"/>
      <c r="Z203" s="90">
        <v>150</v>
      </c>
      <c r="AA203" s="89"/>
      <c r="AB203" s="89"/>
      <c r="AC203" s="92"/>
    </row>
    <row r="204" spans="2:29">
      <c r="B204" s="1">
        <v>200</v>
      </c>
      <c r="E204" s="1" t="s">
        <v>1347</v>
      </c>
      <c r="F204" s="1" t="s">
        <v>1172</v>
      </c>
      <c r="G204" s="37"/>
      <c r="H204" s="85"/>
      <c r="I204" s="85"/>
      <c r="J204" s="85"/>
      <c r="K204" s="37"/>
      <c r="L204" s="37"/>
      <c r="M204" s="85"/>
      <c r="N204" s="85"/>
      <c r="O204" s="85">
        <v>40</v>
      </c>
      <c r="P204" s="85">
        <v>48.3</v>
      </c>
      <c r="Q204" s="85"/>
      <c r="R204" s="85">
        <v>80</v>
      </c>
      <c r="S204" s="85"/>
      <c r="T204" s="85"/>
      <c r="U204" s="85"/>
      <c r="V204" s="85"/>
      <c r="W204" s="85"/>
      <c r="X204" s="85">
        <v>1.25</v>
      </c>
      <c r="Y204" s="85"/>
      <c r="Z204" s="85">
        <v>170</v>
      </c>
      <c r="AA204" s="37"/>
      <c r="AB204" s="37"/>
      <c r="AC204" s="87"/>
    </row>
    <row r="205" spans="2:29">
      <c r="B205" s="88">
        <v>201</v>
      </c>
      <c r="C205" s="88"/>
      <c r="D205" s="88"/>
      <c r="E205" s="88" t="s">
        <v>1347</v>
      </c>
      <c r="F205" s="88" t="s">
        <v>1172</v>
      </c>
      <c r="G205" s="89"/>
      <c r="H205" s="90"/>
      <c r="I205" s="90"/>
      <c r="J205" s="90"/>
      <c r="K205" s="89"/>
      <c r="L205" s="89"/>
      <c r="M205" s="90"/>
      <c r="N205" s="90"/>
      <c r="O205" s="90">
        <v>50</v>
      </c>
      <c r="P205" s="90">
        <v>60.3</v>
      </c>
      <c r="Q205" s="90"/>
      <c r="R205" s="90">
        <v>80</v>
      </c>
      <c r="S205" s="90"/>
      <c r="T205" s="90"/>
      <c r="U205" s="90"/>
      <c r="V205" s="90"/>
      <c r="W205" s="90"/>
      <c r="X205" s="90">
        <v>1.25</v>
      </c>
      <c r="Y205" s="90"/>
      <c r="Z205" s="90">
        <v>207</v>
      </c>
      <c r="AA205" s="89"/>
      <c r="AB205" s="89"/>
      <c r="AC205" s="92"/>
    </row>
    <row r="206" spans="2:29">
      <c r="B206" s="1">
        <v>202</v>
      </c>
      <c r="E206" s="1" t="s">
        <v>1347</v>
      </c>
      <c r="F206" s="1" t="s">
        <v>1172</v>
      </c>
      <c r="G206" s="37"/>
      <c r="H206" s="85"/>
      <c r="I206" s="85"/>
      <c r="J206" s="85"/>
      <c r="K206" s="37"/>
      <c r="L206" s="37"/>
      <c r="M206" s="85"/>
      <c r="N206" s="85"/>
      <c r="O206" s="85">
        <v>65</v>
      </c>
      <c r="P206" s="85">
        <v>76.099999999999994</v>
      </c>
      <c r="Q206" s="85"/>
      <c r="R206" s="85">
        <v>80</v>
      </c>
      <c r="S206" s="85"/>
      <c r="T206" s="85"/>
      <c r="U206" s="85"/>
      <c r="V206" s="85"/>
      <c r="W206" s="85"/>
      <c r="X206" s="85">
        <v>1.25</v>
      </c>
      <c r="Y206" s="85"/>
      <c r="Z206" s="85">
        <v>241</v>
      </c>
      <c r="AA206" s="37"/>
      <c r="AB206" s="37"/>
      <c r="AC206" s="87"/>
    </row>
    <row r="207" spans="2:29">
      <c r="B207" s="88">
        <v>203</v>
      </c>
      <c r="C207" s="88"/>
      <c r="D207" s="88"/>
      <c r="E207" s="88" t="s">
        <v>1347</v>
      </c>
      <c r="F207" s="88" t="s">
        <v>1172</v>
      </c>
      <c r="G207" s="89"/>
      <c r="H207" s="90"/>
      <c r="I207" s="90"/>
      <c r="J207" s="90"/>
      <c r="K207" s="89"/>
      <c r="L207" s="89"/>
      <c r="M207" s="90"/>
      <c r="N207" s="90"/>
      <c r="O207" s="90">
        <v>80</v>
      </c>
      <c r="P207" s="90">
        <v>88.9</v>
      </c>
      <c r="Q207" s="90"/>
      <c r="R207" s="90">
        <v>80</v>
      </c>
      <c r="S207" s="90"/>
      <c r="T207" s="90"/>
      <c r="U207" s="90"/>
      <c r="V207" s="90"/>
      <c r="W207" s="90"/>
      <c r="X207" s="90">
        <v>1.25</v>
      </c>
      <c r="Y207" s="90"/>
      <c r="Z207" s="90">
        <v>271</v>
      </c>
      <c r="AA207" s="89"/>
      <c r="AB207" s="89"/>
      <c r="AC207" s="92"/>
    </row>
    <row r="208" spans="2:29" ht="14.25" customHeight="1">
      <c r="B208" s="1">
        <v>204</v>
      </c>
      <c r="E208" s="1" t="s">
        <v>1347</v>
      </c>
      <c r="F208" s="1" t="s">
        <v>1166</v>
      </c>
      <c r="G208" s="37"/>
      <c r="H208" s="85"/>
      <c r="I208" s="85"/>
      <c r="J208" s="85"/>
      <c r="K208" s="37"/>
      <c r="L208" s="37"/>
      <c r="M208" s="85"/>
      <c r="N208" s="85"/>
      <c r="O208" s="85">
        <v>15</v>
      </c>
      <c r="P208" s="85">
        <v>21.3</v>
      </c>
      <c r="Q208" s="85"/>
      <c r="R208" s="85">
        <v>70</v>
      </c>
      <c r="S208" s="85"/>
      <c r="T208" s="85"/>
      <c r="U208" s="85"/>
      <c r="V208" s="85"/>
      <c r="W208" s="85"/>
      <c r="X208" s="85">
        <v>1.25</v>
      </c>
      <c r="Y208" s="85"/>
      <c r="Z208" s="85">
        <v>72</v>
      </c>
      <c r="AA208" s="37"/>
      <c r="AB208" s="37"/>
      <c r="AC208" s="87"/>
    </row>
    <row r="209" spans="2:29">
      <c r="B209" s="88">
        <v>205</v>
      </c>
      <c r="C209" s="88"/>
      <c r="D209" s="88"/>
      <c r="E209" s="88" t="s">
        <v>1347</v>
      </c>
      <c r="F209" s="88" t="s">
        <v>1166</v>
      </c>
      <c r="G209" s="89"/>
      <c r="H209" s="90"/>
      <c r="I209" s="90"/>
      <c r="J209" s="90"/>
      <c r="K209" s="89"/>
      <c r="L209" s="89"/>
      <c r="M209" s="90"/>
      <c r="N209" s="90"/>
      <c r="O209" s="90">
        <v>20</v>
      </c>
      <c r="P209" s="90">
        <v>26.9</v>
      </c>
      <c r="Q209" s="90"/>
      <c r="R209" s="90">
        <v>70</v>
      </c>
      <c r="S209" s="90"/>
      <c r="T209" s="90"/>
      <c r="U209" s="90"/>
      <c r="V209" s="90"/>
      <c r="W209" s="90"/>
      <c r="X209" s="90">
        <v>1.25</v>
      </c>
      <c r="Y209" s="90"/>
      <c r="Z209" s="90">
        <v>85</v>
      </c>
      <c r="AA209" s="89"/>
      <c r="AB209" s="89"/>
      <c r="AC209" s="92"/>
    </row>
    <row r="210" spans="2:29">
      <c r="B210" s="1">
        <v>206</v>
      </c>
      <c r="E210" s="1" t="s">
        <v>1347</v>
      </c>
      <c r="F210" s="1" t="s">
        <v>1166</v>
      </c>
      <c r="G210" s="37"/>
      <c r="H210" s="85"/>
      <c r="I210" s="85"/>
      <c r="J210" s="85"/>
      <c r="K210" s="37"/>
      <c r="L210" s="37"/>
      <c r="M210" s="85"/>
      <c r="N210" s="85"/>
      <c r="O210" s="85">
        <v>25</v>
      </c>
      <c r="P210" s="85">
        <v>33.700000000000003</v>
      </c>
      <c r="Q210" s="85"/>
      <c r="R210" s="85">
        <v>70</v>
      </c>
      <c r="S210" s="85"/>
      <c r="T210" s="85"/>
      <c r="U210" s="85"/>
      <c r="V210" s="85"/>
      <c r="W210" s="85"/>
      <c r="X210" s="85">
        <v>1.25</v>
      </c>
      <c r="Y210" s="85"/>
      <c r="Z210" s="85">
        <v>102</v>
      </c>
      <c r="AA210" s="37"/>
      <c r="AB210" s="37"/>
      <c r="AC210" s="87"/>
    </row>
    <row r="211" spans="2:29">
      <c r="B211" s="88">
        <v>207</v>
      </c>
      <c r="C211" s="88"/>
      <c r="D211" s="88"/>
      <c r="E211" s="88" t="s">
        <v>1347</v>
      </c>
      <c r="F211" s="88" t="s">
        <v>1166</v>
      </c>
      <c r="G211" s="89"/>
      <c r="H211" s="90"/>
      <c r="I211" s="90"/>
      <c r="J211" s="90"/>
      <c r="K211" s="89"/>
      <c r="L211" s="89"/>
      <c r="M211" s="90"/>
      <c r="N211" s="90"/>
      <c r="O211" s="90">
        <v>32</v>
      </c>
      <c r="P211" s="90">
        <v>42.4</v>
      </c>
      <c r="Q211" s="90"/>
      <c r="R211" s="90">
        <v>70</v>
      </c>
      <c r="S211" s="90"/>
      <c r="T211" s="90"/>
      <c r="U211" s="90"/>
      <c r="V211" s="90"/>
      <c r="W211" s="90"/>
      <c r="X211" s="90">
        <v>1.25</v>
      </c>
      <c r="Y211" s="90"/>
      <c r="Z211" s="90">
        <v>124</v>
      </c>
      <c r="AA211" s="89"/>
      <c r="AB211" s="89"/>
      <c r="AC211" s="92"/>
    </row>
    <row r="212" spans="2:29">
      <c r="B212" s="1">
        <v>208</v>
      </c>
      <c r="E212" s="1" t="s">
        <v>1347</v>
      </c>
      <c r="F212" s="1" t="s">
        <v>1172</v>
      </c>
      <c r="G212" s="37"/>
      <c r="H212" s="85"/>
      <c r="I212" s="85"/>
      <c r="J212" s="85"/>
      <c r="K212" s="37"/>
      <c r="L212" s="37"/>
      <c r="M212" s="85"/>
      <c r="N212" s="85"/>
      <c r="O212" s="85">
        <v>40</v>
      </c>
      <c r="P212" s="85">
        <v>48.3</v>
      </c>
      <c r="Q212" s="85"/>
      <c r="R212" s="85">
        <v>70</v>
      </c>
      <c r="S212" s="85"/>
      <c r="T212" s="85"/>
      <c r="U212" s="85"/>
      <c r="V212" s="85"/>
      <c r="W212" s="85"/>
      <c r="X212" s="85">
        <v>1.25</v>
      </c>
      <c r="Y212" s="85"/>
      <c r="Z212" s="85">
        <v>141</v>
      </c>
      <c r="AA212" s="37"/>
      <c r="AB212" s="37"/>
      <c r="AC212" s="87"/>
    </row>
    <row r="213" spans="2:29">
      <c r="B213" s="88">
        <v>209</v>
      </c>
      <c r="C213" s="88"/>
      <c r="D213" s="88"/>
      <c r="E213" s="88" t="s">
        <v>1347</v>
      </c>
      <c r="F213" s="88" t="s">
        <v>1172</v>
      </c>
      <c r="G213" s="89"/>
      <c r="H213" s="90"/>
      <c r="I213" s="90"/>
      <c r="J213" s="90"/>
      <c r="K213" s="89"/>
      <c r="L213" s="89"/>
      <c r="M213" s="90"/>
      <c r="N213" s="90"/>
      <c r="O213" s="90">
        <v>50</v>
      </c>
      <c r="P213" s="90">
        <v>60.3</v>
      </c>
      <c r="Q213" s="90"/>
      <c r="R213" s="90">
        <v>70</v>
      </c>
      <c r="S213" s="90"/>
      <c r="T213" s="90"/>
      <c r="U213" s="90"/>
      <c r="V213" s="90"/>
      <c r="W213" s="90"/>
      <c r="X213" s="90">
        <v>1.25</v>
      </c>
      <c r="Y213" s="90"/>
      <c r="Z213" s="90">
        <v>170</v>
      </c>
      <c r="AA213" s="89"/>
      <c r="AB213" s="89"/>
      <c r="AC213" s="92"/>
    </row>
    <row r="214" spans="2:29">
      <c r="B214" s="1">
        <v>210</v>
      </c>
      <c r="E214" s="1" t="s">
        <v>1347</v>
      </c>
      <c r="F214" s="1" t="s">
        <v>1172</v>
      </c>
      <c r="G214" s="37"/>
      <c r="H214" s="85"/>
      <c r="I214" s="85"/>
      <c r="J214" s="85"/>
      <c r="K214" s="37"/>
      <c r="L214" s="37"/>
      <c r="M214" s="85"/>
      <c r="N214" s="85"/>
      <c r="O214" s="85">
        <v>65</v>
      </c>
      <c r="P214" s="85">
        <v>76.099999999999994</v>
      </c>
      <c r="Q214" s="85"/>
      <c r="R214" s="85">
        <v>70</v>
      </c>
      <c r="S214" s="85"/>
      <c r="T214" s="85"/>
      <c r="U214" s="85"/>
      <c r="V214" s="85"/>
      <c r="W214" s="85"/>
      <c r="X214" s="85">
        <v>1.25</v>
      </c>
      <c r="Y214" s="85"/>
      <c r="Z214" s="85">
        <v>201</v>
      </c>
      <c r="AA214" s="37"/>
      <c r="AB214" s="37"/>
      <c r="AC214" s="87"/>
    </row>
    <row r="215" spans="2:29">
      <c r="B215" s="88">
        <v>211</v>
      </c>
      <c r="C215" s="88"/>
      <c r="D215" s="88"/>
      <c r="E215" s="88" t="s">
        <v>1347</v>
      </c>
      <c r="F215" s="88" t="s">
        <v>1172</v>
      </c>
      <c r="G215" s="89"/>
      <c r="H215" s="90"/>
      <c r="I215" s="90"/>
      <c r="J215" s="90"/>
      <c r="K215" s="89"/>
      <c r="L215" s="89"/>
      <c r="M215" s="90"/>
      <c r="N215" s="90"/>
      <c r="O215" s="90">
        <v>80</v>
      </c>
      <c r="P215" s="90">
        <v>88.9</v>
      </c>
      <c r="Q215" s="90"/>
      <c r="R215" s="90">
        <v>70</v>
      </c>
      <c r="S215" s="90"/>
      <c r="T215" s="90"/>
      <c r="U215" s="90"/>
      <c r="V215" s="90"/>
      <c r="W215" s="90"/>
      <c r="X215" s="90">
        <v>1.25</v>
      </c>
      <c r="Y215" s="90"/>
      <c r="Z215" s="90">
        <v>225</v>
      </c>
      <c r="AA215" s="89"/>
      <c r="AB215" s="89"/>
      <c r="AC215" s="92"/>
    </row>
    <row r="216" spans="2:29">
      <c r="B216" s="1">
        <v>212</v>
      </c>
      <c r="E216" s="1" t="s">
        <v>1347</v>
      </c>
      <c r="F216" s="1" t="s">
        <v>1166</v>
      </c>
      <c r="G216" s="37"/>
      <c r="H216" s="85"/>
      <c r="I216" s="85"/>
      <c r="J216" s="85"/>
      <c r="K216" s="37"/>
      <c r="L216" s="37"/>
      <c r="M216" s="85"/>
      <c r="N216" s="85"/>
      <c r="O216" s="85">
        <v>15</v>
      </c>
      <c r="P216" s="85">
        <v>21.3</v>
      </c>
      <c r="Q216" s="85"/>
      <c r="R216" s="85">
        <v>60</v>
      </c>
      <c r="S216" s="85"/>
      <c r="T216" s="85"/>
      <c r="U216" s="85"/>
      <c r="V216" s="85"/>
      <c r="W216" s="85"/>
      <c r="X216" s="85">
        <v>1.25</v>
      </c>
      <c r="Y216" s="85"/>
      <c r="Z216" s="85">
        <v>58</v>
      </c>
      <c r="AA216" s="37"/>
      <c r="AB216" s="37"/>
      <c r="AC216" s="87"/>
    </row>
    <row r="217" spans="2:29" ht="14.25" customHeight="1">
      <c r="B217" s="88">
        <v>213</v>
      </c>
      <c r="C217" s="88"/>
      <c r="D217" s="88"/>
      <c r="E217" s="88" t="s">
        <v>1347</v>
      </c>
      <c r="F217" s="88" t="s">
        <v>1166</v>
      </c>
      <c r="G217" s="89"/>
      <c r="H217" s="90"/>
      <c r="I217" s="90"/>
      <c r="J217" s="90"/>
      <c r="K217" s="89"/>
      <c r="L217" s="89"/>
      <c r="M217" s="90"/>
      <c r="N217" s="90"/>
      <c r="O217" s="90">
        <v>20</v>
      </c>
      <c r="P217" s="90">
        <v>26.9</v>
      </c>
      <c r="Q217" s="90"/>
      <c r="R217" s="90">
        <v>60</v>
      </c>
      <c r="S217" s="90"/>
      <c r="T217" s="90"/>
      <c r="U217" s="90"/>
      <c r="V217" s="90"/>
      <c r="W217" s="90"/>
      <c r="X217" s="90">
        <v>1.25</v>
      </c>
      <c r="Y217" s="90"/>
      <c r="Z217" s="90">
        <v>68</v>
      </c>
      <c r="AA217" s="89"/>
      <c r="AB217" s="89"/>
      <c r="AC217" s="92"/>
    </row>
    <row r="218" spans="2:29">
      <c r="B218" s="1">
        <v>214</v>
      </c>
      <c r="E218" s="1" t="s">
        <v>1347</v>
      </c>
      <c r="F218" s="1" t="s">
        <v>1166</v>
      </c>
      <c r="G218" s="37"/>
      <c r="H218" s="85"/>
      <c r="I218" s="85"/>
      <c r="J218" s="85"/>
      <c r="K218" s="37"/>
      <c r="L218" s="37"/>
      <c r="M218" s="85"/>
      <c r="N218" s="85"/>
      <c r="O218" s="85">
        <v>25</v>
      </c>
      <c r="P218" s="85">
        <v>33.700000000000003</v>
      </c>
      <c r="Q218" s="85"/>
      <c r="R218" s="85">
        <v>60</v>
      </c>
      <c r="S218" s="85"/>
      <c r="T218" s="85"/>
      <c r="U218" s="85"/>
      <c r="V218" s="85"/>
      <c r="W218" s="85"/>
      <c r="X218" s="85">
        <v>1.25</v>
      </c>
      <c r="Y218" s="85"/>
      <c r="Z218" s="85">
        <v>82</v>
      </c>
      <c r="AA218" s="37"/>
      <c r="AB218" s="37"/>
      <c r="AC218" s="87"/>
    </row>
    <row r="219" spans="2:29" ht="14.25" customHeight="1">
      <c r="B219" s="88">
        <v>215</v>
      </c>
      <c r="C219" s="88"/>
      <c r="D219" s="88"/>
      <c r="E219" s="88" t="s">
        <v>1347</v>
      </c>
      <c r="F219" s="88" t="s">
        <v>1166</v>
      </c>
      <c r="G219" s="89"/>
      <c r="H219" s="90"/>
      <c r="I219" s="90"/>
      <c r="J219" s="90"/>
      <c r="K219" s="89"/>
      <c r="L219" s="89"/>
      <c r="M219" s="90"/>
      <c r="N219" s="90"/>
      <c r="O219" s="90">
        <v>32</v>
      </c>
      <c r="P219" s="90">
        <v>42.4</v>
      </c>
      <c r="Q219" s="90"/>
      <c r="R219" s="90">
        <v>60</v>
      </c>
      <c r="S219" s="90"/>
      <c r="T219" s="90"/>
      <c r="U219" s="90"/>
      <c r="V219" s="90"/>
      <c r="W219" s="90"/>
      <c r="X219" s="90">
        <v>1.25</v>
      </c>
      <c r="Y219" s="90"/>
      <c r="Z219" s="90">
        <v>100</v>
      </c>
      <c r="AA219" s="89"/>
      <c r="AB219" s="89"/>
      <c r="AC219" s="92"/>
    </row>
    <row r="220" spans="2:29" ht="14.25" customHeight="1">
      <c r="B220" s="1">
        <v>216</v>
      </c>
      <c r="E220" s="1" t="s">
        <v>1347</v>
      </c>
      <c r="F220" s="1" t="s">
        <v>1172</v>
      </c>
      <c r="G220" s="37"/>
      <c r="H220" s="85"/>
      <c r="I220" s="85"/>
      <c r="J220" s="85"/>
      <c r="K220" s="37"/>
      <c r="L220" s="37"/>
      <c r="M220" s="85"/>
      <c r="N220" s="85"/>
      <c r="O220" s="85">
        <v>40</v>
      </c>
      <c r="P220" s="85">
        <v>48.3</v>
      </c>
      <c r="Q220" s="85"/>
      <c r="R220" s="85">
        <v>60</v>
      </c>
      <c r="S220" s="85"/>
      <c r="T220" s="85"/>
      <c r="U220" s="85"/>
      <c r="V220" s="85"/>
      <c r="W220" s="85"/>
      <c r="X220" s="85">
        <v>1.25</v>
      </c>
      <c r="Y220" s="85"/>
      <c r="Z220" s="85">
        <v>114</v>
      </c>
      <c r="AA220" s="37"/>
      <c r="AB220" s="37"/>
      <c r="AC220" s="87"/>
    </row>
    <row r="221" spans="2:29">
      <c r="B221" s="88">
        <v>217</v>
      </c>
      <c r="C221" s="88"/>
      <c r="D221" s="88"/>
      <c r="E221" s="88" t="s">
        <v>1347</v>
      </c>
      <c r="F221" s="88" t="s">
        <v>1172</v>
      </c>
      <c r="G221" s="89"/>
      <c r="H221" s="90"/>
      <c r="I221" s="90"/>
      <c r="J221" s="90"/>
      <c r="K221" s="89"/>
      <c r="L221" s="89"/>
      <c r="M221" s="90"/>
      <c r="N221" s="90"/>
      <c r="O221" s="90">
        <v>50</v>
      </c>
      <c r="P221" s="90">
        <v>60.3</v>
      </c>
      <c r="Q221" s="90"/>
      <c r="R221" s="90">
        <v>60</v>
      </c>
      <c r="S221" s="90"/>
      <c r="T221" s="90"/>
      <c r="U221" s="90"/>
      <c r="V221" s="90"/>
      <c r="W221" s="90"/>
      <c r="X221" s="90">
        <v>1.25</v>
      </c>
      <c r="Y221" s="90"/>
      <c r="Z221" s="90">
        <v>137</v>
      </c>
      <c r="AA221" s="89"/>
      <c r="AB221" s="89"/>
      <c r="AC221" s="92"/>
    </row>
    <row r="222" spans="2:29" ht="14.25" customHeight="1">
      <c r="B222" s="1">
        <v>218</v>
      </c>
      <c r="E222" s="1" t="s">
        <v>1347</v>
      </c>
      <c r="F222" s="1" t="s">
        <v>1172</v>
      </c>
      <c r="G222" s="37"/>
      <c r="H222" s="85"/>
      <c r="I222" s="85"/>
      <c r="J222" s="85"/>
      <c r="K222" s="37"/>
      <c r="L222" s="37"/>
      <c r="M222" s="85"/>
      <c r="N222" s="85"/>
      <c r="O222" s="85">
        <v>65</v>
      </c>
      <c r="P222" s="85">
        <v>76.099999999999994</v>
      </c>
      <c r="Q222" s="85"/>
      <c r="R222" s="85">
        <v>60</v>
      </c>
      <c r="S222" s="85"/>
      <c r="T222" s="85"/>
      <c r="U222" s="85"/>
      <c r="V222" s="85"/>
      <c r="W222" s="85"/>
      <c r="X222" s="85">
        <v>1.25</v>
      </c>
      <c r="Y222" s="85"/>
      <c r="Z222" s="85">
        <v>160</v>
      </c>
      <c r="AA222" s="37"/>
      <c r="AB222" s="37"/>
      <c r="AC222" s="87"/>
    </row>
    <row r="223" spans="2:29">
      <c r="B223" s="88">
        <v>219</v>
      </c>
      <c r="C223" s="88"/>
      <c r="D223" s="88"/>
      <c r="E223" s="88" t="s">
        <v>1347</v>
      </c>
      <c r="F223" s="88" t="s">
        <v>1172</v>
      </c>
      <c r="G223" s="89"/>
      <c r="H223" s="90"/>
      <c r="I223" s="90"/>
      <c r="J223" s="90"/>
      <c r="K223" s="89"/>
      <c r="L223" s="89"/>
      <c r="M223" s="90"/>
      <c r="N223" s="90"/>
      <c r="O223" s="90">
        <v>80</v>
      </c>
      <c r="P223" s="90">
        <v>88.9</v>
      </c>
      <c r="Q223" s="90"/>
      <c r="R223" s="90">
        <v>60</v>
      </c>
      <c r="S223" s="90"/>
      <c r="T223" s="90"/>
      <c r="U223" s="90"/>
      <c r="V223" s="90"/>
      <c r="W223" s="90"/>
      <c r="X223" s="90">
        <v>1.25</v>
      </c>
      <c r="Y223" s="90"/>
      <c r="Z223" s="90">
        <v>180</v>
      </c>
      <c r="AA223" s="89"/>
      <c r="AB223" s="89"/>
      <c r="AC223" s="92"/>
    </row>
    <row r="224" spans="2:29" ht="14.25" customHeight="1">
      <c r="B224" s="1">
        <v>220</v>
      </c>
      <c r="E224" s="1" t="s">
        <v>1347</v>
      </c>
      <c r="F224" s="1" t="s">
        <v>1166</v>
      </c>
      <c r="G224" s="37"/>
      <c r="H224" s="85"/>
      <c r="I224" s="85"/>
      <c r="J224" s="85"/>
      <c r="K224" s="37"/>
      <c r="L224" s="37"/>
      <c r="M224" s="85"/>
      <c r="N224" s="85"/>
      <c r="O224" s="85">
        <v>15</v>
      </c>
      <c r="P224" s="85">
        <v>21.3</v>
      </c>
      <c r="Q224" s="85"/>
      <c r="R224" s="85">
        <v>50</v>
      </c>
      <c r="S224" s="85"/>
      <c r="T224" s="85"/>
      <c r="U224" s="85"/>
      <c r="V224" s="85"/>
      <c r="W224" s="85"/>
      <c r="X224" s="85">
        <v>1.25</v>
      </c>
      <c r="Y224" s="85"/>
      <c r="Z224" s="85">
        <v>44</v>
      </c>
      <c r="AA224" s="37"/>
      <c r="AB224" s="37"/>
      <c r="AC224" s="87"/>
    </row>
    <row r="225" spans="2:29">
      <c r="B225" s="88">
        <v>221</v>
      </c>
      <c r="C225" s="88"/>
      <c r="D225" s="88"/>
      <c r="E225" s="88" t="s">
        <v>1347</v>
      </c>
      <c r="F225" s="88" t="s">
        <v>1166</v>
      </c>
      <c r="G225" s="89"/>
      <c r="H225" s="90"/>
      <c r="I225" s="90"/>
      <c r="J225" s="90"/>
      <c r="K225" s="89"/>
      <c r="L225" s="89"/>
      <c r="M225" s="90"/>
      <c r="N225" s="90"/>
      <c r="O225" s="90">
        <v>20</v>
      </c>
      <c r="P225" s="90">
        <v>26.9</v>
      </c>
      <c r="Q225" s="90"/>
      <c r="R225" s="90">
        <v>50</v>
      </c>
      <c r="S225" s="90"/>
      <c r="T225" s="90"/>
      <c r="U225" s="90"/>
      <c r="V225" s="90"/>
      <c r="W225" s="90"/>
      <c r="X225" s="90">
        <v>1.25</v>
      </c>
      <c r="Y225" s="90"/>
      <c r="Z225" s="90">
        <v>53</v>
      </c>
      <c r="AA225" s="89"/>
      <c r="AB225" s="89"/>
      <c r="AC225" s="92"/>
    </row>
    <row r="226" spans="2:29">
      <c r="B226" s="1">
        <v>222</v>
      </c>
      <c r="E226" s="1" t="s">
        <v>1347</v>
      </c>
      <c r="F226" s="1" t="s">
        <v>1166</v>
      </c>
      <c r="G226" s="37"/>
      <c r="H226" s="85"/>
      <c r="I226" s="85"/>
      <c r="J226" s="85"/>
      <c r="K226" s="37"/>
      <c r="L226" s="37"/>
      <c r="M226" s="85"/>
      <c r="N226" s="85"/>
      <c r="O226" s="85">
        <v>25</v>
      </c>
      <c r="P226" s="85">
        <v>33.700000000000003</v>
      </c>
      <c r="Q226" s="85"/>
      <c r="R226" s="85">
        <v>50</v>
      </c>
      <c r="S226" s="85"/>
      <c r="T226" s="85"/>
      <c r="U226" s="85"/>
      <c r="V226" s="85"/>
      <c r="W226" s="85"/>
      <c r="X226" s="85">
        <v>1.25</v>
      </c>
      <c r="Y226" s="85"/>
      <c r="Z226" s="85">
        <v>54</v>
      </c>
      <c r="AA226" s="37"/>
      <c r="AB226" s="37"/>
      <c r="AC226" s="87"/>
    </row>
    <row r="227" spans="2:29" ht="14.25" customHeight="1">
      <c r="B227" s="88">
        <v>223</v>
      </c>
      <c r="C227" s="88"/>
      <c r="D227" s="88"/>
      <c r="E227" s="88" t="s">
        <v>1347</v>
      </c>
      <c r="F227" s="88" t="s">
        <v>1166</v>
      </c>
      <c r="G227" s="89"/>
      <c r="H227" s="90"/>
      <c r="I227" s="90"/>
      <c r="J227" s="90"/>
      <c r="K227" s="89"/>
      <c r="L227" s="89"/>
      <c r="M227" s="90"/>
      <c r="N227" s="90"/>
      <c r="O227" s="90">
        <v>32</v>
      </c>
      <c r="P227" s="90">
        <v>42.4</v>
      </c>
      <c r="Q227" s="90"/>
      <c r="R227" s="90">
        <v>50</v>
      </c>
      <c r="S227" s="90"/>
      <c r="T227" s="90"/>
      <c r="U227" s="90"/>
      <c r="V227" s="90"/>
      <c r="W227" s="90"/>
      <c r="X227" s="90">
        <v>1.25</v>
      </c>
      <c r="Y227" s="90"/>
      <c r="Z227" s="90">
        <v>78</v>
      </c>
      <c r="AA227" s="89"/>
      <c r="AB227" s="89"/>
      <c r="AC227" s="92"/>
    </row>
    <row r="228" spans="2:29">
      <c r="B228" s="1">
        <v>224</v>
      </c>
      <c r="E228" s="1" t="s">
        <v>1347</v>
      </c>
      <c r="F228" s="1" t="s">
        <v>1172</v>
      </c>
      <c r="G228" s="37"/>
      <c r="H228" s="85"/>
      <c r="I228" s="85"/>
      <c r="J228" s="85"/>
      <c r="K228" s="37"/>
      <c r="L228" s="37"/>
      <c r="M228" s="85"/>
      <c r="N228" s="85"/>
      <c r="O228" s="85">
        <v>40</v>
      </c>
      <c r="P228" s="85">
        <v>48.3</v>
      </c>
      <c r="Q228" s="85"/>
      <c r="R228" s="85">
        <v>50</v>
      </c>
      <c r="S228" s="85"/>
      <c r="T228" s="85"/>
      <c r="U228" s="85"/>
      <c r="V228" s="85"/>
      <c r="W228" s="85"/>
      <c r="X228" s="85">
        <v>1.25</v>
      </c>
      <c r="Y228" s="85"/>
      <c r="Z228" s="85">
        <v>88</v>
      </c>
      <c r="AA228" s="37"/>
      <c r="AB228" s="37"/>
      <c r="AC228" s="87"/>
    </row>
    <row r="229" spans="2:29">
      <c r="B229" s="88">
        <v>225</v>
      </c>
      <c r="C229" s="88"/>
      <c r="D229" s="88"/>
      <c r="E229" s="88" t="s">
        <v>1347</v>
      </c>
      <c r="F229" s="88" t="s">
        <v>1172</v>
      </c>
      <c r="G229" s="89"/>
      <c r="H229" s="90"/>
      <c r="I229" s="90"/>
      <c r="J229" s="90"/>
      <c r="K229" s="89"/>
      <c r="L229" s="89"/>
      <c r="M229" s="90"/>
      <c r="N229" s="90"/>
      <c r="O229" s="90">
        <v>50</v>
      </c>
      <c r="P229" s="90">
        <v>60.3</v>
      </c>
      <c r="Q229" s="90"/>
      <c r="R229" s="90">
        <v>50</v>
      </c>
      <c r="S229" s="90"/>
      <c r="T229" s="90"/>
      <c r="U229" s="90"/>
      <c r="V229" s="90"/>
      <c r="W229" s="90"/>
      <c r="X229" s="90">
        <v>1.25</v>
      </c>
      <c r="Y229" s="90"/>
      <c r="Z229" s="90">
        <v>106</v>
      </c>
      <c r="AA229" s="89"/>
      <c r="AB229" s="89"/>
      <c r="AC229" s="92"/>
    </row>
    <row r="230" spans="2:29">
      <c r="B230" s="1">
        <v>226</v>
      </c>
      <c r="E230" s="1" t="s">
        <v>1347</v>
      </c>
      <c r="F230" s="1" t="s">
        <v>1172</v>
      </c>
      <c r="G230" s="37"/>
      <c r="H230" s="85"/>
      <c r="I230" s="85"/>
      <c r="J230" s="85"/>
      <c r="K230" s="37"/>
      <c r="L230" s="37"/>
      <c r="M230" s="85"/>
      <c r="N230" s="85"/>
      <c r="O230" s="85">
        <v>65</v>
      </c>
      <c r="P230" s="85">
        <v>76.099999999999994</v>
      </c>
      <c r="Q230" s="85"/>
      <c r="R230" s="85">
        <v>50</v>
      </c>
      <c r="S230" s="85"/>
      <c r="T230" s="85"/>
      <c r="U230" s="85"/>
      <c r="V230" s="85"/>
      <c r="W230" s="85"/>
      <c r="X230" s="85">
        <v>1.25</v>
      </c>
      <c r="Y230" s="85"/>
      <c r="Z230" s="85">
        <v>124</v>
      </c>
      <c r="AA230" s="37"/>
      <c r="AB230" s="37"/>
      <c r="AC230" s="87"/>
    </row>
    <row r="231" spans="2:29">
      <c r="B231" s="88">
        <v>227</v>
      </c>
      <c r="C231" s="88"/>
      <c r="D231" s="88"/>
      <c r="E231" s="88" t="s">
        <v>1347</v>
      </c>
      <c r="F231" s="88" t="s">
        <v>1172</v>
      </c>
      <c r="G231" s="89"/>
      <c r="H231" s="90"/>
      <c r="I231" s="90"/>
      <c r="J231" s="90"/>
      <c r="K231" s="89"/>
      <c r="L231" s="89"/>
      <c r="M231" s="90"/>
      <c r="N231" s="90"/>
      <c r="O231" s="90">
        <v>80</v>
      </c>
      <c r="P231" s="90">
        <v>88.9</v>
      </c>
      <c r="Q231" s="90"/>
      <c r="R231" s="90">
        <v>50</v>
      </c>
      <c r="S231" s="90"/>
      <c r="T231" s="90"/>
      <c r="U231" s="90"/>
      <c r="V231" s="90"/>
      <c r="W231" s="90"/>
      <c r="X231" s="90">
        <v>1.25</v>
      </c>
      <c r="Y231" s="90"/>
      <c r="Z231" s="90">
        <v>139</v>
      </c>
      <c r="AA231" s="89"/>
      <c r="AB231" s="89"/>
      <c r="AC231" s="92"/>
    </row>
    <row r="232" spans="2:29">
      <c r="B232" s="1">
        <v>228</v>
      </c>
      <c r="E232" s="1" t="s">
        <v>1347</v>
      </c>
      <c r="F232" s="1" t="s">
        <v>1166</v>
      </c>
      <c r="G232" s="204"/>
      <c r="H232" s="85"/>
      <c r="I232" s="85"/>
      <c r="J232" s="85"/>
      <c r="K232" s="204"/>
      <c r="L232" s="204"/>
      <c r="M232" s="85"/>
      <c r="N232" s="85"/>
      <c r="O232" s="85">
        <v>15</v>
      </c>
      <c r="P232" s="85">
        <v>21.3</v>
      </c>
      <c r="Q232" s="85"/>
      <c r="R232" s="85">
        <v>40</v>
      </c>
      <c r="S232" s="85"/>
      <c r="T232" s="85"/>
      <c r="U232" s="85"/>
      <c r="V232" s="85"/>
      <c r="W232" s="85"/>
      <c r="X232" s="85">
        <v>1.25</v>
      </c>
      <c r="Y232" s="85"/>
      <c r="Z232" s="85">
        <v>33</v>
      </c>
      <c r="AA232" s="204"/>
      <c r="AB232" s="204"/>
      <c r="AC232" s="87"/>
    </row>
    <row r="233" spans="2:29">
      <c r="B233" s="88">
        <v>229</v>
      </c>
      <c r="C233" s="88"/>
      <c r="D233" s="88"/>
      <c r="E233" s="88" t="s">
        <v>1347</v>
      </c>
      <c r="F233" s="88" t="s">
        <v>1166</v>
      </c>
      <c r="G233" s="89"/>
      <c r="H233" s="90"/>
      <c r="I233" s="90"/>
      <c r="J233" s="90"/>
      <c r="K233" s="89"/>
      <c r="L233" s="89"/>
      <c r="M233" s="90"/>
      <c r="N233" s="90"/>
      <c r="O233" s="90">
        <v>20</v>
      </c>
      <c r="P233" s="90">
        <v>26.9</v>
      </c>
      <c r="Q233" s="90"/>
      <c r="R233" s="90">
        <v>40</v>
      </c>
      <c r="S233" s="90"/>
      <c r="T233" s="90"/>
      <c r="U233" s="90"/>
      <c r="V233" s="90"/>
      <c r="W233" s="90"/>
      <c r="X233" s="90">
        <v>1.25</v>
      </c>
      <c r="Y233" s="90"/>
      <c r="Z233" s="90">
        <v>38</v>
      </c>
      <c r="AA233" s="89"/>
      <c r="AB233" s="89"/>
      <c r="AC233" s="92"/>
    </row>
    <row r="234" spans="2:29">
      <c r="B234" s="1">
        <v>230</v>
      </c>
      <c r="E234" s="1" t="s">
        <v>1347</v>
      </c>
      <c r="F234" s="1" t="s">
        <v>1166</v>
      </c>
      <c r="G234" s="37"/>
      <c r="H234" s="85"/>
      <c r="I234" s="85"/>
      <c r="J234" s="85"/>
      <c r="K234" s="37"/>
      <c r="L234" s="37"/>
      <c r="M234" s="85"/>
      <c r="N234" s="85"/>
      <c r="O234" s="85">
        <v>25</v>
      </c>
      <c r="P234" s="85">
        <v>33.700000000000003</v>
      </c>
      <c r="Q234" s="85"/>
      <c r="R234" s="85">
        <v>40</v>
      </c>
      <c r="S234" s="85"/>
      <c r="T234" s="85"/>
      <c r="U234" s="85"/>
      <c r="V234" s="85"/>
      <c r="W234" s="85"/>
      <c r="X234" s="85">
        <v>1.25</v>
      </c>
      <c r="Y234" s="85"/>
      <c r="Z234" s="85">
        <v>46</v>
      </c>
      <c r="AA234" s="37"/>
      <c r="AB234" s="37"/>
      <c r="AC234" s="87"/>
    </row>
    <row r="235" spans="2:29">
      <c r="B235" s="88">
        <v>231</v>
      </c>
      <c r="C235" s="88"/>
      <c r="D235" s="88"/>
      <c r="E235" s="88" t="s">
        <v>1347</v>
      </c>
      <c r="F235" s="88" t="s">
        <v>1166</v>
      </c>
      <c r="G235" s="89"/>
      <c r="H235" s="90"/>
      <c r="I235" s="90"/>
      <c r="J235" s="90"/>
      <c r="K235" s="89"/>
      <c r="L235" s="89"/>
      <c r="M235" s="90"/>
      <c r="N235" s="90"/>
      <c r="O235" s="90">
        <v>32</v>
      </c>
      <c r="P235" s="90">
        <v>42.4</v>
      </c>
      <c r="Q235" s="90"/>
      <c r="R235" s="90">
        <v>40</v>
      </c>
      <c r="S235" s="90"/>
      <c r="T235" s="90"/>
      <c r="U235" s="90"/>
      <c r="V235" s="90"/>
      <c r="W235" s="90"/>
      <c r="X235" s="90">
        <v>1.25</v>
      </c>
      <c r="Y235" s="90"/>
      <c r="Z235" s="90">
        <v>57</v>
      </c>
      <c r="AA235" s="89"/>
      <c r="AB235" s="89"/>
      <c r="AC235" s="92"/>
    </row>
    <row r="236" spans="2:29">
      <c r="B236" s="1">
        <v>232</v>
      </c>
      <c r="E236" s="1" t="s">
        <v>1347</v>
      </c>
      <c r="F236" s="1" t="s">
        <v>1172</v>
      </c>
      <c r="G236" s="37"/>
      <c r="H236" s="85"/>
      <c r="I236" s="85"/>
      <c r="J236" s="85"/>
      <c r="K236" s="37"/>
      <c r="L236" s="37"/>
      <c r="M236" s="85"/>
      <c r="N236" s="85"/>
      <c r="O236" s="85">
        <v>40</v>
      </c>
      <c r="P236" s="85">
        <v>48.3</v>
      </c>
      <c r="Q236" s="85"/>
      <c r="R236" s="85">
        <v>40</v>
      </c>
      <c r="S236" s="85"/>
      <c r="T236" s="85"/>
      <c r="U236" s="85"/>
      <c r="V236" s="85"/>
      <c r="W236" s="85"/>
      <c r="X236" s="85">
        <v>1.25</v>
      </c>
      <c r="Y236" s="85"/>
      <c r="Z236" s="85">
        <v>64</v>
      </c>
      <c r="AA236" s="37"/>
      <c r="AB236" s="37"/>
      <c r="AC236" s="87"/>
    </row>
    <row r="237" spans="2:29" ht="14.25" customHeight="1">
      <c r="B237" s="88">
        <v>233</v>
      </c>
      <c r="C237" s="88"/>
      <c r="D237" s="88"/>
      <c r="E237" s="88" t="s">
        <v>1347</v>
      </c>
      <c r="F237" s="88" t="s">
        <v>1172</v>
      </c>
      <c r="G237" s="89"/>
      <c r="H237" s="90"/>
      <c r="I237" s="90"/>
      <c r="J237" s="90"/>
      <c r="K237" s="89"/>
      <c r="L237" s="89"/>
      <c r="M237" s="90"/>
      <c r="N237" s="90"/>
      <c r="O237" s="90">
        <v>50</v>
      </c>
      <c r="P237" s="90">
        <v>60.3</v>
      </c>
      <c r="Q237" s="90"/>
      <c r="R237" s="90">
        <v>40</v>
      </c>
      <c r="S237" s="90"/>
      <c r="T237" s="90"/>
      <c r="U237" s="90"/>
      <c r="V237" s="90"/>
      <c r="W237" s="90"/>
      <c r="X237" s="90">
        <v>1.25</v>
      </c>
      <c r="Y237" s="90"/>
      <c r="Z237" s="90">
        <v>77</v>
      </c>
      <c r="AA237" s="89"/>
      <c r="AB237" s="89"/>
      <c r="AC237" s="92"/>
    </row>
    <row r="238" spans="2:29">
      <c r="B238" s="1">
        <v>234</v>
      </c>
      <c r="E238" s="1" t="s">
        <v>1347</v>
      </c>
      <c r="F238" s="1" t="s">
        <v>1172</v>
      </c>
      <c r="G238" s="37"/>
      <c r="H238" s="85"/>
      <c r="I238" s="85"/>
      <c r="J238" s="85"/>
      <c r="K238" s="37"/>
      <c r="L238" s="37"/>
      <c r="M238" s="85"/>
      <c r="N238" s="85"/>
      <c r="O238" s="85">
        <v>65</v>
      </c>
      <c r="P238" s="85">
        <v>76.099999999999994</v>
      </c>
      <c r="Q238" s="85"/>
      <c r="R238" s="85">
        <v>40</v>
      </c>
      <c r="S238" s="85"/>
      <c r="T238" s="85"/>
      <c r="U238" s="85"/>
      <c r="V238" s="85"/>
      <c r="W238" s="85"/>
      <c r="X238" s="85">
        <v>1.25</v>
      </c>
      <c r="Y238" s="85"/>
      <c r="Z238" s="85">
        <v>91</v>
      </c>
      <c r="AA238" s="37"/>
      <c r="AB238" s="37"/>
      <c r="AC238" s="87"/>
    </row>
    <row r="239" spans="2:29" ht="14.25" customHeight="1">
      <c r="B239" s="88">
        <v>235</v>
      </c>
      <c r="C239" s="88"/>
      <c r="D239" s="88"/>
      <c r="E239" s="88" t="s">
        <v>1347</v>
      </c>
      <c r="F239" s="88" t="s">
        <v>1172</v>
      </c>
      <c r="G239" s="89"/>
      <c r="H239" s="90"/>
      <c r="I239" s="90"/>
      <c r="J239" s="90"/>
      <c r="K239" s="89"/>
      <c r="L239" s="89"/>
      <c r="M239" s="90"/>
      <c r="N239" s="90"/>
      <c r="O239" s="90">
        <v>80</v>
      </c>
      <c r="P239" s="90">
        <v>88.9</v>
      </c>
      <c r="Q239" s="90"/>
      <c r="R239" s="90">
        <v>40</v>
      </c>
      <c r="S239" s="90"/>
      <c r="T239" s="90"/>
      <c r="U239" s="90"/>
      <c r="V239" s="90"/>
      <c r="W239" s="90"/>
      <c r="X239" s="90">
        <v>1.25</v>
      </c>
      <c r="Y239" s="90"/>
      <c r="Z239" s="90">
        <v>102</v>
      </c>
      <c r="AA239" s="89"/>
      <c r="AB239" s="89"/>
      <c r="AC239" s="92"/>
    </row>
    <row r="240" spans="2:29" ht="14.25" customHeight="1">
      <c r="B240" s="1">
        <v>236</v>
      </c>
      <c r="E240" s="1" t="s">
        <v>1347</v>
      </c>
      <c r="F240" s="1" t="s">
        <v>1176</v>
      </c>
      <c r="G240" s="37"/>
      <c r="H240" s="85"/>
      <c r="I240" s="85"/>
      <c r="J240" s="85"/>
      <c r="K240" s="37"/>
      <c r="L240" s="37"/>
      <c r="M240" s="85"/>
      <c r="N240" s="85"/>
      <c r="O240" s="85">
        <v>32</v>
      </c>
      <c r="P240" s="85"/>
      <c r="Q240" s="85">
        <v>25</v>
      </c>
      <c r="R240" s="85"/>
      <c r="S240" s="85"/>
      <c r="T240" s="85"/>
      <c r="U240" s="85"/>
      <c r="V240" s="85">
        <v>10</v>
      </c>
      <c r="W240" s="85"/>
      <c r="X240" s="85">
        <v>1.25</v>
      </c>
      <c r="Y240" s="85"/>
      <c r="Z240" s="85">
        <v>513</v>
      </c>
      <c r="AA240" s="37"/>
      <c r="AB240" s="37"/>
      <c r="AC240" s="87"/>
    </row>
    <row r="241" spans="2:29">
      <c r="B241" s="88">
        <v>237</v>
      </c>
      <c r="C241" s="88"/>
      <c r="D241" s="88"/>
      <c r="E241" s="88" t="s">
        <v>1347</v>
      </c>
      <c r="F241" s="88" t="s">
        <v>1176</v>
      </c>
      <c r="G241" s="89"/>
      <c r="H241" s="90"/>
      <c r="I241" s="90"/>
      <c r="J241" s="90"/>
      <c r="K241" s="89"/>
      <c r="L241" s="89"/>
      <c r="M241" s="90"/>
      <c r="N241" s="90"/>
      <c r="O241" s="90">
        <v>32</v>
      </c>
      <c r="P241" s="90"/>
      <c r="Q241" s="90">
        <v>25</v>
      </c>
      <c r="R241" s="90"/>
      <c r="S241" s="90"/>
      <c r="T241" s="90"/>
      <c r="U241" s="90"/>
      <c r="V241" s="90">
        <v>12</v>
      </c>
      <c r="W241" s="90"/>
      <c r="X241" s="90">
        <v>1.25</v>
      </c>
      <c r="Y241" s="90"/>
      <c r="Z241" s="90">
        <v>482</v>
      </c>
      <c r="AA241" s="89"/>
      <c r="AB241" s="89"/>
      <c r="AC241" s="92"/>
    </row>
    <row r="242" spans="2:29">
      <c r="B242" s="1">
        <v>238</v>
      </c>
      <c r="E242" s="1" t="s">
        <v>1347</v>
      </c>
      <c r="F242" s="1" t="s">
        <v>1176</v>
      </c>
      <c r="G242" s="37"/>
      <c r="H242" s="85"/>
      <c r="I242" s="85"/>
      <c r="J242" s="85"/>
      <c r="K242" s="37"/>
      <c r="L242" s="37"/>
      <c r="M242" s="85"/>
      <c r="N242" s="85"/>
      <c r="O242" s="85">
        <v>32</v>
      </c>
      <c r="P242" s="85"/>
      <c r="Q242" s="85">
        <v>25</v>
      </c>
      <c r="R242" s="85"/>
      <c r="S242" s="85"/>
      <c r="T242" s="85"/>
      <c r="U242" s="85"/>
      <c r="V242" s="85">
        <v>14</v>
      </c>
      <c r="W242" s="85"/>
      <c r="X242" s="85">
        <v>1.25</v>
      </c>
      <c r="Y242" s="85"/>
      <c r="Z242" s="85">
        <v>461</v>
      </c>
      <c r="AA242" s="37"/>
      <c r="AB242" s="37"/>
      <c r="AC242" s="87"/>
    </row>
    <row r="243" spans="2:29">
      <c r="B243" s="88">
        <v>239</v>
      </c>
      <c r="C243" s="88"/>
      <c r="D243" s="88"/>
      <c r="E243" s="88" t="s">
        <v>1347</v>
      </c>
      <c r="F243" s="88" t="s">
        <v>1176</v>
      </c>
      <c r="G243" s="89"/>
      <c r="H243" s="90"/>
      <c r="I243" s="90"/>
      <c r="J243" s="90"/>
      <c r="K243" s="89"/>
      <c r="L243" s="89"/>
      <c r="M243" s="90"/>
      <c r="N243" s="90"/>
      <c r="O243" s="90">
        <v>32</v>
      </c>
      <c r="P243" s="90"/>
      <c r="Q243" s="90">
        <v>30</v>
      </c>
      <c r="R243" s="90"/>
      <c r="S243" s="90"/>
      <c r="T243" s="90"/>
      <c r="U243" s="90"/>
      <c r="V243" s="90">
        <v>10</v>
      </c>
      <c r="W243" s="90"/>
      <c r="X243" s="90">
        <v>1.25</v>
      </c>
      <c r="Y243" s="90"/>
      <c r="Z243" s="90">
        <v>598</v>
      </c>
      <c r="AA243" s="89"/>
      <c r="AB243" s="89"/>
      <c r="AC243" s="92"/>
    </row>
    <row r="244" spans="2:29">
      <c r="B244" s="1">
        <v>240</v>
      </c>
      <c r="E244" s="1" t="s">
        <v>1347</v>
      </c>
      <c r="F244" s="1" t="s">
        <v>1176</v>
      </c>
      <c r="G244" s="37"/>
      <c r="H244" s="85"/>
      <c r="I244" s="85"/>
      <c r="J244" s="85"/>
      <c r="K244" s="37"/>
      <c r="L244" s="37"/>
      <c r="M244" s="85"/>
      <c r="N244" s="85"/>
      <c r="O244" s="85">
        <v>32</v>
      </c>
      <c r="P244" s="85"/>
      <c r="Q244" s="85">
        <v>30</v>
      </c>
      <c r="R244" s="85"/>
      <c r="S244" s="85"/>
      <c r="T244" s="85"/>
      <c r="U244" s="85"/>
      <c r="V244" s="85">
        <v>12</v>
      </c>
      <c r="W244" s="85"/>
      <c r="X244" s="85">
        <v>1.25</v>
      </c>
      <c r="Y244" s="85"/>
      <c r="Z244" s="85">
        <v>564</v>
      </c>
      <c r="AA244" s="37"/>
      <c r="AB244" s="37"/>
      <c r="AC244" s="87"/>
    </row>
    <row r="245" spans="2:29">
      <c r="B245" s="88">
        <v>241</v>
      </c>
      <c r="C245" s="88"/>
      <c r="D245" s="88"/>
      <c r="E245" s="88" t="s">
        <v>1347</v>
      </c>
      <c r="F245" s="88" t="s">
        <v>1176</v>
      </c>
      <c r="G245" s="89"/>
      <c r="H245" s="90"/>
      <c r="I245" s="90"/>
      <c r="J245" s="90"/>
      <c r="K245" s="89"/>
      <c r="L245" s="89"/>
      <c r="M245" s="90"/>
      <c r="N245" s="90"/>
      <c r="O245" s="90">
        <v>32</v>
      </c>
      <c r="P245" s="90"/>
      <c r="Q245" s="90">
        <v>30</v>
      </c>
      <c r="R245" s="90"/>
      <c r="S245" s="90"/>
      <c r="T245" s="90"/>
      <c r="U245" s="90"/>
      <c r="V245" s="90">
        <v>14</v>
      </c>
      <c r="W245" s="90"/>
      <c r="X245" s="90">
        <v>1.25</v>
      </c>
      <c r="Y245" s="90"/>
      <c r="Z245" s="90">
        <v>543</v>
      </c>
      <c r="AA245" s="89"/>
      <c r="AB245" s="89"/>
      <c r="AC245" s="92"/>
    </row>
    <row r="246" spans="2:29" ht="14.25" customHeight="1">
      <c r="B246" s="1">
        <v>242</v>
      </c>
      <c r="E246" s="1" t="s">
        <v>1347</v>
      </c>
      <c r="F246" s="1" t="s">
        <v>1176</v>
      </c>
      <c r="G246" s="37"/>
      <c r="H246" s="85"/>
      <c r="I246" s="85"/>
      <c r="J246" s="85"/>
      <c r="K246" s="37"/>
      <c r="L246" s="37"/>
      <c r="M246" s="85"/>
      <c r="N246" s="85"/>
      <c r="O246" s="85">
        <v>50</v>
      </c>
      <c r="P246" s="85"/>
      <c r="Q246" s="85">
        <v>30</v>
      </c>
      <c r="R246" s="85"/>
      <c r="S246" s="85"/>
      <c r="T246" s="85"/>
      <c r="U246" s="85"/>
      <c r="V246" s="85">
        <v>10</v>
      </c>
      <c r="W246" s="85"/>
      <c r="X246" s="85">
        <v>1.25</v>
      </c>
      <c r="Y246" s="85"/>
      <c r="Z246" s="85">
        <v>682</v>
      </c>
      <c r="AA246" s="37"/>
      <c r="AB246" s="37"/>
      <c r="AC246" s="87"/>
    </row>
    <row r="247" spans="2:29">
      <c r="B247" s="88">
        <v>243</v>
      </c>
      <c r="C247" s="88"/>
      <c r="D247" s="88"/>
      <c r="E247" s="88" t="s">
        <v>1347</v>
      </c>
      <c r="F247" s="88" t="s">
        <v>1176</v>
      </c>
      <c r="G247" s="89"/>
      <c r="H247" s="90"/>
      <c r="I247" s="90"/>
      <c r="J247" s="90"/>
      <c r="K247" s="89"/>
      <c r="L247" s="89"/>
      <c r="M247" s="90"/>
      <c r="N247" s="90"/>
      <c r="O247" s="90">
        <v>50</v>
      </c>
      <c r="P247" s="90"/>
      <c r="Q247" s="90">
        <v>30</v>
      </c>
      <c r="R247" s="90"/>
      <c r="S247" s="90"/>
      <c r="T247" s="90"/>
      <c r="U247" s="90"/>
      <c r="V247" s="90">
        <v>12</v>
      </c>
      <c r="W247" s="90"/>
      <c r="X247" s="90">
        <v>1.25</v>
      </c>
      <c r="Y247" s="90"/>
      <c r="Z247" s="90">
        <v>635</v>
      </c>
      <c r="AA247" s="89"/>
      <c r="AB247" s="89"/>
      <c r="AC247" s="92"/>
    </row>
    <row r="248" spans="2:29" ht="14.25" customHeight="1">
      <c r="B248" s="1">
        <v>244</v>
      </c>
      <c r="E248" s="1" t="s">
        <v>1347</v>
      </c>
      <c r="F248" s="1" t="s">
        <v>1176</v>
      </c>
      <c r="G248" s="37"/>
      <c r="H248" s="85"/>
      <c r="I248" s="85"/>
      <c r="J248" s="85"/>
      <c r="K248" s="37"/>
      <c r="L248" s="37"/>
      <c r="M248" s="85"/>
      <c r="N248" s="85"/>
      <c r="O248" s="85">
        <v>50</v>
      </c>
      <c r="P248" s="85"/>
      <c r="Q248" s="85">
        <v>30</v>
      </c>
      <c r="R248" s="85"/>
      <c r="S248" s="85"/>
      <c r="T248" s="85"/>
      <c r="U248" s="85"/>
      <c r="V248" s="85">
        <v>14</v>
      </c>
      <c r="W248" s="85"/>
      <c r="X248" s="85">
        <v>1.25</v>
      </c>
      <c r="Y248" s="85"/>
      <c r="Z248" s="85">
        <v>607</v>
      </c>
      <c r="AA248" s="37"/>
      <c r="AB248" s="37"/>
      <c r="AC248" s="87"/>
    </row>
    <row r="249" spans="2:29">
      <c r="B249" s="88">
        <v>245</v>
      </c>
      <c r="C249" s="88"/>
      <c r="D249" s="88"/>
      <c r="E249" s="88" t="s">
        <v>1347</v>
      </c>
      <c r="F249" s="88" t="s">
        <v>1176</v>
      </c>
      <c r="G249" s="89"/>
      <c r="H249" s="90"/>
      <c r="I249" s="90"/>
      <c r="J249" s="90"/>
      <c r="K249" s="89"/>
      <c r="L249" s="89"/>
      <c r="M249" s="90"/>
      <c r="N249" s="90"/>
      <c r="O249" s="90">
        <v>50</v>
      </c>
      <c r="P249" s="90"/>
      <c r="Q249" s="90">
        <v>35</v>
      </c>
      <c r="R249" s="90"/>
      <c r="S249" s="90"/>
      <c r="T249" s="90"/>
      <c r="U249" s="90"/>
      <c r="V249" s="90">
        <v>10</v>
      </c>
      <c r="W249" s="90"/>
      <c r="X249" s="90">
        <v>1.25</v>
      </c>
      <c r="Y249" s="90"/>
      <c r="Z249" s="90">
        <v>776</v>
      </c>
      <c r="AA249" s="89"/>
      <c r="AB249" s="89"/>
      <c r="AC249" s="92"/>
    </row>
    <row r="250" spans="2:29">
      <c r="B250" s="1">
        <v>246</v>
      </c>
      <c r="E250" s="1" t="s">
        <v>1347</v>
      </c>
      <c r="F250" s="1" t="s">
        <v>1176</v>
      </c>
      <c r="G250" s="37"/>
      <c r="H250" s="85"/>
      <c r="I250" s="85"/>
      <c r="J250" s="85"/>
      <c r="K250" s="37"/>
      <c r="L250" s="37"/>
      <c r="M250" s="85"/>
      <c r="N250" s="85"/>
      <c r="O250" s="85">
        <v>50</v>
      </c>
      <c r="P250" s="85"/>
      <c r="Q250" s="85">
        <v>35</v>
      </c>
      <c r="R250" s="85"/>
      <c r="S250" s="85"/>
      <c r="T250" s="85"/>
      <c r="U250" s="85"/>
      <c r="V250" s="85">
        <v>12</v>
      </c>
      <c r="W250" s="85"/>
      <c r="X250" s="85">
        <v>1.25</v>
      </c>
      <c r="Y250" s="85"/>
      <c r="Z250" s="85">
        <v>725</v>
      </c>
      <c r="AA250" s="37"/>
      <c r="AB250" s="37"/>
      <c r="AC250" s="87"/>
    </row>
    <row r="251" spans="2:29">
      <c r="B251" s="88">
        <v>247</v>
      </c>
      <c r="C251" s="88"/>
      <c r="D251" s="88"/>
      <c r="E251" s="88" t="s">
        <v>1347</v>
      </c>
      <c r="F251" s="88" t="s">
        <v>1176</v>
      </c>
      <c r="G251" s="89"/>
      <c r="H251" s="90"/>
      <c r="I251" s="90"/>
      <c r="J251" s="90"/>
      <c r="K251" s="89"/>
      <c r="L251" s="89"/>
      <c r="M251" s="90"/>
      <c r="N251" s="90"/>
      <c r="O251" s="90">
        <v>50</v>
      </c>
      <c r="P251" s="90"/>
      <c r="Q251" s="90">
        <v>35</v>
      </c>
      <c r="R251" s="90"/>
      <c r="S251" s="90"/>
      <c r="T251" s="90"/>
      <c r="U251" s="90"/>
      <c r="V251" s="90">
        <v>14</v>
      </c>
      <c r="W251" s="90"/>
      <c r="X251" s="90">
        <v>1.25</v>
      </c>
      <c r="Y251" s="90"/>
      <c r="Z251" s="90">
        <v>693</v>
      </c>
      <c r="AA251" s="89"/>
      <c r="AB251" s="89"/>
      <c r="AC251" s="92"/>
    </row>
    <row r="252" spans="2:29">
      <c r="B252" s="1">
        <v>248</v>
      </c>
      <c r="E252" s="1" t="s">
        <v>1347</v>
      </c>
      <c r="F252" s="1" t="s">
        <v>1176</v>
      </c>
      <c r="G252" s="37"/>
      <c r="H252" s="85"/>
      <c r="I252" s="85"/>
      <c r="J252" s="85"/>
      <c r="K252" s="37"/>
      <c r="L252" s="37"/>
      <c r="M252" s="85"/>
      <c r="N252" s="85"/>
      <c r="O252" s="85">
        <v>65</v>
      </c>
      <c r="P252" s="85"/>
      <c r="Q252" s="85">
        <v>35</v>
      </c>
      <c r="R252" s="85"/>
      <c r="S252" s="85"/>
      <c r="T252" s="85"/>
      <c r="U252" s="85"/>
      <c r="V252" s="85">
        <v>10</v>
      </c>
      <c r="W252" s="85"/>
      <c r="X252" s="85">
        <v>1.25</v>
      </c>
      <c r="Y252" s="85"/>
      <c r="Z252" s="85">
        <v>880</v>
      </c>
      <c r="AA252" s="37"/>
      <c r="AB252" s="37"/>
      <c r="AC252" s="87"/>
    </row>
    <row r="253" spans="2:29">
      <c r="B253" s="88">
        <v>249</v>
      </c>
      <c r="C253" s="88"/>
      <c r="D253" s="88"/>
      <c r="E253" s="88" t="s">
        <v>1347</v>
      </c>
      <c r="F253" s="88" t="s">
        <v>1176</v>
      </c>
      <c r="G253" s="89"/>
      <c r="H253" s="90"/>
      <c r="I253" s="90"/>
      <c r="J253" s="90"/>
      <c r="K253" s="89"/>
      <c r="L253" s="89"/>
      <c r="M253" s="90"/>
      <c r="N253" s="90"/>
      <c r="O253" s="90">
        <v>65</v>
      </c>
      <c r="P253" s="90"/>
      <c r="Q253" s="90">
        <v>35</v>
      </c>
      <c r="R253" s="90"/>
      <c r="S253" s="90"/>
      <c r="T253" s="90"/>
      <c r="U253" s="90"/>
      <c r="V253" s="90">
        <v>12</v>
      </c>
      <c r="W253" s="90"/>
      <c r="X253" s="90">
        <v>1.25</v>
      </c>
      <c r="Y253" s="90"/>
      <c r="Z253" s="90">
        <v>824</v>
      </c>
      <c r="AA253" s="89"/>
      <c r="AB253" s="89"/>
      <c r="AC253" s="92"/>
    </row>
    <row r="254" spans="2:29">
      <c r="B254" s="1">
        <v>250</v>
      </c>
      <c r="E254" s="1" t="s">
        <v>1347</v>
      </c>
      <c r="F254" s="1" t="s">
        <v>1176</v>
      </c>
      <c r="G254" s="37"/>
      <c r="H254" s="85"/>
      <c r="I254" s="85"/>
      <c r="J254" s="85"/>
      <c r="K254" s="37"/>
      <c r="L254" s="37"/>
      <c r="M254" s="85"/>
      <c r="N254" s="85"/>
      <c r="O254" s="85">
        <v>65</v>
      </c>
      <c r="P254" s="85"/>
      <c r="Q254" s="85">
        <v>35</v>
      </c>
      <c r="R254" s="85"/>
      <c r="S254" s="85"/>
      <c r="T254" s="85"/>
      <c r="U254" s="85"/>
      <c r="V254" s="85">
        <v>14</v>
      </c>
      <c r="W254" s="85"/>
      <c r="X254" s="85">
        <v>1.25</v>
      </c>
      <c r="Y254" s="85"/>
      <c r="Z254" s="85">
        <v>784</v>
      </c>
      <c r="AA254" s="37"/>
      <c r="AB254" s="37"/>
      <c r="AC254" s="87"/>
    </row>
    <row r="255" spans="2:29">
      <c r="B255" s="88">
        <v>251</v>
      </c>
      <c r="C255" s="88"/>
      <c r="D255" s="88"/>
      <c r="E255" s="88" t="s">
        <v>1347</v>
      </c>
      <c r="F255" s="88" t="s">
        <v>1176</v>
      </c>
      <c r="G255" s="89"/>
      <c r="H255" s="90"/>
      <c r="I255" s="90"/>
      <c r="J255" s="90"/>
      <c r="K255" s="89"/>
      <c r="L255" s="89"/>
      <c r="M255" s="90"/>
      <c r="N255" s="90"/>
      <c r="O255" s="90">
        <v>65</v>
      </c>
      <c r="P255" s="90"/>
      <c r="Q255" s="90">
        <v>40</v>
      </c>
      <c r="R255" s="90"/>
      <c r="S255" s="90"/>
      <c r="T255" s="90"/>
      <c r="U255" s="90"/>
      <c r="V255" s="90">
        <v>10</v>
      </c>
      <c r="W255" s="90"/>
      <c r="X255" s="90">
        <v>1.25</v>
      </c>
      <c r="Y255" s="90"/>
      <c r="Z255" s="90">
        <v>988</v>
      </c>
      <c r="AA255" s="89"/>
      <c r="AB255" s="89"/>
      <c r="AC255" s="92"/>
    </row>
    <row r="256" spans="2:29">
      <c r="B256" s="1">
        <v>252</v>
      </c>
      <c r="E256" s="1" t="s">
        <v>1347</v>
      </c>
      <c r="F256" s="1" t="s">
        <v>1176</v>
      </c>
      <c r="G256" s="37"/>
      <c r="H256" s="85"/>
      <c r="I256" s="85"/>
      <c r="J256" s="85"/>
      <c r="K256" s="37"/>
      <c r="L256" s="37"/>
      <c r="M256" s="85"/>
      <c r="N256" s="85"/>
      <c r="O256" s="85">
        <v>65</v>
      </c>
      <c r="P256" s="85"/>
      <c r="Q256" s="85">
        <v>40</v>
      </c>
      <c r="R256" s="85"/>
      <c r="S256" s="85"/>
      <c r="T256" s="85"/>
      <c r="U256" s="85"/>
      <c r="V256" s="85">
        <v>12</v>
      </c>
      <c r="W256" s="85"/>
      <c r="X256" s="85">
        <v>1.25</v>
      </c>
      <c r="Y256" s="85"/>
      <c r="Z256" s="85">
        <v>925</v>
      </c>
      <c r="AA256" s="37"/>
      <c r="AB256" s="37"/>
      <c r="AC256" s="87"/>
    </row>
    <row r="257" spans="2:29" ht="14.25" customHeight="1">
      <c r="B257" s="88">
        <v>253</v>
      </c>
      <c r="C257" s="88"/>
      <c r="D257" s="88"/>
      <c r="E257" s="88" t="s">
        <v>1347</v>
      </c>
      <c r="F257" s="88" t="s">
        <v>1176</v>
      </c>
      <c r="G257" s="89"/>
      <c r="H257" s="90"/>
      <c r="I257" s="90"/>
      <c r="J257" s="90"/>
      <c r="K257" s="89"/>
      <c r="L257" s="89"/>
      <c r="M257" s="90"/>
      <c r="N257" s="90"/>
      <c r="O257" s="90">
        <v>65</v>
      </c>
      <c r="P257" s="90"/>
      <c r="Q257" s="90">
        <v>40</v>
      </c>
      <c r="R257" s="90"/>
      <c r="S257" s="90"/>
      <c r="T257" s="90"/>
      <c r="U257" s="90"/>
      <c r="V257" s="90">
        <v>14</v>
      </c>
      <c r="W257" s="90"/>
      <c r="X257" s="85">
        <v>1.25</v>
      </c>
      <c r="Y257" s="89"/>
      <c r="Z257" s="89">
        <v>877</v>
      </c>
      <c r="AA257" s="89"/>
      <c r="AB257" s="89"/>
      <c r="AC257" s="92"/>
    </row>
    <row r="258" spans="2:29">
      <c r="B258" s="1">
        <v>254</v>
      </c>
      <c r="E258" s="1" t="s">
        <v>153</v>
      </c>
      <c r="F258" s="1" t="s">
        <v>1167</v>
      </c>
      <c r="G258" s="37">
        <v>280</v>
      </c>
      <c r="H258" s="85"/>
      <c r="I258" s="85"/>
      <c r="J258" s="85"/>
      <c r="K258" s="37"/>
      <c r="L258" s="37">
        <v>73</v>
      </c>
      <c r="M258" s="85"/>
      <c r="N258" s="85">
        <v>2</v>
      </c>
      <c r="O258" s="85"/>
      <c r="P258" s="85"/>
      <c r="Q258" s="85"/>
      <c r="R258" s="85"/>
      <c r="S258" s="85"/>
      <c r="T258" s="85"/>
      <c r="U258" s="85"/>
      <c r="V258" s="85"/>
      <c r="W258" s="85"/>
      <c r="X258" s="85">
        <v>1.33</v>
      </c>
      <c r="Y258" s="37"/>
      <c r="Z258" s="37">
        <v>857</v>
      </c>
      <c r="AA258" s="37"/>
      <c r="AB258" s="37"/>
      <c r="AC258" s="87"/>
    </row>
    <row r="259" spans="2:29">
      <c r="B259" s="88">
        <v>255</v>
      </c>
      <c r="C259" s="88"/>
      <c r="D259" s="88"/>
      <c r="E259" s="88" t="s">
        <v>153</v>
      </c>
      <c r="F259" s="88" t="s">
        <v>1167</v>
      </c>
      <c r="G259" s="89">
        <v>210</v>
      </c>
      <c r="H259" s="90"/>
      <c r="I259" s="90"/>
      <c r="J259" s="90"/>
      <c r="K259" s="89"/>
      <c r="L259" s="89">
        <v>73</v>
      </c>
      <c r="M259" s="90"/>
      <c r="N259" s="90">
        <v>2</v>
      </c>
      <c r="O259" s="90"/>
      <c r="P259" s="90"/>
      <c r="Q259" s="90"/>
      <c r="R259" s="90"/>
      <c r="S259" s="90"/>
      <c r="T259" s="90"/>
      <c r="U259" s="90"/>
      <c r="V259" s="90"/>
      <c r="W259" s="90"/>
      <c r="X259" s="90">
        <v>1.3</v>
      </c>
      <c r="Y259" s="89"/>
      <c r="Z259" s="89">
        <v>696</v>
      </c>
      <c r="AA259" s="89"/>
      <c r="AB259" s="89"/>
      <c r="AC259" s="92"/>
    </row>
    <row r="260" spans="2:29" ht="14.25" customHeight="1">
      <c r="B260" s="1">
        <v>256</v>
      </c>
      <c r="E260" s="1" t="s">
        <v>153</v>
      </c>
      <c r="F260" s="1" t="s">
        <v>1167</v>
      </c>
      <c r="G260" s="37">
        <v>140</v>
      </c>
      <c r="H260" s="85"/>
      <c r="I260" s="85"/>
      <c r="J260" s="85"/>
      <c r="K260" s="37"/>
      <c r="L260" s="37">
        <v>73</v>
      </c>
      <c r="M260" s="85"/>
      <c r="N260" s="85">
        <v>2</v>
      </c>
      <c r="O260" s="85"/>
      <c r="P260" s="85"/>
      <c r="Q260" s="85"/>
      <c r="R260" s="85"/>
      <c r="S260" s="85"/>
      <c r="T260" s="85"/>
      <c r="U260" s="85"/>
      <c r="V260" s="85"/>
      <c r="W260" s="85"/>
      <c r="X260" s="85">
        <v>1.27</v>
      </c>
      <c r="Y260" s="37"/>
      <c r="Z260" s="37">
        <v>528</v>
      </c>
      <c r="AA260" s="37"/>
      <c r="AB260" s="37"/>
      <c r="AC260" s="87"/>
    </row>
    <row r="261" spans="2:29">
      <c r="B261" s="88">
        <v>257</v>
      </c>
      <c r="C261" s="88"/>
      <c r="D261" s="88"/>
      <c r="E261" s="88" t="s">
        <v>153</v>
      </c>
      <c r="F261" s="88" t="s">
        <v>1167</v>
      </c>
      <c r="G261" s="89">
        <v>70</v>
      </c>
      <c r="H261" s="90"/>
      <c r="I261" s="90"/>
      <c r="J261" s="90"/>
      <c r="K261" s="89"/>
      <c r="L261" s="89">
        <v>73</v>
      </c>
      <c r="M261" s="90"/>
      <c r="N261" s="90">
        <v>2</v>
      </c>
      <c r="O261" s="90"/>
      <c r="P261" s="90"/>
      <c r="Q261" s="90"/>
      <c r="R261" s="90"/>
      <c r="S261" s="90"/>
      <c r="T261" s="90"/>
      <c r="U261" s="90"/>
      <c r="V261" s="90"/>
      <c r="W261" s="90"/>
      <c r="X261" s="90">
        <v>1.24</v>
      </c>
      <c r="Y261" s="89"/>
      <c r="Z261" s="89">
        <v>356</v>
      </c>
      <c r="AA261" s="89"/>
      <c r="AB261" s="89"/>
      <c r="AC261" s="92"/>
    </row>
    <row r="262" spans="2:29">
      <c r="B262" s="1">
        <v>258</v>
      </c>
      <c r="E262" s="1" t="s">
        <v>153</v>
      </c>
      <c r="F262" s="1" t="s">
        <v>1167</v>
      </c>
      <c r="G262" s="37">
        <v>280</v>
      </c>
      <c r="H262" s="85"/>
      <c r="I262" s="85"/>
      <c r="J262" s="85"/>
      <c r="K262" s="37"/>
      <c r="L262" s="37">
        <v>134</v>
      </c>
      <c r="M262" s="85"/>
      <c r="N262" s="85">
        <v>3</v>
      </c>
      <c r="O262" s="85"/>
      <c r="P262" s="85"/>
      <c r="Q262" s="85"/>
      <c r="R262" s="85"/>
      <c r="S262" s="85"/>
      <c r="T262" s="85"/>
      <c r="U262" s="85"/>
      <c r="V262" s="85"/>
      <c r="W262" s="85"/>
      <c r="X262" s="85">
        <v>1.36</v>
      </c>
      <c r="Y262" s="37"/>
      <c r="Z262" s="37">
        <v>1420</v>
      </c>
      <c r="AA262" s="37"/>
      <c r="AB262" s="37"/>
      <c r="AC262" s="87"/>
    </row>
    <row r="263" spans="2:29">
      <c r="B263" s="88">
        <v>259</v>
      </c>
      <c r="C263" s="88"/>
      <c r="D263" s="88"/>
      <c r="E263" s="88" t="s">
        <v>153</v>
      </c>
      <c r="F263" s="88" t="s">
        <v>1167</v>
      </c>
      <c r="G263" s="89">
        <v>210</v>
      </c>
      <c r="H263" s="90"/>
      <c r="I263" s="90"/>
      <c r="J263" s="90"/>
      <c r="K263" s="89"/>
      <c r="L263" s="89">
        <v>134</v>
      </c>
      <c r="M263" s="90"/>
      <c r="N263" s="90">
        <v>3</v>
      </c>
      <c r="O263" s="90"/>
      <c r="P263" s="90"/>
      <c r="Q263" s="90"/>
      <c r="R263" s="90"/>
      <c r="S263" s="90"/>
      <c r="T263" s="90"/>
      <c r="U263" s="90"/>
      <c r="V263" s="90"/>
      <c r="W263" s="90"/>
      <c r="X263" s="90">
        <v>1.35</v>
      </c>
      <c r="Y263" s="89"/>
      <c r="Z263" s="89">
        <v>1195</v>
      </c>
      <c r="AA263" s="89"/>
      <c r="AB263" s="89"/>
      <c r="AC263" s="92"/>
    </row>
    <row r="264" spans="2:29">
      <c r="B264" s="1">
        <v>260</v>
      </c>
      <c r="E264" s="1" t="s">
        <v>153</v>
      </c>
      <c r="F264" s="1" t="s">
        <v>1167</v>
      </c>
      <c r="G264" s="37">
        <v>140</v>
      </c>
      <c r="H264" s="85"/>
      <c r="I264" s="85"/>
      <c r="J264" s="85"/>
      <c r="K264" s="37"/>
      <c r="L264" s="37">
        <v>134</v>
      </c>
      <c r="M264" s="85"/>
      <c r="N264" s="85">
        <v>3</v>
      </c>
      <c r="O264" s="85"/>
      <c r="P264" s="85"/>
      <c r="Q264" s="85"/>
      <c r="R264" s="85"/>
      <c r="S264" s="85"/>
      <c r="T264" s="85"/>
      <c r="U264" s="85"/>
      <c r="V264" s="85"/>
      <c r="W264" s="85"/>
      <c r="X264" s="85">
        <v>1.32</v>
      </c>
      <c r="Y264" s="37"/>
      <c r="Z264" s="37">
        <v>914</v>
      </c>
      <c r="AA264" s="37"/>
      <c r="AB264" s="37"/>
      <c r="AC264" s="87"/>
    </row>
    <row r="265" spans="2:29">
      <c r="B265" s="88">
        <v>261</v>
      </c>
      <c r="C265" s="88"/>
      <c r="D265" s="88"/>
      <c r="E265" s="88" t="s">
        <v>153</v>
      </c>
      <c r="F265" s="88" t="s">
        <v>1167</v>
      </c>
      <c r="G265" s="89">
        <v>70</v>
      </c>
      <c r="H265" s="90"/>
      <c r="I265" s="90"/>
      <c r="J265" s="90"/>
      <c r="K265" s="89"/>
      <c r="L265" s="89">
        <v>134</v>
      </c>
      <c r="M265" s="90"/>
      <c r="N265" s="90">
        <v>3</v>
      </c>
      <c r="O265" s="90"/>
      <c r="P265" s="90"/>
      <c r="Q265" s="90"/>
      <c r="R265" s="90"/>
      <c r="S265" s="90"/>
      <c r="T265" s="90"/>
      <c r="U265" s="90"/>
      <c r="V265" s="90"/>
      <c r="W265" s="90"/>
      <c r="X265" s="90">
        <v>1.2</v>
      </c>
      <c r="Y265" s="89"/>
      <c r="Z265" s="89">
        <v>589</v>
      </c>
      <c r="AA265" s="89"/>
      <c r="AB265" s="89"/>
      <c r="AC265" s="92"/>
    </row>
    <row r="266" spans="2:29">
      <c r="B266" s="1">
        <v>262</v>
      </c>
      <c r="E266" s="1" t="s">
        <v>153</v>
      </c>
      <c r="F266" s="1" t="s">
        <v>1167</v>
      </c>
      <c r="G266" s="37">
        <v>280</v>
      </c>
      <c r="H266" s="85"/>
      <c r="I266" s="85"/>
      <c r="J266" s="85"/>
      <c r="K266" s="37"/>
      <c r="L266" s="37">
        <v>196</v>
      </c>
      <c r="M266" s="85"/>
      <c r="N266" s="85">
        <v>4</v>
      </c>
      <c r="O266" s="85"/>
      <c r="P266" s="85"/>
      <c r="Q266" s="85"/>
      <c r="R266" s="85"/>
      <c r="S266" s="85"/>
      <c r="T266" s="85"/>
      <c r="U266" s="85"/>
      <c r="V266" s="85"/>
      <c r="W266" s="85"/>
      <c r="X266" s="85">
        <v>1.39</v>
      </c>
      <c r="Y266" s="37"/>
      <c r="Z266" s="37">
        <v>1990</v>
      </c>
      <c r="AA266" s="37"/>
      <c r="AB266" s="37"/>
      <c r="AC266" s="87"/>
    </row>
    <row r="267" spans="2:29">
      <c r="B267" s="88">
        <v>263</v>
      </c>
      <c r="C267" s="88"/>
      <c r="D267" s="88"/>
      <c r="E267" s="88" t="s">
        <v>153</v>
      </c>
      <c r="F267" s="88" t="s">
        <v>1167</v>
      </c>
      <c r="G267" s="89">
        <v>210</v>
      </c>
      <c r="H267" s="90"/>
      <c r="I267" s="90"/>
      <c r="J267" s="90"/>
      <c r="K267" s="89"/>
      <c r="L267" s="89">
        <v>196</v>
      </c>
      <c r="M267" s="90"/>
      <c r="N267" s="90">
        <v>4</v>
      </c>
      <c r="O267" s="90"/>
      <c r="P267" s="90"/>
      <c r="Q267" s="90"/>
      <c r="R267" s="90"/>
      <c r="S267" s="90"/>
      <c r="T267" s="90"/>
      <c r="U267" s="90"/>
      <c r="V267" s="90"/>
      <c r="W267" s="90"/>
      <c r="X267" s="90">
        <v>1.37</v>
      </c>
      <c r="Y267" s="89"/>
      <c r="Z267" s="89">
        <v>1686</v>
      </c>
      <c r="AA267" s="89"/>
      <c r="AB267" s="89"/>
      <c r="AC267" s="92"/>
    </row>
    <row r="268" spans="2:29">
      <c r="B268" s="1">
        <v>264</v>
      </c>
      <c r="E268" s="1" t="s">
        <v>153</v>
      </c>
      <c r="F268" s="1" t="s">
        <v>1167</v>
      </c>
      <c r="G268" s="37">
        <v>140</v>
      </c>
      <c r="H268" s="85"/>
      <c r="I268" s="85"/>
      <c r="J268" s="85"/>
      <c r="K268" s="37"/>
      <c r="L268" s="37">
        <v>196</v>
      </c>
      <c r="M268" s="85"/>
      <c r="N268" s="85">
        <v>4</v>
      </c>
      <c r="O268" s="85"/>
      <c r="P268" s="85"/>
      <c r="Q268" s="85"/>
      <c r="R268" s="85"/>
      <c r="S268" s="85"/>
      <c r="T268" s="85"/>
      <c r="U268" s="85"/>
      <c r="V268" s="85"/>
      <c r="W268" s="85"/>
      <c r="X268" s="85">
        <v>1.32</v>
      </c>
      <c r="Y268" s="37"/>
      <c r="Z268" s="37">
        <v>1284</v>
      </c>
      <c r="AA268" s="37"/>
      <c r="AB268" s="37"/>
      <c r="AC268" s="87"/>
    </row>
    <row r="269" spans="2:29">
      <c r="B269" s="88">
        <v>265</v>
      </c>
      <c r="C269" s="88"/>
      <c r="D269" s="88"/>
      <c r="E269" s="88" t="s">
        <v>153</v>
      </c>
      <c r="F269" s="88" t="s">
        <v>1167</v>
      </c>
      <c r="G269" s="89">
        <v>70</v>
      </c>
      <c r="H269" s="90"/>
      <c r="I269" s="90"/>
      <c r="J269" s="90"/>
      <c r="K269" s="89"/>
      <c r="L269" s="89">
        <v>196</v>
      </c>
      <c r="M269" s="90"/>
      <c r="N269" s="90">
        <v>4</v>
      </c>
      <c r="O269" s="90"/>
      <c r="P269" s="90"/>
      <c r="Q269" s="90"/>
      <c r="R269" s="90"/>
      <c r="S269" s="90"/>
      <c r="T269" s="90"/>
      <c r="U269" s="90"/>
      <c r="V269" s="90"/>
      <c r="W269" s="90"/>
      <c r="X269" s="90">
        <v>1.18</v>
      </c>
      <c r="Y269" s="89"/>
      <c r="Z269" s="89">
        <v>800</v>
      </c>
      <c r="AA269" s="89"/>
      <c r="AB269" s="89"/>
      <c r="AC269" s="92"/>
    </row>
    <row r="270" spans="2:29">
      <c r="B270" s="1">
        <v>266</v>
      </c>
      <c r="E270" s="1" t="s">
        <v>153</v>
      </c>
      <c r="F270" s="1" t="s">
        <v>1167</v>
      </c>
      <c r="G270" s="37">
        <v>280</v>
      </c>
      <c r="H270" s="85"/>
      <c r="I270" s="85"/>
      <c r="J270" s="85"/>
      <c r="K270" s="37"/>
      <c r="L270" s="37">
        <v>257</v>
      </c>
      <c r="M270" s="85"/>
      <c r="N270" s="85">
        <v>5</v>
      </c>
      <c r="O270" s="85"/>
      <c r="P270" s="85"/>
      <c r="Q270" s="85"/>
      <c r="R270" s="85"/>
      <c r="S270" s="85"/>
      <c r="T270" s="85"/>
      <c r="U270" s="85"/>
      <c r="V270" s="85"/>
      <c r="W270" s="85"/>
      <c r="X270" s="85">
        <v>1.41</v>
      </c>
      <c r="Y270" s="37"/>
      <c r="Z270" s="37">
        <v>2574</v>
      </c>
      <c r="AA270" s="37"/>
      <c r="AB270" s="37"/>
      <c r="AC270" s="87"/>
    </row>
    <row r="271" spans="2:29">
      <c r="B271" s="88">
        <v>267</v>
      </c>
      <c r="C271" s="88"/>
      <c r="D271" s="88"/>
      <c r="E271" s="88" t="s">
        <v>153</v>
      </c>
      <c r="F271" s="88" t="s">
        <v>1167</v>
      </c>
      <c r="G271" s="89">
        <v>210</v>
      </c>
      <c r="H271" s="90"/>
      <c r="I271" s="90"/>
      <c r="J271" s="90"/>
      <c r="K271" s="89"/>
      <c r="L271" s="89">
        <v>257</v>
      </c>
      <c r="M271" s="90"/>
      <c r="N271" s="90">
        <v>5</v>
      </c>
      <c r="O271" s="90"/>
      <c r="P271" s="90"/>
      <c r="Q271" s="90"/>
      <c r="R271" s="90"/>
      <c r="S271" s="90"/>
      <c r="T271" s="90"/>
      <c r="U271" s="90"/>
      <c r="V271" s="90"/>
      <c r="W271" s="90"/>
      <c r="X271" s="90">
        <v>1.38</v>
      </c>
      <c r="Y271" s="89"/>
      <c r="Z271" s="89">
        <v>2145</v>
      </c>
      <c r="AA271" s="89"/>
      <c r="AB271" s="89"/>
      <c r="AC271" s="92"/>
    </row>
    <row r="272" spans="2:29">
      <c r="B272" s="1">
        <v>268</v>
      </c>
      <c r="E272" s="1" t="s">
        <v>153</v>
      </c>
      <c r="F272" s="1" t="s">
        <v>1167</v>
      </c>
      <c r="G272" s="37">
        <v>140</v>
      </c>
      <c r="H272" s="85"/>
      <c r="I272" s="85"/>
      <c r="J272" s="85"/>
      <c r="K272" s="37"/>
      <c r="L272" s="37">
        <v>257</v>
      </c>
      <c r="M272" s="85"/>
      <c r="N272" s="85">
        <v>5</v>
      </c>
      <c r="O272" s="85"/>
      <c r="P272" s="85"/>
      <c r="Q272" s="85"/>
      <c r="R272" s="85"/>
      <c r="S272" s="85"/>
      <c r="T272" s="85"/>
      <c r="U272" s="85"/>
      <c r="V272" s="85"/>
      <c r="W272" s="85"/>
      <c r="X272" s="85">
        <v>1.32</v>
      </c>
      <c r="Y272" s="37"/>
      <c r="Z272" s="37">
        <v>1613</v>
      </c>
      <c r="AA272" s="37"/>
      <c r="AB272" s="37"/>
      <c r="AC272" s="87"/>
    </row>
    <row r="273" spans="2:29">
      <c r="B273" s="88">
        <v>269</v>
      </c>
      <c r="C273" s="88"/>
      <c r="D273" s="88"/>
      <c r="E273" s="88" t="s">
        <v>153</v>
      </c>
      <c r="F273" s="88" t="s">
        <v>1167</v>
      </c>
      <c r="G273" s="89">
        <v>70</v>
      </c>
      <c r="H273" s="90"/>
      <c r="I273" s="90"/>
      <c r="J273" s="90"/>
      <c r="K273" s="89"/>
      <c r="L273" s="89">
        <v>257</v>
      </c>
      <c r="M273" s="90"/>
      <c r="N273" s="90">
        <v>5</v>
      </c>
      <c r="O273" s="90"/>
      <c r="P273" s="90"/>
      <c r="Q273" s="90"/>
      <c r="R273" s="90"/>
      <c r="S273" s="90"/>
      <c r="T273" s="90"/>
      <c r="U273" s="90"/>
      <c r="V273" s="90"/>
      <c r="W273" s="90"/>
      <c r="X273" s="90">
        <v>1.17</v>
      </c>
      <c r="Y273" s="89"/>
      <c r="Z273" s="89">
        <v>872</v>
      </c>
      <c r="AA273" s="89"/>
      <c r="AB273" s="89"/>
      <c r="AC273" s="92"/>
    </row>
    <row r="274" spans="2:29">
      <c r="B274" s="1">
        <v>270</v>
      </c>
      <c r="C274" s="1" t="s">
        <v>153</v>
      </c>
      <c r="D274" s="1" t="s">
        <v>1348</v>
      </c>
      <c r="G274" s="37">
        <v>100</v>
      </c>
      <c r="H274" s="85"/>
      <c r="I274" s="85"/>
      <c r="J274" s="85"/>
      <c r="K274" s="37"/>
      <c r="L274" s="37">
        <v>40</v>
      </c>
      <c r="M274" s="85"/>
      <c r="N274" s="85"/>
      <c r="O274" s="85"/>
      <c r="P274" s="85"/>
      <c r="Q274" s="85"/>
      <c r="R274" s="85"/>
      <c r="S274" s="85"/>
      <c r="T274" s="85">
        <v>80</v>
      </c>
      <c r="U274" s="85"/>
      <c r="V274" s="85"/>
      <c r="W274" s="85"/>
      <c r="X274" s="85"/>
      <c r="Y274" s="37"/>
      <c r="Z274" s="37">
        <v>450</v>
      </c>
      <c r="AA274" s="37"/>
      <c r="AB274" s="37"/>
      <c r="AC274" s="87"/>
    </row>
    <row r="275" spans="2:29">
      <c r="B275" s="88">
        <v>271</v>
      </c>
      <c r="C275" s="88" t="s">
        <v>153</v>
      </c>
      <c r="D275" s="88" t="s">
        <v>1348</v>
      </c>
      <c r="E275" s="88"/>
      <c r="F275" s="88"/>
      <c r="G275" s="89">
        <v>225</v>
      </c>
      <c r="H275" s="90"/>
      <c r="I275" s="90"/>
      <c r="J275" s="90"/>
      <c r="K275" s="89"/>
      <c r="L275" s="89">
        <v>95</v>
      </c>
      <c r="M275" s="90"/>
      <c r="N275" s="90"/>
      <c r="O275" s="90"/>
      <c r="P275" s="90"/>
      <c r="Q275" s="90"/>
      <c r="R275" s="90"/>
      <c r="S275" s="90"/>
      <c r="T275" s="90">
        <v>80</v>
      </c>
      <c r="U275" s="90"/>
      <c r="V275" s="90"/>
      <c r="W275" s="90"/>
      <c r="X275" s="90"/>
      <c r="Y275" s="89"/>
      <c r="Z275" s="89">
        <v>600</v>
      </c>
      <c r="AA275" s="89"/>
      <c r="AB275" s="89"/>
      <c r="AC275" s="92"/>
    </row>
    <row r="276" spans="2:29">
      <c r="B276" s="1">
        <v>272</v>
      </c>
      <c r="C276" s="1" t="s">
        <v>153</v>
      </c>
      <c r="D276" s="1" t="s">
        <v>1348</v>
      </c>
      <c r="G276" s="37">
        <v>350</v>
      </c>
      <c r="H276" s="85"/>
      <c r="I276" s="85"/>
      <c r="J276" s="85"/>
      <c r="K276" s="37"/>
      <c r="L276" s="37">
        <v>150</v>
      </c>
      <c r="M276" s="85"/>
      <c r="N276" s="85"/>
      <c r="O276" s="85"/>
      <c r="P276" s="85"/>
      <c r="Q276" s="85"/>
      <c r="R276" s="85"/>
      <c r="S276" s="85"/>
      <c r="T276" s="85">
        <v>80</v>
      </c>
      <c r="U276" s="85"/>
      <c r="V276" s="85"/>
      <c r="W276" s="85"/>
      <c r="X276" s="85"/>
      <c r="Y276" s="37"/>
      <c r="Z276" s="37">
        <v>800</v>
      </c>
      <c r="AA276" s="37"/>
      <c r="AB276" s="37"/>
      <c r="AC276" s="87"/>
    </row>
    <row r="277" spans="2:29">
      <c r="B277" s="88">
        <v>273</v>
      </c>
      <c r="C277" s="88" t="s">
        <v>1349</v>
      </c>
      <c r="D277" s="88" t="s">
        <v>1241</v>
      </c>
      <c r="E277" s="88"/>
      <c r="F277" s="88"/>
      <c r="G277" s="89"/>
      <c r="H277" s="90">
        <v>300</v>
      </c>
      <c r="I277" s="90"/>
      <c r="J277" s="90"/>
      <c r="K277" s="89"/>
      <c r="L277" s="89"/>
      <c r="M277" s="90">
        <v>2</v>
      </c>
      <c r="N277" s="90"/>
      <c r="O277" s="90"/>
      <c r="P277" s="90"/>
      <c r="Q277" s="90"/>
      <c r="R277" s="90"/>
      <c r="S277" s="90">
        <v>120</v>
      </c>
      <c r="T277" s="90"/>
      <c r="U277" s="90"/>
      <c r="V277" s="90"/>
      <c r="W277" s="90"/>
      <c r="X277" s="90"/>
      <c r="Y277" s="89"/>
      <c r="Z277" s="89">
        <v>512</v>
      </c>
      <c r="AA277" s="89"/>
      <c r="AB277" s="89"/>
      <c r="AC277" s="92"/>
    </row>
    <row r="278" spans="2:29">
      <c r="B278" s="1">
        <v>274</v>
      </c>
      <c r="C278" s="1" t="s">
        <v>1349</v>
      </c>
      <c r="D278" s="1" t="s">
        <v>1241</v>
      </c>
      <c r="G278" s="37"/>
      <c r="H278" s="85">
        <v>300</v>
      </c>
      <c r="I278" s="85"/>
      <c r="J278" s="85"/>
      <c r="K278" s="37"/>
      <c r="L278" s="37"/>
      <c r="M278" s="85">
        <v>2</v>
      </c>
      <c r="N278" s="85"/>
      <c r="O278" s="85"/>
      <c r="P278" s="85"/>
      <c r="Q278" s="85"/>
      <c r="R278" s="85"/>
      <c r="S278" s="85">
        <v>112</v>
      </c>
      <c r="T278" s="85"/>
      <c r="U278" s="85"/>
      <c r="V278" s="85"/>
      <c r="W278" s="85"/>
      <c r="X278" s="85"/>
      <c r="Y278" s="37"/>
      <c r="Z278" s="37">
        <v>471</v>
      </c>
      <c r="AA278" s="37"/>
      <c r="AB278" s="37"/>
      <c r="AC278" s="87"/>
    </row>
    <row r="279" spans="2:29">
      <c r="B279" s="88">
        <v>275</v>
      </c>
      <c r="C279" s="88" t="s">
        <v>1349</v>
      </c>
      <c r="D279" s="88" t="s">
        <v>1241</v>
      </c>
      <c r="E279" s="88"/>
      <c r="F279" s="88"/>
      <c r="G279" s="89"/>
      <c r="H279" s="90">
        <v>300</v>
      </c>
      <c r="I279" s="90"/>
      <c r="J279" s="90"/>
      <c r="K279" s="89"/>
      <c r="L279" s="89"/>
      <c r="M279" s="90">
        <v>2</v>
      </c>
      <c r="N279" s="90"/>
      <c r="O279" s="90"/>
      <c r="P279" s="90"/>
      <c r="Q279" s="90"/>
      <c r="R279" s="90"/>
      <c r="S279" s="90">
        <v>104</v>
      </c>
      <c r="T279" s="90"/>
      <c r="U279" s="90"/>
      <c r="V279" s="90"/>
      <c r="W279" s="90"/>
      <c r="X279" s="90"/>
      <c r="Y279" s="89"/>
      <c r="Z279" s="89">
        <v>431</v>
      </c>
      <c r="AA279" s="89"/>
      <c r="AB279" s="89"/>
      <c r="AC279" s="92"/>
    </row>
    <row r="280" spans="2:29">
      <c r="B280" s="1">
        <v>276</v>
      </c>
      <c r="C280" s="1" t="s">
        <v>1349</v>
      </c>
      <c r="D280" s="1" t="s">
        <v>1241</v>
      </c>
      <c r="G280" s="37"/>
      <c r="H280" s="85">
        <v>300</v>
      </c>
      <c r="I280" s="85"/>
      <c r="J280" s="85"/>
      <c r="K280" s="37"/>
      <c r="L280" s="37"/>
      <c r="M280" s="85">
        <v>2</v>
      </c>
      <c r="N280" s="85"/>
      <c r="O280" s="85"/>
      <c r="P280" s="85"/>
      <c r="Q280" s="85"/>
      <c r="R280" s="85"/>
      <c r="S280" s="85">
        <v>96</v>
      </c>
      <c r="T280" s="85"/>
      <c r="U280" s="85"/>
      <c r="V280" s="85"/>
      <c r="W280" s="85"/>
      <c r="X280" s="85"/>
      <c r="Y280" s="37"/>
      <c r="Z280" s="37">
        <v>392</v>
      </c>
      <c r="AA280" s="37"/>
      <c r="AB280" s="37"/>
      <c r="AC280" s="87"/>
    </row>
    <row r="281" spans="2:29">
      <c r="B281" s="88">
        <v>277</v>
      </c>
      <c r="C281" s="88" t="s">
        <v>1349</v>
      </c>
      <c r="D281" s="88" t="s">
        <v>1241</v>
      </c>
      <c r="E281" s="88"/>
      <c r="F281" s="88"/>
      <c r="G281" s="89"/>
      <c r="H281" s="90">
        <v>300</v>
      </c>
      <c r="I281" s="90"/>
      <c r="J281" s="90"/>
      <c r="K281" s="89"/>
      <c r="L281" s="89"/>
      <c r="M281" s="90">
        <v>2</v>
      </c>
      <c r="N281" s="90"/>
      <c r="O281" s="90"/>
      <c r="P281" s="90"/>
      <c r="Q281" s="90"/>
      <c r="R281" s="90"/>
      <c r="S281" s="90">
        <v>88</v>
      </c>
      <c r="T281" s="90"/>
      <c r="U281" s="90"/>
      <c r="V281" s="90"/>
      <c r="W281" s="90"/>
      <c r="X281" s="90"/>
      <c r="Y281" s="89"/>
      <c r="Z281" s="89">
        <v>353</v>
      </c>
      <c r="AA281" s="89"/>
      <c r="AB281" s="89"/>
      <c r="AC281" s="92"/>
    </row>
    <row r="282" spans="2:29">
      <c r="B282" s="1">
        <v>278</v>
      </c>
      <c r="C282" s="1" t="s">
        <v>1349</v>
      </c>
      <c r="D282" s="1" t="s">
        <v>1241</v>
      </c>
      <c r="G282" s="37"/>
      <c r="H282" s="85">
        <v>300</v>
      </c>
      <c r="I282" s="85"/>
      <c r="J282" s="85"/>
      <c r="K282" s="37"/>
      <c r="L282" s="37"/>
      <c r="M282" s="85">
        <v>2</v>
      </c>
      <c r="N282" s="85"/>
      <c r="O282" s="85"/>
      <c r="P282" s="85"/>
      <c r="Q282" s="85"/>
      <c r="R282" s="85"/>
      <c r="S282" s="85">
        <v>80</v>
      </c>
      <c r="T282" s="85"/>
      <c r="U282" s="85"/>
      <c r="V282" s="85"/>
      <c r="W282" s="85"/>
      <c r="X282" s="85"/>
      <c r="Y282" s="37"/>
      <c r="Z282" s="37">
        <v>315</v>
      </c>
      <c r="AA282" s="37"/>
      <c r="AB282" s="37"/>
      <c r="AC282" s="87"/>
    </row>
    <row r="283" spans="2:29">
      <c r="B283" s="88">
        <v>279</v>
      </c>
      <c r="C283" s="88" t="s">
        <v>1349</v>
      </c>
      <c r="D283" s="88" t="s">
        <v>1241</v>
      </c>
      <c r="E283" s="88"/>
      <c r="F283" s="88"/>
      <c r="G283" s="89"/>
      <c r="H283" s="90">
        <v>300</v>
      </c>
      <c r="I283" s="90"/>
      <c r="J283" s="90"/>
      <c r="K283" s="89"/>
      <c r="L283" s="89"/>
      <c r="M283" s="90">
        <v>2</v>
      </c>
      <c r="N283" s="90"/>
      <c r="O283" s="90"/>
      <c r="P283" s="90"/>
      <c r="Q283" s="90"/>
      <c r="R283" s="90"/>
      <c r="S283" s="90">
        <v>72</v>
      </c>
      <c r="T283" s="90"/>
      <c r="U283" s="90"/>
      <c r="V283" s="90"/>
      <c r="W283" s="90"/>
      <c r="X283" s="90"/>
      <c r="Y283" s="89"/>
      <c r="Z283" s="89">
        <v>277</v>
      </c>
      <c r="AA283" s="89"/>
      <c r="AB283" s="89"/>
      <c r="AC283" s="92"/>
    </row>
    <row r="284" spans="2:29">
      <c r="B284" s="1">
        <v>280</v>
      </c>
      <c r="C284" s="1" t="s">
        <v>1349</v>
      </c>
      <c r="D284" s="1" t="s">
        <v>1241</v>
      </c>
      <c r="G284" s="37"/>
      <c r="H284" s="85">
        <v>300</v>
      </c>
      <c r="I284" s="85"/>
      <c r="J284" s="85"/>
      <c r="K284" s="37"/>
      <c r="L284" s="37"/>
      <c r="M284" s="85">
        <v>2</v>
      </c>
      <c r="N284" s="85"/>
      <c r="O284" s="85"/>
      <c r="P284" s="85"/>
      <c r="Q284" s="85"/>
      <c r="R284" s="85"/>
      <c r="S284" s="85">
        <v>64</v>
      </c>
      <c r="T284" s="85"/>
      <c r="U284" s="85"/>
      <c r="V284" s="85"/>
      <c r="W284" s="85"/>
      <c r="X284" s="85"/>
      <c r="Y284" s="37"/>
      <c r="Z284" s="37">
        <v>241</v>
      </c>
      <c r="AA284" s="37"/>
      <c r="AB284" s="37"/>
      <c r="AC284" s="87"/>
    </row>
    <row r="285" spans="2:29">
      <c r="B285" s="88">
        <v>281</v>
      </c>
      <c r="C285" s="88" t="s">
        <v>1349</v>
      </c>
      <c r="D285" s="88" t="s">
        <v>1241</v>
      </c>
      <c r="E285" s="88"/>
      <c r="F285" s="88"/>
      <c r="G285" s="89"/>
      <c r="H285" s="90">
        <v>300</v>
      </c>
      <c r="I285" s="90"/>
      <c r="J285" s="90"/>
      <c r="K285" s="89"/>
      <c r="L285" s="89"/>
      <c r="M285" s="90">
        <v>2</v>
      </c>
      <c r="N285" s="90"/>
      <c r="O285" s="90"/>
      <c r="P285" s="90"/>
      <c r="Q285" s="90"/>
      <c r="R285" s="90"/>
      <c r="S285" s="90">
        <v>58</v>
      </c>
      <c r="T285" s="90"/>
      <c r="U285" s="90"/>
      <c r="V285" s="90"/>
      <c r="W285" s="90"/>
      <c r="X285" s="90"/>
      <c r="Y285" s="89"/>
      <c r="Z285" s="89">
        <v>214</v>
      </c>
      <c r="AA285" s="89"/>
      <c r="AB285" s="89"/>
      <c r="AC285" s="92"/>
    </row>
    <row r="286" spans="2:29">
      <c r="B286" s="1">
        <v>282</v>
      </c>
      <c r="C286" s="1" t="s">
        <v>1349</v>
      </c>
      <c r="D286" s="1" t="s">
        <v>1241</v>
      </c>
      <c r="G286" s="37"/>
      <c r="H286" s="85">
        <v>300</v>
      </c>
      <c r="I286" s="85"/>
      <c r="J286" s="85"/>
      <c r="K286" s="37"/>
      <c r="L286" s="37"/>
      <c r="M286" s="85">
        <v>2</v>
      </c>
      <c r="N286" s="85"/>
      <c r="O286" s="85"/>
      <c r="P286" s="85"/>
      <c r="Q286" s="85"/>
      <c r="R286" s="85"/>
      <c r="S286" s="85">
        <v>50</v>
      </c>
      <c r="T286" s="85"/>
      <c r="U286" s="85"/>
      <c r="V286" s="85"/>
      <c r="W286" s="85"/>
      <c r="X286" s="85"/>
      <c r="Y286" s="37"/>
      <c r="Z286" s="37">
        <v>179</v>
      </c>
      <c r="AA286" s="37"/>
      <c r="AB286" s="37"/>
      <c r="AC286" s="87"/>
    </row>
    <row r="287" spans="2:29">
      <c r="B287" s="88">
        <v>283</v>
      </c>
      <c r="C287" s="88" t="s">
        <v>1349</v>
      </c>
      <c r="D287" s="88" t="s">
        <v>1241</v>
      </c>
      <c r="E287" s="88"/>
      <c r="F287" s="88"/>
      <c r="G287" s="89"/>
      <c r="H287" s="90">
        <v>300</v>
      </c>
      <c r="I287" s="90"/>
      <c r="J287" s="90"/>
      <c r="K287" s="89"/>
      <c r="L287" s="89"/>
      <c r="M287" s="90">
        <v>2</v>
      </c>
      <c r="N287" s="90"/>
      <c r="O287" s="90"/>
      <c r="P287" s="90"/>
      <c r="Q287" s="90"/>
      <c r="R287" s="90"/>
      <c r="S287" s="90">
        <v>46</v>
      </c>
      <c r="T287" s="90"/>
      <c r="U287" s="90"/>
      <c r="V287" s="90"/>
      <c r="W287" s="90"/>
      <c r="X287" s="90"/>
      <c r="Y287" s="89"/>
      <c r="Z287" s="89">
        <v>162</v>
      </c>
      <c r="AA287" s="89"/>
      <c r="AB287" s="89"/>
      <c r="AC287" s="92"/>
    </row>
    <row r="288" spans="2:29">
      <c r="B288" s="1">
        <v>284</v>
      </c>
      <c r="C288" s="1" t="s">
        <v>1349</v>
      </c>
      <c r="D288" s="1" t="s">
        <v>1241</v>
      </c>
      <c r="G288" s="37"/>
      <c r="H288" s="85">
        <v>300</v>
      </c>
      <c r="I288" s="85"/>
      <c r="J288" s="85"/>
      <c r="K288" s="37"/>
      <c r="L288" s="37"/>
      <c r="M288" s="85">
        <v>2</v>
      </c>
      <c r="N288" s="85"/>
      <c r="O288" s="85"/>
      <c r="P288" s="85"/>
      <c r="Q288" s="85"/>
      <c r="R288" s="85"/>
      <c r="S288" s="85">
        <v>42</v>
      </c>
      <c r="T288" s="85"/>
      <c r="U288" s="85"/>
      <c r="V288" s="85"/>
      <c r="W288" s="85"/>
      <c r="X288" s="85"/>
      <c r="Y288" s="37"/>
      <c r="Z288" s="37">
        <v>145</v>
      </c>
      <c r="AA288" s="37"/>
      <c r="AB288" s="37"/>
      <c r="AC288" s="87"/>
    </row>
    <row r="289" spans="2:29">
      <c r="B289" s="88">
        <v>285</v>
      </c>
      <c r="C289" s="88" t="s">
        <v>1349</v>
      </c>
      <c r="D289" s="88" t="s">
        <v>1241</v>
      </c>
      <c r="E289" s="88"/>
      <c r="F289" s="88"/>
      <c r="G289" s="89"/>
      <c r="H289" s="90">
        <v>300</v>
      </c>
      <c r="I289" s="90"/>
      <c r="J289" s="90"/>
      <c r="K289" s="89"/>
      <c r="L289" s="89"/>
      <c r="M289" s="90">
        <v>2</v>
      </c>
      <c r="N289" s="90"/>
      <c r="O289" s="90"/>
      <c r="P289" s="90"/>
      <c r="Q289" s="90"/>
      <c r="R289" s="90"/>
      <c r="S289" s="90">
        <v>38</v>
      </c>
      <c r="T289" s="90"/>
      <c r="U289" s="90"/>
      <c r="V289" s="90"/>
      <c r="W289" s="90"/>
      <c r="X289" s="90"/>
      <c r="Y289" s="89"/>
      <c r="Z289" s="89">
        <v>129</v>
      </c>
      <c r="AA289" s="89"/>
      <c r="AB289" s="89"/>
      <c r="AC289" s="92"/>
    </row>
    <row r="290" spans="2:29">
      <c r="B290" s="1">
        <v>286</v>
      </c>
      <c r="C290" s="1" t="s">
        <v>1349</v>
      </c>
      <c r="D290" s="1" t="s">
        <v>1241</v>
      </c>
      <c r="G290" s="37"/>
      <c r="H290" s="85">
        <v>300</v>
      </c>
      <c r="I290" s="85"/>
      <c r="J290" s="85"/>
      <c r="K290" s="37"/>
      <c r="L290" s="37"/>
      <c r="M290" s="85">
        <v>2</v>
      </c>
      <c r="N290" s="85"/>
      <c r="O290" s="85"/>
      <c r="P290" s="85"/>
      <c r="Q290" s="85"/>
      <c r="R290" s="85"/>
      <c r="S290" s="85">
        <v>34</v>
      </c>
      <c r="T290" s="85"/>
      <c r="U290" s="85"/>
      <c r="V290" s="85"/>
      <c r="W290" s="85"/>
      <c r="X290" s="85"/>
      <c r="Y290" s="37"/>
      <c r="Z290" s="37">
        <v>113</v>
      </c>
      <c r="AA290" s="37"/>
      <c r="AB290" s="37"/>
      <c r="AC290" s="87"/>
    </row>
    <row r="291" spans="2:29">
      <c r="B291" s="88">
        <v>287</v>
      </c>
      <c r="C291" s="88" t="s">
        <v>1349</v>
      </c>
      <c r="D291" s="88" t="s">
        <v>1241</v>
      </c>
      <c r="E291" s="88"/>
      <c r="F291" s="88"/>
      <c r="G291" s="89"/>
      <c r="H291" s="90">
        <v>300</v>
      </c>
      <c r="I291" s="90"/>
      <c r="J291" s="90"/>
      <c r="K291" s="89"/>
      <c r="L291" s="89"/>
      <c r="M291" s="90">
        <v>2</v>
      </c>
      <c r="N291" s="90"/>
      <c r="O291" s="90"/>
      <c r="P291" s="90"/>
      <c r="Q291" s="90"/>
      <c r="R291" s="90"/>
      <c r="S291" s="90">
        <v>30</v>
      </c>
      <c r="T291" s="90"/>
      <c r="U291" s="90"/>
      <c r="V291" s="90"/>
      <c r="W291" s="90"/>
      <c r="X291" s="90"/>
      <c r="Y291" s="89"/>
      <c r="Z291" s="89">
        <v>97</v>
      </c>
      <c r="AA291" s="89"/>
      <c r="AB291" s="89"/>
      <c r="AC291" s="92"/>
    </row>
    <row r="292" spans="2:29">
      <c r="B292" s="1">
        <v>288</v>
      </c>
      <c r="C292" s="1" t="s">
        <v>1349</v>
      </c>
      <c r="D292" s="1" t="s">
        <v>1241</v>
      </c>
      <c r="G292" s="37"/>
      <c r="H292" s="85">
        <v>450</v>
      </c>
      <c r="I292" s="85"/>
      <c r="J292" s="85"/>
      <c r="K292" s="37"/>
      <c r="L292" s="37"/>
      <c r="M292" s="85">
        <v>3</v>
      </c>
      <c r="N292" s="85"/>
      <c r="O292" s="85"/>
      <c r="P292" s="85"/>
      <c r="Q292" s="85"/>
      <c r="R292" s="85"/>
      <c r="S292" s="85">
        <v>120</v>
      </c>
      <c r="T292" s="85"/>
      <c r="U292" s="85"/>
      <c r="V292" s="85"/>
      <c r="W292" s="85"/>
      <c r="X292" s="85"/>
      <c r="Y292" s="37"/>
      <c r="Z292" s="37">
        <v>688</v>
      </c>
      <c r="AA292" s="37"/>
      <c r="AB292" s="37"/>
      <c r="AC292" s="87"/>
    </row>
    <row r="293" spans="2:29">
      <c r="B293" s="88">
        <v>289</v>
      </c>
      <c r="C293" s="88" t="s">
        <v>1349</v>
      </c>
      <c r="D293" s="88" t="s">
        <v>1241</v>
      </c>
      <c r="E293" s="88"/>
      <c r="F293" s="88"/>
      <c r="G293" s="89"/>
      <c r="H293" s="90">
        <v>450</v>
      </c>
      <c r="I293" s="90"/>
      <c r="J293" s="90"/>
      <c r="K293" s="89"/>
      <c r="L293" s="89"/>
      <c r="M293" s="90">
        <v>3</v>
      </c>
      <c r="N293" s="90"/>
      <c r="O293" s="90"/>
      <c r="P293" s="90"/>
      <c r="Q293" s="90"/>
      <c r="R293" s="90"/>
      <c r="S293" s="90">
        <v>112</v>
      </c>
      <c r="T293" s="90"/>
      <c r="U293" s="90"/>
      <c r="V293" s="90"/>
      <c r="W293" s="90"/>
      <c r="X293" s="90"/>
      <c r="Y293" s="89"/>
      <c r="Z293" s="89">
        <v>634</v>
      </c>
      <c r="AA293" s="89"/>
      <c r="AB293" s="89"/>
      <c r="AC293" s="92"/>
    </row>
    <row r="294" spans="2:29">
      <c r="B294" s="1">
        <v>290</v>
      </c>
      <c r="C294" s="1" t="s">
        <v>1349</v>
      </c>
      <c r="D294" s="1" t="s">
        <v>1241</v>
      </c>
      <c r="G294" s="37"/>
      <c r="H294" s="85">
        <v>450</v>
      </c>
      <c r="I294" s="85"/>
      <c r="J294" s="85"/>
      <c r="K294" s="37"/>
      <c r="L294" s="37"/>
      <c r="M294" s="85">
        <v>3</v>
      </c>
      <c r="N294" s="85"/>
      <c r="O294" s="85"/>
      <c r="P294" s="85"/>
      <c r="Q294" s="85"/>
      <c r="R294" s="85"/>
      <c r="S294" s="85">
        <v>104</v>
      </c>
      <c r="T294" s="85"/>
      <c r="U294" s="85"/>
      <c r="V294" s="85"/>
      <c r="W294" s="85"/>
      <c r="X294" s="85"/>
      <c r="Y294" s="37"/>
      <c r="Z294" s="37">
        <v>581</v>
      </c>
      <c r="AA294" s="37"/>
      <c r="AB294" s="37"/>
      <c r="AC294" s="87"/>
    </row>
    <row r="295" spans="2:29">
      <c r="B295" s="88">
        <v>291</v>
      </c>
      <c r="C295" s="88" t="s">
        <v>1349</v>
      </c>
      <c r="D295" s="88" t="s">
        <v>1241</v>
      </c>
      <c r="E295" s="88"/>
      <c r="F295" s="88"/>
      <c r="G295" s="89"/>
      <c r="H295" s="90">
        <v>450</v>
      </c>
      <c r="I295" s="90"/>
      <c r="J295" s="90"/>
      <c r="K295" s="89"/>
      <c r="L295" s="89"/>
      <c r="M295" s="90">
        <v>3</v>
      </c>
      <c r="N295" s="90"/>
      <c r="O295" s="90"/>
      <c r="P295" s="90"/>
      <c r="Q295" s="90"/>
      <c r="R295" s="90"/>
      <c r="S295" s="90">
        <v>96</v>
      </c>
      <c r="T295" s="90"/>
      <c r="U295" s="90"/>
      <c r="V295" s="90"/>
      <c r="W295" s="90"/>
      <c r="X295" s="90"/>
      <c r="Y295" s="89"/>
      <c r="Z295" s="89">
        <v>529</v>
      </c>
      <c r="AA295" s="89"/>
      <c r="AB295" s="89"/>
      <c r="AC295" s="92"/>
    </row>
    <row r="296" spans="2:29">
      <c r="B296" s="1">
        <v>292</v>
      </c>
      <c r="C296" s="1" t="s">
        <v>1349</v>
      </c>
      <c r="D296" s="1" t="s">
        <v>1241</v>
      </c>
      <c r="G296" s="37"/>
      <c r="H296" s="85">
        <v>450</v>
      </c>
      <c r="I296" s="85"/>
      <c r="J296" s="85"/>
      <c r="K296" s="37"/>
      <c r="L296" s="37"/>
      <c r="M296" s="85">
        <v>3</v>
      </c>
      <c r="N296" s="85"/>
      <c r="O296" s="85"/>
      <c r="P296" s="85"/>
      <c r="Q296" s="85"/>
      <c r="R296" s="85"/>
      <c r="S296" s="85">
        <v>88</v>
      </c>
      <c r="T296" s="85"/>
      <c r="U296" s="85"/>
      <c r="V296" s="85"/>
      <c r="W296" s="85"/>
      <c r="X296" s="85"/>
      <c r="Y296" s="37"/>
      <c r="Z296" s="37">
        <v>477</v>
      </c>
      <c r="AA296" s="37"/>
      <c r="AB296" s="37"/>
      <c r="AC296" s="87"/>
    </row>
    <row r="297" spans="2:29">
      <c r="B297" s="88">
        <v>293</v>
      </c>
      <c r="C297" s="88" t="s">
        <v>1349</v>
      </c>
      <c r="D297" s="88" t="s">
        <v>1241</v>
      </c>
      <c r="E297" s="88"/>
      <c r="F297" s="88"/>
      <c r="G297" s="89"/>
      <c r="H297" s="90">
        <v>450</v>
      </c>
      <c r="I297" s="90"/>
      <c r="J297" s="90"/>
      <c r="K297" s="89"/>
      <c r="L297" s="89"/>
      <c r="M297" s="90">
        <v>3</v>
      </c>
      <c r="N297" s="90"/>
      <c r="O297" s="90"/>
      <c r="P297" s="90"/>
      <c r="Q297" s="90"/>
      <c r="R297" s="90"/>
      <c r="S297" s="90">
        <v>80</v>
      </c>
      <c r="T297" s="90"/>
      <c r="U297" s="90"/>
      <c r="V297" s="90"/>
      <c r="W297" s="90"/>
      <c r="X297" s="90"/>
      <c r="Y297" s="89"/>
      <c r="Z297" s="89">
        <v>426</v>
      </c>
      <c r="AA297" s="89"/>
      <c r="AB297" s="89"/>
      <c r="AC297" s="92"/>
    </row>
    <row r="298" spans="2:29">
      <c r="B298" s="1">
        <v>294</v>
      </c>
      <c r="C298" s="1" t="s">
        <v>1349</v>
      </c>
      <c r="D298" s="1" t="s">
        <v>1241</v>
      </c>
      <c r="G298" s="37"/>
      <c r="H298" s="85">
        <v>450</v>
      </c>
      <c r="I298" s="85"/>
      <c r="J298" s="85"/>
      <c r="K298" s="37"/>
      <c r="L298" s="37"/>
      <c r="M298" s="85">
        <v>3</v>
      </c>
      <c r="N298" s="85"/>
      <c r="O298" s="85"/>
      <c r="P298" s="85"/>
      <c r="Q298" s="85"/>
      <c r="R298" s="85"/>
      <c r="S298" s="85">
        <v>72</v>
      </c>
      <c r="T298" s="85"/>
      <c r="U298" s="85"/>
      <c r="V298" s="85"/>
      <c r="W298" s="85"/>
      <c r="X298" s="85"/>
      <c r="Y298" s="37"/>
      <c r="Z298" s="37">
        <v>377</v>
      </c>
      <c r="AA298" s="37"/>
      <c r="AB298" s="37"/>
      <c r="AC298" s="87"/>
    </row>
    <row r="299" spans="2:29">
      <c r="B299" s="88">
        <v>295</v>
      </c>
      <c r="C299" s="88" t="s">
        <v>1349</v>
      </c>
      <c r="D299" s="88" t="s">
        <v>1241</v>
      </c>
      <c r="E299" s="88"/>
      <c r="F299" s="88"/>
      <c r="G299" s="89"/>
      <c r="H299" s="90">
        <v>450</v>
      </c>
      <c r="I299" s="90"/>
      <c r="J299" s="90"/>
      <c r="K299" s="89"/>
      <c r="L299" s="89"/>
      <c r="M299" s="90">
        <v>3</v>
      </c>
      <c r="N299" s="90"/>
      <c r="O299" s="90"/>
      <c r="P299" s="90"/>
      <c r="Q299" s="90"/>
      <c r="R299" s="90"/>
      <c r="S299" s="90">
        <v>64</v>
      </c>
      <c r="T299" s="90"/>
      <c r="U299" s="90"/>
      <c r="V299" s="90"/>
      <c r="W299" s="90"/>
      <c r="X299" s="90"/>
      <c r="Y299" s="89"/>
      <c r="Z299" s="89">
        <v>328</v>
      </c>
      <c r="AA299" s="89"/>
      <c r="AB299" s="89"/>
      <c r="AC299" s="92"/>
    </row>
    <row r="300" spans="2:29">
      <c r="B300" s="1">
        <v>296</v>
      </c>
      <c r="C300" s="1" t="s">
        <v>1349</v>
      </c>
      <c r="D300" s="1" t="s">
        <v>1241</v>
      </c>
      <c r="G300" s="37"/>
      <c r="H300" s="85">
        <v>450</v>
      </c>
      <c r="I300" s="85"/>
      <c r="J300" s="85"/>
      <c r="K300" s="37"/>
      <c r="L300" s="37"/>
      <c r="M300" s="85">
        <v>3</v>
      </c>
      <c r="N300" s="85"/>
      <c r="O300" s="85"/>
      <c r="P300" s="85"/>
      <c r="Q300" s="85"/>
      <c r="R300" s="85"/>
      <c r="S300" s="85">
        <v>58</v>
      </c>
      <c r="T300" s="85"/>
      <c r="U300" s="85"/>
      <c r="V300" s="85"/>
      <c r="W300" s="85"/>
      <c r="X300" s="85"/>
      <c r="Y300" s="37"/>
      <c r="Z300" s="37">
        <v>292</v>
      </c>
      <c r="AA300" s="37"/>
      <c r="AB300" s="37"/>
      <c r="AC300" s="87"/>
    </row>
    <row r="301" spans="2:29">
      <c r="B301" s="88">
        <v>297</v>
      </c>
      <c r="C301" s="88" t="s">
        <v>1349</v>
      </c>
      <c r="D301" s="88" t="s">
        <v>1241</v>
      </c>
      <c r="E301" s="88"/>
      <c r="F301" s="88"/>
      <c r="G301" s="89"/>
      <c r="H301" s="90">
        <v>450</v>
      </c>
      <c r="I301" s="90"/>
      <c r="J301" s="90"/>
      <c r="K301" s="89"/>
      <c r="L301" s="89"/>
      <c r="M301" s="90">
        <v>3</v>
      </c>
      <c r="N301" s="90"/>
      <c r="O301" s="90"/>
      <c r="P301" s="90"/>
      <c r="Q301" s="90"/>
      <c r="R301" s="90"/>
      <c r="S301" s="90">
        <v>50</v>
      </c>
      <c r="T301" s="90"/>
      <c r="U301" s="90"/>
      <c r="V301" s="90"/>
      <c r="W301" s="90"/>
      <c r="X301" s="90"/>
      <c r="Y301" s="89"/>
      <c r="Z301" s="89">
        <v>245</v>
      </c>
      <c r="AA301" s="89"/>
      <c r="AB301" s="89"/>
      <c r="AC301" s="92"/>
    </row>
    <row r="302" spans="2:29">
      <c r="B302" s="1">
        <v>298</v>
      </c>
      <c r="C302" s="1" t="s">
        <v>1349</v>
      </c>
      <c r="D302" s="1" t="s">
        <v>1241</v>
      </c>
      <c r="G302" s="37"/>
      <c r="H302" s="85">
        <v>450</v>
      </c>
      <c r="I302" s="85"/>
      <c r="J302" s="85"/>
      <c r="K302" s="37"/>
      <c r="L302" s="37"/>
      <c r="M302" s="85">
        <v>3</v>
      </c>
      <c r="N302" s="85"/>
      <c r="O302" s="85"/>
      <c r="P302" s="85"/>
      <c r="Q302" s="85"/>
      <c r="R302" s="85"/>
      <c r="S302" s="85">
        <v>46</v>
      </c>
      <c r="T302" s="85"/>
      <c r="U302" s="85"/>
      <c r="V302" s="85"/>
      <c r="W302" s="85"/>
      <c r="X302" s="85"/>
      <c r="Y302" s="37"/>
      <c r="Z302" s="37">
        <v>222</v>
      </c>
      <c r="AA302" s="37"/>
      <c r="AB302" s="37"/>
      <c r="AC302" s="87"/>
    </row>
    <row r="303" spans="2:29">
      <c r="B303" s="88">
        <v>299</v>
      </c>
      <c r="C303" s="88" t="s">
        <v>1349</v>
      </c>
      <c r="D303" s="88" t="s">
        <v>1241</v>
      </c>
      <c r="E303" s="88"/>
      <c r="F303" s="88"/>
      <c r="G303" s="89"/>
      <c r="H303" s="90">
        <v>450</v>
      </c>
      <c r="I303" s="90"/>
      <c r="J303" s="90"/>
      <c r="K303" s="89"/>
      <c r="L303" s="89"/>
      <c r="M303" s="90">
        <v>3</v>
      </c>
      <c r="N303" s="90"/>
      <c r="O303" s="90"/>
      <c r="P303" s="90"/>
      <c r="Q303" s="90"/>
      <c r="R303" s="90"/>
      <c r="S303" s="90">
        <v>42</v>
      </c>
      <c r="T303" s="90"/>
      <c r="U303" s="90"/>
      <c r="V303" s="90"/>
      <c r="W303" s="90"/>
      <c r="X303" s="90"/>
      <c r="Y303" s="89"/>
      <c r="Z303" s="89">
        <v>199</v>
      </c>
      <c r="AA303" s="89"/>
      <c r="AB303" s="89"/>
      <c r="AC303" s="92"/>
    </row>
    <row r="304" spans="2:29">
      <c r="B304" s="1">
        <v>300</v>
      </c>
      <c r="C304" s="1" t="s">
        <v>1349</v>
      </c>
      <c r="D304" s="1" t="s">
        <v>1241</v>
      </c>
      <c r="G304" s="37"/>
      <c r="H304" s="85">
        <v>450</v>
      </c>
      <c r="I304" s="85"/>
      <c r="J304" s="85"/>
      <c r="K304" s="37"/>
      <c r="L304" s="37"/>
      <c r="M304" s="85">
        <v>3</v>
      </c>
      <c r="N304" s="85"/>
      <c r="O304" s="85"/>
      <c r="P304" s="85"/>
      <c r="Q304" s="85"/>
      <c r="R304" s="85"/>
      <c r="S304" s="85">
        <v>38</v>
      </c>
      <c r="T304" s="85"/>
      <c r="U304" s="85"/>
      <c r="V304" s="85"/>
      <c r="W304" s="85"/>
      <c r="X304" s="85"/>
      <c r="Y304" s="37"/>
      <c r="Z304" s="37">
        <v>177</v>
      </c>
      <c r="AA304" s="37"/>
      <c r="AB304" s="37"/>
      <c r="AC304" s="87"/>
    </row>
    <row r="305" spans="2:29">
      <c r="B305" s="88">
        <v>301</v>
      </c>
      <c r="C305" s="88" t="s">
        <v>1349</v>
      </c>
      <c r="D305" s="88" t="s">
        <v>1241</v>
      </c>
      <c r="E305" s="88"/>
      <c r="F305" s="88"/>
      <c r="G305" s="89"/>
      <c r="H305" s="90">
        <v>450</v>
      </c>
      <c r="I305" s="90"/>
      <c r="J305" s="90"/>
      <c r="K305" s="89"/>
      <c r="L305" s="89"/>
      <c r="M305" s="90">
        <v>3</v>
      </c>
      <c r="N305" s="90"/>
      <c r="O305" s="90"/>
      <c r="P305" s="90"/>
      <c r="Q305" s="90"/>
      <c r="R305" s="90"/>
      <c r="S305" s="90">
        <v>34</v>
      </c>
      <c r="T305" s="90"/>
      <c r="U305" s="90"/>
      <c r="V305" s="90"/>
      <c r="W305" s="90"/>
      <c r="X305" s="90"/>
      <c r="Y305" s="89"/>
      <c r="Z305" s="89">
        <v>155</v>
      </c>
      <c r="AA305" s="89"/>
      <c r="AB305" s="89"/>
      <c r="AC305" s="92"/>
    </row>
    <row r="306" spans="2:29">
      <c r="B306" s="1">
        <v>302</v>
      </c>
      <c r="C306" s="1" t="s">
        <v>1349</v>
      </c>
      <c r="D306" s="1" t="s">
        <v>1241</v>
      </c>
      <c r="G306" s="37"/>
      <c r="H306" s="85">
        <v>450</v>
      </c>
      <c r="I306" s="85"/>
      <c r="J306" s="85"/>
      <c r="K306" s="37"/>
      <c r="L306" s="37"/>
      <c r="M306" s="85">
        <v>3</v>
      </c>
      <c r="N306" s="85"/>
      <c r="O306" s="85"/>
      <c r="P306" s="85"/>
      <c r="Q306" s="85"/>
      <c r="R306" s="85"/>
      <c r="S306" s="85">
        <v>30</v>
      </c>
      <c r="T306" s="85"/>
      <c r="U306" s="85"/>
      <c r="V306" s="85"/>
      <c r="W306" s="85"/>
      <c r="X306" s="85"/>
      <c r="Y306" s="37"/>
      <c r="Z306" s="37">
        <v>134</v>
      </c>
      <c r="AA306" s="37"/>
      <c r="AB306" s="37"/>
      <c r="AC306" s="87"/>
    </row>
    <row r="307" spans="2:29" ht="15" customHeight="1">
      <c r="B307" s="88">
        <v>303</v>
      </c>
      <c r="C307" s="88" t="s">
        <v>1349</v>
      </c>
      <c r="D307" s="88" t="s">
        <v>1241</v>
      </c>
      <c r="E307" s="88"/>
      <c r="F307" s="88"/>
      <c r="G307" s="89"/>
      <c r="H307" s="90">
        <v>600</v>
      </c>
      <c r="I307" s="90"/>
      <c r="J307" s="90"/>
      <c r="K307" s="89"/>
      <c r="L307" s="89"/>
      <c r="M307" s="90">
        <v>4</v>
      </c>
      <c r="N307" s="90"/>
      <c r="O307" s="90"/>
      <c r="P307" s="90"/>
      <c r="Q307" s="90"/>
      <c r="R307" s="90"/>
      <c r="S307" s="90">
        <v>120</v>
      </c>
      <c r="T307" s="90"/>
      <c r="U307" s="90"/>
      <c r="V307" s="90"/>
      <c r="W307" s="90"/>
      <c r="X307" s="90"/>
      <c r="Y307" s="89"/>
      <c r="Z307" s="95">
        <v>867</v>
      </c>
      <c r="AA307" s="89"/>
      <c r="AB307" s="89"/>
      <c r="AC307" s="92"/>
    </row>
    <row r="308" spans="2:29" ht="15" customHeight="1">
      <c r="B308" s="1">
        <v>304</v>
      </c>
      <c r="C308" s="1" t="s">
        <v>1349</v>
      </c>
      <c r="D308" s="1" t="s">
        <v>1241</v>
      </c>
      <c r="G308" s="37"/>
      <c r="H308" s="85">
        <v>600</v>
      </c>
      <c r="I308" s="85"/>
      <c r="J308" s="85"/>
      <c r="K308" s="37"/>
      <c r="L308" s="37"/>
      <c r="M308" s="85">
        <v>4</v>
      </c>
      <c r="N308" s="85"/>
      <c r="O308" s="85"/>
      <c r="P308" s="85"/>
      <c r="Q308" s="85"/>
      <c r="R308" s="85"/>
      <c r="S308" s="85">
        <v>112</v>
      </c>
      <c r="T308" s="85"/>
      <c r="U308" s="85"/>
      <c r="V308" s="85"/>
      <c r="W308" s="85"/>
      <c r="X308" s="85"/>
      <c r="Y308" s="37"/>
      <c r="Z308" s="38">
        <v>799</v>
      </c>
      <c r="AA308" s="37"/>
      <c r="AB308" s="37"/>
      <c r="AC308" s="87"/>
    </row>
    <row r="309" spans="2:29" ht="15" customHeight="1">
      <c r="B309" s="88">
        <v>305</v>
      </c>
      <c r="C309" s="88" t="s">
        <v>1349</v>
      </c>
      <c r="D309" s="88" t="s">
        <v>1241</v>
      </c>
      <c r="E309" s="88"/>
      <c r="F309" s="88"/>
      <c r="G309" s="89"/>
      <c r="H309" s="90">
        <v>600</v>
      </c>
      <c r="I309" s="90"/>
      <c r="J309" s="90"/>
      <c r="K309" s="89"/>
      <c r="L309" s="89"/>
      <c r="M309" s="90">
        <v>4</v>
      </c>
      <c r="N309" s="90"/>
      <c r="O309" s="90"/>
      <c r="P309" s="90"/>
      <c r="Q309" s="90"/>
      <c r="R309" s="90"/>
      <c r="S309" s="90">
        <v>104</v>
      </c>
      <c r="T309" s="90"/>
      <c r="U309" s="90"/>
      <c r="V309" s="90"/>
      <c r="W309" s="90"/>
      <c r="X309" s="90"/>
      <c r="Y309" s="89"/>
      <c r="Z309" s="95">
        <v>733</v>
      </c>
      <c r="AA309" s="89"/>
      <c r="AB309" s="89"/>
      <c r="AC309" s="92"/>
    </row>
    <row r="310" spans="2:29" ht="15" customHeight="1">
      <c r="B310" s="1">
        <v>306</v>
      </c>
      <c r="C310" s="1" t="s">
        <v>1349</v>
      </c>
      <c r="D310" s="1" t="s">
        <v>1241</v>
      </c>
      <c r="G310" s="37"/>
      <c r="H310" s="85">
        <v>600</v>
      </c>
      <c r="I310" s="85"/>
      <c r="J310" s="85"/>
      <c r="K310" s="37"/>
      <c r="L310" s="37"/>
      <c r="M310" s="85">
        <v>4</v>
      </c>
      <c r="N310" s="85"/>
      <c r="O310" s="85"/>
      <c r="P310" s="85"/>
      <c r="Q310" s="85"/>
      <c r="R310" s="85"/>
      <c r="S310" s="85">
        <v>96</v>
      </c>
      <c r="T310" s="85"/>
      <c r="U310" s="85"/>
      <c r="V310" s="85"/>
      <c r="W310" s="85"/>
      <c r="X310" s="85"/>
      <c r="Y310" s="37"/>
      <c r="Z310" s="38">
        <v>668</v>
      </c>
      <c r="AA310" s="37"/>
      <c r="AB310" s="37"/>
      <c r="AC310" s="87"/>
    </row>
    <row r="311" spans="2:29" ht="15" customHeight="1">
      <c r="B311" s="88">
        <v>307</v>
      </c>
      <c r="C311" s="88" t="s">
        <v>1349</v>
      </c>
      <c r="D311" s="88" t="s">
        <v>1241</v>
      </c>
      <c r="E311" s="88"/>
      <c r="F311" s="88"/>
      <c r="G311" s="89"/>
      <c r="H311" s="90">
        <v>600</v>
      </c>
      <c r="I311" s="90"/>
      <c r="J311" s="90"/>
      <c r="K311" s="89"/>
      <c r="L311" s="89"/>
      <c r="M311" s="90">
        <v>4</v>
      </c>
      <c r="N311" s="90"/>
      <c r="O311" s="90"/>
      <c r="P311" s="90"/>
      <c r="Q311" s="90"/>
      <c r="R311" s="90"/>
      <c r="S311" s="90">
        <v>88</v>
      </c>
      <c r="T311" s="90"/>
      <c r="U311" s="90"/>
      <c r="V311" s="90"/>
      <c r="W311" s="90"/>
      <c r="X311" s="90"/>
      <c r="Y311" s="89"/>
      <c r="Z311" s="95">
        <v>603</v>
      </c>
      <c r="AA311" s="89"/>
      <c r="AB311" s="89"/>
      <c r="AC311" s="92"/>
    </row>
    <row r="312" spans="2:29" ht="15" customHeight="1">
      <c r="B312" s="1">
        <v>308</v>
      </c>
      <c r="C312" s="1" t="s">
        <v>1349</v>
      </c>
      <c r="D312" s="1" t="s">
        <v>1241</v>
      </c>
      <c r="G312" s="37"/>
      <c r="H312" s="85">
        <v>600</v>
      </c>
      <c r="I312" s="85"/>
      <c r="J312" s="85"/>
      <c r="K312" s="37"/>
      <c r="L312" s="37"/>
      <c r="M312" s="85">
        <v>4</v>
      </c>
      <c r="N312" s="85"/>
      <c r="O312" s="85"/>
      <c r="P312" s="85"/>
      <c r="Q312" s="85"/>
      <c r="R312" s="85"/>
      <c r="S312" s="85">
        <v>80</v>
      </c>
      <c r="T312" s="85"/>
      <c r="U312" s="85"/>
      <c r="V312" s="85"/>
      <c r="W312" s="85"/>
      <c r="X312" s="85"/>
      <c r="Y312" s="37"/>
      <c r="Z312" s="38">
        <v>539</v>
      </c>
      <c r="AA312" s="37"/>
      <c r="AB312" s="37"/>
      <c r="AC312" s="87"/>
    </row>
    <row r="313" spans="2:29" ht="15" customHeight="1">
      <c r="B313" s="88">
        <v>309</v>
      </c>
      <c r="C313" s="88" t="s">
        <v>1349</v>
      </c>
      <c r="D313" s="88" t="s">
        <v>1241</v>
      </c>
      <c r="E313" s="88"/>
      <c r="F313" s="88"/>
      <c r="G313" s="89"/>
      <c r="H313" s="90">
        <v>600</v>
      </c>
      <c r="I313" s="90"/>
      <c r="J313" s="90"/>
      <c r="K313" s="89"/>
      <c r="L313" s="89"/>
      <c r="M313" s="90">
        <v>4</v>
      </c>
      <c r="N313" s="90"/>
      <c r="O313" s="90"/>
      <c r="P313" s="90"/>
      <c r="Q313" s="90"/>
      <c r="R313" s="90"/>
      <c r="S313" s="90">
        <v>72</v>
      </c>
      <c r="T313" s="90"/>
      <c r="U313" s="90"/>
      <c r="V313" s="90"/>
      <c r="W313" s="90"/>
      <c r="X313" s="90"/>
      <c r="Y313" s="89"/>
      <c r="Z313" s="95">
        <v>477</v>
      </c>
      <c r="AA313" s="89"/>
      <c r="AB313" s="89"/>
      <c r="AC313" s="92"/>
    </row>
    <row r="314" spans="2:29" ht="15" customHeight="1">
      <c r="B314" s="1">
        <v>310</v>
      </c>
      <c r="C314" s="1" t="s">
        <v>1349</v>
      </c>
      <c r="D314" s="1" t="s">
        <v>1241</v>
      </c>
      <c r="G314" s="37"/>
      <c r="H314" s="85">
        <v>600</v>
      </c>
      <c r="I314" s="85"/>
      <c r="J314" s="85"/>
      <c r="K314" s="37"/>
      <c r="L314" s="37"/>
      <c r="M314" s="85">
        <v>4</v>
      </c>
      <c r="N314" s="85"/>
      <c r="O314" s="85"/>
      <c r="P314" s="85"/>
      <c r="Q314" s="85"/>
      <c r="R314" s="85"/>
      <c r="S314" s="85">
        <v>64</v>
      </c>
      <c r="T314" s="85"/>
      <c r="U314" s="85"/>
      <c r="V314" s="85"/>
      <c r="W314" s="85"/>
      <c r="X314" s="85"/>
      <c r="Y314" s="37"/>
      <c r="Z314" s="38">
        <v>415</v>
      </c>
      <c r="AA314" s="37"/>
      <c r="AB314" s="37"/>
      <c r="AC314" s="87"/>
    </row>
    <row r="315" spans="2:29" ht="15" customHeight="1">
      <c r="B315" s="88">
        <v>311</v>
      </c>
      <c r="C315" s="88" t="s">
        <v>1349</v>
      </c>
      <c r="D315" s="88" t="s">
        <v>1241</v>
      </c>
      <c r="E315" s="88"/>
      <c r="F315" s="88"/>
      <c r="G315" s="89"/>
      <c r="H315" s="90">
        <v>600</v>
      </c>
      <c r="I315" s="90"/>
      <c r="J315" s="90"/>
      <c r="K315" s="89"/>
      <c r="L315" s="89"/>
      <c r="M315" s="90">
        <v>4</v>
      </c>
      <c r="N315" s="90"/>
      <c r="O315" s="90"/>
      <c r="P315" s="90"/>
      <c r="Q315" s="90"/>
      <c r="R315" s="90"/>
      <c r="S315" s="90">
        <v>58</v>
      </c>
      <c r="T315" s="90"/>
      <c r="U315" s="90"/>
      <c r="V315" s="90"/>
      <c r="W315" s="90"/>
      <c r="X315" s="90"/>
      <c r="Y315" s="89"/>
      <c r="Z315" s="95">
        <v>370</v>
      </c>
      <c r="AA315" s="89"/>
      <c r="AB315" s="89"/>
      <c r="AC315" s="92"/>
    </row>
    <row r="316" spans="2:29" ht="15" customHeight="1">
      <c r="B316" s="1">
        <v>312</v>
      </c>
      <c r="C316" s="1" t="s">
        <v>1349</v>
      </c>
      <c r="D316" s="1" t="s">
        <v>1241</v>
      </c>
      <c r="G316" s="37"/>
      <c r="H316" s="85">
        <v>600</v>
      </c>
      <c r="I316" s="85"/>
      <c r="J316" s="85"/>
      <c r="K316" s="37"/>
      <c r="L316" s="37"/>
      <c r="M316" s="85">
        <v>4</v>
      </c>
      <c r="N316" s="85"/>
      <c r="O316" s="85"/>
      <c r="P316" s="85"/>
      <c r="Q316" s="85"/>
      <c r="R316" s="85"/>
      <c r="S316" s="85">
        <v>50</v>
      </c>
      <c r="T316" s="85"/>
      <c r="U316" s="85"/>
      <c r="V316" s="85"/>
      <c r="W316" s="85"/>
      <c r="X316" s="85"/>
      <c r="Y316" s="37"/>
      <c r="Z316" s="38">
        <v>311</v>
      </c>
      <c r="AA316" s="37"/>
      <c r="AB316" s="37"/>
      <c r="AC316" s="87"/>
    </row>
    <row r="317" spans="2:29" ht="15" customHeight="1">
      <c r="B317" s="88">
        <v>313</v>
      </c>
      <c r="C317" s="88" t="s">
        <v>1349</v>
      </c>
      <c r="D317" s="88" t="s">
        <v>1241</v>
      </c>
      <c r="E317" s="88"/>
      <c r="F317" s="88"/>
      <c r="G317" s="89"/>
      <c r="H317" s="90">
        <v>600</v>
      </c>
      <c r="I317" s="90"/>
      <c r="J317" s="90"/>
      <c r="K317" s="89"/>
      <c r="L317" s="89"/>
      <c r="M317" s="90">
        <v>4</v>
      </c>
      <c r="N317" s="90"/>
      <c r="O317" s="90"/>
      <c r="P317" s="90"/>
      <c r="Q317" s="90"/>
      <c r="R317" s="90"/>
      <c r="S317" s="90">
        <v>46</v>
      </c>
      <c r="T317" s="90"/>
      <c r="U317" s="90"/>
      <c r="V317" s="90"/>
      <c r="W317" s="90"/>
      <c r="X317" s="90"/>
      <c r="Y317" s="89"/>
      <c r="Z317" s="95">
        <v>282</v>
      </c>
      <c r="AA317" s="89"/>
      <c r="AB317" s="89"/>
      <c r="AC317" s="92"/>
    </row>
    <row r="318" spans="2:29" ht="15" customHeight="1">
      <c r="B318" s="1">
        <v>314</v>
      </c>
      <c r="C318" s="1" t="s">
        <v>1349</v>
      </c>
      <c r="D318" s="1" t="s">
        <v>1241</v>
      </c>
      <c r="G318" s="37"/>
      <c r="H318" s="85">
        <v>600</v>
      </c>
      <c r="I318" s="85"/>
      <c r="J318" s="85"/>
      <c r="K318" s="37"/>
      <c r="L318" s="37"/>
      <c r="M318" s="85">
        <v>4</v>
      </c>
      <c r="N318" s="85"/>
      <c r="O318" s="85"/>
      <c r="P318" s="85"/>
      <c r="Q318" s="85"/>
      <c r="R318" s="85"/>
      <c r="S318" s="85">
        <v>42</v>
      </c>
      <c r="T318" s="85"/>
      <c r="U318" s="85"/>
      <c r="V318" s="85"/>
      <c r="W318" s="85"/>
      <c r="X318" s="85"/>
      <c r="Y318" s="37"/>
      <c r="Z318" s="38">
        <v>254</v>
      </c>
      <c r="AA318" s="37"/>
      <c r="AB318" s="37"/>
      <c r="AC318" s="87"/>
    </row>
    <row r="319" spans="2:29" ht="15" customHeight="1">
      <c r="B319" s="88">
        <v>315</v>
      </c>
      <c r="C319" s="88" t="s">
        <v>1349</v>
      </c>
      <c r="D319" s="88" t="s">
        <v>1241</v>
      </c>
      <c r="E319" s="88"/>
      <c r="F319" s="88"/>
      <c r="G319" s="89"/>
      <c r="H319" s="90">
        <v>600</v>
      </c>
      <c r="I319" s="90"/>
      <c r="J319" s="90"/>
      <c r="K319" s="89"/>
      <c r="L319" s="89"/>
      <c r="M319" s="90">
        <v>4</v>
      </c>
      <c r="N319" s="90"/>
      <c r="O319" s="90"/>
      <c r="P319" s="90"/>
      <c r="Q319" s="90"/>
      <c r="R319" s="90"/>
      <c r="S319" s="90">
        <v>38</v>
      </c>
      <c r="T319" s="90"/>
      <c r="U319" s="90"/>
      <c r="V319" s="90"/>
      <c r="W319" s="90"/>
      <c r="X319" s="90"/>
      <c r="Y319" s="89"/>
      <c r="Z319" s="95">
        <v>226</v>
      </c>
      <c r="AA319" s="89"/>
      <c r="AB319" s="89"/>
      <c r="AC319" s="92"/>
    </row>
    <row r="320" spans="2:29" ht="15" customHeight="1">
      <c r="B320" s="1">
        <v>316</v>
      </c>
      <c r="C320" s="1" t="s">
        <v>1349</v>
      </c>
      <c r="D320" s="1" t="s">
        <v>1241</v>
      </c>
      <c r="G320" s="37"/>
      <c r="H320" s="85">
        <v>600</v>
      </c>
      <c r="I320" s="85"/>
      <c r="J320" s="85"/>
      <c r="K320" s="37"/>
      <c r="L320" s="37"/>
      <c r="M320" s="85">
        <v>4</v>
      </c>
      <c r="N320" s="85"/>
      <c r="O320" s="85"/>
      <c r="P320" s="85"/>
      <c r="Q320" s="85"/>
      <c r="R320" s="85"/>
      <c r="S320" s="85">
        <v>34</v>
      </c>
      <c r="T320" s="85"/>
      <c r="U320" s="85"/>
      <c r="V320" s="85"/>
      <c r="W320" s="85"/>
      <c r="X320" s="85"/>
      <c r="Y320" s="37"/>
      <c r="Z320" s="38">
        <v>198</v>
      </c>
      <c r="AA320" s="37"/>
      <c r="AB320" s="37"/>
      <c r="AC320" s="87"/>
    </row>
    <row r="321" spans="2:29" ht="15" customHeight="1">
      <c r="B321" s="88">
        <v>317</v>
      </c>
      <c r="C321" s="88" t="s">
        <v>1349</v>
      </c>
      <c r="D321" s="88" t="s">
        <v>1241</v>
      </c>
      <c r="E321" s="88"/>
      <c r="F321" s="88"/>
      <c r="G321" s="89"/>
      <c r="H321" s="90">
        <v>600</v>
      </c>
      <c r="I321" s="90"/>
      <c r="J321" s="90"/>
      <c r="K321" s="89"/>
      <c r="L321" s="89"/>
      <c r="M321" s="90">
        <v>4</v>
      </c>
      <c r="N321" s="90"/>
      <c r="O321" s="90"/>
      <c r="P321" s="90"/>
      <c r="Q321" s="90"/>
      <c r="R321" s="90"/>
      <c r="S321" s="90">
        <v>30</v>
      </c>
      <c r="T321" s="90"/>
      <c r="U321" s="90"/>
      <c r="V321" s="90"/>
      <c r="W321" s="90"/>
      <c r="X321" s="90"/>
      <c r="Y321" s="89"/>
      <c r="Z321" s="95">
        <v>171</v>
      </c>
      <c r="AA321" s="89"/>
      <c r="AB321" s="89"/>
      <c r="AC321" s="92"/>
    </row>
    <row r="322" spans="2:29" ht="15" customHeight="1">
      <c r="B322" s="1">
        <v>318</v>
      </c>
      <c r="C322" s="1" t="s">
        <v>1349</v>
      </c>
      <c r="D322" s="1" t="s">
        <v>1241</v>
      </c>
      <c r="G322" s="37"/>
      <c r="H322" s="85">
        <v>750</v>
      </c>
      <c r="I322" s="85"/>
      <c r="J322" s="85"/>
      <c r="K322" s="37"/>
      <c r="L322" s="37"/>
      <c r="M322" s="85">
        <v>5</v>
      </c>
      <c r="N322" s="85"/>
      <c r="O322" s="85"/>
      <c r="P322" s="85"/>
      <c r="Q322" s="85"/>
      <c r="R322" s="85"/>
      <c r="S322" s="85">
        <v>120</v>
      </c>
      <c r="T322" s="85"/>
      <c r="U322" s="85"/>
      <c r="V322" s="85"/>
      <c r="W322" s="85"/>
      <c r="X322" s="85"/>
      <c r="Y322" s="37"/>
      <c r="Z322" s="38">
        <v>1050</v>
      </c>
      <c r="AA322" s="37"/>
      <c r="AB322" s="37"/>
      <c r="AC322" s="87"/>
    </row>
    <row r="323" spans="2:29" ht="15" customHeight="1">
      <c r="B323" s="88">
        <v>319</v>
      </c>
      <c r="C323" s="88" t="s">
        <v>1349</v>
      </c>
      <c r="D323" s="88" t="s">
        <v>1241</v>
      </c>
      <c r="E323" s="88"/>
      <c r="F323" s="88"/>
      <c r="G323" s="89"/>
      <c r="H323" s="90">
        <v>750</v>
      </c>
      <c r="I323" s="90"/>
      <c r="J323" s="90"/>
      <c r="K323" s="89"/>
      <c r="L323" s="89"/>
      <c r="M323" s="90">
        <v>5</v>
      </c>
      <c r="N323" s="90"/>
      <c r="O323" s="90"/>
      <c r="P323" s="90"/>
      <c r="Q323" s="90"/>
      <c r="R323" s="90"/>
      <c r="S323" s="90">
        <v>112</v>
      </c>
      <c r="T323" s="90"/>
      <c r="U323" s="90"/>
      <c r="V323" s="90"/>
      <c r="W323" s="90"/>
      <c r="X323" s="90"/>
      <c r="Y323" s="89"/>
      <c r="Z323" s="95">
        <v>968</v>
      </c>
      <c r="AA323" s="89"/>
      <c r="AB323" s="89"/>
      <c r="AC323" s="92"/>
    </row>
    <row r="324" spans="2:29" ht="15" customHeight="1">
      <c r="B324" s="1">
        <v>320</v>
      </c>
      <c r="C324" s="1" t="s">
        <v>1349</v>
      </c>
      <c r="D324" s="1" t="s">
        <v>1241</v>
      </c>
      <c r="G324" s="37"/>
      <c r="H324" s="85">
        <v>750</v>
      </c>
      <c r="I324" s="85"/>
      <c r="J324" s="85"/>
      <c r="K324" s="37"/>
      <c r="L324" s="37"/>
      <c r="M324" s="85">
        <v>5</v>
      </c>
      <c r="N324" s="85"/>
      <c r="O324" s="85"/>
      <c r="P324" s="85"/>
      <c r="Q324" s="85"/>
      <c r="R324" s="85"/>
      <c r="S324" s="85">
        <v>104</v>
      </c>
      <c r="T324" s="85"/>
      <c r="U324" s="85"/>
      <c r="V324" s="85"/>
      <c r="W324" s="85"/>
      <c r="X324" s="85"/>
      <c r="Y324" s="37"/>
      <c r="Z324" s="38">
        <v>888</v>
      </c>
      <c r="AA324" s="37"/>
      <c r="AB324" s="37"/>
      <c r="AC324" s="87"/>
    </row>
    <row r="325" spans="2:29" ht="15" customHeight="1">
      <c r="B325" s="88">
        <v>321</v>
      </c>
      <c r="C325" s="88" t="s">
        <v>1349</v>
      </c>
      <c r="D325" s="88" t="s">
        <v>1241</v>
      </c>
      <c r="E325" s="88"/>
      <c r="F325" s="88"/>
      <c r="G325" s="89"/>
      <c r="H325" s="90">
        <v>750</v>
      </c>
      <c r="I325" s="90"/>
      <c r="J325" s="90"/>
      <c r="K325" s="89"/>
      <c r="L325" s="89"/>
      <c r="M325" s="90">
        <v>5</v>
      </c>
      <c r="N325" s="90"/>
      <c r="O325" s="90"/>
      <c r="P325" s="90"/>
      <c r="Q325" s="90"/>
      <c r="R325" s="90"/>
      <c r="S325" s="90">
        <v>96</v>
      </c>
      <c r="T325" s="90"/>
      <c r="U325" s="90"/>
      <c r="V325" s="90"/>
      <c r="W325" s="90"/>
      <c r="X325" s="90"/>
      <c r="Y325" s="89"/>
      <c r="Z325" s="95">
        <v>809</v>
      </c>
      <c r="AA325" s="89"/>
      <c r="AB325" s="89"/>
      <c r="AC325" s="92"/>
    </row>
    <row r="326" spans="2:29" ht="15" customHeight="1">
      <c r="B326" s="1">
        <v>322</v>
      </c>
      <c r="C326" s="1" t="s">
        <v>1349</v>
      </c>
      <c r="D326" s="1" t="s">
        <v>1241</v>
      </c>
      <c r="G326" s="37"/>
      <c r="H326" s="85">
        <v>750</v>
      </c>
      <c r="I326" s="85"/>
      <c r="J326" s="85"/>
      <c r="K326" s="37"/>
      <c r="L326" s="37"/>
      <c r="M326" s="85">
        <v>5</v>
      </c>
      <c r="N326" s="85"/>
      <c r="O326" s="85"/>
      <c r="P326" s="85"/>
      <c r="Q326" s="85"/>
      <c r="R326" s="85"/>
      <c r="S326" s="85">
        <v>88</v>
      </c>
      <c r="T326" s="85"/>
      <c r="U326" s="85"/>
      <c r="V326" s="85"/>
      <c r="W326" s="85"/>
      <c r="X326" s="85"/>
      <c r="Y326" s="37"/>
      <c r="Z326" s="38">
        <v>730</v>
      </c>
      <c r="AA326" s="37"/>
      <c r="AB326" s="37"/>
      <c r="AC326" s="87"/>
    </row>
    <row r="327" spans="2:29" ht="15" customHeight="1">
      <c r="B327" s="88">
        <v>323</v>
      </c>
      <c r="C327" s="88" t="s">
        <v>1349</v>
      </c>
      <c r="D327" s="88" t="s">
        <v>1241</v>
      </c>
      <c r="E327" s="88"/>
      <c r="F327" s="88"/>
      <c r="G327" s="89"/>
      <c r="H327" s="90">
        <v>750</v>
      </c>
      <c r="I327" s="90"/>
      <c r="J327" s="90"/>
      <c r="K327" s="89"/>
      <c r="L327" s="89"/>
      <c r="M327" s="90">
        <v>5</v>
      </c>
      <c r="N327" s="90"/>
      <c r="O327" s="90"/>
      <c r="P327" s="90"/>
      <c r="Q327" s="90"/>
      <c r="R327" s="90"/>
      <c r="S327" s="90">
        <v>80</v>
      </c>
      <c r="T327" s="90"/>
      <c r="U327" s="90"/>
      <c r="V327" s="90"/>
      <c r="W327" s="90"/>
      <c r="X327" s="90"/>
      <c r="Y327" s="89"/>
      <c r="Z327" s="95">
        <v>653</v>
      </c>
      <c r="AA327" s="89"/>
      <c r="AB327" s="89"/>
      <c r="AC327" s="92"/>
    </row>
    <row r="328" spans="2:29" ht="15" customHeight="1">
      <c r="B328" s="1">
        <v>324</v>
      </c>
      <c r="C328" s="1" t="s">
        <v>1349</v>
      </c>
      <c r="D328" s="1" t="s">
        <v>1241</v>
      </c>
      <c r="G328" s="37"/>
      <c r="H328" s="85">
        <v>750</v>
      </c>
      <c r="I328" s="85"/>
      <c r="J328" s="85"/>
      <c r="K328" s="37"/>
      <c r="L328" s="37"/>
      <c r="M328" s="85">
        <v>5</v>
      </c>
      <c r="N328" s="85"/>
      <c r="O328" s="85"/>
      <c r="P328" s="85"/>
      <c r="Q328" s="85"/>
      <c r="R328" s="85"/>
      <c r="S328" s="85">
        <v>72</v>
      </c>
      <c r="T328" s="85"/>
      <c r="U328" s="85"/>
      <c r="V328" s="85"/>
      <c r="W328" s="85"/>
      <c r="X328" s="85"/>
      <c r="Y328" s="37"/>
      <c r="Z328" s="38">
        <v>578</v>
      </c>
      <c r="AA328" s="37"/>
      <c r="AB328" s="37"/>
      <c r="AC328" s="87"/>
    </row>
    <row r="329" spans="2:29" ht="15" customHeight="1">
      <c r="B329" s="88">
        <v>325</v>
      </c>
      <c r="C329" s="88" t="s">
        <v>1349</v>
      </c>
      <c r="D329" s="88" t="s">
        <v>1241</v>
      </c>
      <c r="E329" s="88"/>
      <c r="F329" s="88"/>
      <c r="G329" s="89"/>
      <c r="H329" s="90">
        <v>750</v>
      </c>
      <c r="I329" s="90"/>
      <c r="J329" s="90"/>
      <c r="K329" s="89"/>
      <c r="L329" s="89"/>
      <c r="M329" s="90">
        <v>5</v>
      </c>
      <c r="N329" s="90"/>
      <c r="O329" s="90"/>
      <c r="P329" s="90"/>
      <c r="Q329" s="90"/>
      <c r="R329" s="90"/>
      <c r="S329" s="90">
        <v>64</v>
      </c>
      <c r="T329" s="90"/>
      <c r="U329" s="90"/>
      <c r="V329" s="90"/>
      <c r="W329" s="90"/>
      <c r="X329" s="90"/>
      <c r="Y329" s="89"/>
      <c r="Z329" s="95">
        <v>503</v>
      </c>
      <c r="AA329" s="89"/>
      <c r="AB329" s="89"/>
      <c r="AC329" s="92"/>
    </row>
    <row r="330" spans="2:29" ht="15" customHeight="1">
      <c r="B330" s="1">
        <v>326</v>
      </c>
      <c r="C330" s="1" t="s">
        <v>1349</v>
      </c>
      <c r="D330" s="1" t="s">
        <v>1241</v>
      </c>
      <c r="G330" s="37"/>
      <c r="H330" s="85">
        <v>750</v>
      </c>
      <c r="I330" s="85"/>
      <c r="J330" s="85"/>
      <c r="K330" s="37"/>
      <c r="L330" s="37"/>
      <c r="M330" s="85">
        <v>5</v>
      </c>
      <c r="N330" s="85"/>
      <c r="O330" s="85"/>
      <c r="P330" s="85"/>
      <c r="Q330" s="85"/>
      <c r="R330" s="85"/>
      <c r="S330" s="85">
        <v>58</v>
      </c>
      <c r="T330" s="85"/>
      <c r="U330" s="85"/>
      <c r="V330" s="85"/>
      <c r="W330" s="85"/>
      <c r="X330" s="85"/>
      <c r="Y330" s="37"/>
      <c r="Z330" s="38">
        <v>449</v>
      </c>
      <c r="AA330" s="37"/>
      <c r="AB330" s="37"/>
      <c r="AC330" s="87"/>
    </row>
    <row r="331" spans="2:29" ht="15" customHeight="1">
      <c r="B331" s="88">
        <v>327</v>
      </c>
      <c r="C331" s="88" t="s">
        <v>1349</v>
      </c>
      <c r="D331" s="88" t="s">
        <v>1241</v>
      </c>
      <c r="E331" s="88"/>
      <c r="F331" s="88"/>
      <c r="G331" s="89"/>
      <c r="H331" s="90">
        <v>750</v>
      </c>
      <c r="I331" s="90"/>
      <c r="J331" s="90"/>
      <c r="K331" s="89"/>
      <c r="L331" s="89"/>
      <c r="M331" s="90">
        <v>5</v>
      </c>
      <c r="N331" s="90"/>
      <c r="O331" s="90"/>
      <c r="P331" s="90"/>
      <c r="Q331" s="90"/>
      <c r="R331" s="90"/>
      <c r="S331" s="90">
        <v>50</v>
      </c>
      <c r="T331" s="90"/>
      <c r="U331" s="90"/>
      <c r="V331" s="90"/>
      <c r="W331" s="90"/>
      <c r="X331" s="90"/>
      <c r="Y331" s="89"/>
      <c r="Z331" s="95">
        <v>377</v>
      </c>
      <c r="AA331" s="89"/>
      <c r="AB331" s="89"/>
      <c r="AC331" s="92"/>
    </row>
    <row r="332" spans="2:29" ht="15" customHeight="1">
      <c r="B332" s="1">
        <v>328</v>
      </c>
      <c r="C332" s="1" t="s">
        <v>1349</v>
      </c>
      <c r="D332" s="1" t="s">
        <v>1241</v>
      </c>
      <c r="G332" s="37"/>
      <c r="H332" s="85">
        <v>750</v>
      </c>
      <c r="I332" s="85"/>
      <c r="J332" s="85"/>
      <c r="K332" s="37"/>
      <c r="L332" s="37"/>
      <c r="M332" s="85">
        <v>5</v>
      </c>
      <c r="N332" s="85"/>
      <c r="O332" s="85"/>
      <c r="P332" s="85"/>
      <c r="Q332" s="85"/>
      <c r="R332" s="85"/>
      <c r="S332" s="85">
        <v>46</v>
      </c>
      <c r="T332" s="85"/>
      <c r="U332" s="85"/>
      <c r="V332" s="85"/>
      <c r="W332" s="85"/>
      <c r="X332" s="85"/>
      <c r="Y332" s="37"/>
      <c r="Z332" s="38">
        <v>342</v>
      </c>
      <c r="AA332" s="37"/>
      <c r="AB332" s="37"/>
      <c r="AC332" s="87"/>
    </row>
    <row r="333" spans="2:29" ht="15" customHeight="1">
      <c r="B333" s="88">
        <v>329</v>
      </c>
      <c r="C333" s="88" t="s">
        <v>1349</v>
      </c>
      <c r="D333" s="88" t="s">
        <v>1241</v>
      </c>
      <c r="E333" s="88"/>
      <c r="F333" s="88"/>
      <c r="G333" s="89"/>
      <c r="H333" s="90">
        <v>750</v>
      </c>
      <c r="I333" s="90"/>
      <c r="J333" s="90"/>
      <c r="K333" s="89"/>
      <c r="L333" s="89"/>
      <c r="M333" s="90">
        <v>5</v>
      </c>
      <c r="N333" s="90"/>
      <c r="O333" s="90"/>
      <c r="P333" s="90"/>
      <c r="Q333" s="90"/>
      <c r="R333" s="90"/>
      <c r="S333" s="90">
        <v>42</v>
      </c>
      <c r="T333" s="90"/>
      <c r="U333" s="90"/>
      <c r="V333" s="90"/>
      <c r="W333" s="90"/>
      <c r="X333" s="90"/>
      <c r="Y333" s="89"/>
      <c r="Z333" s="95">
        <v>308</v>
      </c>
      <c r="AA333" s="89"/>
      <c r="AB333" s="89"/>
      <c r="AC333" s="92"/>
    </row>
    <row r="334" spans="2:29" ht="15" customHeight="1">
      <c r="B334" s="1">
        <v>330</v>
      </c>
      <c r="C334" s="1" t="s">
        <v>1349</v>
      </c>
      <c r="D334" s="1" t="s">
        <v>1241</v>
      </c>
      <c r="G334" s="37"/>
      <c r="H334" s="85">
        <v>750</v>
      </c>
      <c r="I334" s="85"/>
      <c r="J334" s="85"/>
      <c r="K334" s="37"/>
      <c r="L334" s="37"/>
      <c r="M334" s="85">
        <v>5</v>
      </c>
      <c r="N334" s="85"/>
      <c r="O334" s="85"/>
      <c r="P334" s="85"/>
      <c r="Q334" s="85"/>
      <c r="R334" s="85"/>
      <c r="S334" s="85">
        <v>38</v>
      </c>
      <c r="T334" s="85"/>
      <c r="U334" s="85"/>
      <c r="V334" s="85"/>
      <c r="W334" s="85"/>
      <c r="X334" s="85"/>
      <c r="Y334" s="37"/>
      <c r="Z334" s="38">
        <v>274</v>
      </c>
      <c r="AA334" s="37"/>
      <c r="AB334" s="37"/>
      <c r="AC334" s="87"/>
    </row>
    <row r="335" spans="2:29" ht="15" customHeight="1">
      <c r="B335" s="88">
        <v>331</v>
      </c>
      <c r="C335" s="88" t="s">
        <v>1349</v>
      </c>
      <c r="D335" s="88" t="s">
        <v>1241</v>
      </c>
      <c r="E335" s="88"/>
      <c r="F335" s="88"/>
      <c r="G335" s="89"/>
      <c r="H335" s="90">
        <v>750</v>
      </c>
      <c r="I335" s="90"/>
      <c r="J335" s="90"/>
      <c r="K335" s="89"/>
      <c r="L335" s="89"/>
      <c r="M335" s="90">
        <v>5</v>
      </c>
      <c r="N335" s="90"/>
      <c r="O335" s="90"/>
      <c r="P335" s="90"/>
      <c r="Q335" s="90"/>
      <c r="R335" s="90"/>
      <c r="S335" s="90">
        <v>34</v>
      </c>
      <c r="T335" s="90"/>
      <c r="U335" s="90"/>
      <c r="V335" s="90"/>
      <c r="W335" s="90"/>
      <c r="X335" s="90"/>
      <c r="Y335" s="89"/>
      <c r="Z335" s="95">
        <v>240</v>
      </c>
      <c r="AA335" s="89"/>
      <c r="AB335" s="89"/>
      <c r="AC335" s="92"/>
    </row>
    <row r="336" spans="2:29" ht="15" customHeight="1">
      <c r="B336" s="1">
        <v>332</v>
      </c>
      <c r="C336" s="1" t="s">
        <v>1349</v>
      </c>
      <c r="D336" s="1" t="s">
        <v>1241</v>
      </c>
      <c r="G336" s="37"/>
      <c r="H336" s="85">
        <v>750</v>
      </c>
      <c r="I336" s="85"/>
      <c r="J336" s="85"/>
      <c r="K336" s="37"/>
      <c r="L336" s="37"/>
      <c r="M336" s="85">
        <v>5</v>
      </c>
      <c r="N336" s="85"/>
      <c r="O336" s="85"/>
      <c r="P336" s="85"/>
      <c r="Q336" s="85"/>
      <c r="R336" s="85"/>
      <c r="S336" s="85">
        <v>30</v>
      </c>
      <c r="T336" s="85"/>
      <c r="U336" s="85"/>
      <c r="V336" s="85"/>
      <c r="W336" s="85"/>
      <c r="X336" s="85"/>
      <c r="Y336" s="37"/>
      <c r="Z336" s="38">
        <v>207</v>
      </c>
      <c r="AA336" s="37"/>
      <c r="AB336" s="37"/>
      <c r="AC336" s="87"/>
    </row>
    <row r="337" spans="2:29" ht="15" customHeight="1">
      <c r="B337" s="88">
        <v>333</v>
      </c>
      <c r="C337" s="88" t="s">
        <v>1349</v>
      </c>
      <c r="D337" s="88" t="s">
        <v>1241</v>
      </c>
      <c r="E337" s="88"/>
      <c r="F337" s="88"/>
      <c r="G337" s="89"/>
      <c r="H337" s="90">
        <v>900</v>
      </c>
      <c r="I337" s="90"/>
      <c r="J337" s="90"/>
      <c r="K337" s="89"/>
      <c r="L337" s="89"/>
      <c r="M337" s="90">
        <v>6</v>
      </c>
      <c r="N337" s="90"/>
      <c r="O337" s="90"/>
      <c r="P337" s="90"/>
      <c r="Q337" s="90"/>
      <c r="R337" s="90"/>
      <c r="S337" s="90">
        <v>120</v>
      </c>
      <c r="T337" s="90"/>
      <c r="U337" s="90"/>
      <c r="V337" s="90"/>
      <c r="W337" s="90"/>
      <c r="X337" s="90"/>
      <c r="Y337" s="89"/>
      <c r="Z337" s="95">
        <v>1256</v>
      </c>
      <c r="AA337" s="89"/>
      <c r="AB337" s="89"/>
      <c r="AC337" s="92"/>
    </row>
    <row r="338" spans="2:29" ht="15" customHeight="1">
      <c r="B338" s="1">
        <v>334</v>
      </c>
      <c r="C338" s="1" t="s">
        <v>1349</v>
      </c>
      <c r="D338" s="1" t="s">
        <v>1241</v>
      </c>
      <c r="G338" s="37"/>
      <c r="H338" s="85">
        <v>900</v>
      </c>
      <c r="I338" s="85"/>
      <c r="J338" s="85"/>
      <c r="K338" s="37"/>
      <c r="L338" s="37"/>
      <c r="M338" s="85">
        <v>6</v>
      </c>
      <c r="N338" s="85"/>
      <c r="O338" s="85"/>
      <c r="P338" s="85"/>
      <c r="Q338" s="85"/>
      <c r="R338" s="85"/>
      <c r="S338" s="85">
        <v>112</v>
      </c>
      <c r="T338" s="85"/>
      <c r="U338" s="85"/>
      <c r="V338" s="85"/>
      <c r="W338" s="85"/>
      <c r="X338" s="85"/>
      <c r="Y338" s="37"/>
      <c r="Z338" s="38">
        <v>1157</v>
      </c>
      <c r="AA338" s="37"/>
      <c r="AB338" s="37"/>
      <c r="AC338" s="87"/>
    </row>
    <row r="339" spans="2:29" ht="15" customHeight="1">
      <c r="B339" s="88">
        <v>335</v>
      </c>
      <c r="C339" s="88" t="s">
        <v>1349</v>
      </c>
      <c r="D339" s="88" t="s">
        <v>1241</v>
      </c>
      <c r="E339" s="88"/>
      <c r="F339" s="88"/>
      <c r="G339" s="89"/>
      <c r="H339" s="90">
        <v>900</v>
      </c>
      <c r="I339" s="90"/>
      <c r="J339" s="90"/>
      <c r="K339" s="89"/>
      <c r="L339" s="89"/>
      <c r="M339" s="90">
        <v>6</v>
      </c>
      <c r="N339" s="90"/>
      <c r="O339" s="90"/>
      <c r="P339" s="90"/>
      <c r="Q339" s="90"/>
      <c r="R339" s="90"/>
      <c r="S339" s="90">
        <v>104</v>
      </c>
      <c r="T339" s="90"/>
      <c r="U339" s="90"/>
      <c r="V339" s="90"/>
      <c r="W339" s="90"/>
      <c r="X339" s="90"/>
      <c r="Y339" s="89"/>
      <c r="Z339" s="95">
        <v>1059</v>
      </c>
      <c r="AA339" s="89"/>
      <c r="AB339" s="89"/>
      <c r="AC339" s="92"/>
    </row>
    <row r="340" spans="2:29" ht="15" customHeight="1">
      <c r="B340" s="1">
        <v>336</v>
      </c>
      <c r="C340" s="1" t="s">
        <v>1349</v>
      </c>
      <c r="D340" s="1" t="s">
        <v>1241</v>
      </c>
      <c r="G340" s="37"/>
      <c r="H340" s="85">
        <v>900</v>
      </c>
      <c r="I340" s="85"/>
      <c r="J340" s="85"/>
      <c r="K340" s="37"/>
      <c r="L340" s="37"/>
      <c r="M340" s="85">
        <v>6</v>
      </c>
      <c r="N340" s="85"/>
      <c r="O340" s="85"/>
      <c r="P340" s="85"/>
      <c r="Q340" s="85"/>
      <c r="R340" s="85"/>
      <c r="S340" s="85">
        <v>96</v>
      </c>
      <c r="T340" s="85"/>
      <c r="U340" s="85"/>
      <c r="V340" s="85"/>
      <c r="W340" s="85"/>
      <c r="X340" s="85"/>
      <c r="Y340" s="37"/>
      <c r="Z340" s="38">
        <v>963</v>
      </c>
      <c r="AA340" s="37"/>
      <c r="AB340" s="37"/>
      <c r="AC340" s="87"/>
    </row>
    <row r="341" spans="2:29" ht="15" customHeight="1">
      <c r="B341" s="88">
        <v>337</v>
      </c>
      <c r="C341" s="88" t="s">
        <v>1349</v>
      </c>
      <c r="D341" s="88" t="s">
        <v>1241</v>
      </c>
      <c r="E341" s="88"/>
      <c r="F341" s="88"/>
      <c r="G341" s="89"/>
      <c r="H341" s="90">
        <v>900</v>
      </c>
      <c r="I341" s="90"/>
      <c r="J341" s="90"/>
      <c r="K341" s="89"/>
      <c r="L341" s="89"/>
      <c r="M341" s="90">
        <v>6</v>
      </c>
      <c r="N341" s="90"/>
      <c r="O341" s="90"/>
      <c r="P341" s="90"/>
      <c r="Q341" s="90"/>
      <c r="R341" s="90"/>
      <c r="S341" s="90">
        <v>88</v>
      </c>
      <c r="T341" s="90"/>
      <c r="U341" s="90"/>
      <c r="V341" s="90"/>
      <c r="W341" s="90"/>
      <c r="X341" s="90"/>
      <c r="Y341" s="89"/>
      <c r="Z341" s="95">
        <v>868</v>
      </c>
      <c r="AA341" s="89"/>
      <c r="AB341" s="89"/>
      <c r="AC341" s="92"/>
    </row>
    <row r="342" spans="2:29" ht="15" customHeight="1">
      <c r="B342" s="1">
        <v>338</v>
      </c>
      <c r="C342" s="1" t="s">
        <v>1349</v>
      </c>
      <c r="D342" s="1" t="s">
        <v>1241</v>
      </c>
      <c r="G342" s="37"/>
      <c r="H342" s="85">
        <v>900</v>
      </c>
      <c r="I342" s="85"/>
      <c r="J342" s="85"/>
      <c r="K342" s="37"/>
      <c r="L342" s="37"/>
      <c r="M342" s="85">
        <v>6</v>
      </c>
      <c r="N342" s="85"/>
      <c r="O342" s="85"/>
      <c r="P342" s="85"/>
      <c r="Q342" s="85"/>
      <c r="R342" s="85"/>
      <c r="S342" s="85">
        <v>80</v>
      </c>
      <c r="T342" s="85"/>
      <c r="U342" s="85"/>
      <c r="V342" s="85"/>
      <c r="W342" s="85"/>
      <c r="X342" s="85"/>
      <c r="Y342" s="37"/>
      <c r="Z342" s="38">
        <v>775</v>
      </c>
      <c r="AA342" s="37"/>
      <c r="AB342" s="37"/>
      <c r="AC342" s="87"/>
    </row>
    <row r="343" spans="2:29" ht="15" customHeight="1">
      <c r="B343" s="88">
        <v>339</v>
      </c>
      <c r="C343" s="88" t="s">
        <v>1349</v>
      </c>
      <c r="D343" s="88" t="s">
        <v>1241</v>
      </c>
      <c r="E343" s="88"/>
      <c r="F343" s="88"/>
      <c r="G343" s="89"/>
      <c r="H343" s="90">
        <v>900</v>
      </c>
      <c r="I343" s="90"/>
      <c r="J343" s="90"/>
      <c r="K343" s="89"/>
      <c r="L343" s="89"/>
      <c r="M343" s="90">
        <v>6</v>
      </c>
      <c r="N343" s="90"/>
      <c r="O343" s="90"/>
      <c r="P343" s="90"/>
      <c r="Q343" s="90"/>
      <c r="R343" s="90"/>
      <c r="S343" s="90">
        <v>72</v>
      </c>
      <c r="T343" s="90"/>
      <c r="U343" s="90"/>
      <c r="V343" s="90"/>
      <c r="W343" s="90"/>
      <c r="X343" s="90"/>
      <c r="Y343" s="89"/>
      <c r="Z343" s="95">
        <v>684</v>
      </c>
      <c r="AA343" s="89"/>
      <c r="AB343" s="89"/>
      <c r="AC343" s="92"/>
    </row>
    <row r="344" spans="2:29" ht="15" customHeight="1">
      <c r="B344" s="1">
        <v>340</v>
      </c>
      <c r="C344" s="1" t="s">
        <v>1349</v>
      </c>
      <c r="D344" s="1" t="s">
        <v>1241</v>
      </c>
      <c r="G344" s="37"/>
      <c r="H344" s="85">
        <v>900</v>
      </c>
      <c r="I344" s="85"/>
      <c r="J344" s="85"/>
      <c r="K344" s="37"/>
      <c r="L344" s="37"/>
      <c r="M344" s="85">
        <v>6</v>
      </c>
      <c r="N344" s="85"/>
      <c r="O344" s="85"/>
      <c r="P344" s="85"/>
      <c r="Q344" s="85"/>
      <c r="R344" s="85"/>
      <c r="S344" s="85">
        <v>64</v>
      </c>
      <c r="T344" s="85"/>
      <c r="U344" s="85"/>
      <c r="V344" s="85"/>
      <c r="W344" s="85"/>
      <c r="X344" s="85"/>
      <c r="Y344" s="37"/>
      <c r="Z344" s="38">
        <v>594</v>
      </c>
      <c r="AA344" s="37"/>
      <c r="AB344" s="37"/>
      <c r="AC344" s="87"/>
    </row>
    <row r="345" spans="2:29" ht="15" customHeight="1">
      <c r="B345" s="88">
        <v>341</v>
      </c>
      <c r="C345" s="88" t="s">
        <v>1349</v>
      </c>
      <c r="D345" s="88" t="s">
        <v>1241</v>
      </c>
      <c r="E345" s="88"/>
      <c r="F345" s="88"/>
      <c r="G345" s="89"/>
      <c r="H345" s="90">
        <v>900</v>
      </c>
      <c r="I345" s="90"/>
      <c r="J345" s="90"/>
      <c r="K345" s="89"/>
      <c r="L345" s="89"/>
      <c r="M345" s="90">
        <v>6</v>
      </c>
      <c r="N345" s="90"/>
      <c r="O345" s="90"/>
      <c r="P345" s="90"/>
      <c r="Q345" s="90"/>
      <c r="R345" s="90"/>
      <c r="S345" s="90">
        <v>58</v>
      </c>
      <c r="T345" s="90"/>
      <c r="U345" s="90"/>
      <c r="V345" s="90"/>
      <c r="W345" s="90"/>
      <c r="X345" s="90"/>
      <c r="Y345" s="89"/>
      <c r="Z345" s="95">
        <v>529</v>
      </c>
      <c r="AA345" s="89"/>
      <c r="AB345" s="89"/>
      <c r="AC345" s="92"/>
    </row>
    <row r="346" spans="2:29" ht="15" customHeight="1">
      <c r="B346" s="1">
        <v>342</v>
      </c>
      <c r="C346" s="1" t="s">
        <v>1349</v>
      </c>
      <c r="D346" s="1" t="s">
        <v>1241</v>
      </c>
      <c r="G346" s="37"/>
      <c r="H346" s="85">
        <v>900</v>
      </c>
      <c r="I346" s="85"/>
      <c r="J346" s="85"/>
      <c r="K346" s="37"/>
      <c r="L346" s="37"/>
      <c r="M346" s="85">
        <v>6</v>
      </c>
      <c r="N346" s="85"/>
      <c r="O346" s="85"/>
      <c r="P346" s="85"/>
      <c r="Q346" s="85"/>
      <c r="R346" s="85"/>
      <c r="S346" s="85">
        <v>50</v>
      </c>
      <c r="T346" s="85"/>
      <c r="U346" s="85"/>
      <c r="V346" s="85"/>
      <c r="W346" s="85"/>
      <c r="X346" s="85"/>
      <c r="Y346" s="37"/>
      <c r="Z346" s="38">
        <v>443</v>
      </c>
      <c r="AA346" s="37"/>
      <c r="AB346" s="37"/>
      <c r="AC346" s="87"/>
    </row>
    <row r="347" spans="2:29" ht="15" customHeight="1">
      <c r="B347" s="88">
        <v>343</v>
      </c>
      <c r="C347" s="88" t="s">
        <v>1349</v>
      </c>
      <c r="D347" s="88" t="s">
        <v>1241</v>
      </c>
      <c r="E347" s="88"/>
      <c r="F347" s="88"/>
      <c r="G347" s="89"/>
      <c r="H347" s="90">
        <v>900</v>
      </c>
      <c r="I347" s="90"/>
      <c r="J347" s="90"/>
      <c r="K347" s="89"/>
      <c r="L347" s="89"/>
      <c r="M347" s="90">
        <v>6</v>
      </c>
      <c r="N347" s="90"/>
      <c r="O347" s="90"/>
      <c r="P347" s="90"/>
      <c r="Q347" s="90"/>
      <c r="R347" s="90"/>
      <c r="S347" s="90">
        <v>46</v>
      </c>
      <c r="T347" s="90"/>
      <c r="U347" s="90"/>
      <c r="V347" s="90"/>
      <c r="W347" s="90"/>
      <c r="X347" s="90"/>
      <c r="Y347" s="89"/>
      <c r="Z347" s="95">
        <v>401</v>
      </c>
      <c r="AA347" s="89"/>
      <c r="AB347" s="89"/>
      <c r="AC347" s="92"/>
    </row>
    <row r="348" spans="2:29" ht="15">
      <c r="B348" s="1">
        <v>344</v>
      </c>
      <c r="C348" s="1" t="s">
        <v>1349</v>
      </c>
      <c r="D348" s="1" t="s">
        <v>1241</v>
      </c>
      <c r="G348" s="37"/>
      <c r="H348" s="85">
        <v>900</v>
      </c>
      <c r="I348" s="85"/>
      <c r="J348" s="85"/>
      <c r="K348" s="37"/>
      <c r="L348" s="37"/>
      <c r="M348" s="85">
        <v>6</v>
      </c>
      <c r="N348" s="85"/>
      <c r="O348" s="85"/>
      <c r="P348" s="85"/>
      <c r="Q348" s="85"/>
      <c r="R348" s="85"/>
      <c r="S348" s="85">
        <v>42</v>
      </c>
      <c r="T348" s="85"/>
      <c r="U348" s="85"/>
      <c r="V348" s="85"/>
      <c r="W348" s="85"/>
      <c r="X348" s="85"/>
      <c r="Y348" s="37"/>
      <c r="Z348" s="38">
        <v>360</v>
      </c>
      <c r="AA348" s="37"/>
      <c r="AB348" s="37"/>
      <c r="AC348" s="87"/>
    </row>
    <row r="349" spans="2:29" ht="15">
      <c r="B349" s="88">
        <v>345</v>
      </c>
      <c r="C349" s="88" t="s">
        <v>1349</v>
      </c>
      <c r="D349" s="88" t="s">
        <v>1241</v>
      </c>
      <c r="E349" s="88"/>
      <c r="F349" s="88"/>
      <c r="G349" s="89"/>
      <c r="H349" s="90">
        <v>900</v>
      </c>
      <c r="I349" s="90"/>
      <c r="J349" s="90"/>
      <c r="K349" s="89"/>
      <c r="L349" s="89"/>
      <c r="M349" s="90">
        <v>6</v>
      </c>
      <c r="N349" s="90"/>
      <c r="O349" s="90"/>
      <c r="P349" s="90"/>
      <c r="Q349" s="90"/>
      <c r="R349" s="90"/>
      <c r="S349" s="90">
        <v>38</v>
      </c>
      <c r="T349" s="90"/>
      <c r="U349" s="90"/>
      <c r="V349" s="90"/>
      <c r="W349" s="90"/>
      <c r="X349" s="90"/>
      <c r="Y349" s="89"/>
      <c r="Z349" s="95">
        <v>320</v>
      </c>
      <c r="AA349" s="89"/>
      <c r="AB349" s="89"/>
      <c r="AC349" s="92"/>
    </row>
    <row r="350" spans="2:29" ht="15">
      <c r="B350" s="1">
        <v>346</v>
      </c>
      <c r="C350" s="1" t="s">
        <v>1349</v>
      </c>
      <c r="D350" s="1" t="s">
        <v>1241</v>
      </c>
      <c r="G350" s="37"/>
      <c r="H350" s="85">
        <v>900</v>
      </c>
      <c r="I350" s="85"/>
      <c r="J350" s="85"/>
      <c r="K350" s="37"/>
      <c r="L350" s="37"/>
      <c r="M350" s="85">
        <v>6</v>
      </c>
      <c r="N350" s="85"/>
      <c r="O350" s="85"/>
      <c r="P350" s="85"/>
      <c r="Q350" s="85"/>
      <c r="R350" s="85"/>
      <c r="S350" s="85">
        <v>34</v>
      </c>
      <c r="T350" s="85"/>
      <c r="U350" s="85"/>
      <c r="V350" s="85"/>
      <c r="W350" s="85"/>
      <c r="X350" s="85"/>
      <c r="Y350" s="37"/>
      <c r="Z350" s="38">
        <v>280</v>
      </c>
      <c r="AA350" s="37"/>
      <c r="AB350" s="37"/>
      <c r="AC350" s="87"/>
    </row>
    <row r="351" spans="2:29" ht="15">
      <c r="B351" s="88">
        <v>347</v>
      </c>
      <c r="C351" s="88" t="s">
        <v>1349</v>
      </c>
      <c r="D351" s="88" t="s">
        <v>1241</v>
      </c>
      <c r="E351" s="88"/>
      <c r="F351" s="88"/>
      <c r="G351" s="89"/>
      <c r="H351" s="90">
        <v>900</v>
      </c>
      <c r="I351" s="90"/>
      <c r="J351" s="90"/>
      <c r="K351" s="89"/>
      <c r="L351" s="89"/>
      <c r="M351" s="90">
        <v>6</v>
      </c>
      <c r="N351" s="90"/>
      <c r="O351" s="90"/>
      <c r="P351" s="90"/>
      <c r="Q351" s="90"/>
      <c r="R351" s="90"/>
      <c r="S351" s="90">
        <v>30</v>
      </c>
      <c r="T351" s="90"/>
      <c r="U351" s="90"/>
      <c r="V351" s="90"/>
      <c r="W351" s="90"/>
      <c r="X351" s="90"/>
      <c r="Y351" s="89"/>
      <c r="Z351" s="95">
        <v>241</v>
      </c>
      <c r="AA351" s="89"/>
      <c r="AB351" s="89"/>
      <c r="AC351" s="92"/>
    </row>
    <row r="352" spans="2:29" ht="15" customHeight="1">
      <c r="B352" s="1">
        <v>348</v>
      </c>
      <c r="C352" s="1" t="s">
        <v>1349</v>
      </c>
      <c r="D352" s="1" t="s">
        <v>1241</v>
      </c>
      <c r="G352" s="37"/>
      <c r="H352" s="85">
        <v>1160</v>
      </c>
      <c r="I352" s="85"/>
      <c r="J352" s="85"/>
      <c r="K352" s="37"/>
      <c r="L352" s="37"/>
      <c r="M352" s="85">
        <v>7</v>
      </c>
      <c r="N352" s="85"/>
      <c r="O352" s="85"/>
      <c r="P352" s="85"/>
      <c r="Q352" s="85"/>
      <c r="R352" s="85"/>
      <c r="S352" s="85">
        <v>120</v>
      </c>
      <c r="T352" s="85"/>
      <c r="U352" s="85"/>
      <c r="V352" s="85"/>
      <c r="W352" s="85"/>
      <c r="X352" s="85"/>
      <c r="Y352" s="37"/>
      <c r="Z352" s="38">
        <v>1395</v>
      </c>
      <c r="AA352" s="37"/>
      <c r="AB352" s="37"/>
      <c r="AC352" s="87"/>
    </row>
    <row r="353" spans="2:29" ht="15">
      <c r="B353" s="88">
        <v>349</v>
      </c>
      <c r="C353" s="88" t="s">
        <v>1349</v>
      </c>
      <c r="D353" s="88" t="s">
        <v>1241</v>
      </c>
      <c r="E353" s="88"/>
      <c r="F353" s="88"/>
      <c r="G353" s="89"/>
      <c r="H353" s="90">
        <v>1160</v>
      </c>
      <c r="I353" s="90"/>
      <c r="J353" s="90"/>
      <c r="K353" s="89"/>
      <c r="L353" s="89"/>
      <c r="M353" s="90">
        <v>7</v>
      </c>
      <c r="N353" s="90"/>
      <c r="O353" s="90"/>
      <c r="P353" s="90"/>
      <c r="Q353" s="90"/>
      <c r="R353" s="90"/>
      <c r="S353" s="90">
        <v>112</v>
      </c>
      <c r="T353" s="90"/>
      <c r="U353" s="90"/>
      <c r="V353" s="90"/>
      <c r="W353" s="90"/>
      <c r="X353" s="90"/>
      <c r="Y353" s="89"/>
      <c r="Z353" s="95">
        <v>1288</v>
      </c>
      <c r="AA353" s="89"/>
      <c r="AB353" s="89"/>
      <c r="AC353" s="92"/>
    </row>
    <row r="354" spans="2:29" ht="15">
      <c r="B354" s="1">
        <v>350</v>
      </c>
      <c r="C354" s="1" t="s">
        <v>1349</v>
      </c>
      <c r="D354" s="1" t="s">
        <v>1241</v>
      </c>
      <c r="G354" s="37"/>
      <c r="H354" s="85">
        <v>1160</v>
      </c>
      <c r="I354" s="85"/>
      <c r="J354" s="85"/>
      <c r="K354" s="37"/>
      <c r="L354" s="37"/>
      <c r="M354" s="85">
        <v>7</v>
      </c>
      <c r="N354" s="85"/>
      <c r="O354" s="85"/>
      <c r="P354" s="85"/>
      <c r="Q354" s="85"/>
      <c r="R354" s="85"/>
      <c r="S354" s="85">
        <v>104</v>
      </c>
      <c r="T354" s="85"/>
      <c r="U354" s="85"/>
      <c r="V354" s="85"/>
      <c r="W354" s="85"/>
      <c r="X354" s="85"/>
      <c r="Y354" s="37"/>
      <c r="Z354" s="38">
        <v>1182</v>
      </c>
      <c r="AA354" s="37"/>
      <c r="AB354" s="37"/>
      <c r="AC354" s="87"/>
    </row>
    <row r="355" spans="2:29" ht="15">
      <c r="B355" s="88">
        <v>351</v>
      </c>
      <c r="C355" s="88" t="s">
        <v>1349</v>
      </c>
      <c r="D355" s="88" t="s">
        <v>1241</v>
      </c>
      <c r="E355" s="88"/>
      <c r="F355" s="88"/>
      <c r="G355" s="89"/>
      <c r="H355" s="90">
        <v>1160</v>
      </c>
      <c r="I355" s="90"/>
      <c r="J355" s="90"/>
      <c r="K355" s="89"/>
      <c r="L355" s="89"/>
      <c r="M355" s="90">
        <v>7</v>
      </c>
      <c r="N355" s="90"/>
      <c r="O355" s="90"/>
      <c r="P355" s="90"/>
      <c r="Q355" s="90"/>
      <c r="R355" s="90"/>
      <c r="S355" s="90">
        <v>96</v>
      </c>
      <c r="T355" s="90"/>
      <c r="U355" s="90"/>
      <c r="V355" s="90"/>
      <c r="W355" s="90"/>
      <c r="X355" s="90"/>
      <c r="Y355" s="89"/>
      <c r="Z355" s="95">
        <v>1077</v>
      </c>
      <c r="AA355" s="89"/>
      <c r="AB355" s="89"/>
      <c r="AC355" s="92"/>
    </row>
    <row r="356" spans="2:29" ht="15">
      <c r="B356" s="1">
        <v>352</v>
      </c>
      <c r="C356" s="1" t="s">
        <v>1349</v>
      </c>
      <c r="D356" s="1" t="s">
        <v>1241</v>
      </c>
      <c r="G356" s="37"/>
      <c r="H356" s="85">
        <v>1160</v>
      </c>
      <c r="I356" s="85"/>
      <c r="J356" s="85"/>
      <c r="K356" s="37"/>
      <c r="L356" s="37"/>
      <c r="M356" s="85">
        <v>7</v>
      </c>
      <c r="N356" s="85"/>
      <c r="O356" s="85"/>
      <c r="P356" s="85"/>
      <c r="Q356" s="85"/>
      <c r="R356" s="85"/>
      <c r="S356" s="85">
        <v>88</v>
      </c>
      <c r="T356" s="85"/>
      <c r="U356" s="85"/>
      <c r="V356" s="85"/>
      <c r="W356" s="85"/>
      <c r="X356" s="85"/>
      <c r="Y356" s="37"/>
      <c r="Z356" s="38">
        <v>974</v>
      </c>
      <c r="AA356" s="37"/>
      <c r="AB356" s="37"/>
      <c r="AC356" s="87"/>
    </row>
    <row r="357" spans="2:29" ht="15">
      <c r="B357" s="88">
        <v>353</v>
      </c>
      <c r="C357" s="88" t="s">
        <v>1349</v>
      </c>
      <c r="D357" s="88" t="s">
        <v>1241</v>
      </c>
      <c r="E357" s="88"/>
      <c r="F357" s="88"/>
      <c r="G357" s="89"/>
      <c r="H357" s="90">
        <v>1160</v>
      </c>
      <c r="I357" s="90"/>
      <c r="J357" s="90"/>
      <c r="K357" s="89"/>
      <c r="L357" s="89"/>
      <c r="M357" s="90">
        <v>7</v>
      </c>
      <c r="N357" s="90"/>
      <c r="O357" s="90"/>
      <c r="P357" s="90"/>
      <c r="Q357" s="90"/>
      <c r="R357" s="90"/>
      <c r="S357" s="90">
        <v>80</v>
      </c>
      <c r="T357" s="90"/>
      <c r="U357" s="90"/>
      <c r="V357" s="90"/>
      <c r="W357" s="90"/>
      <c r="X357" s="90"/>
      <c r="Y357" s="89"/>
      <c r="Z357" s="95">
        <v>872</v>
      </c>
      <c r="AA357" s="89"/>
      <c r="AB357" s="89"/>
      <c r="AC357" s="92"/>
    </row>
    <row r="358" spans="2:29" ht="15" customHeight="1">
      <c r="B358" s="1">
        <v>354</v>
      </c>
      <c r="C358" s="1" t="s">
        <v>1349</v>
      </c>
      <c r="D358" s="1" t="s">
        <v>1241</v>
      </c>
      <c r="G358" s="37"/>
      <c r="H358" s="85">
        <v>1160</v>
      </c>
      <c r="I358" s="85"/>
      <c r="J358" s="85"/>
      <c r="K358" s="37"/>
      <c r="L358" s="37"/>
      <c r="M358" s="85">
        <v>7</v>
      </c>
      <c r="N358" s="85"/>
      <c r="O358" s="85"/>
      <c r="P358" s="85"/>
      <c r="Q358" s="85"/>
      <c r="R358" s="85"/>
      <c r="S358" s="85">
        <v>72</v>
      </c>
      <c r="T358" s="85"/>
      <c r="U358" s="85"/>
      <c r="V358" s="85"/>
      <c r="W358" s="85"/>
      <c r="X358" s="85"/>
      <c r="Y358" s="37"/>
      <c r="Z358" s="38">
        <v>771</v>
      </c>
      <c r="AA358" s="37"/>
      <c r="AB358" s="37"/>
      <c r="AC358" s="87"/>
    </row>
    <row r="359" spans="2:29" ht="15" customHeight="1">
      <c r="B359" s="88">
        <v>355</v>
      </c>
      <c r="C359" s="88" t="s">
        <v>1349</v>
      </c>
      <c r="D359" s="88" t="s">
        <v>1241</v>
      </c>
      <c r="E359" s="88"/>
      <c r="F359" s="88"/>
      <c r="G359" s="89"/>
      <c r="H359" s="90">
        <v>1160</v>
      </c>
      <c r="I359" s="90"/>
      <c r="J359" s="90"/>
      <c r="K359" s="89"/>
      <c r="L359" s="89"/>
      <c r="M359" s="90">
        <v>7</v>
      </c>
      <c r="N359" s="90"/>
      <c r="O359" s="90"/>
      <c r="P359" s="90"/>
      <c r="Q359" s="90"/>
      <c r="R359" s="90"/>
      <c r="S359" s="90">
        <v>64</v>
      </c>
      <c r="T359" s="90"/>
      <c r="U359" s="90"/>
      <c r="V359" s="90"/>
      <c r="W359" s="90"/>
      <c r="X359" s="90"/>
      <c r="Y359" s="89"/>
      <c r="Z359" s="95">
        <v>673</v>
      </c>
      <c r="AA359" s="89"/>
      <c r="AB359" s="89"/>
      <c r="AC359" s="92"/>
    </row>
    <row r="360" spans="2:29" ht="15" customHeight="1">
      <c r="B360" s="1">
        <v>356</v>
      </c>
      <c r="C360" s="1" t="s">
        <v>1349</v>
      </c>
      <c r="D360" s="1" t="s">
        <v>1241</v>
      </c>
      <c r="G360" s="37"/>
      <c r="H360" s="85">
        <v>1160</v>
      </c>
      <c r="I360" s="85"/>
      <c r="J360" s="85"/>
      <c r="K360" s="37"/>
      <c r="L360" s="37"/>
      <c r="M360" s="85">
        <v>7</v>
      </c>
      <c r="N360" s="85"/>
      <c r="O360" s="85"/>
      <c r="P360" s="85"/>
      <c r="Q360" s="85"/>
      <c r="R360" s="85"/>
      <c r="S360" s="85">
        <v>58</v>
      </c>
      <c r="T360" s="85"/>
      <c r="U360" s="85"/>
      <c r="V360" s="85"/>
      <c r="W360" s="85"/>
      <c r="X360" s="85"/>
      <c r="Y360" s="37"/>
      <c r="Z360" s="38">
        <v>600</v>
      </c>
      <c r="AA360" s="37"/>
      <c r="AB360" s="37"/>
      <c r="AC360" s="87"/>
    </row>
    <row r="361" spans="2:29" ht="15" customHeight="1">
      <c r="B361" s="88">
        <v>357</v>
      </c>
      <c r="C361" s="88" t="s">
        <v>1349</v>
      </c>
      <c r="D361" s="88" t="s">
        <v>1241</v>
      </c>
      <c r="E361" s="88"/>
      <c r="F361" s="88"/>
      <c r="G361" s="89"/>
      <c r="H361" s="90">
        <v>1160</v>
      </c>
      <c r="I361" s="90"/>
      <c r="J361" s="90"/>
      <c r="K361" s="89"/>
      <c r="L361" s="89"/>
      <c r="M361" s="90">
        <v>7</v>
      </c>
      <c r="N361" s="90"/>
      <c r="O361" s="90"/>
      <c r="P361" s="90"/>
      <c r="Q361" s="90"/>
      <c r="R361" s="90"/>
      <c r="S361" s="90">
        <v>50</v>
      </c>
      <c r="T361" s="90"/>
      <c r="U361" s="90"/>
      <c r="V361" s="90"/>
      <c r="W361" s="90"/>
      <c r="X361" s="90"/>
      <c r="Y361" s="89"/>
      <c r="Z361" s="95">
        <v>505</v>
      </c>
      <c r="AA361" s="89"/>
      <c r="AB361" s="89"/>
      <c r="AC361" s="92"/>
    </row>
    <row r="362" spans="2:29" ht="15" customHeight="1">
      <c r="B362" s="1">
        <v>358</v>
      </c>
      <c r="C362" s="1" t="s">
        <v>1349</v>
      </c>
      <c r="D362" s="1" t="s">
        <v>1241</v>
      </c>
      <c r="G362" s="37"/>
      <c r="H362" s="85">
        <v>1160</v>
      </c>
      <c r="I362" s="85"/>
      <c r="J362" s="85"/>
      <c r="K362" s="37"/>
      <c r="L362" s="37"/>
      <c r="M362" s="85">
        <v>7</v>
      </c>
      <c r="N362" s="85"/>
      <c r="O362" s="85"/>
      <c r="P362" s="85"/>
      <c r="Q362" s="85"/>
      <c r="R362" s="85"/>
      <c r="S362" s="85">
        <v>46</v>
      </c>
      <c r="T362" s="85"/>
      <c r="U362" s="85"/>
      <c r="V362" s="85"/>
      <c r="W362" s="85"/>
      <c r="X362" s="85"/>
      <c r="Y362" s="37"/>
      <c r="Z362" s="38">
        <v>459</v>
      </c>
      <c r="AA362" s="37"/>
      <c r="AB362" s="37"/>
      <c r="AC362" s="87"/>
    </row>
    <row r="363" spans="2:29" ht="15" customHeight="1">
      <c r="B363" s="88">
        <v>359</v>
      </c>
      <c r="C363" s="88" t="s">
        <v>1349</v>
      </c>
      <c r="D363" s="88" t="s">
        <v>1241</v>
      </c>
      <c r="E363" s="88"/>
      <c r="F363" s="88"/>
      <c r="G363" s="89"/>
      <c r="H363" s="90">
        <v>1160</v>
      </c>
      <c r="I363" s="90"/>
      <c r="J363" s="90"/>
      <c r="K363" s="89"/>
      <c r="L363" s="89"/>
      <c r="M363" s="90">
        <v>7</v>
      </c>
      <c r="N363" s="90"/>
      <c r="O363" s="90"/>
      <c r="P363" s="90"/>
      <c r="Q363" s="90"/>
      <c r="R363" s="90"/>
      <c r="S363" s="90">
        <v>42</v>
      </c>
      <c r="T363" s="90"/>
      <c r="U363" s="90"/>
      <c r="V363" s="90"/>
      <c r="W363" s="90"/>
      <c r="X363" s="90"/>
      <c r="Y363" s="89"/>
      <c r="Z363" s="95">
        <v>413</v>
      </c>
      <c r="AA363" s="89"/>
      <c r="AB363" s="89"/>
      <c r="AC363" s="92"/>
    </row>
    <row r="364" spans="2:29" ht="15" customHeight="1">
      <c r="B364" s="1">
        <v>360</v>
      </c>
      <c r="C364" s="1" t="s">
        <v>1349</v>
      </c>
      <c r="D364" s="1" t="s">
        <v>1241</v>
      </c>
      <c r="G364" s="37"/>
      <c r="H364" s="85">
        <v>1160</v>
      </c>
      <c r="I364" s="85"/>
      <c r="J364" s="85"/>
      <c r="K364" s="37"/>
      <c r="L364" s="37"/>
      <c r="M364" s="85">
        <v>7</v>
      </c>
      <c r="N364" s="85"/>
      <c r="O364" s="85"/>
      <c r="P364" s="85"/>
      <c r="Q364" s="85"/>
      <c r="R364" s="85"/>
      <c r="S364" s="85">
        <v>38</v>
      </c>
      <c r="T364" s="85"/>
      <c r="U364" s="85"/>
      <c r="V364" s="85"/>
      <c r="W364" s="85"/>
      <c r="X364" s="85"/>
      <c r="Y364" s="37"/>
      <c r="Z364" s="38">
        <v>368</v>
      </c>
      <c r="AA364" s="37"/>
      <c r="AB364" s="37"/>
      <c r="AC364" s="87"/>
    </row>
    <row r="365" spans="2:29" ht="15" customHeight="1">
      <c r="B365" s="88">
        <v>361</v>
      </c>
      <c r="C365" s="88" t="s">
        <v>1349</v>
      </c>
      <c r="D365" s="88" t="s">
        <v>1241</v>
      </c>
      <c r="E365" s="88"/>
      <c r="F365" s="88"/>
      <c r="G365" s="89"/>
      <c r="H365" s="90">
        <v>1160</v>
      </c>
      <c r="I365" s="90"/>
      <c r="J365" s="90"/>
      <c r="K365" s="89"/>
      <c r="L365" s="89"/>
      <c r="M365" s="90">
        <v>7</v>
      </c>
      <c r="N365" s="90"/>
      <c r="O365" s="90"/>
      <c r="P365" s="90"/>
      <c r="Q365" s="90"/>
      <c r="R365" s="90"/>
      <c r="S365" s="90">
        <v>34</v>
      </c>
      <c r="T365" s="90"/>
      <c r="U365" s="90"/>
      <c r="V365" s="90"/>
      <c r="W365" s="90"/>
      <c r="X365" s="90"/>
      <c r="Y365" s="89"/>
      <c r="Z365" s="95">
        <v>323</v>
      </c>
      <c r="AA365" s="89"/>
      <c r="AB365" s="89"/>
      <c r="AC365" s="92"/>
    </row>
    <row r="366" spans="2:29" ht="15" customHeight="1">
      <c r="B366" s="1">
        <v>362</v>
      </c>
      <c r="C366" s="1" t="s">
        <v>1349</v>
      </c>
      <c r="D366" s="1" t="s">
        <v>1241</v>
      </c>
      <c r="G366" s="37"/>
      <c r="H366" s="85">
        <v>1160</v>
      </c>
      <c r="I366" s="85"/>
      <c r="J366" s="85"/>
      <c r="K366" s="37"/>
      <c r="L366" s="37"/>
      <c r="M366" s="85">
        <v>7</v>
      </c>
      <c r="N366" s="85"/>
      <c r="O366" s="85"/>
      <c r="P366" s="85"/>
      <c r="Q366" s="85"/>
      <c r="R366" s="85"/>
      <c r="S366" s="85">
        <v>30</v>
      </c>
      <c r="T366" s="85"/>
      <c r="U366" s="85"/>
      <c r="V366" s="85"/>
      <c r="W366" s="85"/>
      <c r="X366" s="85"/>
      <c r="Y366" s="37"/>
      <c r="Z366" s="38">
        <v>280</v>
      </c>
      <c r="AA366" s="37"/>
      <c r="AB366" s="37"/>
      <c r="AC366" s="87"/>
    </row>
    <row r="367" spans="2:29" ht="15" customHeight="1">
      <c r="B367" s="88">
        <v>363</v>
      </c>
      <c r="C367" s="88" t="s">
        <v>1349</v>
      </c>
      <c r="D367" s="88" t="s">
        <v>1241</v>
      </c>
      <c r="E367" s="88"/>
      <c r="F367" s="88"/>
      <c r="G367" s="89"/>
      <c r="H367" s="90">
        <v>1310</v>
      </c>
      <c r="I367" s="90"/>
      <c r="J367" s="90"/>
      <c r="K367" s="89"/>
      <c r="L367" s="89"/>
      <c r="M367" s="90">
        <v>8</v>
      </c>
      <c r="N367" s="90"/>
      <c r="O367" s="90"/>
      <c r="P367" s="90"/>
      <c r="Q367" s="90"/>
      <c r="R367" s="90"/>
      <c r="S367" s="90">
        <v>120</v>
      </c>
      <c r="T367" s="90"/>
      <c r="U367" s="90"/>
      <c r="V367" s="90"/>
      <c r="W367" s="90"/>
      <c r="X367" s="90"/>
      <c r="Y367" s="89"/>
      <c r="Z367" s="95">
        <v>1625</v>
      </c>
      <c r="AA367" s="89"/>
      <c r="AB367" s="89"/>
      <c r="AC367" s="92"/>
    </row>
    <row r="368" spans="2:29" ht="15" customHeight="1">
      <c r="B368" s="1">
        <v>364</v>
      </c>
      <c r="C368" s="1" t="s">
        <v>1349</v>
      </c>
      <c r="D368" s="1" t="s">
        <v>1241</v>
      </c>
      <c r="G368" s="37"/>
      <c r="H368" s="85">
        <v>1310</v>
      </c>
      <c r="I368" s="85"/>
      <c r="J368" s="85"/>
      <c r="K368" s="37"/>
      <c r="L368" s="37"/>
      <c r="M368" s="85">
        <v>8</v>
      </c>
      <c r="N368" s="85"/>
      <c r="O368" s="85"/>
      <c r="P368" s="85"/>
      <c r="Q368" s="85"/>
      <c r="R368" s="85"/>
      <c r="S368" s="85">
        <v>112</v>
      </c>
      <c r="T368" s="85"/>
      <c r="U368" s="85"/>
      <c r="V368" s="85"/>
      <c r="W368" s="85"/>
      <c r="X368" s="85"/>
      <c r="Y368" s="37"/>
      <c r="Z368" s="38">
        <v>1497</v>
      </c>
      <c r="AA368" s="37"/>
      <c r="AB368" s="37"/>
      <c r="AC368" s="87"/>
    </row>
    <row r="369" spans="2:29" ht="15" customHeight="1">
      <c r="B369" s="88">
        <v>365</v>
      </c>
      <c r="C369" s="88" t="s">
        <v>1349</v>
      </c>
      <c r="D369" s="88" t="s">
        <v>1241</v>
      </c>
      <c r="E369" s="88"/>
      <c r="F369" s="88"/>
      <c r="G369" s="89"/>
      <c r="H369" s="90">
        <v>1310</v>
      </c>
      <c r="I369" s="90"/>
      <c r="J369" s="90"/>
      <c r="K369" s="89"/>
      <c r="L369" s="89"/>
      <c r="M369" s="90">
        <v>8</v>
      </c>
      <c r="N369" s="90"/>
      <c r="O369" s="90"/>
      <c r="P369" s="90"/>
      <c r="Q369" s="90"/>
      <c r="R369" s="90"/>
      <c r="S369" s="90">
        <v>104</v>
      </c>
      <c r="T369" s="90"/>
      <c r="U369" s="90"/>
      <c r="V369" s="90"/>
      <c r="W369" s="90"/>
      <c r="X369" s="90"/>
      <c r="Y369" s="89"/>
      <c r="Z369" s="95">
        <v>1371</v>
      </c>
      <c r="AA369" s="89"/>
      <c r="AB369" s="89"/>
      <c r="AC369" s="92"/>
    </row>
    <row r="370" spans="2:29" ht="15" customHeight="1">
      <c r="B370" s="1">
        <v>366</v>
      </c>
      <c r="C370" s="1" t="s">
        <v>1349</v>
      </c>
      <c r="D370" s="1" t="s">
        <v>1241</v>
      </c>
      <c r="G370" s="37"/>
      <c r="H370" s="85">
        <v>1310</v>
      </c>
      <c r="I370" s="85"/>
      <c r="J370" s="85"/>
      <c r="K370" s="37"/>
      <c r="L370" s="37"/>
      <c r="M370" s="85">
        <v>8</v>
      </c>
      <c r="N370" s="85"/>
      <c r="O370" s="85"/>
      <c r="P370" s="85"/>
      <c r="Q370" s="85"/>
      <c r="R370" s="85"/>
      <c r="S370" s="85">
        <v>96</v>
      </c>
      <c r="T370" s="85"/>
      <c r="U370" s="85"/>
      <c r="V370" s="85"/>
      <c r="W370" s="85"/>
      <c r="X370" s="85"/>
      <c r="Y370" s="37"/>
      <c r="Z370" s="38">
        <v>1296</v>
      </c>
      <c r="AA370" s="37"/>
      <c r="AB370" s="37"/>
      <c r="AC370" s="87"/>
    </row>
    <row r="371" spans="2:29" ht="15" customHeight="1">
      <c r="B371" s="88">
        <v>367</v>
      </c>
      <c r="C371" s="88" t="s">
        <v>1349</v>
      </c>
      <c r="D371" s="88" t="s">
        <v>1241</v>
      </c>
      <c r="E371" s="88"/>
      <c r="F371" s="88"/>
      <c r="G371" s="89"/>
      <c r="H371" s="90">
        <v>1310</v>
      </c>
      <c r="I371" s="90"/>
      <c r="J371" s="90"/>
      <c r="K371" s="89"/>
      <c r="L371" s="89"/>
      <c r="M371" s="90">
        <v>8</v>
      </c>
      <c r="N371" s="90"/>
      <c r="O371" s="90"/>
      <c r="P371" s="90"/>
      <c r="Q371" s="90"/>
      <c r="R371" s="90"/>
      <c r="S371" s="90">
        <v>88</v>
      </c>
      <c r="T371" s="90"/>
      <c r="U371" s="90"/>
      <c r="V371" s="90"/>
      <c r="W371" s="90"/>
      <c r="X371" s="90"/>
      <c r="Y371" s="89"/>
      <c r="Z371" s="95">
        <v>1123</v>
      </c>
      <c r="AA371" s="89"/>
      <c r="AB371" s="89"/>
      <c r="AC371" s="92"/>
    </row>
    <row r="372" spans="2:29" ht="15" customHeight="1">
      <c r="B372" s="1">
        <v>368</v>
      </c>
      <c r="C372" s="1" t="s">
        <v>1349</v>
      </c>
      <c r="D372" s="1" t="s">
        <v>1241</v>
      </c>
      <c r="G372" s="37"/>
      <c r="H372" s="85">
        <v>1310</v>
      </c>
      <c r="I372" s="85"/>
      <c r="J372" s="85"/>
      <c r="K372" s="37"/>
      <c r="L372" s="37"/>
      <c r="M372" s="85">
        <v>8</v>
      </c>
      <c r="N372" s="85"/>
      <c r="O372" s="85"/>
      <c r="P372" s="85"/>
      <c r="Q372" s="85"/>
      <c r="R372" s="85"/>
      <c r="S372" s="85">
        <v>80</v>
      </c>
      <c r="T372" s="85"/>
      <c r="U372" s="85"/>
      <c r="V372" s="85"/>
      <c r="W372" s="85"/>
      <c r="X372" s="85"/>
      <c r="Y372" s="37"/>
      <c r="Z372" s="38">
        <v>1003</v>
      </c>
      <c r="AA372" s="37"/>
      <c r="AB372" s="37"/>
      <c r="AC372" s="87"/>
    </row>
    <row r="373" spans="2:29" ht="15" customHeight="1">
      <c r="B373" s="88">
        <v>369</v>
      </c>
      <c r="C373" s="88" t="s">
        <v>1349</v>
      </c>
      <c r="D373" s="88" t="s">
        <v>1241</v>
      </c>
      <c r="E373" s="88"/>
      <c r="F373" s="88"/>
      <c r="G373" s="89"/>
      <c r="H373" s="90">
        <v>1310</v>
      </c>
      <c r="I373" s="90"/>
      <c r="J373" s="90"/>
      <c r="K373" s="89"/>
      <c r="L373" s="89"/>
      <c r="M373" s="90">
        <v>8</v>
      </c>
      <c r="N373" s="90"/>
      <c r="O373" s="90"/>
      <c r="P373" s="90"/>
      <c r="Q373" s="90"/>
      <c r="R373" s="90"/>
      <c r="S373" s="90">
        <v>72</v>
      </c>
      <c r="T373" s="90"/>
      <c r="U373" s="90"/>
      <c r="V373" s="90"/>
      <c r="W373" s="90"/>
      <c r="X373" s="90"/>
      <c r="Y373" s="89"/>
      <c r="Z373" s="95">
        <v>885</v>
      </c>
      <c r="AA373" s="89"/>
      <c r="AB373" s="89"/>
      <c r="AC373" s="92"/>
    </row>
    <row r="374" spans="2:29" ht="15" customHeight="1">
      <c r="B374" s="1">
        <v>370</v>
      </c>
      <c r="C374" s="1" t="s">
        <v>1349</v>
      </c>
      <c r="D374" s="1" t="s">
        <v>1241</v>
      </c>
      <c r="G374" s="37"/>
      <c r="H374" s="85">
        <v>1310</v>
      </c>
      <c r="I374" s="85"/>
      <c r="J374" s="85"/>
      <c r="K374" s="37"/>
      <c r="L374" s="37"/>
      <c r="M374" s="85">
        <v>8</v>
      </c>
      <c r="N374" s="85"/>
      <c r="O374" s="85"/>
      <c r="P374" s="85"/>
      <c r="Q374" s="85"/>
      <c r="R374" s="85"/>
      <c r="S374" s="85">
        <v>64</v>
      </c>
      <c r="T374" s="85"/>
      <c r="U374" s="85"/>
      <c r="V374" s="85"/>
      <c r="W374" s="85"/>
      <c r="X374" s="85"/>
      <c r="Y374" s="37"/>
      <c r="Z374" s="38">
        <v>769</v>
      </c>
      <c r="AA374" s="37"/>
      <c r="AB374" s="37"/>
      <c r="AC374" s="87"/>
    </row>
    <row r="375" spans="2:29" ht="15" customHeight="1">
      <c r="B375" s="88">
        <v>371</v>
      </c>
      <c r="C375" s="88" t="s">
        <v>1349</v>
      </c>
      <c r="D375" s="88" t="s">
        <v>1241</v>
      </c>
      <c r="E375" s="88"/>
      <c r="F375" s="88"/>
      <c r="G375" s="89"/>
      <c r="H375" s="90">
        <v>1310</v>
      </c>
      <c r="I375" s="90"/>
      <c r="J375" s="90"/>
      <c r="K375" s="89"/>
      <c r="L375" s="89"/>
      <c r="M375" s="90">
        <v>8</v>
      </c>
      <c r="N375" s="90"/>
      <c r="O375" s="90"/>
      <c r="P375" s="90"/>
      <c r="Q375" s="90"/>
      <c r="R375" s="90"/>
      <c r="S375" s="90">
        <v>58</v>
      </c>
      <c r="T375" s="90"/>
      <c r="U375" s="90"/>
      <c r="V375" s="90"/>
      <c r="W375" s="90"/>
      <c r="X375" s="90"/>
      <c r="Y375" s="89"/>
      <c r="Z375" s="95">
        <v>684</v>
      </c>
      <c r="AA375" s="89"/>
      <c r="AB375" s="89"/>
      <c r="AC375" s="92"/>
    </row>
    <row r="376" spans="2:29" ht="15" customHeight="1">
      <c r="B376" s="1">
        <v>372</v>
      </c>
      <c r="C376" s="1" t="s">
        <v>1349</v>
      </c>
      <c r="D376" s="1" t="s">
        <v>1241</v>
      </c>
      <c r="G376" s="37"/>
      <c r="H376" s="85">
        <v>1310</v>
      </c>
      <c r="I376" s="85"/>
      <c r="J376" s="85"/>
      <c r="K376" s="37"/>
      <c r="L376" s="37"/>
      <c r="M376" s="85">
        <v>8</v>
      </c>
      <c r="N376" s="85"/>
      <c r="O376" s="85"/>
      <c r="P376" s="85"/>
      <c r="Q376" s="85"/>
      <c r="R376" s="85"/>
      <c r="S376" s="85">
        <v>50</v>
      </c>
      <c r="T376" s="85"/>
      <c r="U376" s="85"/>
      <c r="V376" s="85"/>
      <c r="W376" s="85"/>
      <c r="X376" s="85"/>
      <c r="Y376" s="37"/>
      <c r="Z376" s="38">
        <v>573</v>
      </c>
      <c r="AA376" s="37"/>
      <c r="AB376" s="37"/>
      <c r="AC376" s="87"/>
    </row>
    <row r="377" spans="2:29" ht="15" customHeight="1">
      <c r="B377" s="88">
        <v>373</v>
      </c>
      <c r="C377" s="88" t="s">
        <v>1349</v>
      </c>
      <c r="D377" s="88" t="s">
        <v>1241</v>
      </c>
      <c r="E377" s="88"/>
      <c r="F377" s="88"/>
      <c r="G377" s="89"/>
      <c r="H377" s="90">
        <v>1310</v>
      </c>
      <c r="I377" s="90"/>
      <c r="J377" s="90"/>
      <c r="K377" s="89"/>
      <c r="L377" s="89"/>
      <c r="M377" s="90">
        <v>8</v>
      </c>
      <c r="N377" s="90"/>
      <c r="O377" s="90"/>
      <c r="P377" s="90"/>
      <c r="Q377" s="90"/>
      <c r="R377" s="90"/>
      <c r="S377" s="90">
        <v>46</v>
      </c>
      <c r="T377" s="90"/>
      <c r="U377" s="90"/>
      <c r="V377" s="90"/>
      <c r="W377" s="90"/>
      <c r="X377" s="90"/>
      <c r="Y377" s="89"/>
      <c r="Z377" s="95">
        <v>519</v>
      </c>
      <c r="AA377" s="89"/>
      <c r="AB377" s="89"/>
      <c r="AC377" s="92"/>
    </row>
    <row r="378" spans="2:29" ht="15" customHeight="1">
      <c r="B378" s="1">
        <v>374</v>
      </c>
      <c r="C378" s="1" t="s">
        <v>1349</v>
      </c>
      <c r="D378" s="1" t="s">
        <v>1241</v>
      </c>
      <c r="G378" s="37"/>
      <c r="H378" s="85">
        <v>1310</v>
      </c>
      <c r="I378" s="85"/>
      <c r="J378" s="85"/>
      <c r="K378" s="37"/>
      <c r="L378" s="37"/>
      <c r="M378" s="85">
        <v>8</v>
      </c>
      <c r="N378" s="85"/>
      <c r="O378" s="85"/>
      <c r="P378" s="85"/>
      <c r="Q378" s="85"/>
      <c r="R378" s="85"/>
      <c r="S378" s="85">
        <v>42</v>
      </c>
      <c r="T378" s="85"/>
      <c r="U378" s="85"/>
      <c r="V378" s="85"/>
      <c r="W378" s="85"/>
      <c r="X378" s="85"/>
      <c r="Y378" s="37"/>
      <c r="Z378" s="38">
        <v>466</v>
      </c>
      <c r="AA378" s="37"/>
      <c r="AB378" s="37"/>
      <c r="AC378" s="87"/>
    </row>
    <row r="379" spans="2:29" ht="15" customHeight="1">
      <c r="B379" s="88">
        <v>375</v>
      </c>
      <c r="C379" s="88" t="s">
        <v>1349</v>
      </c>
      <c r="D379" s="88" t="s">
        <v>1241</v>
      </c>
      <c r="E379" s="88"/>
      <c r="F379" s="88"/>
      <c r="G379" s="89"/>
      <c r="H379" s="90">
        <v>1310</v>
      </c>
      <c r="I379" s="90"/>
      <c r="J379" s="90"/>
      <c r="K379" s="89"/>
      <c r="L379" s="89"/>
      <c r="M379" s="90">
        <v>8</v>
      </c>
      <c r="N379" s="90"/>
      <c r="O379" s="90"/>
      <c r="P379" s="90"/>
      <c r="Q379" s="90"/>
      <c r="R379" s="90"/>
      <c r="S379" s="90">
        <v>38</v>
      </c>
      <c r="T379" s="90"/>
      <c r="U379" s="90"/>
      <c r="V379" s="90"/>
      <c r="W379" s="90"/>
      <c r="X379" s="90"/>
      <c r="Y379" s="89"/>
      <c r="Z379" s="95">
        <v>414</v>
      </c>
      <c r="AA379" s="89"/>
      <c r="AB379" s="89"/>
      <c r="AC379" s="92"/>
    </row>
    <row r="380" spans="2:29" ht="15" customHeight="1">
      <c r="B380" s="1">
        <v>376</v>
      </c>
      <c r="C380" s="1" t="s">
        <v>1349</v>
      </c>
      <c r="D380" s="1" t="s">
        <v>1241</v>
      </c>
      <c r="G380" s="37"/>
      <c r="H380" s="85">
        <v>1310</v>
      </c>
      <c r="I380" s="85"/>
      <c r="J380" s="85"/>
      <c r="K380" s="37"/>
      <c r="L380" s="37"/>
      <c r="M380" s="85">
        <v>8</v>
      </c>
      <c r="N380" s="85"/>
      <c r="O380" s="85"/>
      <c r="P380" s="85"/>
      <c r="Q380" s="85"/>
      <c r="R380" s="85"/>
      <c r="S380" s="85">
        <v>34</v>
      </c>
      <c r="T380" s="85"/>
      <c r="U380" s="85"/>
      <c r="V380" s="85"/>
      <c r="W380" s="85"/>
      <c r="X380" s="85"/>
      <c r="Y380" s="37"/>
      <c r="Z380" s="38">
        <v>362</v>
      </c>
      <c r="AA380" s="37"/>
      <c r="AB380" s="37"/>
      <c r="AC380" s="87"/>
    </row>
    <row r="381" spans="2:29" ht="15" customHeight="1">
      <c r="B381" s="88">
        <v>377</v>
      </c>
      <c r="C381" s="88" t="s">
        <v>1349</v>
      </c>
      <c r="D381" s="88" t="s">
        <v>1241</v>
      </c>
      <c r="E381" s="88"/>
      <c r="F381" s="88"/>
      <c r="G381" s="89"/>
      <c r="H381" s="90">
        <v>1310</v>
      </c>
      <c r="I381" s="90"/>
      <c r="J381" s="90"/>
      <c r="K381" s="89"/>
      <c r="L381" s="89"/>
      <c r="M381" s="90">
        <v>8</v>
      </c>
      <c r="N381" s="90"/>
      <c r="O381" s="90"/>
      <c r="P381" s="90"/>
      <c r="Q381" s="90"/>
      <c r="R381" s="90"/>
      <c r="S381" s="90">
        <v>30</v>
      </c>
      <c r="T381" s="90"/>
      <c r="U381" s="90"/>
      <c r="V381" s="90"/>
      <c r="W381" s="90"/>
      <c r="X381" s="90"/>
      <c r="Y381" s="89"/>
      <c r="Z381" s="95">
        <v>312</v>
      </c>
      <c r="AA381" s="89"/>
      <c r="AB381" s="89"/>
      <c r="AC381" s="92"/>
    </row>
    <row r="382" spans="2:29">
      <c r="B382" s="1">
        <v>378</v>
      </c>
      <c r="C382" s="1" t="s">
        <v>1350</v>
      </c>
      <c r="D382" s="1" t="s">
        <v>1351</v>
      </c>
      <c r="G382" s="37"/>
      <c r="H382" s="85"/>
      <c r="I382" s="85"/>
      <c r="J382" s="85"/>
      <c r="K382" s="37"/>
      <c r="L382" s="37"/>
      <c r="M382" s="85"/>
      <c r="N382" s="85"/>
      <c r="O382" s="85"/>
      <c r="P382" s="85"/>
      <c r="Q382" s="85"/>
      <c r="R382" s="85"/>
      <c r="S382" s="85"/>
      <c r="T382" s="85"/>
      <c r="U382" s="85"/>
      <c r="V382" s="85"/>
      <c r="W382" s="85"/>
      <c r="X382" s="85">
        <v>1.1000000000000001</v>
      </c>
      <c r="Y382" s="37"/>
      <c r="Z382" s="37"/>
      <c r="AA382" s="37"/>
      <c r="AB382" s="37">
        <v>100.00727983233375</v>
      </c>
      <c r="AC382" s="87"/>
    </row>
    <row r="383" spans="2:29">
      <c r="B383" s="88">
        <v>379</v>
      </c>
      <c r="C383" s="88" t="s">
        <v>1350</v>
      </c>
      <c r="D383" s="88" t="s">
        <v>1352</v>
      </c>
      <c r="E383" s="88"/>
      <c r="F383" s="88"/>
      <c r="G383" s="89"/>
      <c r="H383" s="90"/>
      <c r="I383" s="90"/>
      <c r="J383" s="90"/>
      <c r="K383" s="89"/>
      <c r="L383" s="89"/>
      <c r="M383" s="90"/>
      <c r="N383" s="90"/>
      <c r="O383" s="90"/>
      <c r="P383" s="90"/>
      <c r="Q383" s="90"/>
      <c r="R383" s="90"/>
      <c r="S383" s="90"/>
      <c r="T383" s="90"/>
      <c r="U383" s="90"/>
      <c r="V383" s="90"/>
      <c r="W383" s="90"/>
      <c r="X383" s="90">
        <v>1.1000000000000001</v>
      </c>
      <c r="Y383" s="89"/>
      <c r="Z383" s="89"/>
      <c r="AA383" s="89"/>
      <c r="AB383" s="89">
        <v>175.41439880271858</v>
      </c>
      <c r="AC383" s="92"/>
    </row>
    <row r="384" spans="2:29">
      <c r="B384" s="1">
        <v>380</v>
      </c>
      <c r="C384" s="1" t="s">
        <v>1350</v>
      </c>
      <c r="D384" s="1" t="s">
        <v>1303</v>
      </c>
      <c r="G384" s="37"/>
      <c r="H384" s="85"/>
      <c r="I384" s="85"/>
      <c r="J384" s="85"/>
      <c r="K384" s="37"/>
      <c r="L384" s="37"/>
      <c r="M384" s="85"/>
      <c r="N384" s="85"/>
      <c r="O384" s="85"/>
      <c r="P384" s="85"/>
      <c r="Q384" s="85"/>
      <c r="R384" s="85"/>
      <c r="S384" s="85"/>
      <c r="T384" s="85"/>
      <c r="U384" s="85"/>
      <c r="V384" s="85"/>
      <c r="W384" s="85"/>
      <c r="X384" s="85">
        <v>1.1000000000000001</v>
      </c>
      <c r="Y384" s="37"/>
      <c r="Z384" s="37"/>
      <c r="AA384" s="37"/>
      <c r="AB384" s="37">
        <v>100.00727983233375</v>
      </c>
      <c r="AC384" s="87"/>
    </row>
    <row r="385" spans="2:29">
      <c r="B385" s="88">
        <v>381</v>
      </c>
      <c r="C385" s="88" t="s">
        <v>1353</v>
      </c>
      <c r="D385" s="88"/>
      <c r="E385" s="88"/>
      <c r="F385" s="88"/>
      <c r="G385" s="97"/>
      <c r="H385" s="90"/>
      <c r="I385" s="90"/>
      <c r="J385" s="90"/>
      <c r="K385" s="97"/>
      <c r="L385" s="97"/>
      <c r="M385" s="90"/>
      <c r="N385" s="90"/>
      <c r="O385" s="90"/>
      <c r="P385" s="90"/>
      <c r="Q385" s="90"/>
      <c r="R385" s="90"/>
      <c r="S385" s="90"/>
      <c r="T385" s="90"/>
      <c r="U385" s="90"/>
      <c r="V385" s="90"/>
      <c r="W385" s="90"/>
      <c r="X385" s="90">
        <v>1.1000000000000001</v>
      </c>
      <c r="Y385" s="97"/>
      <c r="Z385" s="97"/>
      <c r="AA385" s="97"/>
      <c r="AB385" s="97">
        <v>100</v>
      </c>
      <c r="AC385" s="92"/>
    </row>
    <row r="388" spans="2:29">
      <c r="G388" s="142"/>
    </row>
    <row r="389" spans="2:29">
      <c r="G389" s="142"/>
      <c r="X389" s="85"/>
    </row>
    <row r="390" spans="2:29">
      <c r="G390" s="142"/>
      <c r="X390" s="85"/>
    </row>
    <row r="391" spans="2:29">
      <c r="G391" s="142"/>
    </row>
    <row r="392" spans="2:29">
      <c r="G392" s="142"/>
    </row>
    <row r="393" spans="2:29">
      <c r="G393" s="142"/>
    </row>
    <row r="394" spans="2:29">
      <c r="G394" s="142"/>
    </row>
    <row r="395" spans="2:29">
      <c r="G395" s="142"/>
      <c r="J395" s="143"/>
    </row>
    <row r="396" spans="2:29">
      <c r="G396" s="142"/>
    </row>
    <row r="397" spans="2:29">
      <c r="G397" s="142"/>
    </row>
    <row r="398" spans="2:29">
      <c r="G398" s="142"/>
      <c r="J398" s="143"/>
    </row>
    <row r="399" spans="2:29">
      <c r="G399" s="142"/>
    </row>
    <row r="400" spans="2:29">
      <c r="G400" s="142"/>
    </row>
    <row r="401" spans="7:7">
      <c r="G401" s="142"/>
    </row>
    <row r="402" spans="7:7">
      <c r="G402" s="142"/>
    </row>
    <row r="403" spans="7:7">
      <c r="G403" s="142"/>
    </row>
    <row r="434" spans="3:5" ht="15">
      <c r="C434"/>
      <c r="D434"/>
      <c r="E434"/>
    </row>
    <row r="435" spans="3:5" ht="15">
      <c r="C435"/>
      <c r="D435"/>
      <c r="E435"/>
    </row>
    <row r="436" spans="3:5" ht="15">
      <c r="C436"/>
      <c r="D436"/>
      <c r="E436"/>
    </row>
    <row r="437" spans="3:5" ht="15">
      <c r="C437"/>
      <c r="D437"/>
      <c r="E437"/>
    </row>
    <row r="438" spans="3:5" ht="15">
      <c r="C438"/>
      <c r="D438"/>
      <c r="E438"/>
    </row>
    <row r="439" spans="3:5" ht="15">
      <c r="C439"/>
      <c r="D439"/>
      <c r="E439"/>
    </row>
    <row r="440" spans="3:5" ht="15">
      <c r="C440"/>
      <c r="D440"/>
      <c r="E440"/>
    </row>
    <row r="441" spans="3:5" ht="15">
      <c r="C441"/>
      <c r="D441"/>
      <c r="E441"/>
    </row>
    <row r="442" spans="3:5" ht="15">
      <c r="C442"/>
      <c r="D442"/>
      <c r="E442"/>
    </row>
    <row r="443" spans="3:5" ht="15">
      <c r="C443"/>
      <c r="D443"/>
      <c r="E443"/>
    </row>
    <row r="444" spans="3:5" ht="15">
      <c r="C444"/>
      <c r="D444"/>
      <c r="E444"/>
    </row>
    <row r="445" spans="3:5" ht="15">
      <c r="C445"/>
      <c r="D445"/>
      <c r="E445"/>
    </row>
    <row r="446" spans="3:5" ht="15">
      <c r="C446"/>
      <c r="D446"/>
      <c r="E446"/>
    </row>
    <row r="447" spans="3:5" ht="15">
      <c r="C447"/>
      <c r="D447"/>
      <c r="E447"/>
    </row>
    <row r="448" spans="3:5" ht="15">
      <c r="C448"/>
      <c r="D448"/>
      <c r="E448"/>
    </row>
    <row r="449" spans="3:5" ht="15">
      <c r="C449"/>
      <c r="D449"/>
      <c r="E449"/>
    </row>
    <row r="450" spans="3:5" ht="15">
      <c r="C450"/>
      <c r="D450"/>
      <c r="E450"/>
    </row>
    <row r="451" spans="3:5" ht="15">
      <c r="C451"/>
      <c r="D451"/>
      <c r="E451"/>
    </row>
    <row r="452" spans="3:5" ht="15">
      <c r="C452"/>
      <c r="D452"/>
      <c r="E452"/>
    </row>
    <row r="453" spans="3:5" ht="15">
      <c r="C453"/>
      <c r="D453"/>
      <c r="E453"/>
    </row>
    <row r="454" spans="3:5" ht="15">
      <c r="C454"/>
      <c r="D454"/>
      <c r="E454"/>
    </row>
    <row r="455" spans="3:5" ht="15">
      <c r="C455"/>
      <c r="D455"/>
      <c r="E455"/>
    </row>
    <row r="456" spans="3:5" ht="15">
      <c r="C456"/>
      <c r="D456"/>
      <c r="E456"/>
    </row>
    <row r="457" spans="3:5" ht="15">
      <c r="C457"/>
      <c r="D457"/>
      <c r="E457"/>
    </row>
    <row r="458" spans="3:5" ht="15">
      <c r="C458"/>
      <c r="D458"/>
      <c r="E458"/>
    </row>
    <row r="459" spans="3:5" ht="15">
      <c r="C459"/>
      <c r="D459"/>
      <c r="E459"/>
    </row>
    <row r="460" spans="3:5" ht="15">
      <c r="C460"/>
      <c r="D460"/>
      <c r="E460"/>
    </row>
    <row r="461" spans="3:5" ht="15">
      <c r="C461"/>
      <c r="D461"/>
      <c r="E461"/>
    </row>
    <row r="462" spans="3:5" ht="15">
      <c r="C462"/>
      <c r="D462"/>
      <c r="E462"/>
    </row>
    <row r="463" spans="3:5" ht="15">
      <c r="C463"/>
      <c r="D463"/>
      <c r="E463"/>
    </row>
    <row r="464" spans="3:5" ht="15">
      <c r="C464"/>
      <c r="D464"/>
      <c r="E464"/>
    </row>
    <row r="465" spans="3:5" ht="15">
      <c r="C465"/>
      <c r="D465"/>
      <c r="E465"/>
    </row>
    <row r="466" spans="3:5" ht="15">
      <c r="C466"/>
      <c r="D466"/>
      <c r="E466"/>
    </row>
    <row r="467" spans="3:5" ht="15">
      <c r="C467"/>
      <c r="D467"/>
      <c r="E467"/>
    </row>
    <row r="468" spans="3:5" ht="15">
      <c r="C468"/>
      <c r="D468"/>
      <c r="E468"/>
    </row>
    <row r="469" spans="3:5" ht="15">
      <c r="C469"/>
      <c r="D469"/>
      <c r="E469"/>
    </row>
    <row r="470" spans="3:5" ht="15">
      <c r="C470"/>
      <c r="D470"/>
      <c r="E470"/>
    </row>
    <row r="471" spans="3:5" ht="15">
      <c r="C471"/>
      <c r="D471"/>
      <c r="E471"/>
    </row>
    <row r="472" spans="3:5" ht="15">
      <c r="C472"/>
      <c r="D472"/>
      <c r="E472"/>
    </row>
    <row r="473" spans="3:5" ht="15">
      <c r="C473"/>
      <c r="D473"/>
      <c r="E473"/>
    </row>
    <row r="474" spans="3:5" ht="15">
      <c r="C474"/>
      <c r="D474"/>
      <c r="E474"/>
    </row>
    <row r="475" spans="3:5" ht="15">
      <c r="C475"/>
      <c r="D475"/>
      <c r="E475"/>
    </row>
    <row r="476" spans="3:5" ht="15">
      <c r="C476"/>
      <c r="D476"/>
      <c r="E476"/>
    </row>
    <row r="477" spans="3:5" ht="15">
      <c r="C477"/>
      <c r="D477"/>
      <c r="E477"/>
    </row>
    <row r="478" spans="3:5" ht="15">
      <c r="C478"/>
      <c r="D478"/>
      <c r="E478"/>
    </row>
    <row r="479" spans="3:5" ht="15">
      <c r="C479"/>
      <c r="D479"/>
      <c r="E479"/>
    </row>
    <row r="480" spans="3:5" ht="15">
      <c r="C480"/>
      <c r="D480"/>
      <c r="E480"/>
    </row>
    <row r="481" spans="3:5" ht="15">
      <c r="C481"/>
      <c r="D481"/>
      <c r="E481"/>
    </row>
    <row r="482" spans="3:5" ht="15">
      <c r="C482"/>
      <c r="D482"/>
      <c r="E482"/>
    </row>
    <row r="483" spans="3:5" ht="15">
      <c r="C483"/>
      <c r="D483"/>
      <c r="E483"/>
    </row>
    <row r="484" spans="3:5" ht="15">
      <c r="C484"/>
      <c r="D484"/>
      <c r="E484"/>
    </row>
    <row r="485" spans="3:5" ht="15">
      <c r="C485"/>
      <c r="D485"/>
      <c r="E485"/>
    </row>
    <row r="486" spans="3:5" ht="15">
      <c r="C486"/>
      <c r="D486"/>
      <c r="E486"/>
    </row>
    <row r="487" spans="3:5" ht="15">
      <c r="C487"/>
      <c r="D487"/>
      <c r="E487"/>
    </row>
    <row r="488" spans="3:5" ht="15">
      <c r="C488"/>
      <c r="D488"/>
      <c r="E488"/>
    </row>
    <row r="489" spans="3:5" ht="15">
      <c r="C489"/>
      <c r="D489"/>
      <c r="E489"/>
    </row>
    <row r="490" spans="3:5" ht="15">
      <c r="C490"/>
      <c r="D490"/>
      <c r="E490"/>
    </row>
    <row r="491" spans="3:5" ht="15">
      <c r="C491"/>
      <c r="D491"/>
      <c r="E491"/>
    </row>
    <row r="492" spans="3:5" ht="15">
      <c r="C492"/>
      <c r="D492"/>
      <c r="E492"/>
    </row>
    <row r="493" spans="3:5" ht="15">
      <c r="C493"/>
      <c r="D493"/>
      <c r="E493"/>
    </row>
    <row r="494" spans="3:5" ht="15">
      <c r="C494"/>
      <c r="D494"/>
      <c r="E494"/>
    </row>
    <row r="495" spans="3:5" ht="15">
      <c r="C495"/>
      <c r="D495"/>
      <c r="E495"/>
    </row>
    <row r="496" spans="3:5" ht="15">
      <c r="C496"/>
      <c r="D496"/>
      <c r="E496"/>
    </row>
    <row r="497" spans="3:5" ht="15">
      <c r="C497"/>
      <c r="D497"/>
      <c r="E497"/>
    </row>
    <row r="498" spans="3:5" ht="15">
      <c r="C498"/>
      <c r="D498"/>
      <c r="E498"/>
    </row>
    <row r="499" spans="3:5" ht="15">
      <c r="C499"/>
      <c r="D499"/>
      <c r="E499"/>
    </row>
    <row r="500" spans="3:5" ht="15">
      <c r="C500"/>
      <c r="D500"/>
      <c r="E500"/>
    </row>
    <row r="501" spans="3:5" ht="15">
      <c r="C501"/>
      <c r="D501"/>
      <c r="E501"/>
    </row>
    <row r="502" spans="3:5" ht="15">
      <c r="C502"/>
      <c r="D502"/>
      <c r="E502"/>
    </row>
    <row r="503" spans="3:5" ht="15">
      <c r="C503"/>
      <c r="D503"/>
      <c r="E503"/>
    </row>
    <row r="504" spans="3:5" ht="15">
      <c r="C504"/>
      <c r="D504"/>
      <c r="E504"/>
    </row>
    <row r="505" spans="3:5" ht="15">
      <c r="C505"/>
      <c r="D505"/>
      <c r="E505"/>
    </row>
    <row r="506" spans="3:5" ht="15">
      <c r="C506"/>
      <c r="D506"/>
      <c r="E506"/>
    </row>
    <row r="507" spans="3:5" ht="15">
      <c r="C507"/>
      <c r="D507"/>
      <c r="E507"/>
    </row>
    <row r="508" spans="3:5" ht="15">
      <c r="C508"/>
      <c r="D508"/>
      <c r="E508"/>
    </row>
    <row r="509" spans="3:5" ht="15">
      <c r="C509"/>
      <c r="D509"/>
      <c r="E509"/>
    </row>
    <row r="510" spans="3:5" ht="15">
      <c r="C510"/>
      <c r="D510"/>
      <c r="E510"/>
    </row>
    <row r="511" spans="3:5" ht="15">
      <c r="C511"/>
      <c r="D511"/>
      <c r="E511"/>
    </row>
    <row r="512" spans="3:5" ht="15">
      <c r="C512"/>
      <c r="D512"/>
      <c r="E512"/>
    </row>
    <row r="513" spans="3:5" ht="15">
      <c r="C513"/>
      <c r="D513"/>
      <c r="E513"/>
    </row>
    <row r="514" spans="3:5" ht="15">
      <c r="C514"/>
      <c r="D514"/>
      <c r="E514"/>
    </row>
    <row r="515" spans="3:5" ht="15">
      <c r="C515"/>
      <c r="D515"/>
      <c r="E515"/>
    </row>
    <row r="516" spans="3:5" ht="15">
      <c r="C516"/>
      <c r="D516"/>
      <c r="E516"/>
    </row>
    <row r="517" spans="3:5" ht="15">
      <c r="C517"/>
      <c r="D517"/>
      <c r="E517"/>
    </row>
    <row r="518" spans="3:5" ht="15">
      <c r="C518"/>
      <c r="D518"/>
      <c r="E518"/>
    </row>
    <row r="519" spans="3:5" ht="15">
      <c r="C519"/>
      <c r="D519"/>
      <c r="E519"/>
    </row>
    <row r="520" spans="3:5" ht="15">
      <c r="C520"/>
      <c r="D520"/>
      <c r="E520"/>
    </row>
    <row r="521" spans="3:5" ht="15">
      <c r="C521"/>
      <c r="D521"/>
      <c r="E521"/>
    </row>
    <row r="522" spans="3:5" ht="15">
      <c r="C522"/>
      <c r="D522"/>
      <c r="E522"/>
    </row>
    <row r="523" spans="3:5" ht="15">
      <c r="C523"/>
      <c r="D523"/>
      <c r="E523"/>
    </row>
    <row r="524" spans="3:5" ht="15">
      <c r="C524"/>
      <c r="D524"/>
      <c r="E524"/>
    </row>
    <row r="525" spans="3:5" ht="15">
      <c r="C525"/>
      <c r="D525"/>
      <c r="E525"/>
    </row>
    <row r="526" spans="3:5" ht="15">
      <c r="C526"/>
      <c r="D526"/>
      <c r="E526"/>
    </row>
    <row r="527" spans="3:5" ht="15">
      <c r="C527"/>
      <c r="D527"/>
      <c r="E527"/>
    </row>
    <row r="528" spans="3:5" ht="15">
      <c r="C528"/>
      <c r="D528"/>
      <c r="E528"/>
    </row>
    <row r="529" spans="3:5" ht="15">
      <c r="C529"/>
      <c r="D529"/>
      <c r="E529"/>
    </row>
    <row r="530" spans="3:5" ht="15">
      <c r="C530"/>
      <c r="D530"/>
      <c r="E530"/>
    </row>
    <row r="531" spans="3:5" ht="15">
      <c r="C531"/>
      <c r="D531"/>
      <c r="E531"/>
    </row>
    <row r="532" spans="3:5" ht="15">
      <c r="C532"/>
      <c r="D532"/>
      <c r="E532"/>
    </row>
    <row r="533" spans="3:5" ht="15">
      <c r="C533"/>
      <c r="D533"/>
      <c r="E533"/>
    </row>
    <row r="534" spans="3:5" ht="15">
      <c r="C534"/>
      <c r="D534"/>
      <c r="E534"/>
    </row>
    <row r="535" spans="3:5" ht="15">
      <c r="C535"/>
      <c r="D535"/>
      <c r="E535"/>
    </row>
    <row r="536" spans="3:5" ht="15">
      <c r="C536"/>
      <c r="D536"/>
      <c r="E536"/>
    </row>
    <row r="537" spans="3:5" ht="15">
      <c r="C537"/>
      <c r="D537"/>
      <c r="E537"/>
    </row>
    <row r="538" spans="3:5" ht="15">
      <c r="C538"/>
      <c r="D538"/>
      <c r="E538"/>
    </row>
    <row r="539" spans="3:5" ht="15">
      <c r="C539"/>
      <c r="D539"/>
      <c r="E539"/>
    </row>
    <row r="540" spans="3:5" ht="15">
      <c r="C540"/>
      <c r="D540"/>
      <c r="E540"/>
    </row>
    <row r="541" spans="3:5" ht="15">
      <c r="C541"/>
      <c r="D541"/>
      <c r="E541"/>
    </row>
    <row r="542" spans="3:5" ht="15">
      <c r="C542"/>
      <c r="D542"/>
      <c r="E542"/>
    </row>
    <row r="543" spans="3:5" ht="15">
      <c r="C543"/>
      <c r="D543"/>
      <c r="E543"/>
    </row>
    <row r="544" spans="3:5" ht="15">
      <c r="C544"/>
      <c r="D544"/>
      <c r="E544"/>
    </row>
    <row r="545" spans="3:5" ht="15">
      <c r="C545"/>
      <c r="D545"/>
      <c r="E545"/>
    </row>
    <row r="546" spans="3:5" ht="15">
      <c r="C546"/>
      <c r="D546"/>
      <c r="E546"/>
    </row>
    <row r="547" spans="3:5" ht="15">
      <c r="C547"/>
      <c r="D547"/>
      <c r="E547"/>
    </row>
    <row r="548" spans="3:5" ht="15">
      <c r="C548"/>
      <c r="D548"/>
      <c r="E548"/>
    </row>
    <row r="549" spans="3:5" ht="15">
      <c r="C549"/>
      <c r="D549"/>
      <c r="E549"/>
    </row>
    <row r="550" spans="3:5" ht="15">
      <c r="C550"/>
      <c r="D550"/>
      <c r="E550"/>
    </row>
    <row r="551" spans="3:5" ht="15">
      <c r="C551"/>
      <c r="D551"/>
      <c r="E551"/>
    </row>
    <row r="552" spans="3:5" ht="15">
      <c r="C552"/>
      <c r="D552"/>
      <c r="E552"/>
    </row>
    <row r="553" spans="3:5" ht="15">
      <c r="C553"/>
      <c r="D553"/>
      <c r="E553"/>
    </row>
    <row r="554" spans="3:5" ht="15">
      <c r="C554"/>
      <c r="D554"/>
      <c r="E554"/>
    </row>
    <row r="555" spans="3:5" ht="15">
      <c r="C555"/>
      <c r="D555"/>
      <c r="E555"/>
    </row>
    <row r="556" spans="3:5" ht="15">
      <c r="C556"/>
      <c r="D556"/>
      <c r="E556"/>
    </row>
    <row r="557" spans="3:5" ht="15">
      <c r="C557"/>
      <c r="D557"/>
      <c r="E557"/>
    </row>
    <row r="558" spans="3:5" ht="15">
      <c r="C558"/>
      <c r="D558"/>
      <c r="E558"/>
    </row>
    <row r="559" spans="3:5" ht="15">
      <c r="C559"/>
      <c r="D559"/>
      <c r="E559"/>
    </row>
    <row r="560" spans="3:5" ht="15">
      <c r="C560"/>
      <c r="D560"/>
      <c r="E560"/>
    </row>
    <row r="561" spans="3:5" ht="15">
      <c r="C561"/>
      <c r="D561"/>
      <c r="E561"/>
    </row>
    <row r="562" spans="3:5" ht="15">
      <c r="C562"/>
      <c r="D562"/>
      <c r="E562"/>
    </row>
    <row r="563" spans="3:5" ht="15">
      <c r="C563"/>
      <c r="D563"/>
      <c r="E563"/>
    </row>
    <row r="564" spans="3:5" ht="15">
      <c r="C564"/>
      <c r="D564"/>
      <c r="E564"/>
    </row>
    <row r="565" spans="3:5" ht="15">
      <c r="C565"/>
      <c r="D565"/>
      <c r="E565"/>
    </row>
    <row r="566" spans="3:5" ht="15">
      <c r="C566"/>
      <c r="D566"/>
      <c r="E566"/>
    </row>
    <row r="567" spans="3:5" ht="15">
      <c r="C567"/>
      <c r="D567"/>
      <c r="E567"/>
    </row>
    <row r="568" spans="3:5" ht="15">
      <c r="C568"/>
      <c r="D568"/>
      <c r="E568"/>
    </row>
    <row r="569" spans="3:5" ht="15">
      <c r="C569"/>
      <c r="D569"/>
      <c r="E569"/>
    </row>
    <row r="570" spans="3:5" ht="15">
      <c r="C570"/>
      <c r="D570"/>
      <c r="E570"/>
    </row>
    <row r="571" spans="3:5" ht="15">
      <c r="C571"/>
      <c r="D571"/>
      <c r="E571"/>
    </row>
    <row r="572" spans="3:5" ht="15">
      <c r="C572"/>
      <c r="D572"/>
      <c r="E572"/>
    </row>
    <row r="573" spans="3:5" ht="15">
      <c r="C573"/>
      <c r="D573"/>
      <c r="E573"/>
    </row>
    <row r="574" spans="3:5" ht="15">
      <c r="C574"/>
      <c r="D574"/>
      <c r="E574"/>
    </row>
    <row r="575" spans="3:5" ht="15">
      <c r="C575"/>
      <c r="D575"/>
      <c r="E575"/>
    </row>
    <row r="576" spans="3:5" ht="15">
      <c r="C576"/>
      <c r="D576"/>
      <c r="E576"/>
    </row>
    <row r="577" spans="3:5" ht="15">
      <c r="C577"/>
      <c r="D577"/>
      <c r="E577"/>
    </row>
    <row r="578" spans="3:5" ht="15">
      <c r="C578"/>
      <c r="D578"/>
      <c r="E578"/>
    </row>
    <row r="579" spans="3:5" ht="15">
      <c r="C579"/>
      <c r="D579"/>
      <c r="E579"/>
    </row>
    <row r="580" spans="3:5" ht="15">
      <c r="C580"/>
      <c r="D580"/>
      <c r="E580"/>
    </row>
    <row r="581" spans="3:5" ht="15">
      <c r="C581"/>
      <c r="D581"/>
      <c r="E581"/>
    </row>
    <row r="582" spans="3:5" ht="15">
      <c r="C582"/>
      <c r="D582"/>
      <c r="E582"/>
    </row>
    <row r="583" spans="3:5" ht="15">
      <c r="C583"/>
      <c r="D583"/>
      <c r="E583"/>
    </row>
    <row r="584" spans="3:5" ht="15">
      <c r="C584"/>
      <c r="D584"/>
      <c r="E584"/>
    </row>
    <row r="585" spans="3:5" ht="15">
      <c r="C585"/>
      <c r="D585"/>
      <c r="E585"/>
    </row>
    <row r="586" spans="3:5" ht="15">
      <c r="C586"/>
      <c r="D586"/>
      <c r="E586"/>
    </row>
    <row r="587" spans="3:5" ht="15">
      <c r="C587"/>
      <c r="D587"/>
      <c r="E587"/>
    </row>
    <row r="588" spans="3:5" ht="15">
      <c r="C588"/>
      <c r="D588"/>
      <c r="E588"/>
    </row>
    <row r="589" spans="3:5" ht="15">
      <c r="C589"/>
      <c r="D589"/>
      <c r="E589"/>
    </row>
    <row r="590" spans="3:5" ht="15">
      <c r="C590"/>
      <c r="D590"/>
      <c r="E590"/>
    </row>
    <row r="591" spans="3:5" ht="15">
      <c r="C591"/>
      <c r="D591"/>
      <c r="E591"/>
    </row>
    <row r="592" spans="3:5" ht="15">
      <c r="C592"/>
      <c r="D592"/>
      <c r="E592"/>
    </row>
    <row r="593" spans="3:5" ht="15">
      <c r="C593"/>
      <c r="D593"/>
      <c r="E593"/>
    </row>
    <row r="594" spans="3:5" ht="15">
      <c r="C594"/>
      <c r="D594"/>
      <c r="E594"/>
    </row>
    <row r="595" spans="3:5" ht="15">
      <c r="C595"/>
      <c r="D595"/>
      <c r="E595"/>
    </row>
    <row r="596" spans="3:5" ht="15">
      <c r="C596"/>
      <c r="D596"/>
      <c r="E596"/>
    </row>
    <row r="597" spans="3:5" ht="15">
      <c r="C597"/>
      <c r="D597"/>
      <c r="E597"/>
    </row>
    <row r="598" spans="3:5" ht="15">
      <c r="C598"/>
      <c r="D598"/>
      <c r="E598"/>
    </row>
    <row r="599" spans="3:5" ht="15">
      <c r="C599"/>
      <c r="D599"/>
      <c r="E599"/>
    </row>
    <row r="600" spans="3:5" ht="15">
      <c r="C600"/>
      <c r="D600"/>
      <c r="E600"/>
    </row>
    <row r="601" spans="3:5" ht="15">
      <c r="C601"/>
      <c r="D601"/>
      <c r="E601"/>
    </row>
    <row r="602" spans="3:5" ht="15">
      <c r="C602"/>
      <c r="D602"/>
      <c r="E602"/>
    </row>
    <row r="603" spans="3:5" ht="15">
      <c r="C603"/>
      <c r="D603"/>
      <c r="E603"/>
    </row>
    <row r="604" spans="3:5" ht="15">
      <c r="C604"/>
      <c r="D604"/>
      <c r="E604"/>
    </row>
    <row r="605" spans="3:5" ht="15">
      <c r="C605"/>
      <c r="D605"/>
      <c r="E605"/>
    </row>
    <row r="606" spans="3:5" ht="15">
      <c r="C606"/>
      <c r="D606"/>
      <c r="E606"/>
    </row>
    <row r="607" spans="3:5" ht="15">
      <c r="C607"/>
      <c r="D607"/>
      <c r="E607"/>
    </row>
    <row r="608" spans="3:5" ht="15">
      <c r="C608"/>
      <c r="D608"/>
      <c r="E608"/>
    </row>
    <row r="609" spans="3:5" ht="15">
      <c r="C609"/>
      <c r="D609"/>
      <c r="E609"/>
    </row>
    <row r="610" spans="3:5" ht="15">
      <c r="C610"/>
      <c r="D610"/>
      <c r="E610"/>
    </row>
    <row r="611" spans="3:5" ht="15">
      <c r="C611"/>
      <c r="D611"/>
      <c r="E611"/>
    </row>
    <row r="612" spans="3:5" ht="15">
      <c r="C612"/>
      <c r="D612"/>
      <c r="E612"/>
    </row>
    <row r="613" spans="3:5" ht="15">
      <c r="C613"/>
      <c r="D613"/>
      <c r="E613"/>
    </row>
    <row r="614" spans="3:5" ht="15">
      <c r="C614"/>
      <c r="D614"/>
      <c r="E614"/>
    </row>
    <row r="615" spans="3:5" ht="15">
      <c r="C615"/>
      <c r="D615"/>
      <c r="E615"/>
    </row>
    <row r="616" spans="3:5" ht="15">
      <c r="C616"/>
      <c r="D616"/>
      <c r="E616"/>
    </row>
    <row r="617" spans="3:5" ht="15">
      <c r="C617"/>
      <c r="D617"/>
      <c r="E617"/>
    </row>
    <row r="618" spans="3:5" ht="15">
      <c r="C618"/>
      <c r="D618"/>
      <c r="E618"/>
    </row>
    <row r="619" spans="3:5" ht="15">
      <c r="C619"/>
      <c r="D619"/>
      <c r="E619"/>
    </row>
    <row r="620" spans="3:5" ht="15">
      <c r="C620"/>
      <c r="D620"/>
      <c r="E620"/>
    </row>
    <row r="621" spans="3:5" ht="15">
      <c r="C621"/>
      <c r="D621"/>
      <c r="E621"/>
    </row>
    <row r="622" spans="3:5" ht="15">
      <c r="C622"/>
      <c r="D622"/>
      <c r="E622"/>
    </row>
    <row r="623" spans="3:5" ht="15">
      <c r="C623"/>
      <c r="D623"/>
      <c r="E623"/>
    </row>
    <row r="624" spans="3:5" ht="15">
      <c r="C624"/>
      <c r="D624"/>
      <c r="E624"/>
    </row>
    <row r="625" spans="3:5" ht="15">
      <c r="C625"/>
      <c r="D625"/>
      <c r="E625"/>
    </row>
    <row r="626" spans="3:5" ht="15">
      <c r="C626"/>
      <c r="D626"/>
      <c r="E626"/>
    </row>
    <row r="627" spans="3:5" ht="15">
      <c r="C627"/>
      <c r="D627"/>
      <c r="E627"/>
    </row>
    <row r="628" spans="3:5" ht="15">
      <c r="C628"/>
      <c r="D628"/>
      <c r="E628"/>
    </row>
    <row r="629" spans="3:5" ht="15">
      <c r="C629"/>
      <c r="D629"/>
      <c r="E629"/>
    </row>
    <row r="630" spans="3:5" ht="15">
      <c r="C630"/>
      <c r="D630"/>
      <c r="E630"/>
    </row>
    <row r="631" spans="3:5" ht="15">
      <c r="C631"/>
      <c r="D631"/>
      <c r="E631"/>
    </row>
    <row r="632" spans="3:5" ht="15">
      <c r="C632"/>
      <c r="D632"/>
      <c r="E632"/>
    </row>
    <row r="633" spans="3:5" ht="15">
      <c r="C633"/>
      <c r="D633"/>
      <c r="E633"/>
    </row>
    <row r="634" spans="3:5" ht="15">
      <c r="C634"/>
      <c r="D634"/>
      <c r="E634"/>
    </row>
    <row r="635" spans="3:5" ht="15">
      <c r="C635"/>
      <c r="D635"/>
      <c r="E635"/>
    </row>
    <row r="636" spans="3:5" ht="15">
      <c r="C636"/>
      <c r="D636"/>
      <c r="E636"/>
    </row>
    <row r="637" spans="3:5" ht="15">
      <c r="C637"/>
      <c r="D637"/>
      <c r="E637"/>
    </row>
    <row r="638" spans="3:5" ht="15">
      <c r="C638"/>
      <c r="D638"/>
      <c r="E638"/>
    </row>
    <row r="639" spans="3:5" ht="15">
      <c r="C639"/>
      <c r="D639"/>
      <c r="E639"/>
    </row>
    <row r="640" spans="3:5" ht="15">
      <c r="C640"/>
      <c r="D640"/>
      <c r="E640"/>
    </row>
    <row r="641" spans="3:5" ht="15">
      <c r="C641"/>
      <c r="D641"/>
      <c r="E641"/>
    </row>
    <row r="642" spans="3:5" ht="15">
      <c r="C642"/>
      <c r="D642"/>
      <c r="E642"/>
    </row>
    <row r="643" spans="3:5" ht="15">
      <c r="C643"/>
      <c r="D643"/>
      <c r="E643"/>
    </row>
    <row r="644" spans="3:5" ht="15">
      <c r="C644"/>
      <c r="D644"/>
      <c r="E644"/>
    </row>
    <row r="645" spans="3:5" ht="15">
      <c r="C645"/>
      <c r="D645"/>
      <c r="E645"/>
    </row>
    <row r="646" spans="3:5" ht="15">
      <c r="C646"/>
      <c r="D646"/>
      <c r="E646"/>
    </row>
    <row r="647" spans="3:5" ht="15">
      <c r="C647"/>
      <c r="D647"/>
      <c r="E647"/>
    </row>
    <row r="648" spans="3:5" ht="15">
      <c r="C648"/>
      <c r="D648"/>
      <c r="E648"/>
    </row>
    <row r="649" spans="3:5" ht="15">
      <c r="C649"/>
      <c r="D649"/>
      <c r="E649"/>
    </row>
    <row r="650" spans="3:5" ht="15">
      <c r="C650"/>
      <c r="D650"/>
      <c r="E650"/>
    </row>
    <row r="651" spans="3:5" ht="15">
      <c r="C651"/>
      <c r="D651"/>
      <c r="E651"/>
    </row>
    <row r="652" spans="3:5" ht="15">
      <c r="C652"/>
      <c r="D652"/>
      <c r="E652"/>
    </row>
    <row r="653" spans="3:5" ht="15">
      <c r="C653"/>
      <c r="D653"/>
      <c r="E653"/>
    </row>
    <row r="654" spans="3:5" ht="15">
      <c r="C654"/>
      <c r="D654"/>
      <c r="E654"/>
    </row>
    <row r="655" spans="3:5" ht="15">
      <c r="C655"/>
      <c r="D655"/>
      <c r="E655"/>
    </row>
    <row r="656" spans="3:5" ht="15">
      <c r="C656"/>
      <c r="D656"/>
      <c r="E656"/>
    </row>
    <row r="657" spans="3:5" ht="15">
      <c r="C657"/>
      <c r="D657"/>
      <c r="E657"/>
    </row>
    <row r="658" spans="3:5" ht="15">
      <c r="C658"/>
      <c r="D658"/>
      <c r="E658"/>
    </row>
    <row r="659" spans="3:5" ht="15">
      <c r="C659"/>
      <c r="D659"/>
      <c r="E659"/>
    </row>
    <row r="660" spans="3:5" ht="15">
      <c r="C660"/>
      <c r="D660"/>
      <c r="E660"/>
    </row>
    <row r="661" spans="3:5" ht="15">
      <c r="C661"/>
      <c r="D661"/>
      <c r="E661"/>
    </row>
    <row r="662" spans="3:5" ht="15">
      <c r="C662"/>
      <c r="D662"/>
      <c r="E662"/>
    </row>
    <row r="663" spans="3:5" ht="15">
      <c r="C663"/>
      <c r="D663"/>
      <c r="E663"/>
    </row>
    <row r="664" spans="3:5" ht="15">
      <c r="C664"/>
      <c r="D664"/>
      <c r="E664"/>
    </row>
    <row r="665" spans="3:5" ht="15">
      <c r="C665"/>
      <c r="D665"/>
      <c r="E665"/>
    </row>
    <row r="666" spans="3:5" ht="15">
      <c r="C666"/>
      <c r="D666"/>
      <c r="E666"/>
    </row>
    <row r="667" spans="3:5" ht="15">
      <c r="C667"/>
      <c r="D667"/>
      <c r="E667"/>
    </row>
    <row r="668" spans="3:5" ht="15">
      <c r="C668"/>
      <c r="D668"/>
      <c r="E668"/>
    </row>
    <row r="669" spans="3:5" ht="15">
      <c r="C669"/>
      <c r="D669"/>
      <c r="E669"/>
    </row>
    <row r="670" spans="3:5" ht="15">
      <c r="C670"/>
      <c r="D670"/>
      <c r="E670"/>
    </row>
    <row r="671" spans="3:5" ht="15">
      <c r="C671"/>
      <c r="D671"/>
      <c r="E671"/>
    </row>
    <row r="672" spans="3:5" ht="15">
      <c r="C672"/>
      <c r="D672"/>
      <c r="E672"/>
    </row>
    <row r="673" spans="3:5" ht="15">
      <c r="C673"/>
      <c r="D673"/>
      <c r="E673"/>
    </row>
    <row r="674" spans="3:5" ht="15">
      <c r="C674"/>
      <c r="D674"/>
      <c r="E674"/>
    </row>
    <row r="675" spans="3:5" ht="15">
      <c r="C675"/>
      <c r="D675"/>
      <c r="E675"/>
    </row>
    <row r="676" spans="3:5" ht="15">
      <c r="C676"/>
      <c r="D676"/>
      <c r="E676"/>
    </row>
    <row r="677" spans="3:5" ht="15">
      <c r="C677"/>
      <c r="D677"/>
      <c r="E677"/>
    </row>
    <row r="678" spans="3:5" ht="15">
      <c r="C678"/>
      <c r="D678"/>
      <c r="E678"/>
    </row>
    <row r="679" spans="3:5" ht="15">
      <c r="C679"/>
      <c r="D679"/>
      <c r="E679"/>
    </row>
    <row r="680" spans="3:5" ht="15">
      <c r="C680"/>
      <c r="D680"/>
      <c r="E680"/>
    </row>
    <row r="681" spans="3:5" ht="15">
      <c r="C681"/>
      <c r="D681"/>
      <c r="E681"/>
    </row>
    <row r="682" spans="3:5" ht="15">
      <c r="C682"/>
      <c r="D682"/>
      <c r="E682"/>
    </row>
    <row r="683" spans="3:5" ht="15">
      <c r="C683"/>
      <c r="D683"/>
      <c r="E683"/>
    </row>
    <row r="684" spans="3:5" ht="15">
      <c r="C684"/>
      <c r="D684"/>
      <c r="E684"/>
    </row>
    <row r="685" spans="3:5" ht="15">
      <c r="C685"/>
      <c r="D685"/>
      <c r="E685"/>
    </row>
    <row r="686" spans="3:5" ht="15">
      <c r="C686"/>
      <c r="D686"/>
      <c r="E686"/>
    </row>
    <row r="687" spans="3:5" ht="15">
      <c r="C687"/>
      <c r="D687"/>
      <c r="E687"/>
    </row>
    <row r="688" spans="3:5" ht="15">
      <c r="C688"/>
      <c r="D688"/>
      <c r="E688"/>
    </row>
    <row r="689" spans="3:5" ht="15">
      <c r="C689"/>
      <c r="D689"/>
      <c r="E689"/>
    </row>
    <row r="690" spans="3:5" ht="15">
      <c r="C690"/>
      <c r="D690"/>
      <c r="E690"/>
    </row>
    <row r="691" spans="3:5" ht="15">
      <c r="C691"/>
      <c r="D691"/>
      <c r="E691"/>
    </row>
    <row r="692" spans="3:5" ht="15">
      <c r="C692"/>
      <c r="D692"/>
      <c r="E692"/>
    </row>
    <row r="693" spans="3:5" ht="15">
      <c r="C693"/>
      <c r="D693"/>
      <c r="E693"/>
    </row>
    <row r="694" spans="3:5" ht="15">
      <c r="C694"/>
      <c r="D694"/>
      <c r="E694"/>
    </row>
    <row r="695" spans="3:5" ht="15">
      <c r="C695"/>
      <c r="D695"/>
      <c r="E695"/>
    </row>
    <row r="696" spans="3:5" ht="15">
      <c r="C696"/>
      <c r="D696"/>
      <c r="E696"/>
    </row>
    <row r="697" spans="3:5" ht="15">
      <c r="C697"/>
      <c r="D697"/>
      <c r="E697"/>
    </row>
    <row r="698" spans="3:5" ht="15">
      <c r="C698"/>
      <c r="D698"/>
      <c r="E698"/>
    </row>
    <row r="699" spans="3:5" ht="15">
      <c r="C699"/>
      <c r="D699"/>
      <c r="E699"/>
    </row>
    <row r="700" spans="3:5" ht="15">
      <c r="C700"/>
      <c r="D700"/>
      <c r="E700"/>
    </row>
    <row r="701" spans="3:5" ht="15">
      <c r="C701"/>
      <c r="D701"/>
      <c r="E701"/>
    </row>
    <row r="702" spans="3:5" ht="15">
      <c r="C702"/>
      <c r="D702"/>
      <c r="E702"/>
    </row>
    <row r="703" spans="3:5" ht="15">
      <c r="C703"/>
      <c r="D703"/>
      <c r="E703"/>
    </row>
    <row r="704" spans="3:5" ht="15">
      <c r="C704"/>
      <c r="D704"/>
      <c r="E704"/>
    </row>
    <row r="705" spans="3:5" ht="15">
      <c r="C705"/>
      <c r="D705"/>
      <c r="E705"/>
    </row>
    <row r="706" spans="3:5" ht="15">
      <c r="C706"/>
      <c r="D706"/>
      <c r="E706"/>
    </row>
    <row r="707" spans="3:5" ht="15">
      <c r="C707"/>
      <c r="D707"/>
      <c r="E707"/>
    </row>
    <row r="708" spans="3:5" ht="15">
      <c r="C708"/>
      <c r="D708"/>
      <c r="E708"/>
    </row>
    <row r="709" spans="3:5" ht="15">
      <c r="C709"/>
      <c r="D709"/>
      <c r="E709"/>
    </row>
    <row r="710" spans="3:5" ht="15">
      <c r="C710"/>
      <c r="D710"/>
      <c r="E710"/>
    </row>
    <row r="711" spans="3:5" ht="15">
      <c r="C711"/>
      <c r="D711"/>
      <c r="E711"/>
    </row>
    <row r="712" spans="3:5" ht="15">
      <c r="C712"/>
      <c r="D712"/>
      <c r="E712"/>
    </row>
    <row r="713" spans="3:5" ht="15">
      <c r="C713"/>
      <c r="D713"/>
      <c r="E713"/>
    </row>
    <row r="714" spans="3:5" ht="15">
      <c r="C714"/>
      <c r="D714"/>
      <c r="E714"/>
    </row>
    <row r="715" spans="3:5" ht="15">
      <c r="C715"/>
      <c r="D715"/>
      <c r="E715"/>
    </row>
    <row r="716" spans="3:5" ht="15">
      <c r="C716"/>
      <c r="D716"/>
      <c r="E716"/>
    </row>
    <row r="717" spans="3:5" ht="15">
      <c r="C717"/>
      <c r="D717"/>
      <c r="E717"/>
    </row>
    <row r="718" spans="3:5" ht="15">
      <c r="C718"/>
      <c r="D718"/>
      <c r="E718"/>
    </row>
    <row r="719" spans="3:5" ht="15">
      <c r="C719"/>
      <c r="D719"/>
      <c r="E719"/>
    </row>
    <row r="720" spans="3:5" ht="15">
      <c r="C720"/>
      <c r="D720"/>
      <c r="E720"/>
    </row>
    <row r="721" spans="3:5" ht="15">
      <c r="C721"/>
      <c r="D721"/>
      <c r="E721"/>
    </row>
    <row r="722" spans="3:5" ht="15">
      <c r="C722"/>
      <c r="D722"/>
      <c r="E722"/>
    </row>
    <row r="723" spans="3:5" ht="15">
      <c r="C723"/>
      <c r="D723"/>
      <c r="E723"/>
    </row>
    <row r="724" spans="3:5" ht="15">
      <c r="C724"/>
      <c r="D724"/>
      <c r="E724"/>
    </row>
    <row r="725" spans="3:5" ht="15">
      <c r="C725"/>
      <c r="D725"/>
      <c r="E725"/>
    </row>
    <row r="726" spans="3:5" ht="15">
      <c r="C726"/>
      <c r="D726"/>
      <c r="E726"/>
    </row>
    <row r="727" spans="3:5" ht="15">
      <c r="C727"/>
      <c r="D727"/>
      <c r="E727"/>
    </row>
    <row r="728" spans="3:5" ht="15">
      <c r="C728"/>
      <c r="D728"/>
      <c r="E728"/>
    </row>
    <row r="729" spans="3:5" ht="15">
      <c r="C729"/>
      <c r="D729"/>
      <c r="E729"/>
    </row>
    <row r="730" spans="3:5" ht="15">
      <c r="C730"/>
      <c r="D730"/>
      <c r="E730"/>
    </row>
    <row r="731" spans="3:5" ht="15">
      <c r="C731"/>
      <c r="D731"/>
      <c r="E731"/>
    </row>
    <row r="732" spans="3:5" ht="15">
      <c r="C732"/>
      <c r="D732"/>
      <c r="E732"/>
    </row>
    <row r="733" spans="3:5" ht="15">
      <c r="C733"/>
      <c r="D733"/>
      <c r="E733"/>
    </row>
    <row r="734" spans="3:5" ht="15">
      <c r="C734"/>
      <c r="D734"/>
      <c r="E734"/>
    </row>
    <row r="735" spans="3:5" ht="15">
      <c r="C735"/>
      <c r="D735"/>
      <c r="E735"/>
    </row>
    <row r="736" spans="3:5" ht="15">
      <c r="C736"/>
      <c r="D736"/>
      <c r="E736"/>
    </row>
    <row r="737" spans="3:5" ht="15">
      <c r="C737"/>
      <c r="D737"/>
      <c r="E737"/>
    </row>
    <row r="738" spans="3:5" ht="15">
      <c r="C738"/>
      <c r="D738"/>
      <c r="E738"/>
    </row>
    <row r="739" spans="3:5" ht="15">
      <c r="C739"/>
      <c r="D739"/>
      <c r="E739"/>
    </row>
    <row r="740" spans="3:5" ht="15">
      <c r="C740"/>
      <c r="D740"/>
      <c r="E740"/>
    </row>
    <row r="741" spans="3:5" ht="15">
      <c r="C741"/>
      <c r="D741"/>
      <c r="E741"/>
    </row>
    <row r="742" spans="3:5" ht="15">
      <c r="C742"/>
      <c r="D742"/>
      <c r="E742"/>
    </row>
    <row r="743" spans="3:5" ht="15">
      <c r="C743"/>
      <c r="D743"/>
      <c r="E743"/>
    </row>
    <row r="744" spans="3:5" ht="15">
      <c r="C744"/>
      <c r="D744"/>
      <c r="E744"/>
    </row>
    <row r="745" spans="3:5" ht="15">
      <c r="C745"/>
      <c r="D745"/>
      <c r="E745"/>
    </row>
    <row r="746" spans="3:5" ht="15">
      <c r="C746"/>
      <c r="D746"/>
      <c r="E746"/>
    </row>
    <row r="747" spans="3:5" ht="15">
      <c r="C747"/>
      <c r="D747"/>
      <c r="E747"/>
    </row>
    <row r="748" spans="3:5" ht="15">
      <c r="C748"/>
      <c r="D748"/>
      <c r="E748"/>
    </row>
    <row r="749" spans="3:5" ht="15">
      <c r="C749"/>
      <c r="D749"/>
      <c r="E749"/>
    </row>
    <row r="750" spans="3:5" ht="15">
      <c r="C750"/>
      <c r="D750"/>
      <c r="E750"/>
    </row>
    <row r="751" spans="3:5" ht="15">
      <c r="C751"/>
      <c r="D751"/>
      <c r="E751"/>
    </row>
    <row r="752" spans="3:5" ht="15">
      <c r="C752"/>
      <c r="D752"/>
      <c r="E752"/>
    </row>
    <row r="753" spans="3:5" ht="15">
      <c r="C753"/>
      <c r="D753"/>
      <c r="E753"/>
    </row>
    <row r="754" spans="3:5" ht="15">
      <c r="C754"/>
      <c r="D754"/>
      <c r="E754"/>
    </row>
    <row r="755" spans="3:5" ht="15">
      <c r="C755"/>
      <c r="D755"/>
      <c r="E755"/>
    </row>
    <row r="756" spans="3:5" ht="15">
      <c r="C756"/>
      <c r="D756"/>
      <c r="E756"/>
    </row>
    <row r="757" spans="3:5" ht="15">
      <c r="C757"/>
      <c r="D757"/>
      <c r="E757"/>
    </row>
    <row r="758" spans="3:5" ht="15">
      <c r="C758"/>
      <c r="D758"/>
      <c r="E758"/>
    </row>
    <row r="759" spans="3:5" ht="15">
      <c r="C759"/>
      <c r="D759"/>
      <c r="E759"/>
    </row>
    <row r="760" spans="3:5" ht="15">
      <c r="C760"/>
      <c r="D760"/>
      <c r="E760"/>
    </row>
    <row r="761" spans="3:5" ht="15">
      <c r="C761"/>
      <c r="D761"/>
      <c r="E761"/>
    </row>
    <row r="762" spans="3:5" ht="15">
      <c r="C762"/>
      <c r="D762"/>
      <c r="E762"/>
    </row>
    <row r="763" spans="3:5" ht="15">
      <c r="C763"/>
      <c r="D763"/>
      <c r="E763"/>
    </row>
    <row r="764" spans="3:5" ht="15">
      <c r="C764"/>
      <c r="D764"/>
      <c r="E764"/>
    </row>
    <row r="765" spans="3:5" ht="15">
      <c r="C765"/>
      <c r="D765"/>
      <c r="E765"/>
    </row>
    <row r="766" spans="3:5" ht="15">
      <c r="C766"/>
      <c r="D766"/>
      <c r="E766"/>
    </row>
    <row r="767" spans="3:5" ht="15">
      <c r="C767"/>
      <c r="D767"/>
      <c r="E767"/>
    </row>
    <row r="768" spans="3:5" ht="15">
      <c r="C768"/>
      <c r="D768"/>
      <c r="E768"/>
    </row>
    <row r="769" spans="3:5" ht="15">
      <c r="C769"/>
      <c r="D769"/>
      <c r="E769"/>
    </row>
    <row r="770" spans="3:5" ht="15">
      <c r="C770"/>
      <c r="D770"/>
      <c r="E770"/>
    </row>
    <row r="771" spans="3:5" ht="15">
      <c r="C771"/>
      <c r="D771"/>
      <c r="E771"/>
    </row>
    <row r="772" spans="3:5" ht="15">
      <c r="C772"/>
      <c r="D772"/>
      <c r="E772"/>
    </row>
    <row r="773" spans="3:5" ht="15">
      <c r="C773"/>
      <c r="D773"/>
      <c r="E773"/>
    </row>
    <row r="774" spans="3:5" ht="15">
      <c r="C774"/>
      <c r="D774"/>
      <c r="E774"/>
    </row>
    <row r="775" spans="3:5" ht="15">
      <c r="C775"/>
      <c r="D775"/>
      <c r="E775"/>
    </row>
  </sheetData>
  <phoneticPr fontId="10" type="noConversion"/>
  <pageMargins left="0.7" right="0.7" top="0.78740157499999996" bottom="0.78740157499999996"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2F0F-4FCA-4322-AFC2-2A499B569828}">
  <sheetPr>
    <tabColor theme="5"/>
  </sheetPr>
  <dimension ref="B1:BE297"/>
  <sheetViews>
    <sheetView zoomScale="85" zoomScaleNormal="85" workbookViewId="0">
      <selection activeCell="E18" sqref="E18"/>
    </sheetView>
  </sheetViews>
  <sheetFormatPr defaultColWidth="11.42578125" defaultRowHeight="15"/>
  <cols>
    <col min="2" max="2" width="27.5703125" customWidth="1"/>
    <col min="3" max="5" width="15.85546875" customWidth="1"/>
    <col min="6" max="6" width="16.28515625" customWidth="1"/>
    <col min="7" max="40" width="15.85546875" customWidth="1"/>
    <col min="41" max="41" width="2.5703125" customWidth="1"/>
    <col min="42" max="47" width="15.85546875" customWidth="1"/>
    <col min="48" max="49" width="17.140625" bestFit="1" customWidth="1"/>
    <col min="50" max="50" width="15.85546875" bestFit="1" customWidth="1"/>
    <col min="51" max="52" width="16" bestFit="1" customWidth="1"/>
    <col min="53" max="53" width="14.85546875" bestFit="1" customWidth="1"/>
    <col min="54" max="55" width="17.85546875" bestFit="1" customWidth="1"/>
    <col min="56" max="56" width="16.7109375" bestFit="1" customWidth="1"/>
    <col min="258" max="258" width="27.5703125" customWidth="1"/>
    <col min="259" max="296" width="15.85546875" customWidth="1"/>
    <col min="297" max="297" width="2.5703125" customWidth="1"/>
    <col min="298" max="303" width="15.85546875" customWidth="1"/>
    <col min="514" max="514" width="27.5703125" customWidth="1"/>
    <col min="515" max="552" width="15.85546875" customWidth="1"/>
    <col min="553" max="553" width="2.5703125" customWidth="1"/>
    <col min="554" max="559" width="15.85546875" customWidth="1"/>
    <col min="770" max="770" width="27.5703125" customWidth="1"/>
    <col min="771" max="808" width="15.85546875" customWidth="1"/>
    <col min="809" max="809" width="2.5703125" customWidth="1"/>
    <col min="810" max="815" width="15.85546875" customWidth="1"/>
    <col min="1026" max="1026" width="27.5703125" customWidth="1"/>
    <col min="1027" max="1064" width="15.85546875" customWidth="1"/>
    <col min="1065" max="1065" width="2.5703125" customWidth="1"/>
    <col min="1066" max="1071" width="15.85546875" customWidth="1"/>
    <col min="1282" max="1282" width="27.5703125" customWidth="1"/>
    <col min="1283" max="1320" width="15.85546875" customWidth="1"/>
    <col min="1321" max="1321" width="2.5703125" customWidth="1"/>
    <col min="1322" max="1327" width="15.85546875" customWidth="1"/>
    <col min="1538" max="1538" width="27.5703125" customWidth="1"/>
    <col min="1539" max="1576" width="15.85546875" customWidth="1"/>
    <col min="1577" max="1577" width="2.5703125" customWidth="1"/>
    <col min="1578" max="1583" width="15.85546875" customWidth="1"/>
    <col min="1794" max="1794" width="27.5703125" customWidth="1"/>
    <col min="1795" max="1832" width="15.85546875" customWidth="1"/>
    <col min="1833" max="1833" width="2.5703125" customWidth="1"/>
    <col min="1834" max="1839" width="15.85546875" customWidth="1"/>
    <col min="2050" max="2050" width="27.5703125" customWidth="1"/>
    <col min="2051" max="2088" width="15.85546875" customWidth="1"/>
    <col min="2089" max="2089" width="2.5703125" customWidth="1"/>
    <col min="2090" max="2095" width="15.85546875" customWidth="1"/>
    <col min="2306" max="2306" width="27.5703125" customWidth="1"/>
    <col min="2307" max="2344" width="15.85546875" customWidth="1"/>
    <col min="2345" max="2345" width="2.5703125" customWidth="1"/>
    <col min="2346" max="2351" width="15.85546875" customWidth="1"/>
    <col min="2562" max="2562" width="27.5703125" customWidth="1"/>
    <col min="2563" max="2600" width="15.85546875" customWidth="1"/>
    <col min="2601" max="2601" width="2.5703125" customWidth="1"/>
    <col min="2602" max="2607" width="15.85546875" customWidth="1"/>
    <col min="2818" max="2818" width="27.5703125" customWidth="1"/>
    <col min="2819" max="2856" width="15.85546875" customWidth="1"/>
    <col min="2857" max="2857" width="2.5703125" customWidth="1"/>
    <col min="2858" max="2863" width="15.85546875" customWidth="1"/>
    <col min="3074" max="3074" width="27.5703125" customWidth="1"/>
    <col min="3075" max="3112" width="15.85546875" customWidth="1"/>
    <col min="3113" max="3113" width="2.5703125" customWidth="1"/>
    <col min="3114" max="3119" width="15.85546875" customWidth="1"/>
    <col min="3330" max="3330" width="27.5703125" customWidth="1"/>
    <col min="3331" max="3368" width="15.85546875" customWidth="1"/>
    <col min="3369" max="3369" width="2.5703125" customWidth="1"/>
    <col min="3370" max="3375" width="15.85546875" customWidth="1"/>
    <col min="3586" max="3586" width="27.5703125" customWidth="1"/>
    <col min="3587" max="3624" width="15.85546875" customWidth="1"/>
    <col min="3625" max="3625" width="2.5703125" customWidth="1"/>
    <col min="3626" max="3631" width="15.85546875" customWidth="1"/>
    <col min="3842" max="3842" width="27.5703125" customWidth="1"/>
    <col min="3843" max="3880" width="15.85546875" customWidth="1"/>
    <col min="3881" max="3881" width="2.5703125" customWidth="1"/>
    <col min="3882" max="3887" width="15.85546875" customWidth="1"/>
    <col min="4098" max="4098" width="27.5703125" customWidth="1"/>
    <col min="4099" max="4136" width="15.85546875" customWidth="1"/>
    <col min="4137" max="4137" width="2.5703125" customWidth="1"/>
    <col min="4138" max="4143" width="15.85546875" customWidth="1"/>
    <col min="4354" max="4354" width="27.5703125" customWidth="1"/>
    <col min="4355" max="4392" width="15.85546875" customWidth="1"/>
    <col min="4393" max="4393" width="2.5703125" customWidth="1"/>
    <col min="4394" max="4399" width="15.85546875" customWidth="1"/>
    <col min="4610" max="4610" width="27.5703125" customWidth="1"/>
    <col min="4611" max="4648" width="15.85546875" customWidth="1"/>
    <col min="4649" max="4649" width="2.5703125" customWidth="1"/>
    <col min="4650" max="4655" width="15.85546875" customWidth="1"/>
    <col min="4866" max="4866" width="27.5703125" customWidth="1"/>
    <col min="4867" max="4904" width="15.85546875" customWidth="1"/>
    <col min="4905" max="4905" width="2.5703125" customWidth="1"/>
    <col min="4906" max="4911" width="15.85546875" customWidth="1"/>
    <col min="5122" max="5122" width="27.5703125" customWidth="1"/>
    <col min="5123" max="5160" width="15.85546875" customWidth="1"/>
    <col min="5161" max="5161" width="2.5703125" customWidth="1"/>
    <col min="5162" max="5167" width="15.85546875" customWidth="1"/>
    <col min="5378" max="5378" width="27.5703125" customWidth="1"/>
    <col min="5379" max="5416" width="15.85546875" customWidth="1"/>
    <col min="5417" max="5417" width="2.5703125" customWidth="1"/>
    <col min="5418" max="5423" width="15.85546875" customWidth="1"/>
    <col min="5634" max="5634" width="27.5703125" customWidth="1"/>
    <col min="5635" max="5672" width="15.85546875" customWidth="1"/>
    <col min="5673" max="5673" width="2.5703125" customWidth="1"/>
    <col min="5674" max="5679" width="15.85546875" customWidth="1"/>
    <col min="5890" max="5890" width="27.5703125" customWidth="1"/>
    <col min="5891" max="5928" width="15.85546875" customWidth="1"/>
    <col min="5929" max="5929" width="2.5703125" customWidth="1"/>
    <col min="5930" max="5935" width="15.85546875" customWidth="1"/>
    <col min="6146" max="6146" width="27.5703125" customWidth="1"/>
    <col min="6147" max="6184" width="15.85546875" customWidth="1"/>
    <col min="6185" max="6185" width="2.5703125" customWidth="1"/>
    <col min="6186" max="6191" width="15.85546875" customWidth="1"/>
    <col min="6402" max="6402" width="27.5703125" customWidth="1"/>
    <col min="6403" max="6440" width="15.85546875" customWidth="1"/>
    <col min="6441" max="6441" width="2.5703125" customWidth="1"/>
    <col min="6442" max="6447" width="15.85546875" customWidth="1"/>
    <col min="6658" max="6658" width="27.5703125" customWidth="1"/>
    <col min="6659" max="6696" width="15.85546875" customWidth="1"/>
    <col min="6697" max="6697" width="2.5703125" customWidth="1"/>
    <col min="6698" max="6703" width="15.85546875" customWidth="1"/>
    <col min="6914" max="6914" width="27.5703125" customWidth="1"/>
    <col min="6915" max="6952" width="15.85546875" customWidth="1"/>
    <col min="6953" max="6953" width="2.5703125" customWidth="1"/>
    <col min="6954" max="6959" width="15.85546875" customWidth="1"/>
    <col min="7170" max="7170" width="27.5703125" customWidth="1"/>
    <col min="7171" max="7208" width="15.85546875" customWidth="1"/>
    <col min="7209" max="7209" width="2.5703125" customWidth="1"/>
    <col min="7210" max="7215" width="15.85546875" customWidth="1"/>
    <col min="7426" max="7426" width="27.5703125" customWidth="1"/>
    <col min="7427" max="7464" width="15.85546875" customWidth="1"/>
    <col min="7465" max="7465" width="2.5703125" customWidth="1"/>
    <col min="7466" max="7471" width="15.85546875" customWidth="1"/>
    <col min="7682" max="7682" width="27.5703125" customWidth="1"/>
    <col min="7683" max="7720" width="15.85546875" customWidth="1"/>
    <col min="7721" max="7721" width="2.5703125" customWidth="1"/>
    <col min="7722" max="7727" width="15.85546875" customWidth="1"/>
    <col min="7938" max="7938" width="27.5703125" customWidth="1"/>
    <col min="7939" max="7976" width="15.85546875" customWidth="1"/>
    <col min="7977" max="7977" width="2.5703125" customWidth="1"/>
    <col min="7978" max="7983" width="15.85546875" customWidth="1"/>
    <col min="8194" max="8194" width="27.5703125" customWidth="1"/>
    <col min="8195" max="8232" width="15.85546875" customWidth="1"/>
    <col min="8233" max="8233" width="2.5703125" customWidth="1"/>
    <col min="8234" max="8239" width="15.85546875" customWidth="1"/>
    <col min="8450" max="8450" width="27.5703125" customWidth="1"/>
    <col min="8451" max="8488" width="15.85546875" customWidth="1"/>
    <col min="8489" max="8489" width="2.5703125" customWidth="1"/>
    <col min="8490" max="8495" width="15.85546875" customWidth="1"/>
    <col min="8706" max="8706" width="27.5703125" customWidth="1"/>
    <col min="8707" max="8744" width="15.85546875" customWidth="1"/>
    <col min="8745" max="8745" width="2.5703125" customWidth="1"/>
    <col min="8746" max="8751" width="15.85546875" customWidth="1"/>
    <col min="8962" max="8962" width="27.5703125" customWidth="1"/>
    <col min="8963" max="9000" width="15.85546875" customWidth="1"/>
    <col min="9001" max="9001" width="2.5703125" customWidth="1"/>
    <col min="9002" max="9007" width="15.85546875" customWidth="1"/>
    <col min="9218" max="9218" width="27.5703125" customWidth="1"/>
    <col min="9219" max="9256" width="15.85546875" customWidth="1"/>
    <col min="9257" max="9257" width="2.5703125" customWidth="1"/>
    <col min="9258" max="9263" width="15.85546875" customWidth="1"/>
    <col min="9474" max="9474" width="27.5703125" customWidth="1"/>
    <col min="9475" max="9512" width="15.85546875" customWidth="1"/>
    <col min="9513" max="9513" width="2.5703125" customWidth="1"/>
    <col min="9514" max="9519" width="15.85546875" customWidth="1"/>
    <col min="9730" max="9730" width="27.5703125" customWidth="1"/>
    <col min="9731" max="9768" width="15.85546875" customWidth="1"/>
    <col min="9769" max="9769" width="2.5703125" customWidth="1"/>
    <col min="9770" max="9775" width="15.85546875" customWidth="1"/>
    <col min="9986" max="9986" width="27.5703125" customWidth="1"/>
    <col min="9987" max="10024" width="15.85546875" customWidth="1"/>
    <col min="10025" max="10025" width="2.5703125" customWidth="1"/>
    <col min="10026" max="10031" width="15.85546875" customWidth="1"/>
    <col min="10242" max="10242" width="27.5703125" customWidth="1"/>
    <col min="10243" max="10280" width="15.85546875" customWidth="1"/>
    <col min="10281" max="10281" width="2.5703125" customWidth="1"/>
    <col min="10282" max="10287" width="15.85546875" customWidth="1"/>
    <col min="10498" max="10498" width="27.5703125" customWidth="1"/>
    <col min="10499" max="10536" width="15.85546875" customWidth="1"/>
    <col min="10537" max="10537" width="2.5703125" customWidth="1"/>
    <col min="10538" max="10543" width="15.85546875" customWidth="1"/>
    <col min="10754" max="10754" width="27.5703125" customWidth="1"/>
    <col min="10755" max="10792" width="15.85546875" customWidth="1"/>
    <col min="10793" max="10793" width="2.5703125" customWidth="1"/>
    <col min="10794" max="10799" width="15.85546875" customWidth="1"/>
    <col min="11010" max="11010" width="27.5703125" customWidth="1"/>
    <col min="11011" max="11048" width="15.85546875" customWidth="1"/>
    <col min="11049" max="11049" width="2.5703125" customWidth="1"/>
    <col min="11050" max="11055" width="15.85546875" customWidth="1"/>
    <col min="11266" max="11266" width="27.5703125" customWidth="1"/>
    <col min="11267" max="11304" width="15.85546875" customWidth="1"/>
    <col min="11305" max="11305" width="2.5703125" customWidth="1"/>
    <col min="11306" max="11311" width="15.85546875" customWidth="1"/>
    <col min="11522" max="11522" width="27.5703125" customWidth="1"/>
    <col min="11523" max="11560" width="15.85546875" customWidth="1"/>
    <col min="11561" max="11561" width="2.5703125" customWidth="1"/>
    <col min="11562" max="11567" width="15.85546875" customWidth="1"/>
    <col min="11778" max="11778" width="27.5703125" customWidth="1"/>
    <col min="11779" max="11816" width="15.85546875" customWidth="1"/>
    <col min="11817" max="11817" width="2.5703125" customWidth="1"/>
    <col min="11818" max="11823" width="15.85546875" customWidth="1"/>
    <col min="12034" max="12034" width="27.5703125" customWidth="1"/>
    <col min="12035" max="12072" width="15.85546875" customWidth="1"/>
    <col min="12073" max="12073" width="2.5703125" customWidth="1"/>
    <col min="12074" max="12079" width="15.85546875" customWidth="1"/>
    <col min="12290" max="12290" width="27.5703125" customWidth="1"/>
    <col min="12291" max="12328" width="15.85546875" customWidth="1"/>
    <col min="12329" max="12329" width="2.5703125" customWidth="1"/>
    <col min="12330" max="12335" width="15.85546875" customWidth="1"/>
    <col min="12546" max="12546" width="27.5703125" customWidth="1"/>
    <col min="12547" max="12584" width="15.85546875" customWidth="1"/>
    <col min="12585" max="12585" width="2.5703125" customWidth="1"/>
    <col min="12586" max="12591" width="15.85546875" customWidth="1"/>
    <col min="12802" max="12802" width="27.5703125" customWidth="1"/>
    <col min="12803" max="12840" width="15.85546875" customWidth="1"/>
    <col min="12841" max="12841" width="2.5703125" customWidth="1"/>
    <col min="12842" max="12847" width="15.85546875" customWidth="1"/>
    <col min="13058" max="13058" width="27.5703125" customWidth="1"/>
    <col min="13059" max="13096" width="15.85546875" customWidth="1"/>
    <col min="13097" max="13097" width="2.5703125" customWidth="1"/>
    <col min="13098" max="13103" width="15.85546875" customWidth="1"/>
    <col min="13314" max="13314" width="27.5703125" customWidth="1"/>
    <col min="13315" max="13352" width="15.85546875" customWidth="1"/>
    <col min="13353" max="13353" width="2.5703125" customWidth="1"/>
    <col min="13354" max="13359" width="15.85546875" customWidth="1"/>
    <col min="13570" max="13570" width="27.5703125" customWidth="1"/>
    <col min="13571" max="13608" width="15.85546875" customWidth="1"/>
    <col min="13609" max="13609" width="2.5703125" customWidth="1"/>
    <col min="13610" max="13615" width="15.85546875" customWidth="1"/>
    <col min="13826" max="13826" width="27.5703125" customWidth="1"/>
    <col min="13827" max="13864" width="15.85546875" customWidth="1"/>
    <col min="13865" max="13865" width="2.5703125" customWidth="1"/>
    <col min="13866" max="13871" width="15.85546875" customWidth="1"/>
    <col min="14082" max="14082" width="27.5703125" customWidth="1"/>
    <col min="14083" max="14120" width="15.85546875" customWidth="1"/>
    <col min="14121" max="14121" width="2.5703125" customWidth="1"/>
    <col min="14122" max="14127" width="15.85546875" customWidth="1"/>
    <col min="14338" max="14338" width="27.5703125" customWidth="1"/>
    <col min="14339" max="14376" width="15.85546875" customWidth="1"/>
    <col min="14377" max="14377" width="2.5703125" customWidth="1"/>
    <col min="14378" max="14383" width="15.85546875" customWidth="1"/>
    <col min="14594" max="14594" width="27.5703125" customWidth="1"/>
    <col min="14595" max="14632" width="15.85546875" customWidth="1"/>
    <col min="14633" max="14633" width="2.5703125" customWidth="1"/>
    <col min="14634" max="14639" width="15.85546875" customWidth="1"/>
    <col min="14850" max="14850" width="27.5703125" customWidth="1"/>
    <col min="14851" max="14888" width="15.85546875" customWidth="1"/>
    <col min="14889" max="14889" width="2.5703125" customWidth="1"/>
    <col min="14890" max="14895" width="15.85546875" customWidth="1"/>
    <col min="15106" max="15106" width="27.5703125" customWidth="1"/>
    <col min="15107" max="15144" width="15.85546875" customWidth="1"/>
    <col min="15145" max="15145" width="2.5703125" customWidth="1"/>
    <col min="15146" max="15151" width="15.85546875" customWidth="1"/>
    <col min="15362" max="15362" width="27.5703125" customWidth="1"/>
    <col min="15363" max="15400" width="15.85546875" customWidth="1"/>
    <col min="15401" max="15401" width="2.5703125" customWidth="1"/>
    <col min="15402" max="15407" width="15.85546875" customWidth="1"/>
    <col min="15618" max="15618" width="27.5703125" customWidth="1"/>
    <col min="15619" max="15656" width="15.85546875" customWidth="1"/>
    <col min="15657" max="15657" width="2.5703125" customWidth="1"/>
    <col min="15658" max="15663" width="15.85546875" customWidth="1"/>
    <col min="15874" max="15874" width="27.5703125" customWidth="1"/>
    <col min="15875" max="15912" width="15.85546875" customWidth="1"/>
    <col min="15913" max="15913" width="2.5703125" customWidth="1"/>
    <col min="15914" max="15919" width="15.85546875" customWidth="1"/>
    <col min="16130" max="16130" width="27.5703125" customWidth="1"/>
    <col min="16131" max="16168" width="15.85546875" customWidth="1"/>
    <col min="16169" max="16169" width="2.5703125" customWidth="1"/>
    <col min="16170" max="16175" width="15.85546875" customWidth="1"/>
  </cols>
  <sheetData>
    <row r="1" spans="2:57" ht="31.5" customHeight="1">
      <c r="B1" s="2" t="s">
        <v>1354</v>
      </c>
      <c r="C1" s="15" t="s">
        <v>1355</v>
      </c>
      <c r="D1" s="16" t="s">
        <v>1356</v>
      </c>
      <c r="E1" s="15" t="s">
        <v>1357</v>
      </c>
      <c r="F1" s="16" t="s">
        <v>1358</v>
      </c>
      <c r="G1" s="15" t="s">
        <v>1359</v>
      </c>
      <c r="H1" s="16" t="s">
        <v>1360</v>
      </c>
      <c r="I1" s="15" t="s">
        <v>1361</v>
      </c>
      <c r="J1" s="16" t="s">
        <v>1362</v>
      </c>
      <c r="K1" s="15" t="s">
        <v>1363</v>
      </c>
      <c r="L1" s="16" t="s">
        <v>1364</v>
      </c>
      <c r="M1" s="15" t="s">
        <v>1365</v>
      </c>
      <c r="N1" s="16" t="s">
        <v>1366</v>
      </c>
      <c r="O1" s="15" t="s">
        <v>1367</v>
      </c>
      <c r="P1" s="16" t="s">
        <v>1368</v>
      </c>
      <c r="Q1" s="15" t="s">
        <v>1369</v>
      </c>
      <c r="R1" s="16" t="s">
        <v>1370</v>
      </c>
      <c r="S1" s="15" t="s">
        <v>1371</v>
      </c>
      <c r="T1" s="16" t="s">
        <v>1372</v>
      </c>
      <c r="U1" s="15" t="s">
        <v>1373</v>
      </c>
      <c r="V1" s="16" t="s">
        <v>1374</v>
      </c>
      <c r="W1" s="15" t="s">
        <v>1375</v>
      </c>
      <c r="X1" s="16" t="s">
        <v>1376</v>
      </c>
      <c r="Y1" s="15" t="s">
        <v>1377</v>
      </c>
      <c r="Z1" s="16" t="s">
        <v>1378</v>
      </c>
      <c r="AA1" s="15" t="s">
        <v>1379</v>
      </c>
      <c r="AB1" s="16" t="s">
        <v>1380</v>
      </c>
      <c r="AC1" s="15" t="s">
        <v>1381</v>
      </c>
      <c r="AD1" s="16" t="s">
        <v>1382</v>
      </c>
      <c r="AE1" s="15" t="s">
        <v>1383</v>
      </c>
      <c r="AF1" s="16" t="s">
        <v>1384</v>
      </c>
      <c r="AG1" s="15" t="s">
        <v>1385</v>
      </c>
      <c r="AH1" s="16" t="s">
        <v>1386</v>
      </c>
      <c r="AI1" s="15" t="s">
        <v>1387</v>
      </c>
      <c r="AJ1" s="16" t="s">
        <v>1388</v>
      </c>
      <c r="AK1" s="15" t="s">
        <v>1389</v>
      </c>
      <c r="AL1" s="16" t="s">
        <v>1390</v>
      </c>
      <c r="AM1" s="15" t="s">
        <v>1391</v>
      </c>
      <c r="AN1" s="16" t="s">
        <v>1392</v>
      </c>
      <c r="AO1" s="23" t="s">
        <v>1393</v>
      </c>
      <c r="AP1" s="15" t="s">
        <v>1394</v>
      </c>
      <c r="AQ1" s="16" t="s">
        <v>1395</v>
      </c>
      <c r="AR1" s="15" t="s">
        <v>1396</v>
      </c>
      <c r="AS1" s="16" t="s">
        <v>1397</v>
      </c>
      <c r="AT1" s="15" t="s">
        <v>1398</v>
      </c>
      <c r="AU1" s="16" t="s">
        <v>1399</v>
      </c>
      <c r="AV1" s="15" t="s">
        <v>1400</v>
      </c>
      <c r="AW1" s="16" t="s">
        <v>1401</v>
      </c>
      <c r="AX1" s="15" t="s">
        <v>1402</v>
      </c>
      <c r="AY1" s="16" t="s">
        <v>1403</v>
      </c>
      <c r="AZ1" s="15" t="s">
        <v>1404</v>
      </c>
      <c r="BA1" s="16" t="s">
        <v>1405</v>
      </c>
      <c r="BB1" s="15" t="s">
        <v>1406</v>
      </c>
      <c r="BC1" s="16" t="s">
        <v>1407</v>
      </c>
      <c r="BD1" s="15" t="s">
        <v>1408</v>
      </c>
    </row>
    <row r="2" spans="2:57" ht="31.5" customHeight="1">
      <c r="B2" s="2" t="s">
        <v>1409</v>
      </c>
      <c r="C2" s="15" t="s">
        <v>1410</v>
      </c>
      <c r="D2" s="15" t="s">
        <v>1411</v>
      </c>
      <c r="E2" s="15" t="s">
        <v>1412</v>
      </c>
      <c r="F2" s="15" t="s">
        <v>1413</v>
      </c>
      <c r="G2" s="15" t="s">
        <v>1414</v>
      </c>
      <c r="H2" s="15" t="s">
        <v>1415</v>
      </c>
      <c r="I2" s="15" t="s">
        <v>1416</v>
      </c>
      <c r="J2" s="15" t="s">
        <v>1417</v>
      </c>
      <c r="K2" s="15" t="s">
        <v>1418</v>
      </c>
      <c r="L2" s="15" t="s">
        <v>1419</v>
      </c>
      <c r="M2" s="15" t="s">
        <v>1420</v>
      </c>
      <c r="N2" s="15" t="s">
        <v>1421</v>
      </c>
      <c r="O2" s="15" t="s">
        <v>1422</v>
      </c>
      <c r="P2" s="15" t="s">
        <v>1423</v>
      </c>
      <c r="Q2" s="15" t="s">
        <v>1424</v>
      </c>
      <c r="R2" s="15" t="s">
        <v>1425</v>
      </c>
      <c r="S2" s="15" t="s">
        <v>1425</v>
      </c>
      <c r="T2" s="15" t="s">
        <v>1426</v>
      </c>
      <c r="U2" s="15" t="s">
        <v>1427</v>
      </c>
      <c r="V2" s="15" t="s">
        <v>1428</v>
      </c>
      <c r="W2" s="15" t="s">
        <v>1429</v>
      </c>
      <c r="X2" s="15" t="s">
        <v>1430</v>
      </c>
      <c r="Y2" s="15" t="s">
        <v>1431</v>
      </c>
      <c r="Z2" s="15" t="s">
        <v>1425</v>
      </c>
      <c r="AA2" s="15" t="s">
        <v>1426</v>
      </c>
      <c r="AB2" s="15" t="s">
        <v>1427</v>
      </c>
      <c r="AC2" s="15" t="s">
        <v>1428</v>
      </c>
      <c r="AD2" s="15" t="s">
        <v>1429</v>
      </c>
      <c r="AE2" s="15" t="s">
        <v>1428</v>
      </c>
      <c r="AF2" s="15" t="s">
        <v>1429</v>
      </c>
      <c r="AG2" s="15" t="s">
        <v>1415</v>
      </c>
      <c r="AH2" s="15" t="s">
        <v>1432</v>
      </c>
      <c r="AI2" s="15" t="s">
        <v>1433</v>
      </c>
      <c r="AJ2" s="15" t="s">
        <v>1434</v>
      </c>
      <c r="AK2" s="15" t="s">
        <v>1435</v>
      </c>
      <c r="AL2" s="15" t="s">
        <v>1436</v>
      </c>
      <c r="AM2" s="15" t="s">
        <v>1437</v>
      </c>
      <c r="AN2" s="15" t="s">
        <v>1438</v>
      </c>
      <c r="AO2" s="15" t="s">
        <v>1118</v>
      </c>
      <c r="AP2" s="15" t="s">
        <v>1439</v>
      </c>
      <c r="AQ2" s="15" t="s">
        <v>1440</v>
      </c>
      <c r="AR2" s="15" t="s">
        <v>1441</v>
      </c>
      <c r="AS2" s="15" t="s">
        <v>1442</v>
      </c>
      <c r="AT2" s="15" t="s">
        <v>1443</v>
      </c>
      <c r="AU2" s="15" t="s">
        <v>1444</v>
      </c>
      <c r="AV2" s="15" t="s">
        <v>1445</v>
      </c>
      <c r="AW2" s="15" t="s">
        <v>1446</v>
      </c>
      <c r="AX2" s="15" t="s">
        <v>1447</v>
      </c>
      <c r="AY2" s="15" t="s">
        <v>1448</v>
      </c>
      <c r="AZ2" s="15" t="s">
        <v>1449</v>
      </c>
      <c r="BA2" s="15" t="s">
        <v>1450</v>
      </c>
      <c r="BB2" s="15" t="s">
        <v>1451</v>
      </c>
      <c r="BC2" s="15" t="s">
        <v>1452</v>
      </c>
      <c r="BD2" s="15" t="s">
        <v>1453</v>
      </c>
    </row>
    <row r="3" spans="2:57">
      <c r="B3" s="2" t="s">
        <v>232</v>
      </c>
      <c r="C3" s="17" t="s">
        <v>1454</v>
      </c>
      <c r="D3" s="18" t="s">
        <v>1454</v>
      </c>
      <c r="E3" s="17" t="s">
        <v>1454</v>
      </c>
      <c r="F3" s="18" t="s">
        <v>1454</v>
      </c>
      <c r="G3" s="17" t="s">
        <v>1454</v>
      </c>
      <c r="H3" s="18" t="s">
        <v>1454</v>
      </c>
      <c r="I3" s="17" t="s">
        <v>1454</v>
      </c>
      <c r="J3" s="18" t="s">
        <v>1454</v>
      </c>
      <c r="K3" s="17" t="s">
        <v>1455</v>
      </c>
      <c r="L3" s="18" t="s">
        <v>1455</v>
      </c>
      <c r="M3" s="17" t="s">
        <v>1455</v>
      </c>
      <c r="N3" s="18" t="s">
        <v>1455</v>
      </c>
      <c r="O3" s="17" t="s">
        <v>1455</v>
      </c>
      <c r="P3" s="18" t="s">
        <v>1455</v>
      </c>
      <c r="Q3" s="17" t="s">
        <v>1455</v>
      </c>
      <c r="R3" s="18" t="s">
        <v>1456</v>
      </c>
      <c r="S3" s="17" t="s">
        <v>1456</v>
      </c>
      <c r="T3" s="18" t="s">
        <v>1456</v>
      </c>
      <c r="U3" s="17" t="s">
        <v>1456</v>
      </c>
      <c r="V3" s="18" t="s">
        <v>1456</v>
      </c>
      <c r="W3" s="17" t="s">
        <v>1456</v>
      </c>
      <c r="X3" s="18" t="s">
        <v>1456</v>
      </c>
      <c r="Y3" s="17" t="s">
        <v>1456</v>
      </c>
      <c r="Z3" s="18" t="s">
        <v>1456</v>
      </c>
      <c r="AA3" s="17" t="s">
        <v>1456</v>
      </c>
      <c r="AB3" s="18" t="s">
        <v>1456</v>
      </c>
      <c r="AC3" s="17" t="s">
        <v>1456</v>
      </c>
      <c r="AD3" s="18" t="s">
        <v>1456</v>
      </c>
      <c r="AE3" s="17" t="s">
        <v>1456</v>
      </c>
      <c r="AF3" s="18" t="s">
        <v>1456</v>
      </c>
      <c r="AG3" s="17" t="s">
        <v>1454</v>
      </c>
      <c r="AH3" s="18" t="s">
        <v>1456</v>
      </c>
      <c r="AI3" s="17" t="s">
        <v>1456</v>
      </c>
      <c r="AJ3" s="18" t="s">
        <v>1456</v>
      </c>
      <c r="AK3" s="17" t="s">
        <v>1456</v>
      </c>
      <c r="AL3" s="18" t="s">
        <v>1456</v>
      </c>
      <c r="AM3" s="17" t="s">
        <v>1457</v>
      </c>
      <c r="AN3" s="18" t="s">
        <v>1457</v>
      </c>
      <c r="AO3" s="23"/>
      <c r="AP3" s="17" t="s">
        <v>1454</v>
      </c>
      <c r="AQ3" s="18" t="s">
        <v>1454</v>
      </c>
      <c r="AR3" s="17" t="s">
        <v>1455</v>
      </c>
      <c r="AS3" s="18" t="s">
        <v>1455</v>
      </c>
      <c r="AT3" s="17" t="s">
        <v>1456</v>
      </c>
      <c r="AU3" s="18" t="s">
        <v>1456</v>
      </c>
      <c r="AV3" s="17" t="s">
        <v>1454</v>
      </c>
      <c r="AW3" s="18" t="s">
        <v>1454</v>
      </c>
      <c r="AX3" s="17" t="s">
        <v>1454</v>
      </c>
      <c r="AY3" s="18" t="s">
        <v>1455</v>
      </c>
      <c r="AZ3" s="18" t="s">
        <v>1455</v>
      </c>
      <c r="BA3" s="18" t="s">
        <v>1455</v>
      </c>
      <c r="BB3" s="18" t="s">
        <v>1456</v>
      </c>
      <c r="BC3" s="18" t="s">
        <v>1456</v>
      </c>
      <c r="BD3" s="18" t="s">
        <v>1456</v>
      </c>
    </row>
    <row r="4" spans="2:57">
      <c r="B4" s="2" t="s">
        <v>185</v>
      </c>
      <c r="C4" s="17" t="s">
        <v>1458</v>
      </c>
      <c r="D4" s="18" t="s">
        <v>1215</v>
      </c>
      <c r="E4" s="17" t="s">
        <v>1459</v>
      </c>
      <c r="F4" s="18" t="s">
        <v>1460</v>
      </c>
      <c r="G4" s="17" t="s">
        <v>1461</v>
      </c>
      <c r="H4" s="18" t="s">
        <v>1462</v>
      </c>
      <c r="I4" s="17" t="s">
        <v>1463</v>
      </c>
      <c r="J4" s="18" t="s">
        <v>1464</v>
      </c>
      <c r="K4" s="17" t="s">
        <v>1465</v>
      </c>
      <c r="L4" s="18" t="s">
        <v>1459</v>
      </c>
      <c r="M4" s="17" t="s">
        <v>1460</v>
      </c>
      <c r="N4" s="18" t="s">
        <v>1461</v>
      </c>
      <c r="O4" s="17" t="s">
        <v>1462</v>
      </c>
      <c r="P4" s="18" t="s">
        <v>1463</v>
      </c>
      <c r="Q4" s="17" t="s">
        <v>1464</v>
      </c>
      <c r="R4" s="18" t="s">
        <v>1465</v>
      </c>
      <c r="S4" s="17" t="s">
        <v>1465</v>
      </c>
      <c r="T4" s="18" t="s">
        <v>1459</v>
      </c>
      <c r="U4" s="17" t="s">
        <v>1460</v>
      </c>
      <c r="V4" s="18" t="s">
        <v>1461</v>
      </c>
      <c r="W4" s="17" t="s">
        <v>1462</v>
      </c>
      <c r="X4" s="18" t="s">
        <v>1463</v>
      </c>
      <c r="Y4" s="17" t="s">
        <v>1464</v>
      </c>
      <c r="Z4" s="18" t="s">
        <v>1465</v>
      </c>
      <c r="AA4" s="17" t="s">
        <v>1459</v>
      </c>
      <c r="AB4" s="18" t="s">
        <v>1460</v>
      </c>
      <c r="AC4" s="17" t="s">
        <v>1461</v>
      </c>
      <c r="AD4" s="18" t="s">
        <v>1462</v>
      </c>
      <c r="AE4" s="17" t="s">
        <v>1461</v>
      </c>
      <c r="AF4" s="18" t="s">
        <v>1462</v>
      </c>
      <c r="AG4" s="17" t="s">
        <v>1462</v>
      </c>
      <c r="AH4" s="18" t="s">
        <v>1466</v>
      </c>
      <c r="AI4" s="17" t="s">
        <v>1467</v>
      </c>
      <c r="AJ4" s="18" t="s">
        <v>1468</v>
      </c>
      <c r="AK4" s="17" t="s">
        <v>1469</v>
      </c>
      <c r="AL4" s="18" t="s">
        <v>1470</v>
      </c>
      <c r="AM4" s="17" t="s">
        <v>1468</v>
      </c>
      <c r="AN4" s="18" t="s">
        <v>1469</v>
      </c>
      <c r="AO4" s="23"/>
      <c r="AP4" s="17" t="s">
        <v>1471</v>
      </c>
      <c r="AQ4" s="18" t="s">
        <v>1472</v>
      </c>
      <c r="AR4" s="17" t="s">
        <v>1471</v>
      </c>
      <c r="AS4" s="18" t="s">
        <v>1472</v>
      </c>
      <c r="AT4" s="17" t="s">
        <v>1471</v>
      </c>
      <c r="AU4" s="18" t="s">
        <v>1473</v>
      </c>
      <c r="AV4" s="3" t="s">
        <v>1242</v>
      </c>
      <c r="AW4" s="17" t="s">
        <v>1474</v>
      </c>
      <c r="AX4" s="17" t="s">
        <v>1475</v>
      </c>
      <c r="AY4" s="17" t="s">
        <v>1242</v>
      </c>
      <c r="AZ4" s="17" t="s">
        <v>1474</v>
      </c>
      <c r="BA4" s="17" t="s">
        <v>1475</v>
      </c>
      <c r="BB4" s="17" t="s">
        <v>1242</v>
      </c>
      <c r="BC4" s="17" t="s">
        <v>1474</v>
      </c>
      <c r="BD4" s="17" t="s">
        <v>1475</v>
      </c>
      <c r="BE4" s="17"/>
    </row>
    <row r="5" spans="2:57">
      <c r="B5" s="4" t="s">
        <v>350</v>
      </c>
      <c r="C5" s="19" t="s">
        <v>250</v>
      </c>
      <c r="D5" s="19" t="s">
        <v>250</v>
      </c>
      <c r="E5" s="19" t="s">
        <v>250</v>
      </c>
      <c r="F5" s="19" t="s">
        <v>250</v>
      </c>
      <c r="G5" s="19" t="s">
        <v>250</v>
      </c>
      <c r="H5" s="19" t="s">
        <v>250</v>
      </c>
      <c r="I5" s="19" t="s">
        <v>250</v>
      </c>
      <c r="J5" s="19" t="s">
        <v>250</v>
      </c>
      <c r="K5" s="19" t="s">
        <v>250</v>
      </c>
      <c r="L5" s="19" t="s">
        <v>250</v>
      </c>
      <c r="M5" s="19" t="s">
        <v>250</v>
      </c>
      <c r="N5" s="19" t="s">
        <v>250</v>
      </c>
      <c r="O5" s="19" t="s">
        <v>250</v>
      </c>
      <c r="P5" s="19" t="s">
        <v>250</v>
      </c>
      <c r="Q5" s="19" t="s">
        <v>250</v>
      </c>
      <c r="R5" s="19" t="s">
        <v>250</v>
      </c>
      <c r="S5" s="19" t="s">
        <v>250</v>
      </c>
      <c r="T5" s="19" t="s">
        <v>250</v>
      </c>
      <c r="U5" s="19" t="s">
        <v>250</v>
      </c>
      <c r="V5" s="19" t="s">
        <v>250</v>
      </c>
      <c r="W5" s="19" t="s">
        <v>250</v>
      </c>
      <c r="X5" s="19" t="s">
        <v>250</v>
      </c>
      <c r="Y5" s="19" t="s">
        <v>250</v>
      </c>
      <c r="Z5" s="19" t="s">
        <v>250</v>
      </c>
      <c r="AA5" s="19" t="s">
        <v>250</v>
      </c>
      <c r="AB5" s="19" t="s">
        <v>250</v>
      </c>
      <c r="AC5" s="19" t="s">
        <v>250</v>
      </c>
      <c r="AD5" s="19" t="s">
        <v>250</v>
      </c>
      <c r="AE5" s="19" t="s">
        <v>250</v>
      </c>
      <c r="AF5" s="19" t="s">
        <v>250</v>
      </c>
      <c r="AG5" s="19" t="s">
        <v>250</v>
      </c>
      <c r="AH5" s="19" t="s">
        <v>250</v>
      </c>
      <c r="AI5" s="19" t="s">
        <v>250</v>
      </c>
      <c r="AJ5" s="19" t="s">
        <v>250</v>
      </c>
      <c r="AK5" s="19" t="s">
        <v>250</v>
      </c>
      <c r="AL5" s="19" t="s">
        <v>250</v>
      </c>
      <c r="AM5" s="19" t="s">
        <v>250</v>
      </c>
      <c r="AN5" s="19" t="s">
        <v>250</v>
      </c>
      <c r="AO5" s="23"/>
      <c r="AP5" s="19" t="s">
        <v>250</v>
      </c>
      <c r="AQ5" s="19" t="s">
        <v>250</v>
      </c>
      <c r="AR5" s="19" t="s">
        <v>250</v>
      </c>
      <c r="AS5" s="19" t="s">
        <v>250</v>
      </c>
      <c r="AT5" s="19" t="s">
        <v>250</v>
      </c>
      <c r="AU5" s="19" t="s">
        <v>250</v>
      </c>
    </row>
    <row r="6" spans="2:57">
      <c r="B6" s="4" t="s">
        <v>1476</v>
      </c>
      <c r="C6" s="19">
        <v>1.8</v>
      </c>
      <c r="D6" s="20">
        <v>1.1100000000000001</v>
      </c>
      <c r="E6" s="19">
        <v>1.1100000000000001</v>
      </c>
      <c r="F6" s="20">
        <v>1.1100000000000001</v>
      </c>
      <c r="G6" s="19">
        <v>0.92</v>
      </c>
      <c r="H6" s="20">
        <v>0.63</v>
      </c>
      <c r="I6" s="19">
        <v>0.43</v>
      </c>
      <c r="J6" s="20">
        <v>0.3</v>
      </c>
      <c r="K6" s="19">
        <v>0.78</v>
      </c>
      <c r="L6" s="20">
        <v>0.78</v>
      </c>
      <c r="M6" s="19">
        <v>0.78</v>
      </c>
      <c r="N6" s="20">
        <v>1.23</v>
      </c>
      <c r="O6" s="19">
        <v>0.52</v>
      </c>
      <c r="P6" s="20">
        <v>0.43</v>
      </c>
      <c r="Q6" s="19">
        <v>0.3</v>
      </c>
      <c r="R6" s="20">
        <v>2.6</v>
      </c>
      <c r="S6" s="19">
        <v>2.6</v>
      </c>
      <c r="T6" s="20">
        <v>1.41</v>
      </c>
      <c r="U6" s="19">
        <v>1.17</v>
      </c>
      <c r="V6" s="20">
        <v>2.2999999999999998</v>
      </c>
      <c r="W6" s="19">
        <v>0.59</v>
      </c>
      <c r="X6" s="20">
        <v>0.44</v>
      </c>
      <c r="Y6" s="19">
        <v>0.3</v>
      </c>
      <c r="Z6" s="20">
        <v>2.6</v>
      </c>
      <c r="AA6" s="19">
        <v>0.78</v>
      </c>
      <c r="AB6" s="20">
        <v>2.08</v>
      </c>
      <c r="AC6" s="19">
        <v>0.82</v>
      </c>
      <c r="AD6" s="20">
        <v>0.82</v>
      </c>
      <c r="AE6" s="19">
        <v>0.68</v>
      </c>
      <c r="AF6" s="20">
        <v>0.35</v>
      </c>
      <c r="AG6" s="19">
        <v>0.52</v>
      </c>
      <c r="AH6" s="20">
        <v>1.1399999999999999</v>
      </c>
      <c r="AI6" s="19">
        <v>1.1399999999999999</v>
      </c>
      <c r="AJ6" s="20">
        <v>0.97</v>
      </c>
      <c r="AK6" s="19">
        <v>0.97</v>
      </c>
      <c r="AL6" s="20">
        <v>0.84</v>
      </c>
      <c r="AM6" s="19">
        <v>1.1399999999999999</v>
      </c>
      <c r="AN6" s="20">
        <v>0.68</v>
      </c>
      <c r="AO6" s="21"/>
      <c r="AP6" s="19">
        <v>0.22</v>
      </c>
      <c r="AQ6" s="20">
        <v>0.22</v>
      </c>
      <c r="AR6" s="19">
        <v>0.22</v>
      </c>
      <c r="AS6" s="20">
        <v>0.14000000000000001</v>
      </c>
      <c r="AT6" s="19">
        <v>0.21</v>
      </c>
      <c r="AU6" s="20">
        <v>0.22</v>
      </c>
    </row>
    <row r="7" spans="2:57">
      <c r="B7" s="4" t="s">
        <v>120</v>
      </c>
      <c r="C7" s="19" t="s">
        <v>120</v>
      </c>
      <c r="D7" s="19" t="s">
        <v>120</v>
      </c>
      <c r="E7" s="19" t="s">
        <v>120</v>
      </c>
      <c r="F7" s="19" t="s">
        <v>120</v>
      </c>
      <c r="G7" s="19" t="s">
        <v>120</v>
      </c>
      <c r="H7" s="19" t="s">
        <v>120</v>
      </c>
      <c r="I7" s="19" t="s">
        <v>120</v>
      </c>
      <c r="J7" s="19" t="s">
        <v>120</v>
      </c>
      <c r="K7" s="19" t="s">
        <v>120</v>
      </c>
      <c r="L7" s="19" t="s">
        <v>120</v>
      </c>
      <c r="M7" s="19" t="s">
        <v>120</v>
      </c>
      <c r="N7" s="19" t="s">
        <v>120</v>
      </c>
      <c r="O7" s="19" t="s">
        <v>120</v>
      </c>
      <c r="P7" s="19" t="s">
        <v>120</v>
      </c>
      <c r="Q7" s="19" t="s">
        <v>120</v>
      </c>
      <c r="R7" s="19" t="s">
        <v>120</v>
      </c>
      <c r="S7" s="19" t="s">
        <v>120</v>
      </c>
      <c r="T7" s="19" t="s">
        <v>120</v>
      </c>
      <c r="U7" s="19" t="s">
        <v>120</v>
      </c>
      <c r="V7" s="19" t="s">
        <v>120</v>
      </c>
      <c r="W7" s="19" t="s">
        <v>120</v>
      </c>
      <c r="X7" s="19" t="s">
        <v>120</v>
      </c>
      <c r="Y7" s="19" t="s">
        <v>120</v>
      </c>
      <c r="Z7" s="19" t="s">
        <v>120</v>
      </c>
      <c r="AA7" s="19" t="s">
        <v>120</v>
      </c>
      <c r="AB7" s="19" t="s">
        <v>120</v>
      </c>
      <c r="AC7" s="19" t="s">
        <v>120</v>
      </c>
      <c r="AD7" s="19" t="s">
        <v>120</v>
      </c>
      <c r="AE7" s="19" t="s">
        <v>120</v>
      </c>
      <c r="AF7" s="19" t="s">
        <v>120</v>
      </c>
      <c r="AG7" s="19" t="s">
        <v>120</v>
      </c>
      <c r="AH7" s="19" t="s">
        <v>120</v>
      </c>
      <c r="AI7" s="19" t="s">
        <v>120</v>
      </c>
      <c r="AJ7" s="19" t="s">
        <v>120</v>
      </c>
      <c r="AK7" s="19" t="s">
        <v>120</v>
      </c>
      <c r="AL7" s="19" t="s">
        <v>120</v>
      </c>
      <c r="AM7" s="19" t="s">
        <v>120</v>
      </c>
      <c r="AN7" s="19" t="s">
        <v>120</v>
      </c>
      <c r="AO7" s="21"/>
      <c r="AP7" s="19" t="s">
        <v>120</v>
      </c>
      <c r="AQ7" s="19" t="s">
        <v>120</v>
      </c>
      <c r="AR7" s="19" t="s">
        <v>120</v>
      </c>
      <c r="AS7" s="19" t="s">
        <v>120</v>
      </c>
      <c r="AT7" s="19" t="s">
        <v>120</v>
      </c>
      <c r="AU7" s="19" t="s">
        <v>120</v>
      </c>
    </row>
    <row r="8" spans="2:57">
      <c r="B8" s="4" t="s">
        <v>1476</v>
      </c>
      <c r="C8" s="19">
        <v>1.9</v>
      </c>
      <c r="D8" s="20">
        <v>1.7</v>
      </c>
      <c r="E8" s="19">
        <v>1.7</v>
      </c>
      <c r="F8" s="20">
        <v>0.93</v>
      </c>
      <c r="G8" s="19">
        <v>1.44</v>
      </c>
      <c r="H8" s="20">
        <v>1.21</v>
      </c>
      <c r="I8" s="19">
        <v>0.8</v>
      </c>
      <c r="J8" s="20">
        <v>0.68</v>
      </c>
      <c r="K8" s="19">
        <v>1.7</v>
      </c>
      <c r="L8" s="20">
        <v>1.39</v>
      </c>
      <c r="M8" s="19">
        <v>0.86</v>
      </c>
      <c r="N8" s="20">
        <v>1.44</v>
      </c>
      <c r="O8" s="19">
        <v>0.8</v>
      </c>
      <c r="P8" s="20">
        <v>0.68</v>
      </c>
      <c r="Q8" s="19">
        <v>0.77</v>
      </c>
      <c r="R8" s="20">
        <v>1.9</v>
      </c>
      <c r="S8" s="19">
        <v>1.45</v>
      </c>
      <c r="T8" s="20">
        <v>1.64</v>
      </c>
      <c r="U8" s="19">
        <v>1.44</v>
      </c>
      <c r="V8" s="20">
        <v>1.21</v>
      </c>
      <c r="W8" s="19">
        <v>0.74</v>
      </c>
      <c r="X8" s="20">
        <v>0.8</v>
      </c>
      <c r="Y8" s="19">
        <v>0.66</v>
      </c>
      <c r="Z8" s="20">
        <v>1.45</v>
      </c>
      <c r="AA8" s="19">
        <v>1.45</v>
      </c>
      <c r="AB8" s="20">
        <v>1.21</v>
      </c>
      <c r="AC8" s="19">
        <v>1.3</v>
      </c>
      <c r="AD8" s="20">
        <v>1.46</v>
      </c>
      <c r="AE8" s="19">
        <v>1.1100000000000001</v>
      </c>
      <c r="AF8" s="20">
        <v>0.82</v>
      </c>
      <c r="AG8" s="19">
        <v>0.40239999999999998</v>
      </c>
      <c r="AH8" s="20">
        <v>1.21</v>
      </c>
      <c r="AI8" s="19">
        <v>1.46</v>
      </c>
      <c r="AJ8" s="20">
        <v>0.88</v>
      </c>
      <c r="AK8" s="19">
        <v>0.88</v>
      </c>
      <c r="AL8" s="20">
        <v>0.76</v>
      </c>
      <c r="AM8" s="19">
        <v>0.99</v>
      </c>
      <c r="AN8" s="20">
        <v>0.99</v>
      </c>
      <c r="AO8" s="21"/>
      <c r="AP8" s="19">
        <v>0.5</v>
      </c>
      <c r="AQ8" s="20">
        <v>0.35</v>
      </c>
      <c r="AR8" s="19">
        <v>0.49</v>
      </c>
      <c r="AS8" s="20">
        <v>0.24</v>
      </c>
      <c r="AT8" s="19">
        <v>0.28000000000000003</v>
      </c>
      <c r="AU8" s="20">
        <v>0.35</v>
      </c>
    </row>
    <row r="9" spans="2:57">
      <c r="B9" s="4" t="s">
        <v>252</v>
      </c>
      <c r="C9" s="19" t="s">
        <v>252</v>
      </c>
      <c r="D9" s="20" t="s">
        <v>1477</v>
      </c>
      <c r="E9" s="19" t="s">
        <v>1477</v>
      </c>
      <c r="F9" s="20" t="s">
        <v>1477</v>
      </c>
      <c r="G9" s="19" t="s">
        <v>1477</v>
      </c>
      <c r="H9" s="20" t="s">
        <v>1477</v>
      </c>
      <c r="I9" s="19" t="s">
        <v>1477</v>
      </c>
      <c r="J9" s="20" t="s">
        <v>1477</v>
      </c>
      <c r="K9" s="19" t="s">
        <v>1477</v>
      </c>
      <c r="L9" s="20" t="s">
        <v>1477</v>
      </c>
      <c r="M9" s="19" t="s">
        <v>1477</v>
      </c>
      <c r="N9" s="20" t="s">
        <v>1477</v>
      </c>
      <c r="O9" s="19" t="s">
        <v>1477</v>
      </c>
      <c r="P9" s="20" t="s">
        <v>1477</v>
      </c>
      <c r="Q9" s="19" t="s">
        <v>1477</v>
      </c>
      <c r="R9" s="20" t="s">
        <v>1477</v>
      </c>
      <c r="S9" s="19" t="s">
        <v>1477</v>
      </c>
      <c r="T9" s="20" t="s">
        <v>1477</v>
      </c>
      <c r="U9" s="19" t="s">
        <v>1477</v>
      </c>
      <c r="V9" s="20" t="s">
        <v>1477</v>
      </c>
      <c r="W9" s="19" t="s">
        <v>1477</v>
      </c>
      <c r="X9" s="20" t="s">
        <v>1477</v>
      </c>
      <c r="Y9" s="19" t="s">
        <v>1477</v>
      </c>
      <c r="Z9" s="20" t="s">
        <v>1477</v>
      </c>
      <c r="AA9" s="19" t="s">
        <v>1477</v>
      </c>
      <c r="AB9" s="20" t="s">
        <v>1477</v>
      </c>
      <c r="AC9" s="19" t="s">
        <v>1477</v>
      </c>
      <c r="AD9" s="20" t="s">
        <v>1477</v>
      </c>
      <c r="AE9" s="19" t="s">
        <v>1477</v>
      </c>
      <c r="AF9" s="20" t="s">
        <v>1477</v>
      </c>
      <c r="AG9" s="19" t="s">
        <v>1478</v>
      </c>
      <c r="AH9" s="20" t="s">
        <v>1477</v>
      </c>
      <c r="AI9" s="19" t="s">
        <v>1477</v>
      </c>
      <c r="AJ9" s="20" t="s">
        <v>1477</v>
      </c>
      <c r="AK9" s="19" t="s">
        <v>1477</v>
      </c>
      <c r="AL9" s="20" t="s">
        <v>1477</v>
      </c>
      <c r="AM9" s="19" t="s">
        <v>1477</v>
      </c>
      <c r="AN9" s="20" t="s">
        <v>1477</v>
      </c>
      <c r="AO9" s="21"/>
      <c r="AP9" s="19" t="s">
        <v>1477</v>
      </c>
      <c r="AQ9" s="20" t="s">
        <v>1477</v>
      </c>
      <c r="AR9" s="19" t="s">
        <v>1479</v>
      </c>
      <c r="AS9" s="20" t="s">
        <v>1477</v>
      </c>
      <c r="AT9" s="19" t="s">
        <v>1477</v>
      </c>
      <c r="AU9" s="20" t="s">
        <v>1477</v>
      </c>
    </row>
    <row r="10" spans="2:57">
      <c r="B10" s="4" t="s">
        <v>1476</v>
      </c>
      <c r="C10" s="19">
        <v>1.04</v>
      </c>
      <c r="D10" s="20">
        <v>1.1100000000000001</v>
      </c>
      <c r="E10" s="19">
        <v>1.1100000000000001</v>
      </c>
      <c r="F10" s="20">
        <v>1.01</v>
      </c>
      <c r="G10" s="19">
        <v>0.97</v>
      </c>
      <c r="H10" s="20">
        <v>0.84599999999999997</v>
      </c>
      <c r="I10" s="19">
        <v>0.81</v>
      </c>
      <c r="J10" s="20">
        <v>0.55000000000000004</v>
      </c>
      <c r="K10" s="19">
        <v>0.91</v>
      </c>
      <c r="L10" s="20">
        <v>1.6</v>
      </c>
      <c r="M10" s="19">
        <v>1.01</v>
      </c>
      <c r="N10" s="20">
        <v>0.97</v>
      </c>
      <c r="O10" s="19">
        <v>0.97</v>
      </c>
      <c r="P10" s="20">
        <v>0.67</v>
      </c>
      <c r="Q10" s="19">
        <v>0.55000000000000004</v>
      </c>
      <c r="R10" s="20">
        <v>1.04</v>
      </c>
      <c r="S10" s="19">
        <v>1.37</v>
      </c>
      <c r="T10" s="20">
        <v>1.1100000000000001</v>
      </c>
      <c r="U10" s="19">
        <v>1.65</v>
      </c>
      <c r="V10" s="20">
        <v>0.97</v>
      </c>
      <c r="W10" s="19">
        <v>0.97</v>
      </c>
      <c r="X10" s="20">
        <v>0.67</v>
      </c>
      <c r="Y10" s="19">
        <v>0.55000000000000004</v>
      </c>
      <c r="Z10" s="20">
        <v>1.37</v>
      </c>
      <c r="AA10" s="19">
        <v>1.1100000000000001</v>
      </c>
      <c r="AB10" s="20">
        <v>1.55</v>
      </c>
      <c r="AC10" s="19">
        <v>0.84599999999999997</v>
      </c>
      <c r="AD10" s="20">
        <v>0.97</v>
      </c>
      <c r="AE10" s="19">
        <v>0.97</v>
      </c>
      <c r="AF10" s="20">
        <v>0.70579999999999998</v>
      </c>
      <c r="AG10" s="19">
        <v>0.97</v>
      </c>
      <c r="AH10" s="20">
        <v>1.01</v>
      </c>
      <c r="AI10" s="19">
        <v>1.01</v>
      </c>
      <c r="AJ10" s="20">
        <v>1.01</v>
      </c>
      <c r="AK10" s="19">
        <v>0.85</v>
      </c>
      <c r="AL10" s="20">
        <v>0.85</v>
      </c>
      <c r="AM10" s="19">
        <v>1.01</v>
      </c>
      <c r="AN10" s="20">
        <v>1.01</v>
      </c>
      <c r="AO10" s="21"/>
      <c r="AP10" s="19">
        <v>0.34</v>
      </c>
      <c r="AQ10" s="20">
        <v>0.4</v>
      </c>
      <c r="AR10" s="19">
        <v>0.317</v>
      </c>
      <c r="AS10" s="20">
        <v>0.28999999999999998</v>
      </c>
      <c r="AT10" s="19">
        <v>0.34</v>
      </c>
      <c r="AU10" s="20">
        <v>0.34</v>
      </c>
    </row>
    <row r="11" spans="2:57">
      <c r="B11" s="4" t="s">
        <v>1480</v>
      </c>
      <c r="C11" s="19">
        <v>0</v>
      </c>
      <c r="D11" s="20">
        <v>0</v>
      </c>
      <c r="E11" s="19">
        <v>0</v>
      </c>
      <c r="F11" s="20">
        <v>0</v>
      </c>
      <c r="G11" s="19">
        <v>0</v>
      </c>
      <c r="H11" s="20">
        <v>0</v>
      </c>
      <c r="I11" s="19">
        <v>0</v>
      </c>
      <c r="J11" s="20">
        <v>0</v>
      </c>
      <c r="K11" s="19">
        <v>0</v>
      </c>
      <c r="L11" s="20">
        <v>0</v>
      </c>
      <c r="M11" s="19">
        <v>0</v>
      </c>
      <c r="N11" s="20">
        <v>0</v>
      </c>
      <c r="O11" s="19">
        <v>0</v>
      </c>
      <c r="P11" s="20">
        <v>0</v>
      </c>
      <c r="Q11" s="19">
        <v>0</v>
      </c>
      <c r="R11" s="20">
        <v>0</v>
      </c>
      <c r="S11" s="19">
        <v>0</v>
      </c>
      <c r="T11" s="20" t="s">
        <v>1481</v>
      </c>
      <c r="U11" s="19">
        <v>0</v>
      </c>
      <c r="V11" s="20">
        <v>0</v>
      </c>
      <c r="W11" s="19">
        <v>0</v>
      </c>
      <c r="X11" s="20">
        <v>0</v>
      </c>
      <c r="Y11" s="19">
        <v>0</v>
      </c>
      <c r="Z11" s="20">
        <v>0</v>
      </c>
      <c r="AA11" s="19">
        <v>0</v>
      </c>
      <c r="AB11" s="20">
        <v>0</v>
      </c>
      <c r="AC11" s="19">
        <v>0</v>
      </c>
      <c r="AD11" s="20">
        <v>0</v>
      </c>
      <c r="AE11" s="19">
        <v>0</v>
      </c>
      <c r="AF11" s="20">
        <v>0</v>
      </c>
      <c r="AG11" s="19" t="s">
        <v>1482</v>
      </c>
      <c r="AH11" s="20">
        <v>0</v>
      </c>
      <c r="AI11" s="19">
        <v>0</v>
      </c>
      <c r="AJ11" s="20">
        <v>0</v>
      </c>
      <c r="AK11" s="19">
        <v>0</v>
      </c>
      <c r="AL11" s="20">
        <v>0</v>
      </c>
      <c r="AM11" s="19">
        <v>0</v>
      </c>
      <c r="AN11" s="20">
        <v>0</v>
      </c>
      <c r="AO11" s="21"/>
      <c r="AP11" s="19">
        <v>0</v>
      </c>
      <c r="AQ11" s="20">
        <v>0</v>
      </c>
      <c r="AR11" s="19"/>
      <c r="AS11" s="20">
        <v>0</v>
      </c>
      <c r="AT11" s="19">
        <v>0</v>
      </c>
      <c r="AU11" s="20">
        <v>0</v>
      </c>
    </row>
    <row r="12" spans="2:57">
      <c r="B12" s="4" t="s">
        <v>1476</v>
      </c>
      <c r="C12" s="19"/>
      <c r="D12" s="20"/>
      <c r="E12" s="19"/>
      <c r="F12" s="20"/>
      <c r="G12" s="19"/>
      <c r="H12" s="20"/>
      <c r="I12" s="19"/>
      <c r="J12" s="20"/>
      <c r="K12" s="19"/>
      <c r="L12" s="20"/>
      <c r="M12" s="19"/>
      <c r="N12" s="20"/>
      <c r="O12" s="19"/>
      <c r="P12" s="20"/>
      <c r="Q12" s="19"/>
      <c r="R12" s="20"/>
      <c r="S12" s="19"/>
      <c r="T12" s="20">
        <v>0.78</v>
      </c>
      <c r="U12" s="19"/>
      <c r="V12" s="20"/>
      <c r="W12" s="19"/>
      <c r="X12" s="20"/>
      <c r="Y12" s="19"/>
      <c r="Z12" s="20"/>
      <c r="AA12" s="19"/>
      <c r="AB12" s="20"/>
      <c r="AC12" s="19"/>
      <c r="AD12" s="20"/>
      <c r="AE12" s="19"/>
      <c r="AF12" s="20"/>
      <c r="AG12" s="19">
        <v>2.5</v>
      </c>
      <c r="AH12" s="20"/>
      <c r="AI12" s="19"/>
      <c r="AJ12" s="20"/>
      <c r="AK12" s="19"/>
      <c r="AL12" s="20"/>
      <c r="AM12" s="19"/>
      <c r="AN12" s="20"/>
      <c r="AO12" s="21"/>
      <c r="AP12" s="19"/>
      <c r="AQ12" s="20"/>
      <c r="AR12" s="19"/>
      <c r="AS12" s="20"/>
      <c r="AT12" s="19"/>
      <c r="AU12" s="20"/>
    </row>
    <row r="13" spans="2:57" ht="30">
      <c r="B13" s="4" t="s">
        <v>1483</v>
      </c>
      <c r="C13" s="19">
        <v>0</v>
      </c>
      <c r="D13" s="20">
        <v>0</v>
      </c>
      <c r="E13" s="19">
        <v>0</v>
      </c>
      <c r="F13" s="20">
        <v>0</v>
      </c>
      <c r="G13" s="19">
        <v>0</v>
      </c>
      <c r="H13" s="20" t="s">
        <v>1484</v>
      </c>
      <c r="I13" s="19">
        <v>0</v>
      </c>
      <c r="J13" s="20">
        <v>0</v>
      </c>
      <c r="K13" s="19">
        <v>0</v>
      </c>
      <c r="L13" s="20">
        <v>0</v>
      </c>
      <c r="M13" s="19">
        <v>0</v>
      </c>
      <c r="N13" s="20">
        <v>0</v>
      </c>
      <c r="O13" s="19">
        <v>0</v>
      </c>
      <c r="P13" s="20">
        <v>0</v>
      </c>
      <c r="Q13" s="19">
        <v>0</v>
      </c>
      <c r="R13" s="20" t="s">
        <v>1485</v>
      </c>
      <c r="S13" s="19">
        <v>0</v>
      </c>
      <c r="T13" s="20">
        <v>0</v>
      </c>
      <c r="U13" s="19">
        <v>0</v>
      </c>
      <c r="V13" s="20">
        <v>0</v>
      </c>
      <c r="W13" s="19">
        <v>0</v>
      </c>
      <c r="X13" s="20">
        <v>0</v>
      </c>
      <c r="Y13" s="19">
        <v>0</v>
      </c>
      <c r="Z13" s="20">
        <v>0</v>
      </c>
      <c r="AA13" s="19">
        <v>0</v>
      </c>
      <c r="AB13" s="20">
        <v>0</v>
      </c>
      <c r="AC13" s="19">
        <v>0</v>
      </c>
      <c r="AD13" s="20">
        <v>0</v>
      </c>
      <c r="AE13" s="19" t="s">
        <v>1486</v>
      </c>
      <c r="AF13" s="20" t="s">
        <v>1487</v>
      </c>
      <c r="AG13" s="19" t="s">
        <v>1488</v>
      </c>
      <c r="AH13" s="20">
        <v>0</v>
      </c>
      <c r="AI13" s="19">
        <v>0</v>
      </c>
      <c r="AJ13" s="20">
        <v>0</v>
      </c>
      <c r="AK13" s="19">
        <v>0</v>
      </c>
      <c r="AL13" s="20">
        <v>0</v>
      </c>
      <c r="AM13" s="19">
        <v>0</v>
      </c>
      <c r="AN13" s="20">
        <v>0</v>
      </c>
      <c r="AO13" s="21"/>
      <c r="AP13" s="19">
        <v>0</v>
      </c>
      <c r="AQ13" s="20">
        <v>0</v>
      </c>
      <c r="AR13" s="19" t="s">
        <v>1489</v>
      </c>
      <c r="AS13" s="20">
        <v>0</v>
      </c>
      <c r="AT13" s="19">
        <v>0</v>
      </c>
      <c r="AU13" s="20">
        <v>0</v>
      </c>
    </row>
    <row r="14" spans="2:57">
      <c r="B14" s="4" t="s">
        <v>1476</v>
      </c>
      <c r="C14" s="19"/>
      <c r="D14" s="20"/>
      <c r="E14" s="19"/>
      <c r="F14" s="20"/>
      <c r="G14" s="19"/>
      <c r="H14" s="20">
        <v>1</v>
      </c>
      <c r="I14" s="19"/>
      <c r="J14" s="20"/>
      <c r="K14" s="19"/>
      <c r="L14" s="20"/>
      <c r="M14" s="19"/>
      <c r="N14" s="20"/>
      <c r="O14" s="19"/>
      <c r="P14" s="20"/>
      <c r="Q14" s="19"/>
      <c r="R14" s="20">
        <v>1.85</v>
      </c>
      <c r="S14" s="19"/>
      <c r="T14" s="20"/>
      <c r="U14" s="19"/>
      <c r="V14" s="20"/>
      <c r="W14" s="19"/>
      <c r="X14" s="20"/>
      <c r="Y14" s="19"/>
      <c r="Z14" s="20"/>
      <c r="AA14" s="19"/>
      <c r="AB14" s="20"/>
      <c r="AC14" s="19"/>
      <c r="AD14" s="20"/>
      <c r="AE14" s="19">
        <v>0.95</v>
      </c>
      <c r="AF14" s="20">
        <v>0.82</v>
      </c>
      <c r="AG14" s="19">
        <v>2.5</v>
      </c>
      <c r="AH14" s="20"/>
      <c r="AI14" s="19"/>
      <c r="AJ14" s="20"/>
      <c r="AK14" s="19"/>
      <c r="AL14" s="20"/>
      <c r="AM14" s="19"/>
      <c r="AN14" s="20"/>
      <c r="AO14" s="21"/>
      <c r="AP14" s="19"/>
      <c r="AQ14" s="20"/>
      <c r="AR14" s="19">
        <v>0.32</v>
      </c>
      <c r="AS14" s="20"/>
      <c r="AT14" s="19"/>
      <c r="AU14" s="20"/>
    </row>
    <row r="15" spans="2:57" ht="25.5">
      <c r="B15" s="2" t="s">
        <v>1490</v>
      </c>
      <c r="C15" s="19"/>
      <c r="D15" s="20"/>
      <c r="E15" s="19"/>
      <c r="F15" s="20"/>
      <c r="G15" s="19"/>
      <c r="H15" s="20"/>
      <c r="I15" s="19"/>
      <c r="J15" s="20"/>
      <c r="K15" s="19"/>
      <c r="L15" s="20"/>
      <c r="M15" s="19"/>
      <c r="N15" s="20"/>
      <c r="O15" s="19"/>
      <c r="P15" s="20"/>
      <c r="Q15" s="19"/>
      <c r="R15" s="20"/>
      <c r="S15" s="19"/>
      <c r="T15" s="20"/>
      <c r="U15" s="19"/>
      <c r="V15" s="20"/>
      <c r="W15" s="19"/>
      <c r="X15" s="20"/>
      <c r="Y15" s="19"/>
      <c r="Z15" s="20"/>
      <c r="AA15" s="19"/>
      <c r="AB15" s="20"/>
      <c r="AC15" s="19"/>
      <c r="AD15" s="20"/>
      <c r="AE15" s="19"/>
      <c r="AF15" s="20"/>
      <c r="AG15" s="19"/>
      <c r="AH15" s="20"/>
      <c r="AI15" s="19"/>
      <c r="AJ15" s="20"/>
      <c r="AK15" s="19"/>
      <c r="AL15" s="20"/>
      <c r="AM15" s="19"/>
      <c r="AN15" s="20"/>
      <c r="AO15" s="21"/>
      <c r="AP15" s="19"/>
      <c r="AQ15" s="20"/>
      <c r="AR15" s="19"/>
      <c r="AS15" s="20"/>
      <c r="AT15" s="19"/>
      <c r="AU15" s="20"/>
    </row>
    <row r="16" spans="2:57" ht="30">
      <c r="B16" s="4" t="s">
        <v>1491</v>
      </c>
      <c r="C16" s="19">
        <v>0</v>
      </c>
      <c r="D16" s="20" t="s">
        <v>1492</v>
      </c>
      <c r="E16" s="19">
        <v>0</v>
      </c>
      <c r="F16" s="20" t="s">
        <v>1493</v>
      </c>
      <c r="G16" s="19">
        <v>0</v>
      </c>
      <c r="H16" s="20" t="s">
        <v>1493</v>
      </c>
      <c r="I16" s="19">
        <v>0</v>
      </c>
      <c r="J16" s="20">
        <v>0</v>
      </c>
      <c r="K16" s="19">
        <v>0</v>
      </c>
      <c r="L16" s="20">
        <v>0</v>
      </c>
      <c r="M16" s="19">
        <v>0</v>
      </c>
      <c r="N16" s="20">
        <v>0</v>
      </c>
      <c r="O16" s="19">
        <v>0</v>
      </c>
      <c r="P16" s="20">
        <v>0</v>
      </c>
      <c r="Q16" s="19">
        <v>0</v>
      </c>
      <c r="R16" s="20" t="s">
        <v>1494</v>
      </c>
      <c r="S16" s="19">
        <v>0</v>
      </c>
      <c r="T16" s="20" t="s">
        <v>1495</v>
      </c>
      <c r="U16" s="19">
        <v>0</v>
      </c>
      <c r="V16" s="20">
        <v>0</v>
      </c>
      <c r="W16" s="19">
        <v>0</v>
      </c>
      <c r="X16" s="20">
        <v>0</v>
      </c>
      <c r="Y16" s="19">
        <v>0</v>
      </c>
      <c r="Z16" s="20">
        <v>0</v>
      </c>
      <c r="AA16" s="19">
        <v>0</v>
      </c>
      <c r="AB16" s="20">
        <v>0</v>
      </c>
      <c r="AC16" s="19">
        <v>0</v>
      </c>
      <c r="AD16" s="20">
        <v>0</v>
      </c>
      <c r="AE16" s="19">
        <v>0</v>
      </c>
      <c r="AF16" s="20">
        <v>0</v>
      </c>
      <c r="AG16" s="19">
        <v>0</v>
      </c>
      <c r="AH16" s="20">
        <v>0</v>
      </c>
      <c r="AI16" s="19">
        <v>0</v>
      </c>
      <c r="AJ16" s="20">
        <v>0</v>
      </c>
      <c r="AK16" s="19">
        <v>0</v>
      </c>
      <c r="AL16" s="20">
        <v>0</v>
      </c>
      <c r="AM16" s="19">
        <v>0</v>
      </c>
      <c r="AN16" s="20">
        <v>0</v>
      </c>
      <c r="AO16" s="21"/>
      <c r="AP16" s="19">
        <v>0</v>
      </c>
      <c r="AQ16" s="20">
        <v>0</v>
      </c>
      <c r="AR16" s="19">
        <v>0</v>
      </c>
      <c r="AS16" s="20">
        <v>0</v>
      </c>
      <c r="AT16" s="19">
        <v>0</v>
      </c>
      <c r="AU16" s="20">
        <v>0</v>
      </c>
    </row>
    <row r="17" spans="2:47">
      <c r="B17" s="4" t="s">
        <v>478</v>
      </c>
      <c r="C17" s="19">
        <v>0</v>
      </c>
      <c r="D17" s="20">
        <v>32.700000000000003</v>
      </c>
      <c r="E17" s="19">
        <v>0</v>
      </c>
      <c r="F17" s="20">
        <v>17.899999999999999</v>
      </c>
      <c r="G17" s="19">
        <v>0</v>
      </c>
      <c r="H17" s="20">
        <v>74</v>
      </c>
      <c r="I17" s="19">
        <v>0</v>
      </c>
      <c r="J17" s="20">
        <v>0</v>
      </c>
      <c r="K17" s="19">
        <v>0</v>
      </c>
      <c r="L17" s="20">
        <v>0</v>
      </c>
      <c r="M17" s="19">
        <v>0</v>
      </c>
      <c r="N17" s="20">
        <v>0</v>
      </c>
      <c r="O17" s="19">
        <v>0</v>
      </c>
      <c r="P17" s="20">
        <v>0</v>
      </c>
      <c r="Q17" s="19">
        <v>0</v>
      </c>
      <c r="R17" s="20">
        <v>48.97</v>
      </c>
      <c r="S17" s="19">
        <v>0</v>
      </c>
      <c r="T17" s="20">
        <v>31.1</v>
      </c>
      <c r="U17" s="19">
        <v>0</v>
      </c>
      <c r="V17" s="20">
        <v>0</v>
      </c>
      <c r="W17" s="19">
        <v>0</v>
      </c>
      <c r="X17" s="20">
        <v>0</v>
      </c>
      <c r="Y17" s="19">
        <v>0</v>
      </c>
      <c r="Z17" s="20">
        <v>0</v>
      </c>
      <c r="AA17" s="19">
        <v>0</v>
      </c>
      <c r="AB17" s="20">
        <v>0</v>
      </c>
      <c r="AC17" s="19">
        <v>0</v>
      </c>
      <c r="AD17" s="20">
        <v>0</v>
      </c>
      <c r="AE17" s="19">
        <v>0</v>
      </c>
      <c r="AF17" s="20">
        <v>0</v>
      </c>
      <c r="AG17" s="19">
        <v>0</v>
      </c>
      <c r="AH17" s="20">
        <v>0</v>
      </c>
      <c r="AI17" s="19">
        <v>0</v>
      </c>
      <c r="AJ17" s="20">
        <v>0</v>
      </c>
      <c r="AK17" s="19">
        <v>0</v>
      </c>
      <c r="AL17" s="20">
        <v>0</v>
      </c>
      <c r="AM17" s="19">
        <v>0</v>
      </c>
      <c r="AN17" s="20">
        <v>0</v>
      </c>
      <c r="AO17" s="21"/>
      <c r="AP17" s="19">
        <v>0</v>
      </c>
      <c r="AQ17" s="20">
        <v>0</v>
      </c>
      <c r="AR17" s="19">
        <v>0</v>
      </c>
      <c r="AS17" s="20">
        <v>0</v>
      </c>
      <c r="AT17" s="19">
        <v>0</v>
      </c>
      <c r="AU17" s="20">
        <v>0</v>
      </c>
    </row>
    <row r="18" spans="2:47">
      <c r="B18" s="2" t="s">
        <v>1496</v>
      </c>
      <c r="C18" s="19"/>
      <c r="D18" s="20"/>
      <c r="E18" s="19"/>
      <c r="F18" s="20"/>
      <c r="G18" s="19"/>
      <c r="H18" s="20"/>
      <c r="I18" s="19"/>
      <c r="J18" s="20"/>
      <c r="K18" s="19"/>
      <c r="L18" s="20"/>
      <c r="M18" s="19"/>
      <c r="N18" s="20"/>
      <c r="O18" s="19"/>
      <c r="P18" s="20"/>
      <c r="Q18" s="19"/>
      <c r="R18" s="20"/>
      <c r="S18" s="19"/>
      <c r="T18" s="20"/>
      <c r="U18" s="19"/>
      <c r="V18" s="20"/>
      <c r="W18" s="19"/>
      <c r="X18" s="20"/>
      <c r="Y18" s="19"/>
      <c r="Z18" s="20"/>
      <c r="AA18" s="19"/>
      <c r="AB18" s="20"/>
      <c r="AC18" s="19"/>
      <c r="AD18" s="20"/>
      <c r="AE18" s="19"/>
      <c r="AF18" s="20"/>
      <c r="AG18" s="19"/>
      <c r="AH18" s="20"/>
      <c r="AI18" s="19"/>
      <c r="AJ18" s="20"/>
      <c r="AK18" s="19"/>
      <c r="AL18" s="20"/>
      <c r="AM18" s="19"/>
      <c r="AN18" s="20"/>
      <c r="AO18" s="21"/>
      <c r="AP18" s="19"/>
      <c r="AQ18" s="20"/>
      <c r="AR18" s="19"/>
      <c r="AS18" s="20"/>
      <c r="AT18" s="19"/>
      <c r="AU18" s="20"/>
    </row>
    <row r="19" spans="2:47">
      <c r="B19" s="4" t="s">
        <v>1476</v>
      </c>
      <c r="C19" s="19"/>
      <c r="D19" s="20"/>
      <c r="E19" s="19"/>
      <c r="F19" s="20"/>
      <c r="G19" s="19">
        <v>1.7</v>
      </c>
      <c r="H19" s="20"/>
      <c r="I19" s="19"/>
      <c r="J19" s="20"/>
      <c r="K19" s="19"/>
      <c r="L19" s="20"/>
      <c r="M19" s="19"/>
      <c r="N19" s="20"/>
      <c r="O19" s="19"/>
      <c r="P19" s="20"/>
      <c r="Q19" s="19"/>
      <c r="R19" s="20"/>
      <c r="S19" s="19"/>
      <c r="T19" s="20"/>
      <c r="U19" s="19"/>
      <c r="V19" s="20"/>
      <c r="W19" s="19"/>
      <c r="X19" s="20"/>
      <c r="Y19" s="19"/>
      <c r="Z19" s="20"/>
      <c r="AA19" s="19"/>
      <c r="AB19" s="20"/>
      <c r="AC19" s="19"/>
      <c r="AD19" s="20"/>
      <c r="AE19" s="19">
        <v>1</v>
      </c>
      <c r="AF19" s="20">
        <v>0.7</v>
      </c>
      <c r="AG19" s="19"/>
      <c r="AH19" s="20"/>
      <c r="AI19" s="19"/>
      <c r="AJ19" s="20"/>
      <c r="AK19" s="19"/>
      <c r="AL19" s="20"/>
      <c r="AM19" s="19"/>
      <c r="AN19" s="20"/>
      <c r="AO19" s="21"/>
      <c r="AP19" s="19"/>
      <c r="AQ19" s="20"/>
      <c r="AR19" s="19">
        <v>1.5</v>
      </c>
      <c r="AS19" s="20"/>
      <c r="AT19" s="19"/>
      <c r="AU19" s="20"/>
    </row>
    <row r="20" spans="2:47">
      <c r="B20" s="22" t="s">
        <v>1497</v>
      </c>
      <c r="C20" s="19">
        <v>0</v>
      </c>
      <c r="D20" s="20">
        <v>0</v>
      </c>
      <c r="E20" s="19">
        <v>0</v>
      </c>
      <c r="F20" s="20">
        <v>0</v>
      </c>
      <c r="G20" s="19">
        <v>0</v>
      </c>
      <c r="H20" s="20">
        <v>0</v>
      </c>
      <c r="I20" s="19">
        <v>0</v>
      </c>
      <c r="J20" s="20">
        <v>0</v>
      </c>
      <c r="K20" s="19">
        <v>0</v>
      </c>
      <c r="L20" s="20">
        <v>0</v>
      </c>
      <c r="M20" s="19">
        <v>0</v>
      </c>
      <c r="N20" s="20">
        <v>0</v>
      </c>
      <c r="O20" s="19">
        <v>0</v>
      </c>
      <c r="P20" s="20">
        <v>0</v>
      </c>
      <c r="Q20" s="19">
        <v>0</v>
      </c>
      <c r="R20" s="20">
        <v>0</v>
      </c>
      <c r="S20" s="19">
        <v>0</v>
      </c>
      <c r="T20" s="20">
        <v>0</v>
      </c>
      <c r="U20" s="19">
        <v>0</v>
      </c>
      <c r="V20" s="20">
        <v>0</v>
      </c>
      <c r="W20" s="19">
        <v>0</v>
      </c>
      <c r="X20" s="20">
        <v>0</v>
      </c>
      <c r="Y20" s="19">
        <v>0</v>
      </c>
      <c r="Z20" s="20">
        <v>0</v>
      </c>
      <c r="AA20" s="19">
        <v>0</v>
      </c>
      <c r="AB20" s="20">
        <v>0</v>
      </c>
      <c r="AC20" s="19">
        <v>0</v>
      </c>
      <c r="AD20" s="20">
        <v>0</v>
      </c>
      <c r="AE20" s="19">
        <v>0</v>
      </c>
      <c r="AF20" s="20">
        <v>0</v>
      </c>
      <c r="AG20" s="19">
        <v>0</v>
      </c>
      <c r="AH20" s="20">
        <v>0</v>
      </c>
      <c r="AI20" s="19">
        <v>0</v>
      </c>
      <c r="AJ20" s="20">
        <v>0</v>
      </c>
      <c r="AK20" s="19">
        <v>0</v>
      </c>
      <c r="AL20" s="20">
        <v>0</v>
      </c>
      <c r="AM20" s="19">
        <v>0</v>
      </c>
      <c r="AN20" s="20">
        <v>0</v>
      </c>
      <c r="AO20" s="21"/>
      <c r="AP20" s="19">
        <v>0</v>
      </c>
      <c r="AQ20" s="20">
        <v>0</v>
      </c>
      <c r="AR20" s="19">
        <v>0</v>
      </c>
      <c r="AS20" s="20">
        <v>0</v>
      </c>
      <c r="AT20" s="19">
        <v>0</v>
      </c>
      <c r="AU20" s="20">
        <v>0</v>
      </c>
    </row>
    <row r="21" spans="2:47" ht="25.5" customHeight="1">
      <c r="B21" s="4" t="s">
        <v>1476</v>
      </c>
      <c r="C21" s="19"/>
      <c r="D21" s="20"/>
      <c r="E21" s="19"/>
      <c r="F21" s="20"/>
      <c r="G21" s="19"/>
      <c r="H21" s="20"/>
      <c r="I21" s="19"/>
      <c r="J21" s="20"/>
      <c r="K21" s="19"/>
      <c r="L21" s="20"/>
      <c r="M21" s="19"/>
      <c r="N21" s="20"/>
      <c r="O21" s="19"/>
      <c r="P21" s="20"/>
      <c r="Q21" s="19"/>
      <c r="R21" s="20"/>
      <c r="S21" s="19"/>
      <c r="T21" s="20"/>
      <c r="U21" s="19"/>
      <c r="V21" s="20"/>
      <c r="W21" s="19"/>
      <c r="X21" s="20"/>
      <c r="Y21" s="19"/>
      <c r="Z21" s="20"/>
      <c r="AA21" s="19"/>
      <c r="AB21" s="20"/>
      <c r="AC21" s="19"/>
      <c r="AD21" s="20"/>
      <c r="AE21" s="19"/>
      <c r="AF21" s="20"/>
      <c r="AG21" s="19"/>
      <c r="AH21" s="20"/>
      <c r="AI21" s="19"/>
      <c r="AJ21" s="20"/>
      <c r="AK21" s="19"/>
      <c r="AL21" s="20"/>
      <c r="AM21" s="19"/>
      <c r="AN21" s="20"/>
      <c r="AO21" s="21"/>
      <c r="AP21" s="19"/>
      <c r="AQ21" s="20"/>
      <c r="AR21" s="19"/>
      <c r="AS21" s="20"/>
      <c r="AT21" s="19"/>
      <c r="AU21" s="20"/>
    </row>
    <row r="22" spans="2:47" ht="30">
      <c r="B22" s="4" t="s">
        <v>1480</v>
      </c>
      <c r="C22" s="19" t="s">
        <v>1498</v>
      </c>
      <c r="D22" s="20" t="s">
        <v>1498</v>
      </c>
      <c r="E22" s="19" t="s">
        <v>1498</v>
      </c>
      <c r="F22" s="20" t="s">
        <v>1498</v>
      </c>
      <c r="G22" s="19" t="s">
        <v>1498</v>
      </c>
      <c r="H22" s="20" t="s">
        <v>1498</v>
      </c>
      <c r="I22" s="19" t="s">
        <v>1498</v>
      </c>
      <c r="J22" s="20" t="s">
        <v>1498</v>
      </c>
      <c r="K22" s="19" t="s">
        <v>1498</v>
      </c>
      <c r="L22" s="20" t="s">
        <v>1498</v>
      </c>
      <c r="M22" s="19" t="s">
        <v>1498</v>
      </c>
      <c r="N22" s="20" t="s">
        <v>1498</v>
      </c>
      <c r="O22" s="19" t="s">
        <v>1498</v>
      </c>
      <c r="P22" s="20" t="s">
        <v>1498</v>
      </c>
      <c r="Q22" s="19" t="s">
        <v>1498</v>
      </c>
      <c r="R22" s="20" t="s">
        <v>1498</v>
      </c>
      <c r="S22" s="19" t="s">
        <v>1498</v>
      </c>
      <c r="T22" s="20" t="s">
        <v>1498</v>
      </c>
      <c r="U22" s="19" t="s">
        <v>1498</v>
      </c>
      <c r="V22" s="20" t="s">
        <v>1498</v>
      </c>
      <c r="W22" s="19" t="s">
        <v>1498</v>
      </c>
      <c r="X22" s="20" t="s">
        <v>1498</v>
      </c>
      <c r="Y22" s="19" t="s">
        <v>1498</v>
      </c>
      <c r="Z22" s="20" t="s">
        <v>1498</v>
      </c>
      <c r="AA22" s="19" t="s">
        <v>1498</v>
      </c>
      <c r="AB22" s="20" t="s">
        <v>1498</v>
      </c>
      <c r="AC22" s="19" t="s">
        <v>1498</v>
      </c>
      <c r="AD22" s="20" t="s">
        <v>1498</v>
      </c>
      <c r="AE22" s="19" t="s">
        <v>1498</v>
      </c>
      <c r="AF22" s="20" t="s">
        <v>1498</v>
      </c>
      <c r="AG22" s="19" t="s">
        <v>1498</v>
      </c>
      <c r="AH22" s="20" t="s">
        <v>1498</v>
      </c>
      <c r="AI22" s="19" t="s">
        <v>1498</v>
      </c>
      <c r="AJ22" s="20" t="s">
        <v>1498</v>
      </c>
      <c r="AK22" s="19" t="s">
        <v>1498</v>
      </c>
      <c r="AL22" s="20" t="s">
        <v>1498</v>
      </c>
      <c r="AM22" s="19" t="s">
        <v>1498</v>
      </c>
      <c r="AN22" s="20" t="s">
        <v>1498</v>
      </c>
      <c r="AO22" s="21"/>
      <c r="AP22" s="19" t="s">
        <v>1499</v>
      </c>
      <c r="AQ22" s="20" t="s">
        <v>1499</v>
      </c>
      <c r="AR22" s="19" t="s">
        <v>1499</v>
      </c>
      <c r="AS22" s="20" t="s">
        <v>1499</v>
      </c>
      <c r="AT22" s="19" t="s">
        <v>1499</v>
      </c>
      <c r="AU22" s="20" t="s">
        <v>1499</v>
      </c>
    </row>
    <row r="23" spans="2:47">
      <c r="B23" s="4" t="s">
        <v>1500</v>
      </c>
      <c r="C23" s="19">
        <v>5.2</v>
      </c>
      <c r="D23" s="20">
        <v>2.57</v>
      </c>
      <c r="E23" s="19">
        <v>2.57</v>
      </c>
      <c r="F23" s="20">
        <v>2.57</v>
      </c>
      <c r="G23" s="19">
        <v>2.9</v>
      </c>
      <c r="H23" s="20">
        <v>2.57</v>
      </c>
      <c r="I23" s="19">
        <v>4.3</v>
      </c>
      <c r="J23" s="20">
        <v>2.57</v>
      </c>
      <c r="K23" s="19">
        <v>2.57</v>
      </c>
      <c r="L23" s="20">
        <v>2.8</v>
      </c>
      <c r="M23" s="19">
        <v>2.9</v>
      </c>
      <c r="N23" s="20">
        <v>2.57</v>
      </c>
      <c r="O23" s="19">
        <v>4.3</v>
      </c>
      <c r="P23" s="20">
        <v>2.57</v>
      </c>
      <c r="Q23" s="19">
        <v>2.57</v>
      </c>
      <c r="R23" s="20">
        <v>2.57</v>
      </c>
      <c r="S23" s="19">
        <v>2.57</v>
      </c>
      <c r="T23" s="20">
        <v>4.3</v>
      </c>
      <c r="U23" s="19">
        <v>2.8</v>
      </c>
      <c r="V23" s="20">
        <v>2.57</v>
      </c>
      <c r="W23" s="19">
        <v>2.8</v>
      </c>
      <c r="X23" s="20">
        <v>2.57</v>
      </c>
      <c r="Y23" s="19">
        <v>2.57</v>
      </c>
      <c r="Z23" s="20">
        <v>2.9</v>
      </c>
      <c r="AA23" s="19">
        <v>2.57</v>
      </c>
      <c r="AB23" s="20">
        <v>2.57</v>
      </c>
      <c r="AC23" s="19">
        <v>5.2</v>
      </c>
      <c r="AD23" s="20">
        <v>2.57</v>
      </c>
      <c r="AE23" s="19">
        <v>3.3</v>
      </c>
      <c r="AF23" s="20">
        <v>2.8</v>
      </c>
      <c r="AG23" s="19">
        <v>2.8</v>
      </c>
      <c r="AH23" s="20">
        <v>5.2</v>
      </c>
      <c r="AI23" s="19">
        <v>5.2</v>
      </c>
      <c r="AJ23" s="20">
        <v>5.2</v>
      </c>
      <c r="AK23" s="19">
        <v>2.57</v>
      </c>
      <c r="AL23" s="20">
        <v>2.57</v>
      </c>
      <c r="AM23" s="19">
        <v>4.3</v>
      </c>
      <c r="AN23" s="20">
        <v>2.57</v>
      </c>
      <c r="AO23" s="21"/>
      <c r="AP23" s="19">
        <v>1.6</v>
      </c>
      <c r="AQ23" s="20">
        <v>1.6</v>
      </c>
      <c r="AR23" s="19">
        <v>1.6</v>
      </c>
      <c r="AS23" s="20">
        <v>1.6</v>
      </c>
      <c r="AT23" s="19">
        <v>1.6</v>
      </c>
      <c r="AU23" s="20">
        <v>1.6</v>
      </c>
    </row>
    <row r="24" spans="2:47" ht="30">
      <c r="B24" s="4" t="s">
        <v>1480</v>
      </c>
      <c r="C24" s="19" t="s">
        <v>1501</v>
      </c>
      <c r="D24" s="20" t="s">
        <v>1501</v>
      </c>
      <c r="E24" s="19" t="s">
        <v>1501</v>
      </c>
      <c r="F24" s="20" t="s">
        <v>1501</v>
      </c>
      <c r="G24" s="19" t="s">
        <v>1501</v>
      </c>
      <c r="H24" s="20" t="s">
        <v>1501</v>
      </c>
      <c r="I24" s="19" t="s">
        <v>1501</v>
      </c>
      <c r="J24" s="20" t="s">
        <v>1501</v>
      </c>
      <c r="K24" s="19" t="s">
        <v>1501</v>
      </c>
      <c r="L24" s="20" t="s">
        <v>1501</v>
      </c>
      <c r="M24" s="19" t="s">
        <v>1501</v>
      </c>
      <c r="N24" s="20" t="s">
        <v>1501</v>
      </c>
      <c r="O24" s="19" t="s">
        <v>1501</v>
      </c>
      <c r="P24" s="20" t="s">
        <v>1501</v>
      </c>
      <c r="Q24" s="19" t="s">
        <v>1501</v>
      </c>
      <c r="R24" s="20" t="s">
        <v>1501</v>
      </c>
      <c r="S24" s="19" t="s">
        <v>1501</v>
      </c>
      <c r="T24" s="20" t="s">
        <v>1501</v>
      </c>
      <c r="U24" s="19" t="s">
        <v>1501</v>
      </c>
      <c r="V24" s="20" t="s">
        <v>1501</v>
      </c>
      <c r="W24" s="19" t="s">
        <v>1501</v>
      </c>
      <c r="X24" s="20" t="s">
        <v>1501</v>
      </c>
      <c r="Y24" s="19" t="s">
        <v>1501</v>
      </c>
      <c r="Z24" s="20" t="s">
        <v>1501</v>
      </c>
      <c r="AA24" s="19" t="s">
        <v>1501</v>
      </c>
      <c r="AB24" s="20" t="s">
        <v>1501</v>
      </c>
      <c r="AC24" s="19" t="s">
        <v>1501</v>
      </c>
      <c r="AD24" s="20" t="s">
        <v>1501</v>
      </c>
      <c r="AE24" s="19" t="s">
        <v>1501</v>
      </c>
      <c r="AF24" s="20" t="s">
        <v>1501</v>
      </c>
      <c r="AG24" s="19" t="s">
        <v>1501</v>
      </c>
      <c r="AH24" s="20" t="s">
        <v>1501</v>
      </c>
      <c r="AI24" s="19" t="s">
        <v>1501</v>
      </c>
      <c r="AJ24" s="20" t="s">
        <v>1501</v>
      </c>
      <c r="AK24" s="19" t="s">
        <v>1501</v>
      </c>
      <c r="AL24" s="20" t="s">
        <v>1501</v>
      </c>
      <c r="AM24" s="19" t="s">
        <v>1501</v>
      </c>
      <c r="AN24" s="20" t="s">
        <v>1501</v>
      </c>
      <c r="AO24" s="21"/>
      <c r="AP24" s="19" t="s">
        <v>1502</v>
      </c>
      <c r="AQ24" s="20" t="s">
        <v>1502</v>
      </c>
      <c r="AR24" s="19" t="s">
        <v>1502</v>
      </c>
      <c r="AS24" s="20" t="s">
        <v>1502</v>
      </c>
      <c r="AT24" s="19" t="s">
        <v>1502</v>
      </c>
      <c r="AU24" s="20" t="s">
        <v>1502</v>
      </c>
    </row>
    <row r="25" spans="2:47">
      <c r="B25" s="4" t="s">
        <v>1500</v>
      </c>
      <c r="C25" s="19">
        <v>5.2</v>
      </c>
      <c r="D25" s="20">
        <v>2.57</v>
      </c>
      <c r="E25" s="19">
        <v>2.57</v>
      </c>
      <c r="F25" s="20">
        <v>2.57</v>
      </c>
      <c r="G25" s="19">
        <v>2.9</v>
      </c>
      <c r="H25" s="20">
        <v>2.57</v>
      </c>
      <c r="I25" s="19">
        <v>4.3</v>
      </c>
      <c r="J25" s="20">
        <v>2.57</v>
      </c>
      <c r="K25" s="19">
        <v>2.57</v>
      </c>
      <c r="L25" s="20">
        <v>2.8</v>
      </c>
      <c r="M25" s="19">
        <v>2.9</v>
      </c>
      <c r="N25" s="20">
        <v>2.57</v>
      </c>
      <c r="O25" s="19">
        <v>4.3</v>
      </c>
      <c r="P25" s="20">
        <v>2.57</v>
      </c>
      <c r="Q25" s="19">
        <v>2.57</v>
      </c>
      <c r="R25" s="20">
        <v>2.57</v>
      </c>
      <c r="S25" s="19">
        <v>2.57</v>
      </c>
      <c r="T25" s="20">
        <v>4.3</v>
      </c>
      <c r="U25" s="19">
        <v>2.8</v>
      </c>
      <c r="V25" s="20">
        <v>2.57</v>
      </c>
      <c r="W25" s="19">
        <v>2.8</v>
      </c>
      <c r="X25" s="20">
        <v>2.57</v>
      </c>
      <c r="Y25" s="19">
        <v>2.57</v>
      </c>
      <c r="Z25" s="20">
        <v>2.9</v>
      </c>
      <c r="AA25" s="19">
        <v>2.57</v>
      </c>
      <c r="AB25" s="20">
        <v>2.57</v>
      </c>
      <c r="AC25" s="19">
        <v>5.2</v>
      </c>
      <c r="AD25" s="20">
        <v>2.57</v>
      </c>
      <c r="AE25" s="19">
        <v>3.3</v>
      </c>
      <c r="AF25" s="20">
        <v>2.8</v>
      </c>
      <c r="AG25" s="19">
        <v>2.8</v>
      </c>
      <c r="AH25" s="20">
        <v>5.2</v>
      </c>
      <c r="AI25" s="19">
        <v>5.2</v>
      </c>
      <c r="AJ25" s="20">
        <v>5.2</v>
      </c>
      <c r="AK25" s="19">
        <v>2.57</v>
      </c>
      <c r="AL25" s="20">
        <v>2.57</v>
      </c>
      <c r="AM25" s="19">
        <v>4.3</v>
      </c>
      <c r="AN25" s="20">
        <v>2.57</v>
      </c>
      <c r="AO25" s="21"/>
      <c r="AP25" s="19">
        <v>1.6</v>
      </c>
      <c r="AQ25" s="20">
        <v>1.6</v>
      </c>
      <c r="AR25" s="19">
        <v>1.6</v>
      </c>
      <c r="AS25" s="20">
        <v>1.6</v>
      </c>
      <c r="AT25" s="19">
        <v>1.6</v>
      </c>
      <c r="AU25" s="20">
        <v>1.6</v>
      </c>
    </row>
    <row r="26" spans="2:47" ht="30">
      <c r="B26" s="4" t="s">
        <v>1480</v>
      </c>
      <c r="C26" s="19" t="s">
        <v>1503</v>
      </c>
      <c r="D26" s="20" t="s">
        <v>1503</v>
      </c>
      <c r="E26" s="19" t="s">
        <v>1503</v>
      </c>
      <c r="F26" s="20" t="s">
        <v>1503</v>
      </c>
      <c r="G26" s="19" t="s">
        <v>1503</v>
      </c>
      <c r="H26" s="20" t="s">
        <v>1503</v>
      </c>
      <c r="I26" s="19" t="s">
        <v>1503</v>
      </c>
      <c r="J26" s="20" t="s">
        <v>1503</v>
      </c>
      <c r="K26" s="19" t="s">
        <v>1503</v>
      </c>
      <c r="L26" s="20" t="s">
        <v>1503</v>
      </c>
      <c r="M26" s="19" t="s">
        <v>1503</v>
      </c>
      <c r="N26" s="20" t="s">
        <v>1503</v>
      </c>
      <c r="O26" s="19" t="s">
        <v>1503</v>
      </c>
      <c r="P26" s="20" t="s">
        <v>1503</v>
      </c>
      <c r="Q26" s="19" t="s">
        <v>1503</v>
      </c>
      <c r="R26" s="20" t="s">
        <v>1503</v>
      </c>
      <c r="S26" s="19" t="s">
        <v>1503</v>
      </c>
      <c r="T26" s="20" t="s">
        <v>1503</v>
      </c>
      <c r="U26" s="19" t="s">
        <v>1503</v>
      </c>
      <c r="V26" s="20" t="s">
        <v>1503</v>
      </c>
      <c r="W26" s="19" t="s">
        <v>1503</v>
      </c>
      <c r="X26" s="20" t="s">
        <v>1503</v>
      </c>
      <c r="Y26" s="19" t="s">
        <v>1503</v>
      </c>
      <c r="Z26" s="20" t="s">
        <v>1503</v>
      </c>
      <c r="AA26" s="19" t="s">
        <v>1503</v>
      </c>
      <c r="AB26" s="20" t="s">
        <v>1503</v>
      </c>
      <c r="AC26" s="19" t="s">
        <v>1503</v>
      </c>
      <c r="AD26" s="20" t="s">
        <v>1503</v>
      </c>
      <c r="AE26" s="19" t="s">
        <v>1503</v>
      </c>
      <c r="AF26" s="20" t="s">
        <v>1503</v>
      </c>
      <c r="AG26" s="19" t="s">
        <v>1503</v>
      </c>
      <c r="AH26" s="20" t="s">
        <v>1503</v>
      </c>
      <c r="AI26" s="19" t="s">
        <v>1503</v>
      </c>
      <c r="AJ26" s="20" t="s">
        <v>1503</v>
      </c>
      <c r="AK26" s="19" t="s">
        <v>1503</v>
      </c>
      <c r="AL26" s="20" t="s">
        <v>1503</v>
      </c>
      <c r="AM26" s="19" t="s">
        <v>1503</v>
      </c>
      <c r="AN26" s="20" t="s">
        <v>1503</v>
      </c>
      <c r="AO26" s="21"/>
      <c r="AP26" s="19" t="s">
        <v>1504</v>
      </c>
      <c r="AQ26" s="20" t="s">
        <v>1504</v>
      </c>
      <c r="AR26" s="19" t="s">
        <v>1504</v>
      </c>
      <c r="AS26" s="20" t="s">
        <v>1504</v>
      </c>
      <c r="AT26" s="19" t="s">
        <v>1504</v>
      </c>
      <c r="AU26" s="20" t="s">
        <v>1504</v>
      </c>
    </row>
    <row r="27" spans="2:47">
      <c r="B27" s="4" t="s">
        <v>1500</v>
      </c>
      <c r="C27" s="19">
        <v>5.2</v>
      </c>
      <c r="D27" s="20">
        <v>2.57</v>
      </c>
      <c r="E27" s="19">
        <v>2.57</v>
      </c>
      <c r="F27" s="20">
        <v>2.57</v>
      </c>
      <c r="G27" s="19">
        <v>2.9</v>
      </c>
      <c r="H27" s="20">
        <v>2.57</v>
      </c>
      <c r="I27" s="19">
        <v>4.3</v>
      </c>
      <c r="J27" s="20">
        <v>2.57</v>
      </c>
      <c r="K27" s="19">
        <v>2.57</v>
      </c>
      <c r="L27" s="20">
        <v>2.8</v>
      </c>
      <c r="M27" s="19">
        <v>2.9</v>
      </c>
      <c r="N27" s="20">
        <v>2.57</v>
      </c>
      <c r="O27" s="19">
        <v>4.3</v>
      </c>
      <c r="P27" s="20">
        <v>2.57</v>
      </c>
      <c r="Q27" s="19">
        <v>2.57</v>
      </c>
      <c r="R27" s="20">
        <v>2.57</v>
      </c>
      <c r="S27" s="19">
        <v>2.57</v>
      </c>
      <c r="T27" s="20">
        <v>4.3</v>
      </c>
      <c r="U27" s="19">
        <v>2.8</v>
      </c>
      <c r="V27" s="20">
        <v>2.57</v>
      </c>
      <c r="W27" s="19">
        <v>2.8</v>
      </c>
      <c r="X27" s="20">
        <v>2.57</v>
      </c>
      <c r="Y27" s="19">
        <v>2.57</v>
      </c>
      <c r="Z27" s="20">
        <v>2.9</v>
      </c>
      <c r="AA27" s="19">
        <v>2.57</v>
      </c>
      <c r="AB27" s="20">
        <v>2.57</v>
      </c>
      <c r="AC27" s="19">
        <v>5.2</v>
      </c>
      <c r="AD27" s="20">
        <v>2.57</v>
      </c>
      <c r="AE27" s="19">
        <v>3.3</v>
      </c>
      <c r="AF27" s="20">
        <v>2.8</v>
      </c>
      <c r="AG27" s="19">
        <v>2.8</v>
      </c>
      <c r="AH27" s="20">
        <v>5.2</v>
      </c>
      <c r="AI27" s="19">
        <v>5.2</v>
      </c>
      <c r="AJ27" s="20">
        <v>5.2</v>
      </c>
      <c r="AK27" s="19">
        <v>2.57</v>
      </c>
      <c r="AL27" s="20">
        <v>2.57</v>
      </c>
      <c r="AM27" s="19">
        <v>4.3</v>
      </c>
      <c r="AN27" s="20">
        <v>2.57</v>
      </c>
      <c r="AO27" s="21"/>
      <c r="AP27" s="19">
        <v>1.6</v>
      </c>
      <c r="AQ27" s="20">
        <v>1.6</v>
      </c>
      <c r="AR27" s="19">
        <v>1.6</v>
      </c>
      <c r="AS27" s="20">
        <v>1.6</v>
      </c>
      <c r="AT27" s="19">
        <v>1.6</v>
      </c>
      <c r="AU27" s="20">
        <v>1.6</v>
      </c>
    </row>
    <row r="28" spans="2:47" ht="43.5" customHeight="1">
      <c r="B28" s="209" t="s">
        <v>1505</v>
      </c>
      <c r="C28" s="8"/>
      <c r="D28" s="8"/>
      <c r="E28" s="8"/>
      <c r="F28" s="8"/>
      <c r="G28" s="8"/>
    </row>
    <row r="29" spans="2:47">
      <c r="B29" s="4" t="s">
        <v>1506</v>
      </c>
      <c r="C29" s="4" t="s">
        <v>232</v>
      </c>
      <c r="D29" t="s">
        <v>185</v>
      </c>
      <c r="E29" t="s">
        <v>290</v>
      </c>
      <c r="F29" t="s">
        <v>1283</v>
      </c>
      <c r="G29" t="s">
        <v>1507</v>
      </c>
      <c r="K29" s="27" t="s">
        <v>250</v>
      </c>
      <c r="L29" s="27" t="s">
        <v>120</v>
      </c>
      <c r="M29" s="27" t="s">
        <v>252</v>
      </c>
      <c r="N29" s="27" t="s">
        <v>248</v>
      </c>
    </row>
    <row r="30" spans="2:47" ht="45">
      <c r="B30" s="4" t="s">
        <v>1508</v>
      </c>
      <c r="C30" s="4" t="s">
        <v>1184</v>
      </c>
      <c r="D30" t="s">
        <v>1213</v>
      </c>
      <c r="E30" t="s">
        <v>250</v>
      </c>
      <c r="F30">
        <v>1.8</v>
      </c>
      <c r="G30" t="s">
        <v>56</v>
      </c>
      <c r="H30" t="s">
        <v>1509</v>
      </c>
      <c r="J30" s="24" t="s">
        <v>1510</v>
      </c>
      <c r="K30">
        <v>1.8</v>
      </c>
      <c r="L30">
        <v>1.9</v>
      </c>
      <c r="M30">
        <v>1.04</v>
      </c>
      <c r="N30">
        <v>5.2</v>
      </c>
    </row>
    <row r="31" spans="2:47" ht="45">
      <c r="B31" s="4" t="s">
        <v>1511</v>
      </c>
      <c r="C31" s="4" t="s">
        <v>1184</v>
      </c>
      <c r="D31" t="s">
        <v>1214</v>
      </c>
      <c r="E31" t="s">
        <v>250</v>
      </c>
      <c r="F31">
        <v>1.1100000000000001</v>
      </c>
      <c r="G31" t="s">
        <v>59</v>
      </c>
      <c r="H31" t="s">
        <v>1509</v>
      </c>
      <c r="J31" s="25" t="s">
        <v>1511</v>
      </c>
      <c r="K31">
        <v>1.1100000000000001</v>
      </c>
      <c r="L31">
        <v>1.7</v>
      </c>
      <c r="M31">
        <v>1.1100000000000001</v>
      </c>
      <c r="N31">
        <v>2.57</v>
      </c>
    </row>
    <row r="32" spans="2:47" ht="45">
      <c r="B32" s="4" t="s">
        <v>1512</v>
      </c>
      <c r="C32" s="4" t="s">
        <v>1184</v>
      </c>
      <c r="D32" t="s">
        <v>1217</v>
      </c>
      <c r="E32" t="s">
        <v>250</v>
      </c>
      <c r="F32">
        <v>1.1100000000000001</v>
      </c>
      <c r="G32" t="s">
        <v>1253</v>
      </c>
      <c r="H32" t="s">
        <v>1509</v>
      </c>
      <c r="J32" s="24" t="s">
        <v>1512</v>
      </c>
      <c r="K32">
        <v>1.1100000000000001</v>
      </c>
      <c r="L32">
        <v>1.7</v>
      </c>
      <c r="M32">
        <v>1.1100000000000001</v>
      </c>
      <c r="N32">
        <v>2.57</v>
      </c>
    </row>
    <row r="33" spans="2:14" ht="45">
      <c r="B33" s="4" t="s">
        <v>1513</v>
      </c>
      <c r="C33" s="4" t="s">
        <v>1184</v>
      </c>
      <c r="D33" t="s">
        <v>1219</v>
      </c>
      <c r="E33" t="s">
        <v>250</v>
      </c>
      <c r="F33">
        <v>1.1100000000000001</v>
      </c>
      <c r="G33" t="s">
        <v>1254</v>
      </c>
      <c r="H33" t="s">
        <v>1509</v>
      </c>
      <c r="J33" s="25" t="s">
        <v>1513</v>
      </c>
      <c r="K33">
        <v>1.1100000000000001</v>
      </c>
      <c r="L33">
        <v>0.93</v>
      </c>
      <c r="M33">
        <v>1.01</v>
      </c>
      <c r="N33">
        <v>2.57</v>
      </c>
    </row>
    <row r="34" spans="2:14" ht="45">
      <c r="B34" s="4" t="s">
        <v>1514</v>
      </c>
      <c r="C34" s="4" t="s">
        <v>1184</v>
      </c>
      <c r="D34" t="s">
        <v>1221</v>
      </c>
      <c r="E34" t="s">
        <v>250</v>
      </c>
      <c r="F34">
        <v>0.92</v>
      </c>
      <c r="G34" t="s">
        <v>1255</v>
      </c>
      <c r="H34" t="s">
        <v>1509</v>
      </c>
      <c r="J34" s="24" t="s">
        <v>1514</v>
      </c>
      <c r="K34">
        <v>0.92</v>
      </c>
      <c r="L34">
        <v>1.44</v>
      </c>
      <c r="M34">
        <v>0.97</v>
      </c>
      <c r="N34">
        <v>2.9</v>
      </c>
    </row>
    <row r="35" spans="2:14" ht="45">
      <c r="B35" s="4" t="s">
        <v>1515</v>
      </c>
      <c r="C35" s="4" t="s">
        <v>1184</v>
      </c>
      <c r="D35" t="s">
        <v>1223</v>
      </c>
      <c r="E35" t="s">
        <v>250</v>
      </c>
      <c r="F35">
        <v>0.63</v>
      </c>
      <c r="G35" t="s">
        <v>1256</v>
      </c>
      <c r="H35" t="s">
        <v>1509</v>
      </c>
      <c r="J35" s="25" t="s">
        <v>1515</v>
      </c>
      <c r="K35">
        <v>0.63</v>
      </c>
      <c r="L35">
        <v>1.21</v>
      </c>
      <c r="M35">
        <v>0.84599999999999997</v>
      </c>
      <c r="N35">
        <v>2.57</v>
      </c>
    </row>
    <row r="36" spans="2:14" ht="45">
      <c r="B36" s="4" t="s">
        <v>1516</v>
      </c>
      <c r="C36" s="4" t="s">
        <v>1184</v>
      </c>
      <c r="D36" t="s">
        <v>1243</v>
      </c>
      <c r="E36" t="s">
        <v>250</v>
      </c>
      <c r="F36">
        <v>0.43</v>
      </c>
      <c r="G36" t="s">
        <v>1257</v>
      </c>
      <c r="H36" t="s">
        <v>1509</v>
      </c>
      <c r="J36" s="24" t="s">
        <v>1516</v>
      </c>
      <c r="K36">
        <v>0.43</v>
      </c>
      <c r="L36">
        <v>0.8</v>
      </c>
      <c r="M36">
        <v>0.81</v>
      </c>
      <c r="N36">
        <v>4.3</v>
      </c>
    </row>
    <row r="37" spans="2:14" ht="45">
      <c r="B37" s="4" t="s">
        <v>1517</v>
      </c>
      <c r="C37" s="4" t="s">
        <v>1184</v>
      </c>
      <c r="D37" t="s">
        <v>1245</v>
      </c>
      <c r="E37" t="s">
        <v>250</v>
      </c>
      <c r="F37">
        <v>0.45</v>
      </c>
      <c r="G37" t="s">
        <v>1258</v>
      </c>
      <c r="H37" t="s">
        <v>1518</v>
      </c>
      <c r="J37" s="25" t="s">
        <v>1517</v>
      </c>
      <c r="K37">
        <v>0.3</v>
      </c>
      <c r="L37">
        <v>0.68</v>
      </c>
      <c r="M37">
        <v>0.55000000000000004</v>
      </c>
      <c r="N37">
        <v>2.57</v>
      </c>
    </row>
    <row r="38" spans="2:14" ht="45">
      <c r="B38" s="4" t="s">
        <v>1519</v>
      </c>
      <c r="C38" s="4" t="s">
        <v>1184</v>
      </c>
      <c r="D38" t="s">
        <v>1220</v>
      </c>
      <c r="E38" t="s">
        <v>250</v>
      </c>
      <c r="F38">
        <v>0.3</v>
      </c>
      <c r="G38" t="s">
        <v>1520</v>
      </c>
      <c r="H38" t="s">
        <v>1518</v>
      </c>
      <c r="J38" s="24" t="s">
        <v>1519</v>
      </c>
      <c r="K38">
        <v>0.22</v>
      </c>
      <c r="L38">
        <v>0.5</v>
      </c>
      <c r="M38">
        <v>0.34</v>
      </c>
      <c r="N38">
        <v>1.6</v>
      </c>
    </row>
    <row r="39" spans="2:14" ht="45">
      <c r="B39" s="4" t="s">
        <v>1521</v>
      </c>
      <c r="C39" s="4" t="s">
        <v>1184</v>
      </c>
      <c r="D39" t="s">
        <v>1222</v>
      </c>
      <c r="E39" t="s">
        <v>250</v>
      </c>
      <c r="F39">
        <v>0.27500000000000002</v>
      </c>
      <c r="G39" t="s">
        <v>1522</v>
      </c>
      <c r="H39" t="s">
        <v>1518</v>
      </c>
      <c r="J39" s="25" t="s">
        <v>1521</v>
      </c>
      <c r="K39">
        <v>0.22</v>
      </c>
      <c r="L39">
        <v>0.35</v>
      </c>
      <c r="M39">
        <v>0.4</v>
      </c>
      <c r="N39">
        <v>1.6</v>
      </c>
    </row>
    <row r="40" spans="2:14" ht="45">
      <c r="B40" s="4" t="s">
        <v>1523</v>
      </c>
      <c r="C40" s="4" t="s">
        <v>1184</v>
      </c>
      <c r="D40" t="s">
        <v>1242</v>
      </c>
      <c r="E40" t="s">
        <v>250</v>
      </c>
      <c r="F40">
        <v>0.22</v>
      </c>
      <c r="G40" t="s">
        <v>575</v>
      </c>
      <c r="H40" t="s">
        <v>1524</v>
      </c>
      <c r="J40" s="24" t="s">
        <v>1523</v>
      </c>
      <c r="K40">
        <v>0.22</v>
      </c>
      <c r="L40">
        <v>0.24</v>
      </c>
      <c r="M40">
        <v>0.3</v>
      </c>
      <c r="N40">
        <v>1.45</v>
      </c>
    </row>
    <row r="41" spans="2:14" ht="45">
      <c r="B41" s="4" t="s">
        <v>1525</v>
      </c>
      <c r="C41" s="4" t="s">
        <v>1184</v>
      </c>
      <c r="D41" t="s">
        <v>1244</v>
      </c>
      <c r="E41" t="s">
        <v>250</v>
      </c>
      <c r="F41">
        <v>0.22</v>
      </c>
      <c r="G41" t="s">
        <v>70</v>
      </c>
      <c r="H41" t="s">
        <v>1526</v>
      </c>
      <c r="J41" s="25" t="s">
        <v>1527</v>
      </c>
      <c r="K41">
        <v>0.22</v>
      </c>
      <c r="L41">
        <v>0.24</v>
      </c>
      <c r="M41">
        <v>0.35</v>
      </c>
      <c r="N41">
        <v>1.7</v>
      </c>
    </row>
    <row r="42" spans="2:14" ht="45">
      <c r="B42" s="4" t="s">
        <v>1528</v>
      </c>
      <c r="C42" s="4" t="s">
        <v>1184</v>
      </c>
      <c r="D42" t="s">
        <v>1529</v>
      </c>
      <c r="E42" t="s">
        <v>250</v>
      </c>
      <c r="F42">
        <v>0.22</v>
      </c>
      <c r="G42" t="s">
        <v>1530</v>
      </c>
      <c r="H42" t="s">
        <v>1518</v>
      </c>
      <c r="J42" s="24" t="s">
        <v>1528</v>
      </c>
      <c r="K42">
        <v>0.22</v>
      </c>
      <c r="L42">
        <v>0.24</v>
      </c>
      <c r="M42">
        <v>0.35</v>
      </c>
      <c r="N42">
        <v>1.7000000000000002</v>
      </c>
    </row>
    <row r="43" spans="2:14" ht="45">
      <c r="B43" s="4" t="s">
        <v>1508</v>
      </c>
      <c r="C43" s="4" t="s">
        <v>1184</v>
      </c>
      <c r="D43" t="s">
        <v>1213</v>
      </c>
      <c r="E43" t="s">
        <v>120</v>
      </c>
      <c r="F43">
        <v>1.9</v>
      </c>
      <c r="G43" t="s">
        <v>56</v>
      </c>
      <c r="H43" t="s">
        <v>1509</v>
      </c>
      <c r="J43" s="24" t="s">
        <v>1531</v>
      </c>
      <c r="K43">
        <v>0.78</v>
      </c>
      <c r="L43">
        <v>1.7</v>
      </c>
      <c r="M43">
        <v>0.91</v>
      </c>
      <c r="N43">
        <v>2.57</v>
      </c>
    </row>
    <row r="44" spans="2:14" ht="45">
      <c r="B44" s="4" t="s">
        <v>1511</v>
      </c>
      <c r="C44" s="4" t="s">
        <v>1184</v>
      </c>
      <c r="D44" t="s">
        <v>1214</v>
      </c>
      <c r="E44" t="s">
        <v>120</v>
      </c>
      <c r="F44">
        <v>1.7</v>
      </c>
      <c r="G44" t="s">
        <v>59</v>
      </c>
      <c r="H44" t="s">
        <v>1509</v>
      </c>
      <c r="J44" s="25" t="s">
        <v>1532</v>
      </c>
      <c r="K44">
        <v>0.78</v>
      </c>
      <c r="L44">
        <v>1.39</v>
      </c>
      <c r="M44">
        <v>1.6</v>
      </c>
      <c r="N44">
        <v>2.8</v>
      </c>
    </row>
    <row r="45" spans="2:14" ht="45">
      <c r="B45" s="4" t="s">
        <v>1512</v>
      </c>
      <c r="C45" s="4" t="s">
        <v>1184</v>
      </c>
      <c r="D45" t="s">
        <v>1217</v>
      </c>
      <c r="E45" t="s">
        <v>120</v>
      </c>
      <c r="F45">
        <v>1.7</v>
      </c>
      <c r="G45" t="s">
        <v>1253</v>
      </c>
      <c r="H45" t="s">
        <v>1509</v>
      </c>
      <c r="J45" s="24" t="s">
        <v>1533</v>
      </c>
      <c r="K45">
        <v>0.78</v>
      </c>
      <c r="L45">
        <v>0.86</v>
      </c>
      <c r="M45">
        <v>1.01</v>
      </c>
      <c r="N45">
        <v>2.9</v>
      </c>
    </row>
    <row r="46" spans="2:14" ht="45">
      <c r="B46" s="4" t="s">
        <v>1513</v>
      </c>
      <c r="C46" s="4" t="s">
        <v>1184</v>
      </c>
      <c r="D46" t="s">
        <v>1219</v>
      </c>
      <c r="E46" t="s">
        <v>120</v>
      </c>
      <c r="F46">
        <v>0.93</v>
      </c>
      <c r="G46" t="s">
        <v>1254</v>
      </c>
      <c r="H46" t="s">
        <v>1509</v>
      </c>
      <c r="J46" s="25" t="s">
        <v>1534</v>
      </c>
      <c r="K46">
        <v>1.23</v>
      </c>
      <c r="L46">
        <v>1.44</v>
      </c>
      <c r="M46">
        <v>0.97</v>
      </c>
      <c r="N46">
        <v>2.57</v>
      </c>
    </row>
    <row r="47" spans="2:14" ht="45">
      <c r="B47" s="4" t="s">
        <v>1514</v>
      </c>
      <c r="C47" s="4" t="s">
        <v>1184</v>
      </c>
      <c r="D47" t="s">
        <v>1221</v>
      </c>
      <c r="E47" t="s">
        <v>120</v>
      </c>
      <c r="F47">
        <v>1.44</v>
      </c>
      <c r="G47" t="s">
        <v>1255</v>
      </c>
      <c r="H47" t="s">
        <v>1509</v>
      </c>
      <c r="J47" s="24" t="s">
        <v>1535</v>
      </c>
      <c r="K47">
        <v>0.52</v>
      </c>
      <c r="L47">
        <v>0.8</v>
      </c>
      <c r="M47">
        <v>0.97</v>
      </c>
      <c r="N47">
        <v>4.3</v>
      </c>
    </row>
    <row r="48" spans="2:14" ht="45">
      <c r="B48" s="4" t="s">
        <v>1515</v>
      </c>
      <c r="C48" s="4" t="s">
        <v>1184</v>
      </c>
      <c r="D48" t="s">
        <v>1223</v>
      </c>
      <c r="E48" t="s">
        <v>120</v>
      </c>
      <c r="F48">
        <v>1.21</v>
      </c>
      <c r="G48" t="s">
        <v>1256</v>
      </c>
      <c r="H48" t="s">
        <v>1509</v>
      </c>
      <c r="J48" s="25" t="s">
        <v>1536</v>
      </c>
      <c r="K48">
        <v>0.43</v>
      </c>
      <c r="L48">
        <v>0.68</v>
      </c>
      <c r="M48">
        <v>0.67</v>
      </c>
      <c r="N48">
        <v>2.57</v>
      </c>
    </row>
    <row r="49" spans="2:14" ht="45">
      <c r="B49" s="4" t="s">
        <v>1516</v>
      </c>
      <c r="C49" s="4" t="s">
        <v>1184</v>
      </c>
      <c r="D49" t="s">
        <v>1243</v>
      </c>
      <c r="E49" t="s">
        <v>120</v>
      </c>
      <c r="F49">
        <v>0.8</v>
      </c>
      <c r="G49" t="s">
        <v>1257</v>
      </c>
      <c r="H49" t="s">
        <v>1509</v>
      </c>
      <c r="J49" s="24" t="s">
        <v>1537</v>
      </c>
      <c r="K49">
        <v>0.3</v>
      </c>
      <c r="L49">
        <v>0.77</v>
      </c>
      <c r="M49">
        <v>0.55000000000000004</v>
      </c>
      <c r="N49">
        <v>2.57</v>
      </c>
    </row>
    <row r="50" spans="2:14" ht="45">
      <c r="B50" s="4" t="s">
        <v>1517</v>
      </c>
      <c r="C50" s="4" t="s">
        <v>1184</v>
      </c>
      <c r="D50" t="s">
        <v>1245</v>
      </c>
      <c r="E50" t="s">
        <v>120</v>
      </c>
      <c r="F50">
        <v>0.68</v>
      </c>
      <c r="G50" t="s">
        <v>1258</v>
      </c>
      <c r="H50" t="s">
        <v>1509</v>
      </c>
      <c r="J50" s="25" t="s">
        <v>1538</v>
      </c>
      <c r="K50">
        <v>0.22</v>
      </c>
      <c r="L50">
        <v>0.49</v>
      </c>
      <c r="M50">
        <v>0.32</v>
      </c>
      <c r="N50">
        <v>1.6</v>
      </c>
    </row>
    <row r="51" spans="2:14" ht="45">
      <c r="B51" s="4" t="s">
        <v>1519</v>
      </c>
      <c r="C51" s="4" t="s">
        <v>1184</v>
      </c>
      <c r="D51" t="s">
        <v>1220</v>
      </c>
      <c r="E51" t="s">
        <v>120</v>
      </c>
      <c r="F51">
        <v>0.5</v>
      </c>
      <c r="G51" t="s">
        <v>1520</v>
      </c>
      <c r="H51" t="s">
        <v>1509</v>
      </c>
      <c r="J51" s="24" t="s">
        <v>1539</v>
      </c>
      <c r="K51">
        <v>0.14000000000000001</v>
      </c>
      <c r="L51">
        <v>0.24</v>
      </c>
      <c r="M51">
        <v>0.28999999999999998</v>
      </c>
      <c r="N51">
        <v>1.6</v>
      </c>
    </row>
    <row r="52" spans="2:14" ht="45">
      <c r="B52" s="4" t="s">
        <v>1521</v>
      </c>
      <c r="C52" s="4" t="s">
        <v>1184</v>
      </c>
      <c r="D52" t="s">
        <v>1222</v>
      </c>
      <c r="E52" t="s">
        <v>120</v>
      </c>
      <c r="F52">
        <v>0.35</v>
      </c>
      <c r="G52" t="s">
        <v>1522</v>
      </c>
      <c r="H52" t="s">
        <v>1509</v>
      </c>
      <c r="J52" s="25" t="s">
        <v>1540</v>
      </c>
      <c r="K52">
        <v>0.22</v>
      </c>
      <c r="L52">
        <v>0.24</v>
      </c>
      <c r="M52">
        <v>0.3</v>
      </c>
      <c r="N52">
        <v>1.45</v>
      </c>
    </row>
    <row r="53" spans="2:14" ht="45">
      <c r="B53" s="4" t="s">
        <v>1523</v>
      </c>
      <c r="C53" s="4" t="s">
        <v>1184</v>
      </c>
      <c r="D53" t="s">
        <v>1242</v>
      </c>
      <c r="E53" t="s">
        <v>120</v>
      </c>
      <c r="F53">
        <v>0.24</v>
      </c>
      <c r="G53" t="s">
        <v>575</v>
      </c>
      <c r="H53" t="s">
        <v>1524</v>
      </c>
      <c r="J53" s="24" t="s">
        <v>1541</v>
      </c>
      <c r="K53">
        <v>0.22</v>
      </c>
      <c r="L53">
        <v>0.24</v>
      </c>
      <c r="M53">
        <v>0.35</v>
      </c>
      <c r="N53">
        <v>1.7000000000000002</v>
      </c>
    </row>
    <row r="54" spans="2:14" ht="45">
      <c r="B54" s="4" t="s">
        <v>1525</v>
      </c>
      <c r="C54" s="4" t="s">
        <v>1184</v>
      </c>
      <c r="D54" t="s">
        <v>1244</v>
      </c>
      <c r="E54" t="s">
        <v>120</v>
      </c>
      <c r="F54">
        <v>0.24</v>
      </c>
      <c r="G54" t="s">
        <v>70</v>
      </c>
      <c r="H54" t="s">
        <v>1526</v>
      </c>
      <c r="J54" s="25" t="s">
        <v>1542</v>
      </c>
      <c r="K54">
        <v>0.22</v>
      </c>
      <c r="L54">
        <v>0.24</v>
      </c>
      <c r="M54">
        <v>0.35</v>
      </c>
      <c r="N54">
        <v>1.7000000000000002</v>
      </c>
    </row>
    <row r="55" spans="2:14" ht="45">
      <c r="B55" s="4" t="s">
        <v>1528</v>
      </c>
      <c r="C55" s="4" t="s">
        <v>1184</v>
      </c>
      <c r="D55" t="s">
        <v>1529</v>
      </c>
      <c r="E55" t="s">
        <v>120</v>
      </c>
      <c r="F55">
        <v>0.24</v>
      </c>
      <c r="G55" t="s">
        <v>1530</v>
      </c>
      <c r="H55" t="s">
        <v>1518</v>
      </c>
      <c r="J55" s="25" t="s">
        <v>1543</v>
      </c>
      <c r="K55">
        <v>2.6</v>
      </c>
      <c r="L55">
        <v>1.9</v>
      </c>
      <c r="M55">
        <v>1.04</v>
      </c>
      <c r="N55">
        <v>2.57</v>
      </c>
    </row>
    <row r="56" spans="2:14" ht="45">
      <c r="B56" s="4" t="s">
        <v>1508</v>
      </c>
      <c r="C56" s="4" t="s">
        <v>1184</v>
      </c>
      <c r="D56" t="s">
        <v>1213</v>
      </c>
      <c r="E56" t="s">
        <v>252</v>
      </c>
      <c r="F56">
        <v>1.04</v>
      </c>
      <c r="G56" t="s">
        <v>56</v>
      </c>
      <c r="H56" t="s">
        <v>1509</v>
      </c>
      <c r="J56" s="26" t="s">
        <v>1544</v>
      </c>
      <c r="K56">
        <v>2.6</v>
      </c>
      <c r="L56">
        <v>1.45</v>
      </c>
      <c r="M56">
        <v>1.37</v>
      </c>
      <c r="N56">
        <v>2.57</v>
      </c>
    </row>
    <row r="57" spans="2:14" ht="45">
      <c r="B57" s="4" t="s">
        <v>1511</v>
      </c>
      <c r="C57" s="4" t="s">
        <v>1184</v>
      </c>
      <c r="D57" t="s">
        <v>1214</v>
      </c>
      <c r="E57" t="s">
        <v>252</v>
      </c>
      <c r="F57">
        <v>1.1100000000000001</v>
      </c>
      <c r="G57" t="s">
        <v>59</v>
      </c>
      <c r="H57" t="s">
        <v>1509</v>
      </c>
      <c r="J57" s="26" t="s">
        <v>1545</v>
      </c>
      <c r="K57">
        <v>1.41</v>
      </c>
      <c r="L57">
        <v>1.64</v>
      </c>
      <c r="M57">
        <v>1.1100000000000001</v>
      </c>
      <c r="N57">
        <v>4.3</v>
      </c>
    </row>
    <row r="58" spans="2:14" ht="45">
      <c r="B58" s="4" t="s">
        <v>1512</v>
      </c>
      <c r="C58" s="4" t="s">
        <v>1184</v>
      </c>
      <c r="D58" t="s">
        <v>1217</v>
      </c>
      <c r="E58" t="s">
        <v>252</v>
      </c>
      <c r="F58">
        <v>1.1100000000000001</v>
      </c>
      <c r="G58" t="s">
        <v>1253</v>
      </c>
      <c r="H58" t="s">
        <v>1509</v>
      </c>
      <c r="J58" s="26" t="s">
        <v>1546</v>
      </c>
      <c r="K58">
        <v>1.17</v>
      </c>
      <c r="L58">
        <v>1.44</v>
      </c>
      <c r="M58">
        <v>1.65</v>
      </c>
      <c r="N58">
        <v>2.8</v>
      </c>
    </row>
    <row r="59" spans="2:14" ht="45">
      <c r="B59" s="4" t="s">
        <v>1513</v>
      </c>
      <c r="C59" s="4" t="s">
        <v>1184</v>
      </c>
      <c r="D59" t="s">
        <v>1219</v>
      </c>
      <c r="E59" t="s">
        <v>252</v>
      </c>
      <c r="F59">
        <v>1.01</v>
      </c>
      <c r="G59" t="s">
        <v>1254</v>
      </c>
      <c r="H59" t="s">
        <v>1509</v>
      </c>
      <c r="J59" s="26" t="s">
        <v>1547</v>
      </c>
      <c r="K59">
        <v>2.2999999999999998</v>
      </c>
      <c r="L59">
        <v>1.21</v>
      </c>
      <c r="M59">
        <v>0.97</v>
      </c>
      <c r="N59">
        <v>2.57</v>
      </c>
    </row>
    <row r="60" spans="2:14" ht="45">
      <c r="B60" s="4" t="s">
        <v>1514</v>
      </c>
      <c r="C60" s="4" t="s">
        <v>1184</v>
      </c>
      <c r="D60" t="s">
        <v>1221</v>
      </c>
      <c r="E60" t="s">
        <v>252</v>
      </c>
      <c r="F60">
        <v>0.97</v>
      </c>
      <c r="G60" t="s">
        <v>1255</v>
      </c>
      <c r="H60" t="s">
        <v>1509</v>
      </c>
      <c r="J60" s="26" t="s">
        <v>1548</v>
      </c>
      <c r="K60">
        <v>0.59</v>
      </c>
      <c r="L60">
        <v>0.74</v>
      </c>
      <c r="M60">
        <v>0.97</v>
      </c>
      <c r="N60">
        <v>2.8</v>
      </c>
    </row>
    <row r="61" spans="2:14" ht="45">
      <c r="B61" s="4" t="s">
        <v>1515</v>
      </c>
      <c r="C61" s="4" t="s">
        <v>1184</v>
      </c>
      <c r="D61" t="s">
        <v>1223</v>
      </c>
      <c r="E61" t="s">
        <v>252</v>
      </c>
      <c r="F61">
        <v>0.84599999999999997</v>
      </c>
      <c r="G61" t="s">
        <v>1256</v>
      </c>
      <c r="H61" t="s">
        <v>1509</v>
      </c>
      <c r="J61" s="26" t="s">
        <v>1549</v>
      </c>
      <c r="K61">
        <v>0.44</v>
      </c>
      <c r="L61">
        <v>0.8</v>
      </c>
      <c r="M61">
        <v>0.67</v>
      </c>
      <c r="N61">
        <v>2.57</v>
      </c>
    </row>
    <row r="62" spans="2:14" ht="45">
      <c r="B62" s="4" t="s">
        <v>1516</v>
      </c>
      <c r="C62" s="4" t="s">
        <v>1184</v>
      </c>
      <c r="D62" t="s">
        <v>1243</v>
      </c>
      <c r="E62" t="s">
        <v>252</v>
      </c>
      <c r="F62">
        <v>0.81</v>
      </c>
      <c r="G62" t="s">
        <v>1257</v>
      </c>
      <c r="H62" t="s">
        <v>1509</v>
      </c>
      <c r="J62" s="26" t="s">
        <v>1550</v>
      </c>
      <c r="K62">
        <v>0.3</v>
      </c>
      <c r="L62">
        <v>0.66</v>
      </c>
      <c r="M62">
        <v>0.55000000000000004</v>
      </c>
      <c r="N62">
        <v>2.57</v>
      </c>
    </row>
    <row r="63" spans="2:14" ht="45">
      <c r="B63" s="4" t="s">
        <v>1517</v>
      </c>
      <c r="C63" s="4" t="s">
        <v>1184</v>
      </c>
      <c r="D63" t="s">
        <v>1245</v>
      </c>
      <c r="E63" t="s">
        <v>252</v>
      </c>
      <c r="F63">
        <v>0.55000000000000004</v>
      </c>
      <c r="G63" t="s">
        <v>1258</v>
      </c>
      <c r="H63" t="s">
        <v>1509</v>
      </c>
      <c r="J63" s="26" t="s">
        <v>1551</v>
      </c>
      <c r="K63">
        <v>0.21</v>
      </c>
      <c r="L63">
        <v>0.28000000000000003</v>
      </c>
      <c r="M63">
        <v>0.34</v>
      </c>
      <c r="N63">
        <v>1.6</v>
      </c>
    </row>
    <row r="64" spans="2:14" ht="45">
      <c r="B64" s="4" t="s">
        <v>1519</v>
      </c>
      <c r="C64" s="4" t="s">
        <v>1184</v>
      </c>
      <c r="D64" t="s">
        <v>1220</v>
      </c>
      <c r="E64" t="s">
        <v>252</v>
      </c>
      <c r="F64">
        <v>0.5</v>
      </c>
      <c r="G64" t="s">
        <v>1520</v>
      </c>
      <c r="H64" t="s">
        <v>1518</v>
      </c>
      <c r="J64" s="26" t="s">
        <v>1552</v>
      </c>
      <c r="K64">
        <v>0.22</v>
      </c>
      <c r="L64">
        <v>0.35</v>
      </c>
      <c r="M64">
        <v>0.34</v>
      </c>
      <c r="N64">
        <v>1.6</v>
      </c>
    </row>
    <row r="65" spans="2:14" ht="45">
      <c r="B65" s="4" t="s">
        <v>1521</v>
      </c>
      <c r="C65" s="4" t="s">
        <v>1184</v>
      </c>
      <c r="D65" t="s">
        <v>1222</v>
      </c>
      <c r="E65" t="s">
        <v>252</v>
      </c>
      <c r="F65">
        <v>0.4</v>
      </c>
      <c r="G65" t="s">
        <v>1522</v>
      </c>
      <c r="H65" t="s">
        <v>1509</v>
      </c>
      <c r="J65" s="26" t="s">
        <v>1553</v>
      </c>
      <c r="K65">
        <v>0.22</v>
      </c>
      <c r="L65">
        <v>0.24</v>
      </c>
      <c r="M65">
        <v>0.3</v>
      </c>
      <c r="N65">
        <v>1.45</v>
      </c>
    </row>
    <row r="66" spans="2:14" ht="45">
      <c r="B66" s="4" t="s">
        <v>1523</v>
      </c>
      <c r="C66" s="4" t="s">
        <v>1184</v>
      </c>
      <c r="D66" t="s">
        <v>1242</v>
      </c>
      <c r="E66" t="s">
        <v>252</v>
      </c>
      <c r="F66">
        <v>0.3</v>
      </c>
      <c r="G66" t="s">
        <v>575</v>
      </c>
      <c r="H66" t="s">
        <v>1524</v>
      </c>
      <c r="J66" s="26" t="s">
        <v>1554</v>
      </c>
      <c r="K66">
        <v>0.22</v>
      </c>
      <c r="L66">
        <v>0.24</v>
      </c>
      <c r="M66">
        <v>0.35</v>
      </c>
      <c r="N66">
        <v>1.7000000000000002</v>
      </c>
    </row>
    <row r="67" spans="2:14" ht="45">
      <c r="B67" s="4" t="s">
        <v>1525</v>
      </c>
      <c r="C67" s="4" t="s">
        <v>1184</v>
      </c>
      <c r="D67" t="s">
        <v>1244</v>
      </c>
      <c r="E67" t="s">
        <v>252</v>
      </c>
      <c r="F67">
        <v>0.35</v>
      </c>
      <c r="G67" t="s">
        <v>70</v>
      </c>
      <c r="H67" t="s">
        <v>1526</v>
      </c>
      <c r="J67" s="26" t="s">
        <v>1555</v>
      </c>
      <c r="K67">
        <v>0.22</v>
      </c>
      <c r="L67">
        <v>0.24</v>
      </c>
      <c r="M67">
        <v>0.35</v>
      </c>
      <c r="N67">
        <v>1.7000000000000002</v>
      </c>
    </row>
    <row r="68" spans="2:14" ht="45">
      <c r="B68" s="4" t="s">
        <v>1528</v>
      </c>
      <c r="C68" s="4" t="s">
        <v>1184</v>
      </c>
      <c r="D68" t="s">
        <v>1529</v>
      </c>
      <c r="E68" t="s">
        <v>252</v>
      </c>
      <c r="F68">
        <v>0.35</v>
      </c>
      <c r="G68" t="s">
        <v>1530</v>
      </c>
      <c r="H68" t="s">
        <v>1518</v>
      </c>
      <c r="J68" s="26" t="s">
        <v>1556</v>
      </c>
      <c r="K68">
        <v>2.6</v>
      </c>
      <c r="L68">
        <v>1.45</v>
      </c>
      <c r="M68">
        <v>1.37</v>
      </c>
      <c r="N68">
        <v>2.57</v>
      </c>
    </row>
    <row r="69" spans="2:14" ht="45">
      <c r="B69" s="4" t="s">
        <v>1508</v>
      </c>
      <c r="C69" s="4" t="s">
        <v>1184</v>
      </c>
      <c r="D69" t="s">
        <v>1213</v>
      </c>
      <c r="E69" t="s">
        <v>248</v>
      </c>
      <c r="F69">
        <v>5.2</v>
      </c>
      <c r="G69" t="s">
        <v>56</v>
      </c>
      <c r="H69" t="s">
        <v>1509</v>
      </c>
      <c r="J69" s="26" t="s">
        <v>1557</v>
      </c>
      <c r="K69">
        <v>0.78</v>
      </c>
      <c r="L69">
        <v>1.45</v>
      </c>
      <c r="M69">
        <v>1.1100000000000001</v>
      </c>
      <c r="N69">
        <v>4.3</v>
      </c>
    </row>
    <row r="70" spans="2:14" ht="45">
      <c r="B70" s="4" t="s">
        <v>1511</v>
      </c>
      <c r="C70" s="4" t="s">
        <v>1184</v>
      </c>
      <c r="D70" t="s">
        <v>1214</v>
      </c>
      <c r="E70" t="s">
        <v>248</v>
      </c>
      <c r="F70">
        <v>2.57</v>
      </c>
      <c r="G70" t="s">
        <v>59</v>
      </c>
      <c r="H70" t="s">
        <v>1509</v>
      </c>
      <c r="J70" s="26" t="s">
        <v>1558</v>
      </c>
      <c r="K70">
        <v>2.08</v>
      </c>
      <c r="L70">
        <v>1.21</v>
      </c>
      <c r="M70">
        <v>1.65</v>
      </c>
      <c r="N70">
        <v>2.8</v>
      </c>
    </row>
    <row r="71" spans="2:14" ht="45">
      <c r="B71" s="4" t="s">
        <v>1512</v>
      </c>
      <c r="C71" s="4" t="s">
        <v>1184</v>
      </c>
      <c r="D71" t="s">
        <v>1217</v>
      </c>
      <c r="E71" t="s">
        <v>248</v>
      </c>
      <c r="F71">
        <v>2.57</v>
      </c>
      <c r="G71" t="s">
        <v>1253</v>
      </c>
      <c r="H71" t="s">
        <v>1509</v>
      </c>
      <c r="J71" s="26" t="s">
        <v>1559</v>
      </c>
      <c r="K71">
        <v>0.82</v>
      </c>
      <c r="L71">
        <v>1.3</v>
      </c>
      <c r="M71">
        <v>0.97</v>
      </c>
      <c r="N71">
        <v>2.57</v>
      </c>
    </row>
    <row r="72" spans="2:14" ht="45">
      <c r="B72" s="4" t="s">
        <v>1513</v>
      </c>
      <c r="C72" s="4" t="s">
        <v>1184</v>
      </c>
      <c r="D72" t="s">
        <v>1219</v>
      </c>
      <c r="E72" t="s">
        <v>248</v>
      </c>
      <c r="F72">
        <v>2.57</v>
      </c>
      <c r="G72" t="s">
        <v>1254</v>
      </c>
      <c r="H72" t="s">
        <v>1509</v>
      </c>
      <c r="J72" s="26" t="s">
        <v>1560</v>
      </c>
      <c r="K72">
        <v>0.82</v>
      </c>
      <c r="L72">
        <v>1.46</v>
      </c>
      <c r="M72">
        <v>0.97</v>
      </c>
      <c r="N72">
        <v>2.8</v>
      </c>
    </row>
    <row r="73" spans="2:14" ht="45">
      <c r="B73" s="4" t="s">
        <v>1514</v>
      </c>
      <c r="C73" s="4" t="s">
        <v>1184</v>
      </c>
      <c r="D73" t="s">
        <v>1221</v>
      </c>
      <c r="E73" t="s">
        <v>248</v>
      </c>
      <c r="F73">
        <v>2.9</v>
      </c>
      <c r="G73" t="s">
        <v>1255</v>
      </c>
      <c r="H73" t="s">
        <v>1509</v>
      </c>
      <c r="J73" s="26" t="s">
        <v>1561</v>
      </c>
      <c r="K73">
        <v>0.44</v>
      </c>
      <c r="L73">
        <v>0.8</v>
      </c>
      <c r="M73">
        <v>0.67</v>
      </c>
      <c r="N73">
        <v>2.57</v>
      </c>
    </row>
    <row r="74" spans="2:14" ht="45">
      <c r="B74" s="4" t="s">
        <v>1515</v>
      </c>
      <c r="C74" s="4" t="s">
        <v>1184</v>
      </c>
      <c r="D74" t="s">
        <v>1223</v>
      </c>
      <c r="E74" t="s">
        <v>248</v>
      </c>
      <c r="F74">
        <v>2.57</v>
      </c>
      <c r="G74" t="s">
        <v>1256</v>
      </c>
      <c r="H74" t="s">
        <v>1509</v>
      </c>
      <c r="J74" s="26" t="s">
        <v>1562</v>
      </c>
      <c r="K74">
        <v>0.3</v>
      </c>
      <c r="L74">
        <v>0.66</v>
      </c>
      <c r="M74">
        <v>0.55000000000000004</v>
      </c>
      <c r="N74">
        <v>2.57</v>
      </c>
    </row>
    <row r="75" spans="2:14" ht="45">
      <c r="B75" s="4" t="s">
        <v>1516</v>
      </c>
      <c r="C75" s="4" t="s">
        <v>1184</v>
      </c>
      <c r="D75" t="s">
        <v>1243</v>
      </c>
      <c r="E75" t="s">
        <v>248</v>
      </c>
      <c r="F75">
        <v>2.57</v>
      </c>
      <c r="G75" t="s">
        <v>1257</v>
      </c>
      <c r="H75" t="s">
        <v>1518</v>
      </c>
      <c r="J75" s="26" t="s">
        <v>1563</v>
      </c>
      <c r="K75">
        <v>0.21</v>
      </c>
      <c r="L75">
        <v>0.28000000000000003</v>
      </c>
      <c r="M75">
        <v>0.34</v>
      </c>
      <c r="N75">
        <v>1.6</v>
      </c>
    </row>
    <row r="76" spans="2:14" ht="45">
      <c r="B76" s="4" t="s">
        <v>1517</v>
      </c>
      <c r="C76" s="4" t="s">
        <v>1184</v>
      </c>
      <c r="D76" t="s">
        <v>1245</v>
      </c>
      <c r="E76" t="s">
        <v>248</v>
      </c>
      <c r="F76">
        <v>2.57</v>
      </c>
      <c r="G76" t="s">
        <v>1258</v>
      </c>
      <c r="H76" t="s">
        <v>1509</v>
      </c>
      <c r="J76" s="26" t="s">
        <v>1564</v>
      </c>
      <c r="K76">
        <v>0.22</v>
      </c>
      <c r="L76">
        <v>0.35</v>
      </c>
      <c r="M76">
        <v>0.34</v>
      </c>
      <c r="N76">
        <v>1.6</v>
      </c>
    </row>
    <row r="77" spans="2:14" ht="45">
      <c r="B77" s="4" t="s">
        <v>1519</v>
      </c>
      <c r="C77" s="4" t="s">
        <v>1184</v>
      </c>
      <c r="D77" t="s">
        <v>1220</v>
      </c>
      <c r="E77" t="s">
        <v>248</v>
      </c>
      <c r="F77">
        <v>1.6</v>
      </c>
      <c r="G77" t="s">
        <v>1520</v>
      </c>
      <c r="H77" t="s">
        <v>1509</v>
      </c>
      <c r="J77" s="26" t="s">
        <v>1565</v>
      </c>
      <c r="K77">
        <v>0.22</v>
      </c>
      <c r="L77">
        <v>0.24</v>
      </c>
      <c r="M77">
        <v>0.3</v>
      </c>
      <c r="N77">
        <v>1.45</v>
      </c>
    </row>
    <row r="78" spans="2:14" ht="45">
      <c r="B78" s="4" t="s">
        <v>1521</v>
      </c>
      <c r="C78" s="4" t="s">
        <v>1184</v>
      </c>
      <c r="D78" t="s">
        <v>1222</v>
      </c>
      <c r="E78" t="s">
        <v>248</v>
      </c>
      <c r="F78">
        <v>1.6</v>
      </c>
      <c r="G78" t="s">
        <v>1522</v>
      </c>
      <c r="H78" t="s">
        <v>1509</v>
      </c>
      <c r="J78" s="26" t="s">
        <v>1566</v>
      </c>
      <c r="K78">
        <v>0.22</v>
      </c>
      <c r="L78">
        <v>0.24</v>
      </c>
      <c r="M78">
        <v>0.35</v>
      </c>
      <c r="N78">
        <v>1.7000000000000002</v>
      </c>
    </row>
    <row r="79" spans="2:14" ht="45">
      <c r="B79" s="4" t="s">
        <v>1523</v>
      </c>
      <c r="C79" s="4" t="s">
        <v>1184</v>
      </c>
      <c r="D79" t="s">
        <v>1242</v>
      </c>
      <c r="E79" t="s">
        <v>248</v>
      </c>
      <c r="F79">
        <v>1.45</v>
      </c>
      <c r="G79" t="s">
        <v>575</v>
      </c>
      <c r="H79" t="s">
        <v>1524</v>
      </c>
      <c r="J79" s="26" t="s">
        <v>1567</v>
      </c>
      <c r="K79">
        <v>0.22</v>
      </c>
      <c r="L79">
        <v>0.24</v>
      </c>
      <c r="M79">
        <v>0.35</v>
      </c>
      <c r="N79">
        <v>1.7000000000000002</v>
      </c>
    </row>
    <row r="80" spans="2:14" ht="45">
      <c r="B80" s="4" t="s">
        <v>1525</v>
      </c>
      <c r="C80" s="4" t="s">
        <v>1184</v>
      </c>
      <c r="D80" t="s">
        <v>1244</v>
      </c>
      <c r="E80" t="s">
        <v>248</v>
      </c>
      <c r="F80">
        <v>1.1000000000000001</v>
      </c>
      <c r="G80" t="s">
        <v>70</v>
      </c>
      <c r="H80" s="69" t="s">
        <v>1568</v>
      </c>
      <c r="J80" s="26" t="s">
        <v>1569</v>
      </c>
      <c r="K80">
        <v>1.1399999999999999</v>
      </c>
      <c r="L80">
        <v>1.21</v>
      </c>
      <c r="M80">
        <v>1.01</v>
      </c>
      <c r="N80">
        <v>5.2</v>
      </c>
    </row>
    <row r="81" spans="2:14" ht="45">
      <c r="B81" s="4" t="s">
        <v>1528</v>
      </c>
      <c r="C81" s="4" t="s">
        <v>1184</v>
      </c>
      <c r="D81" t="s">
        <v>1529</v>
      </c>
      <c r="E81" t="s">
        <v>248</v>
      </c>
      <c r="F81">
        <v>1.1000000000000001</v>
      </c>
      <c r="G81" t="s">
        <v>1530</v>
      </c>
      <c r="H81" t="s">
        <v>1518</v>
      </c>
      <c r="J81" s="26" t="s">
        <v>1570</v>
      </c>
      <c r="K81">
        <v>1.1399999999999999</v>
      </c>
      <c r="L81">
        <v>1.46</v>
      </c>
      <c r="M81">
        <v>1.01</v>
      </c>
      <c r="N81">
        <v>5.2</v>
      </c>
    </row>
    <row r="82" spans="2:14">
      <c r="B82" s="4" t="s">
        <v>1531</v>
      </c>
      <c r="C82" s="4" t="s">
        <v>1186</v>
      </c>
      <c r="D82" t="s">
        <v>1214</v>
      </c>
      <c r="E82" t="s">
        <v>250</v>
      </c>
      <c r="F82">
        <v>0.78</v>
      </c>
      <c r="G82" t="s">
        <v>59</v>
      </c>
      <c r="H82" t="s">
        <v>1509</v>
      </c>
      <c r="J82" s="26" t="s">
        <v>1571</v>
      </c>
      <c r="K82">
        <v>0.97</v>
      </c>
      <c r="L82">
        <v>0.88</v>
      </c>
      <c r="M82">
        <v>1.01</v>
      </c>
      <c r="N82">
        <v>5.2</v>
      </c>
    </row>
    <row r="83" spans="2:14">
      <c r="B83" s="4" t="s">
        <v>1532</v>
      </c>
      <c r="C83" s="4" t="s">
        <v>1186</v>
      </c>
      <c r="D83" t="s">
        <v>1217</v>
      </c>
      <c r="E83" t="s">
        <v>250</v>
      </c>
      <c r="F83">
        <v>0.78</v>
      </c>
      <c r="G83" t="s">
        <v>1253</v>
      </c>
      <c r="H83" t="s">
        <v>1509</v>
      </c>
      <c r="J83" s="26" t="s">
        <v>1572</v>
      </c>
      <c r="K83">
        <v>0.97</v>
      </c>
      <c r="L83">
        <v>0.88</v>
      </c>
      <c r="M83">
        <v>0.85</v>
      </c>
      <c r="N83">
        <v>2.57</v>
      </c>
    </row>
    <row r="84" spans="2:14">
      <c r="B84" s="4" t="s">
        <v>1533</v>
      </c>
      <c r="C84" s="4" t="s">
        <v>1186</v>
      </c>
      <c r="D84" t="s">
        <v>1219</v>
      </c>
      <c r="E84" t="s">
        <v>250</v>
      </c>
      <c r="F84">
        <v>0.78</v>
      </c>
      <c r="G84" t="s">
        <v>1254</v>
      </c>
      <c r="H84" t="s">
        <v>1509</v>
      </c>
      <c r="J84" s="26" t="s">
        <v>1573</v>
      </c>
      <c r="K84">
        <v>0.84</v>
      </c>
      <c r="L84">
        <v>0.76</v>
      </c>
      <c r="M84">
        <v>0.85</v>
      </c>
      <c r="N84">
        <v>2.57</v>
      </c>
    </row>
    <row r="85" spans="2:14">
      <c r="B85" s="4" t="s">
        <v>1534</v>
      </c>
      <c r="C85" s="4" t="s">
        <v>1186</v>
      </c>
      <c r="D85" t="s">
        <v>1221</v>
      </c>
      <c r="E85" t="s">
        <v>250</v>
      </c>
      <c r="F85">
        <v>1.23</v>
      </c>
      <c r="G85" t="s">
        <v>1255</v>
      </c>
      <c r="H85" t="s">
        <v>1509</v>
      </c>
    </row>
    <row r="86" spans="2:14">
      <c r="B86" s="4" t="s">
        <v>1535</v>
      </c>
      <c r="C86" s="4" t="s">
        <v>1186</v>
      </c>
      <c r="D86" t="s">
        <v>1223</v>
      </c>
      <c r="E86" t="s">
        <v>250</v>
      </c>
      <c r="F86">
        <v>0.52</v>
      </c>
      <c r="G86" t="s">
        <v>1256</v>
      </c>
      <c r="H86" t="s">
        <v>1509</v>
      </c>
    </row>
    <row r="87" spans="2:14">
      <c r="B87" s="4" t="s">
        <v>1536</v>
      </c>
      <c r="C87" s="4" t="s">
        <v>1186</v>
      </c>
      <c r="D87" t="s">
        <v>1243</v>
      </c>
      <c r="E87" t="s">
        <v>250</v>
      </c>
      <c r="F87">
        <v>0.43</v>
      </c>
      <c r="G87" t="s">
        <v>1257</v>
      </c>
      <c r="H87" t="s">
        <v>1509</v>
      </c>
    </row>
    <row r="88" spans="2:14">
      <c r="B88" s="4" t="s">
        <v>1537</v>
      </c>
      <c r="C88" s="4" t="s">
        <v>1186</v>
      </c>
      <c r="D88" t="s">
        <v>1245</v>
      </c>
      <c r="E88" t="s">
        <v>250</v>
      </c>
      <c r="F88">
        <v>0.45</v>
      </c>
      <c r="G88" t="s">
        <v>1258</v>
      </c>
      <c r="H88" t="s">
        <v>1518</v>
      </c>
    </row>
    <row r="89" spans="2:14">
      <c r="B89" s="4" t="s">
        <v>1538</v>
      </c>
      <c r="C89" s="4" t="s">
        <v>1186</v>
      </c>
      <c r="D89" t="s">
        <v>1220</v>
      </c>
      <c r="E89" t="s">
        <v>250</v>
      </c>
      <c r="F89">
        <v>0.3</v>
      </c>
      <c r="G89" t="s">
        <v>1520</v>
      </c>
      <c r="H89" t="s">
        <v>1518</v>
      </c>
    </row>
    <row r="90" spans="2:14">
      <c r="B90" s="4" t="s">
        <v>1539</v>
      </c>
      <c r="C90" s="4" t="s">
        <v>1186</v>
      </c>
      <c r="D90" t="s">
        <v>1222</v>
      </c>
      <c r="E90" t="s">
        <v>250</v>
      </c>
      <c r="F90">
        <v>0.27500000000000002</v>
      </c>
      <c r="G90" t="s">
        <v>1522</v>
      </c>
      <c r="H90" t="s">
        <v>1518</v>
      </c>
    </row>
    <row r="91" spans="2:14">
      <c r="B91" s="4" t="s">
        <v>1540</v>
      </c>
      <c r="C91" s="4" t="s">
        <v>1186</v>
      </c>
      <c r="D91" t="s">
        <v>1242</v>
      </c>
      <c r="E91" t="s">
        <v>250</v>
      </c>
      <c r="F91">
        <v>0.22</v>
      </c>
      <c r="G91" t="s">
        <v>575</v>
      </c>
      <c r="H91" t="s">
        <v>1524</v>
      </c>
    </row>
    <row r="92" spans="2:14">
      <c r="B92" s="4" t="s">
        <v>1574</v>
      </c>
      <c r="C92" s="4" t="s">
        <v>1186</v>
      </c>
      <c r="D92" t="s">
        <v>1244</v>
      </c>
      <c r="E92" t="s">
        <v>250</v>
      </c>
      <c r="F92">
        <v>0.22</v>
      </c>
      <c r="G92" t="s">
        <v>70</v>
      </c>
      <c r="H92" t="s">
        <v>1526</v>
      </c>
    </row>
    <row r="93" spans="2:14">
      <c r="B93" s="4" t="s">
        <v>1542</v>
      </c>
      <c r="C93" s="4" t="s">
        <v>1186</v>
      </c>
      <c r="D93" t="s">
        <v>1529</v>
      </c>
      <c r="E93" t="s">
        <v>250</v>
      </c>
      <c r="F93">
        <v>0.22</v>
      </c>
      <c r="G93" t="s">
        <v>1530</v>
      </c>
      <c r="H93" t="s">
        <v>1518</v>
      </c>
    </row>
    <row r="94" spans="2:14">
      <c r="B94" s="4" t="s">
        <v>1531</v>
      </c>
      <c r="C94" s="4" t="s">
        <v>1186</v>
      </c>
      <c r="D94" t="s">
        <v>1214</v>
      </c>
      <c r="E94" t="s">
        <v>120</v>
      </c>
      <c r="F94">
        <v>1.7</v>
      </c>
      <c r="G94" t="s">
        <v>59</v>
      </c>
      <c r="H94" t="s">
        <v>1509</v>
      </c>
    </row>
    <row r="95" spans="2:14">
      <c r="B95" s="4" t="s">
        <v>1532</v>
      </c>
      <c r="C95" s="4" t="s">
        <v>1186</v>
      </c>
      <c r="D95" t="s">
        <v>1217</v>
      </c>
      <c r="E95" t="s">
        <v>120</v>
      </c>
      <c r="F95">
        <v>1.39</v>
      </c>
      <c r="G95" t="s">
        <v>1253</v>
      </c>
      <c r="H95" t="s">
        <v>1509</v>
      </c>
    </row>
    <row r="96" spans="2:14">
      <c r="B96" s="4" t="s">
        <v>1533</v>
      </c>
      <c r="C96" s="4" t="s">
        <v>1186</v>
      </c>
      <c r="D96" t="s">
        <v>1219</v>
      </c>
      <c r="E96" t="s">
        <v>120</v>
      </c>
      <c r="F96">
        <v>0.86</v>
      </c>
      <c r="G96" t="s">
        <v>1254</v>
      </c>
      <c r="H96" t="s">
        <v>1509</v>
      </c>
    </row>
    <row r="97" spans="2:8">
      <c r="B97" s="4" t="s">
        <v>1534</v>
      </c>
      <c r="C97" s="4" t="s">
        <v>1186</v>
      </c>
      <c r="D97" t="s">
        <v>1221</v>
      </c>
      <c r="E97" t="s">
        <v>120</v>
      </c>
      <c r="F97">
        <v>1.44</v>
      </c>
      <c r="G97" t="s">
        <v>1255</v>
      </c>
      <c r="H97" t="s">
        <v>1509</v>
      </c>
    </row>
    <row r="98" spans="2:8">
      <c r="B98" s="4" t="s">
        <v>1535</v>
      </c>
      <c r="C98" s="4" t="s">
        <v>1186</v>
      </c>
      <c r="D98" t="s">
        <v>1223</v>
      </c>
      <c r="E98" t="s">
        <v>120</v>
      </c>
      <c r="F98">
        <v>0.8</v>
      </c>
      <c r="G98" t="s">
        <v>1256</v>
      </c>
      <c r="H98" t="s">
        <v>1509</v>
      </c>
    </row>
    <row r="99" spans="2:8">
      <c r="B99" s="4" t="s">
        <v>1536</v>
      </c>
      <c r="C99" s="4" t="s">
        <v>1186</v>
      </c>
      <c r="D99" t="s">
        <v>1243</v>
      </c>
      <c r="E99" t="s">
        <v>120</v>
      </c>
      <c r="F99">
        <v>0.68</v>
      </c>
      <c r="G99" t="s">
        <v>1257</v>
      </c>
      <c r="H99" t="s">
        <v>1509</v>
      </c>
    </row>
    <row r="100" spans="2:8">
      <c r="B100" s="4" t="s">
        <v>1537</v>
      </c>
      <c r="C100" s="4" t="s">
        <v>1186</v>
      </c>
      <c r="D100" t="s">
        <v>1245</v>
      </c>
      <c r="E100" t="s">
        <v>120</v>
      </c>
      <c r="F100">
        <v>0.77</v>
      </c>
      <c r="G100" t="s">
        <v>1258</v>
      </c>
      <c r="H100" t="s">
        <v>1509</v>
      </c>
    </row>
    <row r="101" spans="2:8">
      <c r="B101" s="4" t="s">
        <v>1538</v>
      </c>
      <c r="C101" s="4" t="s">
        <v>1186</v>
      </c>
      <c r="D101" t="s">
        <v>1220</v>
      </c>
      <c r="E101" t="s">
        <v>120</v>
      </c>
      <c r="F101">
        <v>0.49</v>
      </c>
      <c r="G101" t="s">
        <v>1520</v>
      </c>
      <c r="H101" t="s">
        <v>1509</v>
      </c>
    </row>
    <row r="102" spans="2:8">
      <c r="B102" s="4" t="s">
        <v>1539</v>
      </c>
      <c r="C102" s="4" t="s">
        <v>1186</v>
      </c>
      <c r="D102" t="s">
        <v>1222</v>
      </c>
      <c r="E102" t="s">
        <v>120</v>
      </c>
      <c r="F102">
        <v>0.24</v>
      </c>
      <c r="G102" t="s">
        <v>1522</v>
      </c>
      <c r="H102" t="s">
        <v>1509</v>
      </c>
    </row>
    <row r="103" spans="2:8">
      <c r="B103" s="4" t="s">
        <v>1540</v>
      </c>
      <c r="C103" s="4" t="s">
        <v>1186</v>
      </c>
      <c r="D103" t="s">
        <v>1242</v>
      </c>
      <c r="E103" t="s">
        <v>120</v>
      </c>
      <c r="F103">
        <v>0.24</v>
      </c>
      <c r="G103" t="s">
        <v>575</v>
      </c>
      <c r="H103" t="s">
        <v>1524</v>
      </c>
    </row>
    <row r="104" spans="2:8">
      <c r="B104" s="4" t="s">
        <v>1574</v>
      </c>
      <c r="C104" s="4" t="s">
        <v>1186</v>
      </c>
      <c r="D104" t="s">
        <v>1244</v>
      </c>
      <c r="E104" t="s">
        <v>120</v>
      </c>
      <c r="F104">
        <v>0.24</v>
      </c>
      <c r="G104" t="s">
        <v>70</v>
      </c>
      <c r="H104" t="s">
        <v>1526</v>
      </c>
    </row>
    <row r="105" spans="2:8">
      <c r="B105" s="4" t="s">
        <v>1542</v>
      </c>
      <c r="C105" s="4" t="s">
        <v>1186</v>
      </c>
      <c r="D105" t="s">
        <v>1529</v>
      </c>
      <c r="E105" t="s">
        <v>120</v>
      </c>
      <c r="F105">
        <v>0.24</v>
      </c>
      <c r="G105" t="s">
        <v>1530</v>
      </c>
      <c r="H105" t="s">
        <v>1518</v>
      </c>
    </row>
    <row r="106" spans="2:8">
      <c r="B106" s="4" t="s">
        <v>1531</v>
      </c>
      <c r="C106" s="4" t="s">
        <v>1186</v>
      </c>
      <c r="D106" t="s">
        <v>1214</v>
      </c>
      <c r="E106" t="s">
        <v>252</v>
      </c>
      <c r="F106">
        <v>0.91</v>
      </c>
      <c r="G106" t="s">
        <v>59</v>
      </c>
      <c r="H106" t="s">
        <v>1509</v>
      </c>
    </row>
    <row r="107" spans="2:8">
      <c r="B107" s="4" t="s">
        <v>1532</v>
      </c>
      <c r="C107" s="4" t="s">
        <v>1186</v>
      </c>
      <c r="D107" t="s">
        <v>1217</v>
      </c>
      <c r="E107" t="s">
        <v>252</v>
      </c>
      <c r="F107">
        <v>1.6</v>
      </c>
      <c r="G107" t="s">
        <v>1253</v>
      </c>
      <c r="H107" t="s">
        <v>1509</v>
      </c>
    </row>
    <row r="108" spans="2:8">
      <c r="B108" s="4" t="s">
        <v>1533</v>
      </c>
      <c r="C108" s="4" t="s">
        <v>1186</v>
      </c>
      <c r="D108" t="s">
        <v>1219</v>
      </c>
      <c r="E108" t="s">
        <v>252</v>
      </c>
      <c r="F108">
        <v>1.01</v>
      </c>
      <c r="G108" t="s">
        <v>1254</v>
      </c>
      <c r="H108" t="s">
        <v>1509</v>
      </c>
    </row>
    <row r="109" spans="2:8">
      <c r="B109" s="4" t="s">
        <v>1534</v>
      </c>
      <c r="C109" s="4" t="s">
        <v>1186</v>
      </c>
      <c r="D109" t="s">
        <v>1221</v>
      </c>
      <c r="E109" t="s">
        <v>252</v>
      </c>
      <c r="F109">
        <v>0.97</v>
      </c>
      <c r="G109" t="s">
        <v>1255</v>
      </c>
      <c r="H109" t="s">
        <v>1509</v>
      </c>
    </row>
    <row r="110" spans="2:8">
      <c r="B110" s="4" t="s">
        <v>1535</v>
      </c>
      <c r="C110" s="4" t="s">
        <v>1186</v>
      </c>
      <c r="D110" t="s">
        <v>1223</v>
      </c>
      <c r="E110" t="s">
        <v>252</v>
      </c>
      <c r="F110">
        <v>0.97</v>
      </c>
      <c r="G110" t="s">
        <v>1256</v>
      </c>
      <c r="H110" t="s">
        <v>1509</v>
      </c>
    </row>
    <row r="111" spans="2:8">
      <c r="B111" s="4" t="s">
        <v>1536</v>
      </c>
      <c r="C111" s="4" t="s">
        <v>1186</v>
      </c>
      <c r="D111" t="s">
        <v>1243</v>
      </c>
      <c r="E111" t="s">
        <v>252</v>
      </c>
      <c r="F111">
        <v>0.67</v>
      </c>
      <c r="G111" t="s">
        <v>1257</v>
      </c>
      <c r="H111" t="s">
        <v>1509</v>
      </c>
    </row>
    <row r="112" spans="2:8">
      <c r="B112" s="4" t="s">
        <v>1537</v>
      </c>
      <c r="C112" s="4" t="s">
        <v>1186</v>
      </c>
      <c r="D112" t="s">
        <v>1245</v>
      </c>
      <c r="E112" t="s">
        <v>252</v>
      </c>
      <c r="F112">
        <v>0.55000000000000004</v>
      </c>
      <c r="G112" t="s">
        <v>1258</v>
      </c>
      <c r="H112" t="s">
        <v>1509</v>
      </c>
    </row>
    <row r="113" spans="2:8">
      <c r="B113" s="4" t="s">
        <v>1538</v>
      </c>
      <c r="C113" s="4" t="s">
        <v>1186</v>
      </c>
      <c r="D113" t="s">
        <v>1220</v>
      </c>
      <c r="E113" t="s">
        <v>252</v>
      </c>
      <c r="F113">
        <v>0.5</v>
      </c>
      <c r="G113" t="s">
        <v>1520</v>
      </c>
      <c r="H113" t="s">
        <v>1518</v>
      </c>
    </row>
    <row r="114" spans="2:8">
      <c r="B114" s="4" t="s">
        <v>1539</v>
      </c>
      <c r="C114" s="4" t="s">
        <v>1186</v>
      </c>
      <c r="D114" t="s">
        <v>1222</v>
      </c>
      <c r="E114" t="s">
        <v>252</v>
      </c>
      <c r="F114">
        <v>0.28999999999999998</v>
      </c>
      <c r="G114" t="s">
        <v>1522</v>
      </c>
      <c r="H114" t="s">
        <v>1509</v>
      </c>
    </row>
    <row r="115" spans="2:8">
      <c r="B115" s="4" t="s">
        <v>1540</v>
      </c>
      <c r="C115" s="4" t="s">
        <v>1186</v>
      </c>
      <c r="D115" t="s">
        <v>1242</v>
      </c>
      <c r="E115" t="s">
        <v>252</v>
      </c>
      <c r="F115">
        <v>0.3</v>
      </c>
      <c r="G115" t="s">
        <v>575</v>
      </c>
      <c r="H115" t="s">
        <v>1524</v>
      </c>
    </row>
    <row r="116" spans="2:8">
      <c r="B116" s="4" t="s">
        <v>1574</v>
      </c>
      <c r="C116" s="4" t="s">
        <v>1186</v>
      </c>
      <c r="D116" t="s">
        <v>1244</v>
      </c>
      <c r="E116" t="s">
        <v>252</v>
      </c>
      <c r="F116">
        <v>0.35</v>
      </c>
      <c r="G116" t="s">
        <v>70</v>
      </c>
      <c r="H116" t="s">
        <v>1526</v>
      </c>
    </row>
    <row r="117" spans="2:8">
      <c r="B117" s="4" t="s">
        <v>1542</v>
      </c>
      <c r="C117" s="4" t="s">
        <v>1186</v>
      </c>
      <c r="D117" t="s">
        <v>1529</v>
      </c>
      <c r="E117" t="s">
        <v>252</v>
      </c>
      <c r="F117">
        <v>0.35</v>
      </c>
      <c r="G117" t="s">
        <v>1530</v>
      </c>
      <c r="H117" t="s">
        <v>1518</v>
      </c>
    </row>
    <row r="118" spans="2:8">
      <c r="B118" s="4" t="s">
        <v>1531</v>
      </c>
      <c r="C118" s="4" t="s">
        <v>1186</v>
      </c>
      <c r="D118" t="s">
        <v>1214</v>
      </c>
      <c r="E118" t="s">
        <v>248</v>
      </c>
      <c r="F118">
        <v>2.57</v>
      </c>
      <c r="G118" t="s">
        <v>59</v>
      </c>
      <c r="H118" t="s">
        <v>1509</v>
      </c>
    </row>
    <row r="119" spans="2:8">
      <c r="B119" s="4" t="s">
        <v>1532</v>
      </c>
      <c r="C119" s="4" t="s">
        <v>1186</v>
      </c>
      <c r="D119" t="s">
        <v>1217</v>
      </c>
      <c r="E119" t="s">
        <v>248</v>
      </c>
      <c r="F119">
        <v>2.8</v>
      </c>
      <c r="G119" t="s">
        <v>1253</v>
      </c>
      <c r="H119" t="s">
        <v>1509</v>
      </c>
    </row>
    <row r="120" spans="2:8">
      <c r="B120" s="4" t="s">
        <v>1533</v>
      </c>
      <c r="C120" s="4" t="s">
        <v>1186</v>
      </c>
      <c r="D120" t="s">
        <v>1219</v>
      </c>
      <c r="E120" t="s">
        <v>248</v>
      </c>
      <c r="F120">
        <v>2.9</v>
      </c>
      <c r="G120" t="s">
        <v>1254</v>
      </c>
      <c r="H120" t="s">
        <v>1509</v>
      </c>
    </row>
    <row r="121" spans="2:8">
      <c r="B121" s="4" t="s">
        <v>1534</v>
      </c>
      <c r="C121" s="4" t="s">
        <v>1186</v>
      </c>
      <c r="D121" t="s">
        <v>1221</v>
      </c>
      <c r="E121" t="s">
        <v>248</v>
      </c>
      <c r="F121">
        <v>2.57</v>
      </c>
      <c r="G121" t="s">
        <v>1255</v>
      </c>
      <c r="H121" t="s">
        <v>1509</v>
      </c>
    </row>
    <row r="122" spans="2:8">
      <c r="B122" s="4" t="s">
        <v>1535</v>
      </c>
      <c r="C122" s="4" t="s">
        <v>1186</v>
      </c>
      <c r="D122" t="s">
        <v>1223</v>
      </c>
      <c r="E122" t="s">
        <v>248</v>
      </c>
      <c r="F122">
        <v>4.3</v>
      </c>
      <c r="G122" t="s">
        <v>1256</v>
      </c>
      <c r="H122" t="s">
        <v>1509</v>
      </c>
    </row>
    <row r="123" spans="2:8">
      <c r="B123" s="4" t="s">
        <v>1536</v>
      </c>
      <c r="C123" s="4" t="s">
        <v>1186</v>
      </c>
      <c r="D123" t="s">
        <v>1243</v>
      </c>
      <c r="E123" t="s">
        <v>248</v>
      </c>
      <c r="F123">
        <v>2.57</v>
      </c>
      <c r="G123" t="s">
        <v>1257</v>
      </c>
      <c r="H123" t="s">
        <v>1509</v>
      </c>
    </row>
    <row r="124" spans="2:8">
      <c r="B124" s="4" t="s">
        <v>1537</v>
      </c>
      <c r="C124" s="4" t="s">
        <v>1186</v>
      </c>
      <c r="D124" t="s">
        <v>1245</v>
      </c>
      <c r="E124" t="s">
        <v>248</v>
      </c>
      <c r="F124">
        <v>2.57</v>
      </c>
      <c r="G124" t="s">
        <v>1258</v>
      </c>
      <c r="H124" t="s">
        <v>1509</v>
      </c>
    </row>
    <row r="125" spans="2:8">
      <c r="B125" s="4" t="s">
        <v>1538</v>
      </c>
      <c r="C125" s="4" t="s">
        <v>1186</v>
      </c>
      <c r="D125" t="s">
        <v>1220</v>
      </c>
      <c r="E125" t="s">
        <v>248</v>
      </c>
      <c r="F125">
        <v>1.6</v>
      </c>
      <c r="G125" t="s">
        <v>1520</v>
      </c>
      <c r="H125" t="s">
        <v>1509</v>
      </c>
    </row>
    <row r="126" spans="2:8">
      <c r="B126" s="4" t="s">
        <v>1539</v>
      </c>
      <c r="C126" s="4" t="s">
        <v>1186</v>
      </c>
      <c r="D126" t="s">
        <v>1222</v>
      </c>
      <c r="E126" t="s">
        <v>248</v>
      </c>
      <c r="F126">
        <v>1.6</v>
      </c>
      <c r="G126" t="s">
        <v>1522</v>
      </c>
      <c r="H126" t="s">
        <v>1509</v>
      </c>
    </row>
    <row r="127" spans="2:8">
      <c r="B127" s="4" t="s">
        <v>1540</v>
      </c>
      <c r="C127" s="4" t="s">
        <v>1186</v>
      </c>
      <c r="D127" t="s">
        <v>1242</v>
      </c>
      <c r="E127" t="s">
        <v>248</v>
      </c>
      <c r="F127">
        <v>1.45</v>
      </c>
      <c r="G127" t="s">
        <v>575</v>
      </c>
      <c r="H127" t="s">
        <v>1524</v>
      </c>
    </row>
    <row r="128" spans="2:8">
      <c r="B128" s="4" t="s">
        <v>1574</v>
      </c>
      <c r="C128" s="4" t="s">
        <v>1186</v>
      </c>
      <c r="D128" t="s">
        <v>1244</v>
      </c>
      <c r="E128" t="s">
        <v>248</v>
      </c>
      <c r="F128">
        <v>1.1000000000000001</v>
      </c>
      <c r="G128" t="s">
        <v>70</v>
      </c>
      <c r="H128" t="s">
        <v>1526</v>
      </c>
    </row>
    <row r="129" spans="2:8">
      <c r="B129" s="4" t="s">
        <v>1542</v>
      </c>
      <c r="C129" s="4" t="s">
        <v>1186</v>
      </c>
      <c r="D129" t="s">
        <v>1529</v>
      </c>
      <c r="E129" t="s">
        <v>248</v>
      </c>
      <c r="F129">
        <v>1.1000000000000001</v>
      </c>
      <c r="G129" t="s">
        <v>1530</v>
      </c>
      <c r="H129" t="s">
        <v>1518</v>
      </c>
    </row>
    <row r="130" spans="2:8" ht="30">
      <c r="B130" s="4" t="s">
        <v>1575</v>
      </c>
      <c r="C130" s="4" t="s">
        <v>1190</v>
      </c>
      <c r="D130" t="s">
        <v>1213</v>
      </c>
      <c r="E130" t="s">
        <v>250</v>
      </c>
      <c r="F130">
        <v>2.6</v>
      </c>
      <c r="G130" t="s">
        <v>56</v>
      </c>
      <c r="H130" t="s">
        <v>1509</v>
      </c>
    </row>
    <row r="131" spans="2:8" ht="30">
      <c r="B131" s="4" t="s">
        <v>1544</v>
      </c>
      <c r="C131" s="4" t="s">
        <v>1190</v>
      </c>
      <c r="D131" t="s">
        <v>1214</v>
      </c>
      <c r="E131" t="s">
        <v>250</v>
      </c>
      <c r="F131">
        <v>2.6</v>
      </c>
      <c r="G131" t="s">
        <v>59</v>
      </c>
      <c r="H131" t="s">
        <v>1509</v>
      </c>
    </row>
    <row r="132" spans="2:8" ht="30">
      <c r="B132" s="4" t="s">
        <v>1545</v>
      </c>
      <c r="C132" s="4" t="s">
        <v>1190</v>
      </c>
      <c r="D132" t="s">
        <v>1217</v>
      </c>
      <c r="E132" t="s">
        <v>250</v>
      </c>
      <c r="F132">
        <v>1.41</v>
      </c>
      <c r="G132" t="s">
        <v>1253</v>
      </c>
      <c r="H132" t="s">
        <v>1509</v>
      </c>
    </row>
    <row r="133" spans="2:8" ht="30">
      <c r="B133" s="4" t="s">
        <v>1546</v>
      </c>
      <c r="C133" s="4" t="s">
        <v>1190</v>
      </c>
      <c r="D133" t="s">
        <v>1219</v>
      </c>
      <c r="E133" t="s">
        <v>250</v>
      </c>
      <c r="F133">
        <v>1.17</v>
      </c>
      <c r="G133" t="s">
        <v>1254</v>
      </c>
      <c r="H133" t="s">
        <v>1509</v>
      </c>
    </row>
    <row r="134" spans="2:8" ht="30">
      <c r="B134" s="4" t="s">
        <v>1547</v>
      </c>
      <c r="C134" s="4" t="s">
        <v>1190</v>
      </c>
      <c r="D134" t="s">
        <v>1221</v>
      </c>
      <c r="E134" t="s">
        <v>250</v>
      </c>
      <c r="F134">
        <v>2.2999999999999998</v>
      </c>
      <c r="G134" t="s">
        <v>1255</v>
      </c>
      <c r="H134" t="s">
        <v>1509</v>
      </c>
    </row>
    <row r="135" spans="2:8" ht="30">
      <c r="B135" s="4" t="s">
        <v>1548</v>
      </c>
      <c r="C135" s="4" t="s">
        <v>1190</v>
      </c>
      <c r="D135" t="s">
        <v>1223</v>
      </c>
      <c r="E135" t="s">
        <v>250</v>
      </c>
      <c r="F135">
        <v>0.59</v>
      </c>
      <c r="G135" t="s">
        <v>1256</v>
      </c>
      <c r="H135" t="s">
        <v>1509</v>
      </c>
    </row>
    <row r="136" spans="2:8" ht="30">
      <c r="B136" s="4" t="s">
        <v>1549</v>
      </c>
      <c r="C136" s="4" t="s">
        <v>1190</v>
      </c>
      <c r="D136" t="s">
        <v>1243</v>
      </c>
      <c r="E136" t="s">
        <v>250</v>
      </c>
      <c r="F136">
        <v>0.44</v>
      </c>
      <c r="G136" t="s">
        <v>1257</v>
      </c>
      <c r="H136" t="s">
        <v>1509</v>
      </c>
    </row>
    <row r="137" spans="2:8" ht="30">
      <c r="B137" s="4" t="s">
        <v>1550</v>
      </c>
      <c r="C137" s="4" t="s">
        <v>1190</v>
      </c>
      <c r="D137" t="s">
        <v>1245</v>
      </c>
      <c r="E137" t="s">
        <v>250</v>
      </c>
      <c r="F137">
        <v>0.45</v>
      </c>
      <c r="G137" t="s">
        <v>1258</v>
      </c>
      <c r="H137" t="s">
        <v>1518</v>
      </c>
    </row>
    <row r="138" spans="2:8" ht="30">
      <c r="B138" s="4" t="s">
        <v>1551</v>
      </c>
      <c r="C138" s="4" t="s">
        <v>1190</v>
      </c>
      <c r="D138" t="s">
        <v>1220</v>
      </c>
      <c r="E138" t="s">
        <v>250</v>
      </c>
      <c r="F138">
        <v>0.3</v>
      </c>
      <c r="G138" t="s">
        <v>1520</v>
      </c>
      <c r="H138" t="s">
        <v>1518</v>
      </c>
    </row>
    <row r="139" spans="2:8" ht="30">
      <c r="B139" s="4" t="s">
        <v>1552</v>
      </c>
      <c r="C139" s="4" t="s">
        <v>1190</v>
      </c>
      <c r="D139" t="s">
        <v>1222</v>
      </c>
      <c r="E139" t="s">
        <v>250</v>
      </c>
      <c r="F139">
        <v>0.27500000000000002</v>
      </c>
      <c r="G139" t="s">
        <v>1522</v>
      </c>
      <c r="H139" t="s">
        <v>1518</v>
      </c>
    </row>
    <row r="140" spans="2:8" ht="30">
      <c r="B140" s="4" t="s">
        <v>1553</v>
      </c>
      <c r="C140" s="4" t="s">
        <v>1190</v>
      </c>
      <c r="D140" t="s">
        <v>1242</v>
      </c>
      <c r="E140" t="s">
        <v>250</v>
      </c>
      <c r="F140">
        <v>0.22</v>
      </c>
      <c r="G140" t="s">
        <v>575</v>
      </c>
      <c r="H140" t="s">
        <v>1524</v>
      </c>
    </row>
    <row r="141" spans="2:8" ht="30">
      <c r="B141" s="4" t="s">
        <v>1576</v>
      </c>
      <c r="C141" s="4" t="s">
        <v>1190</v>
      </c>
      <c r="D141" t="s">
        <v>1244</v>
      </c>
      <c r="E141" t="s">
        <v>250</v>
      </c>
      <c r="F141">
        <v>0.22</v>
      </c>
      <c r="G141" t="s">
        <v>70</v>
      </c>
      <c r="H141" t="s">
        <v>1526</v>
      </c>
    </row>
    <row r="142" spans="2:8" ht="30">
      <c r="B142" s="4" t="s">
        <v>1555</v>
      </c>
      <c r="C142" s="4" t="s">
        <v>1190</v>
      </c>
      <c r="D142" t="s">
        <v>1529</v>
      </c>
      <c r="E142" t="s">
        <v>250</v>
      </c>
      <c r="F142">
        <v>0.22</v>
      </c>
      <c r="G142" t="s">
        <v>1530</v>
      </c>
      <c r="H142" t="s">
        <v>1518</v>
      </c>
    </row>
    <row r="143" spans="2:8" ht="30">
      <c r="B143" s="4" t="s">
        <v>1575</v>
      </c>
      <c r="C143" s="4" t="s">
        <v>1190</v>
      </c>
      <c r="D143" t="s">
        <v>1213</v>
      </c>
      <c r="E143" t="s">
        <v>120</v>
      </c>
      <c r="F143">
        <v>1.9</v>
      </c>
      <c r="G143" t="s">
        <v>56</v>
      </c>
      <c r="H143" t="s">
        <v>1509</v>
      </c>
    </row>
    <row r="144" spans="2:8" ht="30">
      <c r="B144" s="4" t="s">
        <v>1544</v>
      </c>
      <c r="C144" s="4" t="s">
        <v>1190</v>
      </c>
      <c r="D144" t="s">
        <v>1214</v>
      </c>
      <c r="E144" t="s">
        <v>120</v>
      </c>
      <c r="F144">
        <v>1.45</v>
      </c>
      <c r="G144" t="s">
        <v>59</v>
      </c>
      <c r="H144" t="s">
        <v>1509</v>
      </c>
    </row>
    <row r="145" spans="2:8" ht="30">
      <c r="B145" s="4" t="s">
        <v>1545</v>
      </c>
      <c r="C145" s="4" t="s">
        <v>1190</v>
      </c>
      <c r="D145" t="s">
        <v>1217</v>
      </c>
      <c r="E145" t="s">
        <v>120</v>
      </c>
      <c r="F145">
        <v>1.64</v>
      </c>
      <c r="G145" t="s">
        <v>1253</v>
      </c>
      <c r="H145" t="s">
        <v>1509</v>
      </c>
    </row>
    <row r="146" spans="2:8" ht="30">
      <c r="B146" s="4" t="s">
        <v>1546</v>
      </c>
      <c r="C146" s="4" t="s">
        <v>1190</v>
      </c>
      <c r="D146" t="s">
        <v>1219</v>
      </c>
      <c r="E146" t="s">
        <v>120</v>
      </c>
      <c r="F146">
        <v>1.44</v>
      </c>
      <c r="G146" t="s">
        <v>1254</v>
      </c>
      <c r="H146" t="s">
        <v>1509</v>
      </c>
    </row>
    <row r="147" spans="2:8" ht="30">
      <c r="B147" s="4" t="s">
        <v>1547</v>
      </c>
      <c r="C147" s="4" t="s">
        <v>1190</v>
      </c>
      <c r="D147" t="s">
        <v>1221</v>
      </c>
      <c r="E147" t="s">
        <v>120</v>
      </c>
      <c r="F147">
        <v>1.21</v>
      </c>
      <c r="G147" t="s">
        <v>1255</v>
      </c>
      <c r="H147" t="s">
        <v>1509</v>
      </c>
    </row>
    <row r="148" spans="2:8" ht="30">
      <c r="B148" s="4" t="s">
        <v>1548</v>
      </c>
      <c r="C148" s="4" t="s">
        <v>1190</v>
      </c>
      <c r="D148" t="s">
        <v>1223</v>
      </c>
      <c r="E148" t="s">
        <v>120</v>
      </c>
      <c r="F148">
        <v>0.74</v>
      </c>
      <c r="G148" t="s">
        <v>1256</v>
      </c>
      <c r="H148" t="s">
        <v>1509</v>
      </c>
    </row>
    <row r="149" spans="2:8" ht="30">
      <c r="B149" s="4" t="s">
        <v>1549</v>
      </c>
      <c r="C149" s="4" t="s">
        <v>1190</v>
      </c>
      <c r="D149" t="s">
        <v>1243</v>
      </c>
      <c r="E149" t="s">
        <v>120</v>
      </c>
      <c r="F149">
        <v>0.8</v>
      </c>
      <c r="G149" t="s">
        <v>1257</v>
      </c>
      <c r="H149" t="s">
        <v>1509</v>
      </c>
    </row>
    <row r="150" spans="2:8" ht="30">
      <c r="B150" s="4" t="s">
        <v>1550</v>
      </c>
      <c r="C150" s="4" t="s">
        <v>1190</v>
      </c>
      <c r="D150" t="s">
        <v>1245</v>
      </c>
      <c r="E150" t="s">
        <v>120</v>
      </c>
      <c r="F150">
        <v>0.66</v>
      </c>
      <c r="G150" t="s">
        <v>1258</v>
      </c>
      <c r="H150" t="s">
        <v>1509</v>
      </c>
    </row>
    <row r="151" spans="2:8" ht="30">
      <c r="B151" s="4" t="s">
        <v>1551</v>
      </c>
      <c r="C151" s="4" t="s">
        <v>1190</v>
      </c>
      <c r="D151" t="s">
        <v>1220</v>
      </c>
      <c r="E151" t="s">
        <v>120</v>
      </c>
      <c r="F151">
        <v>0.28000000000000003</v>
      </c>
      <c r="G151" t="s">
        <v>1520</v>
      </c>
      <c r="H151" t="s">
        <v>1509</v>
      </c>
    </row>
    <row r="152" spans="2:8" ht="30">
      <c r="B152" s="4" t="s">
        <v>1552</v>
      </c>
      <c r="C152" s="4" t="s">
        <v>1190</v>
      </c>
      <c r="D152" t="s">
        <v>1222</v>
      </c>
      <c r="E152" t="s">
        <v>120</v>
      </c>
      <c r="F152">
        <v>0.35</v>
      </c>
      <c r="G152" t="s">
        <v>1522</v>
      </c>
      <c r="H152" t="s">
        <v>1509</v>
      </c>
    </row>
    <row r="153" spans="2:8" ht="30">
      <c r="B153" s="4" t="s">
        <v>1553</v>
      </c>
      <c r="C153" s="4" t="s">
        <v>1190</v>
      </c>
      <c r="D153" t="s">
        <v>1242</v>
      </c>
      <c r="E153" t="s">
        <v>120</v>
      </c>
      <c r="F153">
        <v>0.24</v>
      </c>
      <c r="G153" t="s">
        <v>575</v>
      </c>
      <c r="H153" t="s">
        <v>1524</v>
      </c>
    </row>
    <row r="154" spans="2:8" ht="30">
      <c r="B154" s="4" t="s">
        <v>1576</v>
      </c>
      <c r="C154" s="4" t="s">
        <v>1190</v>
      </c>
      <c r="D154" t="s">
        <v>1244</v>
      </c>
      <c r="E154" t="s">
        <v>120</v>
      </c>
      <c r="F154">
        <v>0.24</v>
      </c>
      <c r="G154" t="s">
        <v>70</v>
      </c>
      <c r="H154" t="s">
        <v>1526</v>
      </c>
    </row>
    <row r="155" spans="2:8" ht="30">
      <c r="B155" s="4" t="s">
        <v>1555</v>
      </c>
      <c r="C155" s="4" t="s">
        <v>1190</v>
      </c>
      <c r="D155" t="s">
        <v>1529</v>
      </c>
      <c r="E155" t="s">
        <v>120</v>
      </c>
      <c r="F155">
        <v>0.24</v>
      </c>
      <c r="G155" t="s">
        <v>1530</v>
      </c>
      <c r="H155" t="s">
        <v>1518</v>
      </c>
    </row>
    <row r="156" spans="2:8" ht="30">
      <c r="B156" s="4" t="s">
        <v>1575</v>
      </c>
      <c r="C156" s="4" t="s">
        <v>1190</v>
      </c>
      <c r="D156" t="s">
        <v>1213</v>
      </c>
      <c r="E156" t="s">
        <v>252</v>
      </c>
      <c r="F156">
        <v>1.04</v>
      </c>
      <c r="G156" t="s">
        <v>56</v>
      </c>
      <c r="H156" t="s">
        <v>1509</v>
      </c>
    </row>
    <row r="157" spans="2:8" ht="30">
      <c r="B157" s="4" t="s">
        <v>1544</v>
      </c>
      <c r="C157" s="4" t="s">
        <v>1190</v>
      </c>
      <c r="D157" t="s">
        <v>1214</v>
      </c>
      <c r="E157" t="s">
        <v>252</v>
      </c>
      <c r="F157">
        <v>1.37</v>
      </c>
      <c r="G157" t="s">
        <v>59</v>
      </c>
      <c r="H157" t="s">
        <v>1509</v>
      </c>
    </row>
    <row r="158" spans="2:8" ht="30">
      <c r="B158" s="4" t="s">
        <v>1545</v>
      </c>
      <c r="C158" s="4" t="s">
        <v>1190</v>
      </c>
      <c r="D158" t="s">
        <v>1217</v>
      </c>
      <c r="E158" t="s">
        <v>252</v>
      </c>
      <c r="F158">
        <v>1.1100000000000001</v>
      </c>
      <c r="G158" t="s">
        <v>1253</v>
      </c>
      <c r="H158" t="s">
        <v>1509</v>
      </c>
    </row>
    <row r="159" spans="2:8" ht="30">
      <c r="B159" s="4" t="s">
        <v>1546</v>
      </c>
      <c r="C159" s="4" t="s">
        <v>1190</v>
      </c>
      <c r="D159" t="s">
        <v>1219</v>
      </c>
      <c r="E159" t="s">
        <v>252</v>
      </c>
      <c r="F159">
        <v>1.65</v>
      </c>
      <c r="G159" t="s">
        <v>1254</v>
      </c>
      <c r="H159" t="s">
        <v>1509</v>
      </c>
    </row>
    <row r="160" spans="2:8" ht="30">
      <c r="B160" s="4" t="s">
        <v>1547</v>
      </c>
      <c r="C160" s="4" t="s">
        <v>1190</v>
      </c>
      <c r="D160" t="s">
        <v>1221</v>
      </c>
      <c r="E160" t="s">
        <v>252</v>
      </c>
      <c r="F160">
        <v>0.97</v>
      </c>
      <c r="G160" t="s">
        <v>1255</v>
      </c>
      <c r="H160" t="s">
        <v>1509</v>
      </c>
    </row>
    <row r="161" spans="2:8" ht="30">
      <c r="B161" s="4" t="s">
        <v>1548</v>
      </c>
      <c r="C161" s="4" t="s">
        <v>1190</v>
      </c>
      <c r="D161" t="s">
        <v>1223</v>
      </c>
      <c r="E161" t="s">
        <v>252</v>
      </c>
      <c r="F161">
        <v>0.97</v>
      </c>
      <c r="G161" t="s">
        <v>1256</v>
      </c>
      <c r="H161" t="s">
        <v>1509</v>
      </c>
    </row>
    <row r="162" spans="2:8" ht="30">
      <c r="B162" s="4" t="s">
        <v>1549</v>
      </c>
      <c r="C162" s="4" t="s">
        <v>1190</v>
      </c>
      <c r="D162" t="s">
        <v>1243</v>
      </c>
      <c r="E162" t="s">
        <v>252</v>
      </c>
      <c r="F162">
        <v>0.67</v>
      </c>
      <c r="G162" t="s">
        <v>1257</v>
      </c>
      <c r="H162" t="s">
        <v>1509</v>
      </c>
    </row>
    <row r="163" spans="2:8" ht="30">
      <c r="B163" s="4" t="s">
        <v>1550</v>
      </c>
      <c r="C163" s="4" t="s">
        <v>1190</v>
      </c>
      <c r="D163" t="s">
        <v>1245</v>
      </c>
      <c r="E163" t="s">
        <v>252</v>
      </c>
      <c r="F163">
        <v>0.55000000000000004</v>
      </c>
      <c r="G163" t="s">
        <v>1258</v>
      </c>
      <c r="H163" t="s">
        <v>1509</v>
      </c>
    </row>
    <row r="164" spans="2:8" ht="30">
      <c r="B164" s="4" t="s">
        <v>1551</v>
      </c>
      <c r="C164" s="4" t="s">
        <v>1190</v>
      </c>
      <c r="D164" t="s">
        <v>1220</v>
      </c>
      <c r="E164" t="s">
        <v>252</v>
      </c>
      <c r="F164">
        <v>0.5</v>
      </c>
      <c r="G164" t="s">
        <v>1520</v>
      </c>
      <c r="H164" t="s">
        <v>1518</v>
      </c>
    </row>
    <row r="165" spans="2:8" ht="30">
      <c r="B165" s="4" t="s">
        <v>1552</v>
      </c>
      <c r="C165" s="4" t="s">
        <v>1190</v>
      </c>
      <c r="D165" t="s">
        <v>1222</v>
      </c>
      <c r="E165" t="s">
        <v>252</v>
      </c>
      <c r="F165">
        <v>0.34</v>
      </c>
      <c r="G165" t="s">
        <v>1522</v>
      </c>
      <c r="H165" t="s">
        <v>1509</v>
      </c>
    </row>
    <row r="166" spans="2:8" ht="30">
      <c r="B166" s="4" t="s">
        <v>1553</v>
      </c>
      <c r="C166" s="4" t="s">
        <v>1190</v>
      </c>
      <c r="D166" t="s">
        <v>1242</v>
      </c>
      <c r="E166" t="s">
        <v>252</v>
      </c>
      <c r="F166">
        <v>0.3</v>
      </c>
      <c r="G166" t="s">
        <v>575</v>
      </c>
      <c r="H166" t="s">
        <v>1524</v>
      </c>
    </row>
    <row r="167" spans="2:8" ht="30">
      <c r="B167" s="4" t="s">
        <v>1576</v>
      </c>
      <c r="C167" s="4" t="s">
        <v>1190</v>
      </c>
      <c r="D167" t="s">
        <v>1244</v>
      </c>
      <c r="E167" t="s">
        <v>252</v>
      </c>
      <c r="F167">
        <v>0.35</v>
      </c>
      <c r="G167" t="s">
        <v>70</v>
      </c>
      <c r="H167" s="69" t="s">
        <v>1577</v>
      </c>
    </row>
    <row r="168" spans="2:8" ht="30">
      <c r="B168" s="4" t="s">
        <v>1555</v>
      </c>
      <c r="C168" s="4" t="s">
        <v>1190</v>
      </c>
      <c r="D168" t="s">
        <v>1529</v>
      </c>
      <c r="E168" t="s">
        <v>252</v>
      </c>
      <c r="F168">
        <v>0.35</v>
      </c>
      <c r="G168" t="s">
        <v>1530</v>
      </c>
      <c r="H168" t="s">
        <v>1518</v>
      </c>
    </row>
    <row r="169" spans="2:8" ht="30">
      <c r="B169" s="4" t="s">
        <v>1575</v>
      </c>
      <c r="C169" s="4" t="s">
        <v>1190</v>
      </c>
      <c r="D169" t="s">
        <v>1213</v>
      </c>
      <c r="E169" t="s">
        <v>248</v>
      </c>
      <c r="F169">
        <v>2.57</v>
      </c>
      <c r="G169" t="s">
        <v>56</v>
      </c>
      <c r="H169" t="s">
        <v>1509</v>
      </c>
    </row>
    <row r="170" spans="2:8" ht="30">
      <c r="B170" s="4" t="s">
        <v>1544</v>
      </c>
      <c r="C170" s="4" t="s">
        <v>1190</v>
      </c>
      <c r="D170" t="s">
        <v>1214</v>
      </c>
      <c r="E170" t="s">
        <v>248</v>
      </c>
      <c r="F170">
        <v>2.57</v>
      </c>
      <c r="G170" t="s">
        <v>59</v>
      </c>
      <c r="H170" t="s">
        <v>1509</v>
      </c>
    </row>
    <row r="171" spans="2:8" ht="30">
      <c r="B171" s="4" t="s">
        <v>1545</v>
      </c>
      <c r="C171" s="4" t="s">
        <v>1190</v>
      </c>
      <c r="D171" t="s">
        <v>1217</v>
      </c>
      <c r="E171" t="s">
        <v>248</v>
      </c>
      <c r="F171">
        <v>4.3</v>
      </c>
      <c r="G171" t="s">
        <v>1253</v>
      </c>
      <c r="H171" t="s">
        <v>1509</v>
      </c>
    </row>
    <row r="172" spans="2:8" ht="30">
      <c r="B172" s="4" t="s">
        <v>1546</v>
      </c>
      <c r="C172" s="4" t="s">
        <v>1190</v>
      </c>
      <c r="D172" t="s">
        <v>1219</v>
      </c>
      <c r="E172" t="s">
        <v>248</v>
      </c>
      <c r="F172">
        <v>2.8</v>
      </c>
      <c r="G172" t="s">
        <v>1254</v>
      </c>
      <c r="H172" t="s">
        <v>1509</v>
      </c>
    </row>
    <row r="173" spans="2:8" ht="30">
      <c r="B173" s="4" t="s">
        <v>1547</v>
      </c>
      <c r="C173" s="4" t="s">
        <v>1190</v>
      </c>
      <c r="D173" t="s">
        <v>1221</v>
      </c>
      <c r="E173" t="s">
        <v>248</v>
      </c>
      <c r="F173">
        <v>2.57</v>
      </c>
      <c r="G173" t="s">
        <v>1255</v>
      </c>
      <c r="H173" t="s">
        <v>1509</v>
      </c>
    </row>
    <row r="174" spans="2:8" ht="30">
      <c r="B174" s="4" t="s">
        <v>1548</v>
      </c>
      <c r="C174" s="4" t="s">
        <v>1190</v>
      </c>
      <c r="D174" t="s">
        <v>1223</v>
      </c>
      <c r="E174" t="s">
        <v>248</v>
      </c>
      <c r="F174">
        <v>2.8</v>
      </c>
      <c r="G174" t="s">
        <v>1256</v>
      </c>
      <c r="H174" t="s">
        <v>1509</v>
      </c>
    </row>
    <row r="175" spans="2:8" ht="30">
      <c r="B175" s="4" t="s">
        <v>1549</v>
      </c>
      <c r="C175" s="4" t="s">
        <v>1190</v>
      </c>
      <c r="D175" t="s">
        <v>1243</v>
      </c>
      <c r="E175" t="s">
        <v>248</v>
      </c>
      <c r="F175">
        <v>2.57</v>
      </c>
      <c r="G175" t="s">
        <v>1257</v>
      </c>
      <c r="H175" t="s">
        <v>1509</v>
      </c>
    </row>
    <row r="176" spans="2:8" ht="30">
      <c r="B176" s="4" t="s">
        <v>1550</v>
      </c>
      <c r="C176" s="4" t="s">
        <v>1190</v>
      </c>
      <c r="D176" t="s">
        <v>1245</v>
      </c>
      <c r="E176" t="s">
        <v>248</v>
      </c>
      <c r="F176">
        <v>2.57</v>
      </c>
      <c r="G176" t="s">
        <v>1258</v>
      </c>
      <c r="H176" t="s">
        <v>1509</v>
      </c>
    </row>
    <row r="177" spans="2:8" ht="30">
      <c r="B177" s="4" t="s">
        <v>1551</v>
      </c>
      <c r="C177" s="4" t="s">
        <v>1190</v>
      </c>
      <c r="D177" t="s">
        <v>1220</v>
      </c>
      <c r="E177" t="s">
        <v>248</v>
      </c>
      <c r="F177">
        <v>1.6</v>
      </c>
      <c r="G177" t="s">
        <v>1520</v>
      </c>
      <c r="H177" t="s">
        <v>1509</v>
      </c>
    </row>
    <row r="178" spans="2:8" ht="30">
      <c r="B178" s="4" t="s">
        <v>1552</v>
      </c>
      <c r="C178" s="4" t="s">
        <v>1190</v>
      </c>
      <c r="D178" t="s">
        <v>1222</v>
      </c>
      <c r="E178" t="s">
        <v>248</v>
      </c>
      <c r="F178">
        <v>1.6</v>
      </c>
      <c r="G178" t="s">
        <v>1522</v>
      </c>
      <c r="H178" t="s">
        <v>1509</v>
      </c>
    </row>
    <row r="179" spans="2:8" ht="30">
      <c r="B179" s="4" t="s">
        <v>1553</v>
      </c>
      <c r="C179" s="4" t="s">
        <v>1190</v>
      </c>
      <c r="D179" t="s">
        <v>1242</v>
      </c>
      <c r="E179" t="s">
        <v>248</v>
      </c>
      <c r="F179">
        <v>1.45</v>
      </c>
      <c r="G179" t="s">
        <v>575</v>
      </c>
      <c r="H179" t="s">
        <v>1524</v>
      </c>
    </row>
    <row r="180" spans="2:8" ht="30">
      <c r="B180" s="4" t="s">
        <v>1576</v>
      </c>
      <c r="C180" s="4" t="s">
        <v>1190</v>
      </c>
      <c r="D180" t="s">
        <v>1244</v>
      </c>
      <c r="E180" t="s">
        <v>248</v>
      </c>
      <c r="F180">
        <v>1.1000000000000001</v>
      </c>
      <c r="G180" t="s">
        <v>70</v>
      </c>
      <c r="H180" t="s">
        <v>1526</v>
      </c>
    </row>
    <row r="181" spans="2:8" ht="30">
      <c r="B181" s="4" t="s">
        <v>1555</v>
      </c>
      <c r="C181" s="4" t="s">
        <v>1190</v>
      </c>
      <c r="D181" t="s">
        <v>1529</v>
      </c>
      <c r="E181" t="s">
        <v>248</v>
      </c>
      <c r="F181">
        <v>1.1000000000000001</v>
      </c>
      <c r="G181" t="s">
        <v>1530</v>
      </c>
      <c r="H181" t="s">
        <v>1518</v>
      </c>
    </row>
    <row r="182" spans="2:8" ht="45">
      <c r="B182" s="4" t="s">
        <v>1556</v>
      </c>
      <c r="C182" s="4" t="s">
        <v>1578</v>
      </c>
      <c r="D182" t="s">
        <v>1214</v>
      </c>
      <c r="E182" t="s">
        <v>250</v>
      </c>
      <c r="F182">
        <v>2.6</v>
      </c>
      <c r="G182" t="s">
        <v>59</v>
      </c>
      <c r="H182" t="s">
        <v>1509</v>
      </c>
    </row>
    <row r="183" spans="2:8" ht="45">
      <c r="B183" s="4" t="s">
        <v>1557</v>
      </c>
      <c r="C183" s="4" t="s">
        <v>1578</v>
      </c>
      <c r="D183" t="s">
        <v>1217</v>
      </c>
      <c r="E183" t="s">
        <v>250</v>
      </c>
      <c r="F183">
        <v>0.78</v>
      </c>
      <c r="G183" t="s">
        <v>1253</v>
      </c>
      <c r="H183" t="s">
        <v>1509</v>
      </c>
    </row>
    <row r="184" spans="2:8" ht="45">
      <c r="B184" s="4" t="s">
        <v>1558</v>
      </c>
      <c r="C184" s="4" t="s">
        <v>1578</v>
      </c>
      <c r="D184" t="s">
        <v>1219</v>
      </c>
      <c r="E184" t="s">
        <v>250</v>
      </c>
      <c r="F184">
        <v>2.08</v>
      </c>
      <c r="G184" t="s">
        <v>1254</v>
      </c>
      <c r="H184" t="s">
        <v>1509</v>
      </c>
    </row>
    <row r="185" spans="2:8" ht="45">
      <c r="B185" s="4" t="s">
        <v>1559</v>
      </c>
      <c r="C185" s="4" t="s">
        <v>1578</v>
      </c>
      <c r="D185" t="s">
        <v>1221</v>
      </c>
      <c r="E185" t="s">
        <v>250</v>
      </c>
      <c r="F185">
        <v>0.82</v>
      </c>
      <c r="G185" t="s">
        <v>1255</v>
      </c>
      <c r="H185" t="s">
        <v>1509</v>
      </c>
    </row>
    <row r="186" spans="2:8" ht="45">
      <c r="B186" s="4" t="s">
        <v>1560</v>
      </c>
      <c r="C186" s="4" t="s">
        <v>1578</v>
      </c>
      <c r="D186" t="s">
        <v>1223</v>
      </c>
      <c r="E186" t="s">
        <v>250</v>
      </c>
      <c r="F186">
        <v>0.82</v>
      </c>
      <c r="G186" t="s">
        <v>1256</v>
      </c>
      <c r="H186" t="s">
        <v>1509</v>
      </c>
    </row>
    <row r="187" spans="2:8" ht="45">
      <c r="B187" s="4" t="s">
        <v>1561</v>
      </c>
      <c r="C187" s="4" t="s">
        <v>1578</v>
      </c>
      <c r="D187" t="s">
        <v>1243</v>
      </c>
      <c r="E187" t="s">
        <v>250</v>
      </c>
      <c r="F187">
        <v>0.44</v>
      </c>
      <c r="G187" t="s">
        <v>1257</v>
      </c>
      <c r="H187" t="s">
        <v>1518</v>
      </c>
    </row>
    <row r="188" spans="2:8" ht="45">
      <c r="B188" s="4" t="s">
        <v>1562</v>
      </c>
      <c r="C188" s="4" t="s">
        <v>1578</v>
      </c>
      <c r="D188" t="s">
        <v>1245</v>
      </c>
      <c r="E188" t="s">
        <v>250</v>
      </c>
      <c r="F188">
        <v>0.45</v>
      </c>
      <c r="G188" t="s">
        <v>1258</v>
      </c>
      <c r="H188" t="s">
        <v>1518</v>
      </c>
    </row>
    <row r="189" spans="2:8" ht="45">
      <c r="B189" s="4" t="s">
        <v>1563</v>
      </c>
      <c r="C189" s="4" t="s">
        <v>1578</v>
      </c>
      <c r="D189" t="s">
        <v>1220</v>
      </c>
      <c r="E189" t="s">
        <v>250</v>
      </c>
      <c r="F189">
        <v>0.3</v>
      </c>
      <c r="G189" t="s">
        <v>1520</v>
      </c>
      <c r="H189" t="s">
        <v>1518</v>
      </c>
    </row>
    <row r="190" spans="2:8" ht="45">
      <c r="B190" s="4" t="s">
        <v>1564</v>
      </c>
      <c r="C190" s="4" t="s">
        <v>1578</v>
      </c>
      <c r="D190" t="s">
        <v>1222</v>
      </c>
      <c r="E190" t="s">
        <v>250</v>
      </c>
      <c r="F190">
        <v>0.27500000000000002</v>
      </c>
      <c r="G190" t="s">
        <v>1522</v>
      </c>
      <c r="H190" t="s">
        <v>1518</v>
      </c>
    </row>
    <row r="191" spans="2:8" ht="45">
      <c r="B191" s="4" t="s">
        <v>1565</v>
      </c>
      <c r="C191" s="4" t="s">
        <v>1578</v>
      </c>
      <c r="D191" t="s">
        <v>1242</v>
      </c>
      <c r="E191" t="s">
        <v>250</v>
      </c>
      <c r="F191">
        <v>0.22</v>
      </c>
      <c r="G191" t="s">
        <v>575</v>
      </c>
      <c r="H191" t="s">
        <v>1524</v>
      </c>
    </row>
    <row r="192" spans="2:8" ht="45">
      <c r="B192" s="4" t="s">
        <v>1579</v>
      </c>
      <c r="C192" s="4" t="s">
        <v>1578</v>
      </c>
      <c r="D192" t="s">
        <v>1244</v>
      </c>
      <c r="E192" t="s">
        <v>250</v>
      </c>
      <c r="F192">
        <v>0.22</v>
      </c>
      <c r="G192" t="s">
        <v>70</v>
      </c>
      <c r="H192" t="s">
        <v>1526</v>
      </c>
    </row>
    <row r="193" spans="2:8" ht="45">
      <c r="B193" s="4" t="s">
        <v>1567</v>
      </c>
      <c r="C193" s="4" t="s">
        <v>1578</v>
      </c>
      <c r="D193" t="s">
        <v>1529</v>
      </c>
      <c r="E193" t="s">
        <v>250</v>
      </c>
      <c r="F193">
        <v>0.22</v>
      </c>
      <c r="G193" t="s">
        <v>1530</v>
      </c>
      <c r="H193" t="s">
        <v>1518</v>
      </c>
    </row>
    <row r="194" spans="2:8" ht="45">
      <c r="B194" s="4" t="s">
        <v>1556</v>
      </c>
      <c r="C194" s="4" t="s">
        <v>1578</v>
      </c>
      <c r="D194" t="s">
        <v>1214</v>
      </c>
      <c r="E194" t="s">
        <v>120</v>
      </c>
      <c r="F194">
        <v>1.45</v>
      </c>
      <c r="G194" t="s">
        <v>59</v>
      </c>
      <c r="H194" t="s">
        <v>1509</v>
      </c>
    </row>
    <row r="195" spans="2:8" ht="45">
      <c r="B195" s="4" t="s">
        <v>1557</v>
      </c>
      <c r="C195" s="4" t="s">
        <v>1578</v>
      </c>
      <c r="D195" t="s">
        <v>1217</v>
      </c>
      <c r="E195" t="s">
        <v>120</v>
      </c>
      <c r="F195">
        <v>1.45</v>
      </c>
      <c r="G195" t="s">
        <v>1253</v>
      </c>
      <c r="H195" t="s">
        <v>1509</v>
      </c>
    </row>
    <row r="196" spans="2:8" ht="45">
      <c r="B196" s="4" t="s">
        <v>1558</v>
      </c>
      <c r="C196" s="4" t="s">
        <v>1578</v>
      </c>
      <c r="D196" t="s">
        <v>1219</v>
      </c>
      <c r="E196" t="s">
        <v>120</v>
      </c>
      <c r="F196">
        <v>1.21</v>
      </c>
      <c r="G196" t="s">
        <v>1254</v>
      </c>
      <c r="H196" t="s">
        <v>1509</v>
      </c>
    </row>
    <row r="197" spans="2:8" ht="45">
      <c r="B197" s="4" t="s">
        <v>1559</v>
      </c>
      <c r="C197" s="4" t="s">
        <v>1578</v>
      </c>
      <c r="D197" t="s">
        <v>1221</v>
      </c>
      <c r="E197" t="s">
        <v>120</v>
      </c>
      <c r="F197">
        <v>1.3</v>
      </c>
      <c r="G197" t="s">
        <v>1255</v>
      </c>
      <c r="H197" t="s">
        <v>1509</v>
      </c>
    </row>
    <row r="198" spans="2:8" ht="45">
      <c r="B198" s="4" t="s">
        <v>1560</v>
      </c>
      <c r="C198" s="4" t="s">
        <v>1578</v>
      </c>
      <c r="D198" t="s">
        <v>1223</v>
      </c>
      <c r="E198" t="s">
        <v>120</v>
      </c>
      <c r="F198">
        <v>1.46</v>
      </c>
      <c r="G198" t="s">
        <v>1256</v>
      </c>
      <c r="H198" t="s">
        <v>1509</v>
      </c>
    </row>
    <row r="199" spans="2:8" ht="45">
      <c r="B199" s="4" t="s">
        <v>1561</v>
      </c>
      <c r="C199" s="4" t="s">
        <v>1578</v>
      </c>
      <c r="D199" t="s">
        <v>1243</v>
      </c>
      <c r="E199" t="s">
        <v>120</v>
      </c>
      <c r="F199">
        <v>0.8</v>
      </c>
      <c r="G199" t="s">
        <v>1257</v>
      </c>
      <c r="H199" t="s">
        <v>1518</v>
      </c>
    </row>
    <row r="200" spans="2:8" ht="45">
      <c r="B200" s="4" t="s">
        <v>1562</v>
      </c>
      <c r="C200" s="4" t="s">
        <v>1578</v>
      </c>
      <c r="D200" t="s">
        <v>1245</v>
      </c>
      <c r="E200" t="s">
        <v>120</v>
      </c>
      <c r="F200">
        <v>0.66</v>
      </c>
      <c r="G200" t="s">
        <v>1258</v>
      </c>
      <c r="H200" t="s">
        <v>1518</v>
      </c>
    </row>
    <row r="201" spans="2:8" ht="45">
      <c r="B201" s="4" t="s">
        <v>1563</v>
      </c>
      <c r="C201" s="4" t="s">
        <v>1578</v>
      </c>
      <c r="D201" t="s">
        <v>1220</v>
      </c>
      <c r="E201" t="s">
        <v>120</v>
      </c>
      <c r="F201">
        <v>0.28000000000000003</v>
      </c>
      <c r="G201" t="s">
        <v>1520</v>
      </c>
      <c r="H201" t="s">
        <v>1518</v>
      </c>
    </row>
    <row r="202" spans="2:8" ht="45">
      <c r="B202" s="4" t="s">
        <v>1564</v>
      </c>
      <c r="C202" s="4" t="s">
        <v>1578</v>
      </c>
      <c r="D202" t="s">
        <v>1222</v>
      </c>
      <c r="E202" t="s">
        <v>120</v>
      </c>
      <c r="F202">
        <v>0.35</v>
      </c>
      <c r="G202" t="s">
        <v>1522</v>
      </c>
      <c r="H202" t="s">
        <v>1518</v>
      </c>
    </row>
    <row r="203" spans="2:8" ht="45">
      <c r="B203" s="4" t="s">
        <v>1565</v>
      </c>
      <c r="C203" s="4" t="s">
        <v>1578</v>
      </c>
      <c r="D203" t="s">
        <v>1242</v>
      </c>
      <c r="E203" t="s">
        <v>120</v>
      </c>
      <c r="F203">
        <v>0.24</v>
      </c>
      <c r="G203" t="s">
        <v>575</v>
      </c>
      <c r="H203" t="s">
        <v>1524</v>
      </c>
    </row>
    <row r="204" spans="2:8" ht="45">
      <c r="B204" s="4" t="s">
        <v>1579</v>
      </c>
      <c r="C204" s="4" t="s">
        <v>1578</v>
      </c>
      <c r="D204" t="s">
        <v>1244</v>
      </c>
      <c r="E204" t="s">
        <v>120</v>
      </c>
      <c r="F204">
        <v>0.24</v>
      </c>
      <c r="G204" t="s">
        <v>70</v>
      </c>
      <c r="H204" t="s">
        <v>1526</v>
      </c>
    </row>
    <row r="205" spans="2:8" ht="45">
      <c r="B205" s="4" t="s">
        <v>1567</v>
      </c>
      <c r="C205" s="4" t="s">
        <v>1578</v>
      </c>
      <c r="D205" t="s">
        <v>1529</v>
      </c>
      <c r="E205" t="s">
        <v>120</v>
      </c>
      <c r="F205">
        <v>0.24</v>
      </c>
      <c r="G205" t="s">
        <v>1530</v>
      </c>
      <c r="H205" t="s">
        <v>1518</v>
      </c>
    </row>
    <row r="206" spans="2:8" ht="45">
      <c r="B206" s="4" t="s">
        <v>1556</v>
      </c>
      <c r="C206" s="4" t="s">
        <v>1578</v>
      </c>
      <c r="D206" t="s">
        <v>1214</v>
      </c>
      <c r="E206" t="s">
        <v>252</v>
      </c>
      <c r="F206">
        <v>1.37</v>
      </c>
      <c r="G206" t="s">
        <v>59</v>
      </c>
      <c r="H206" t="s">
        <v>1509</v>
      </c>
    </row>
    <row r="207" spans="2:8" ht="45">
      <c r="B207" s="4" t="s">
        <v>1557</v>
      </c>
      <c r="C207" s="4" t="s">
        <v>1578</v>
      </c>
      <c r="D207" t="s">
        <v>1217</v>
      </c>
      <c r="E207" t="s">
        <v>252</v>
      </c>
      <c r="F207">
        <v>1.1100000000000001</v>
      </c>
      <c r="G207" t="s">
        <v>1253</v>
      </c>
      <c r="H207" t="s">
        <v>1509</v>
      </c>
    </row>
    <row r="208" spans="2:8" ht="45">
      <c r="B208" s="4" t="s">
        <v>1558</v>
      </c>
      <c r="C208" s="4" t="s">
        <v>1578</v>
      </c>
      <c r="D208" t="s">
        <v>1219</v>
      </c>
      <c r="E208" t="s">
        <v>252</v>
      </c>
      <c r="F208">
        <v>1.65</v>
      </c>
      <c r="G208" t="s">
        <v>1254</v>
      </c>
      <c r="H208" t="s">
        <v>1509</v>
      </c>
    </row>
    <row r="209" spans="2:8" ht="45">
      <c r="B209" s="4" t="s">
        <v>1559</v>
      </c>
      <c r="C209" s="4" t="s">
        <v>1578</v>
      </c>
      <c r="D209" t="s">
        <v>1221</v>
      </c>
      <c r="E209" t="s">
        <v>252</v>
      </c>
      <c r="F209">
        <v>0.97</v>
      </c>
      <c r="G209" t="s">
        <v>1255</v>
      </c>
      <c r="H209" t="s">
        <v>1509</v>
      </c>
    </row>
    <row r="210" spans="2:8" ht="45">
      <c r="B210" s="4" t="s">
        <v>1560</v>
      </c>
      <c r="C210" s="4" t="s">
        <v>1578</v>
      </c>
      <c r="D210" t="s">
        <v>1223</v>
      </c>
      <c r="E210" t="s">
        <v>252</v>
      </c>
      <c r="F210">
        <v>0.97</v>
      </c>
      <c r="G210" t="s">
        <v>1256</v>
      </c>
      <c r="H210" t="s">
        <v>1509</v>
      </c>
    </row>
    <row r="211" spans="2:8" ht="45">
      <c r="B211" s="4" t="s">
        <v>1561</v>
      </c>
      <c r="C211" s="4" t="s">
        <v>1578</v>
      </c>
      <c r="D211" t="s">
        <v>1243</v>
      </c>
      <c r="E211" t="s">
        <v>252</v>
      </c>
      <c r="F211">
        <v>0.67</v>
      </c>
      <c r="G211" t="s">
        <v>1257</v>
      </c>
      <c r="H211" t="s">
        <v>1509</v>
      </c>
    </row>
    <row r="212" spans="2:8" ht="45">
      <c r="B212" s="4" t="s">
        <v>1562</v>
      </c>
      <c r="C212" s="4" t="s">
        <v>1578</v>
      </c>
      <c r="D212" t="s">
        <v>1245</v>
      </c>
      <c r="E212" t="s">
        <v>252</v>
      </c>
      <c r="F212">
        <v>0.55000000000000004</v>
      </c>
      <c r="G212" t="s">
        <v>1258</v>
      </c>
      <c r="H212" t="s">
        <v>1509</v>
      </c>
    </row>
    <row r="213" spans="2:8" ht="45">
      <c r="B213" s="4" t="s">
        <v>1563</v>
      </c>
      <c r="C213" s="4" t="s">
        <v>1578</v>
      </c>
      <c r="D213" t="s">
        <v>1220</v>
      </c>
      <c r="E213" t="s">
        <v>252</v>
      </c>
      <c r="F213">
        <v>0.5</v>
      </c>
      <c r="G213" t="s">
        <v>1520</v>
      </c>
      <c r="H213" t="s">
        <v>1518</v>
      </c>
    </row>
    <row r="214" spans="2:8" ht="45">
      <c r="B214" s="4" t="s">
        <v>1564</v>
      </c>
      <c r="C214" s="4" t="s">
        <v>1578</v>
      </c>
      <c r="D214" t="s">
        <v>1222</v>
      </c>
      <c r="E214" t="s">
        <v>252</v>
      </c>
      <c r="F214">
        <v>0.34</v>
      </c>
      <c r="G214" t="s">
        <v>1522</v>
      </c>
      <c r="H214" t="s">
        <v>1509</v>
      </c>
    </row>
    <row r="215" spans="2:8" ht="45">
      <c r="B215" s="4" t="s">
        <v>1565</v>
      </c>
      <c r="C215" s="4" t="s">
        <v>1578</v>
      </c>
      <c r="D215" t="s">
        <v>1242</v>
      </c>
      <c r="E215" t="s">
        <v>252</v>
      </c>
      <c r="F215">
        <v>0.3</v>
      </c>
      <c r="G215" t="s">
        <v>575</v>
      </c>
      <c r="H215" t="s">
        <v>1524</v>
      </c>
    </row>
    <row r="216" spans="2:8" ht="45">
      <c r="B216" s="4" t="s">
        <v>1579</v>
      </c>
      <c r="C216" s="4" t="s">
        <v>1578</v>
      </c>
      <c r="D216" t="s">
        <v>1244</v>
      </c>
      <c r="E216" t="s">
        <v>252</v>
      </c>
      <c r="F216">
        <v>0.35</v>
      </c>
      <c r="G216" t="s">
        <v>70</v>
      </c>
      <c r="H216" s="69" t="s">
        <v>1577</v>
      </c>
    </row>
    <row r="217" spans="2:8" ht="45">
      <c r="B217" s="4" t="s">
        <v>1567</v>
      </c>
      <c r="C217" s="4" t="s">
        <v>1578</v>
      </c>
      <c r="D217" t="s">
        <v>1529</v>
      </c>
      <c r="E217" t="s">
        <v>252</v>
      </c>
      <c r="F217">
        <v>0.35</v>
      </c>
      <c r="G217" t="s">
        <v>1530</v>
      </c>
      <c r="H217" t="s">
        <v>1518</v>
      </c>
    </row>
    <row r="218" spans="2:8" ht="45">
      <c r="B218" s="4" t="s">
        <v>1556</v>
      </c>
      <c r="C218" s="4" t="s">
        <v>1578</v>
      </c>
      <c r="D218" t="s">
        <v>1214</v>
      </c>
      <c r="E218" t="s">
        <v>248</v>
      </c>
      <c r="F218">
        <v>2.57</v>
      </c>
      <c r="G218" t="s">
        <v>59</v>
      </c>
      <c r="H218" t="s">
        <v>1509</v>
      </c>
    </row>
    <row r="219" spans="2:8" ht="45">
      <c r="B219" s="4" t="s">
        <v>1557</v>
      </c>
      <c r="C219" s="4" t="s">
        <v>1578</v>
      </c>
      <c r="D219" t="s">
        <v>1217</v>
      </c>
      <c r="E219" t="s">
        <v>248</v>
      </c>
      <c r="F219">
        <v>4.3</v>
      </c>
      <c r="G219" t="s">
        <v>1253</v>
      </c>
      <c r="H219" t="s">
        <v>1509</v>
      </c>
    </row>
    <row r="220" spans="2:8" ht="45">
      <c r="B220" s="4" t="s">
        <v>1558</v>
      </c>
      <c r="C220" s="4" t="s">
        <v>1578</v>
      </c>
      <c r="D220" t="s">
        <v>1219</v>
      </c>
      <c r="E220" t="s">
        <v>248</v>
      </c>
      <c r="F220">
        <v>2.8</v>
      </c>
      <c r="G220" t="s">
        <v>1254</v>
      </c>
      <c r="H220" t="s">
        <v>1509</v>
      </c>
    </row>
    <row r="221" spans="2:8" ht="45">
      <c r="B221" s="4" t="s">
        <v>1559</v>
      </c>
      <c r="C221" s="4" t="s">
        <v>1578</v>
      </c>
      <c r="D221" t="s">
        <v>1221</v>
      </c>
      <c r="E221" t="s">
        <v>248</v>
      </c>
      <c r="F221">
        <v>2.57</v>
      </c>
      <c r="G221" t="s">
        <v>1255</v>
      </c>
      <c r="H221" t="s">
        <v>1509</v>
      </c>
    </row>
    <row r="222" spans="2:8" ht="45">
      <c r="B222" s="4" t="s">
        <v>1560</v>
      </c>
      <c r="C222" s="4" t="s">
        <v>1578</v>
      </c>
      <c r="D222" t="s">
        <v>1223</v>
      </c>
      <c r="E222" t="s">
        <v>248</v>
      </c>
      <c r="F222">
        <v>2.8</v>
      </c>
      <c r="G222" t="s">
        <v>1256</v>
      </c>
      <c r="H222" t="s">
        <v>1509</v>
      </c>
    </row>
    <row r="223" spans="2:8" ht="45">
      <c r="B223" s="4" t="s">
        <v>1561</v>
      </c>
      <c r="C223" s="4" t="s">
        <v>1578</v>
      </c>
      <c r="D223" t="s">
        <v>1243</v>
      </c>
      <c r="E223" t="s">
        <v>248</v>
      </c>
      <c r="F223">
        <v>2.57</v>
      </c>
      <c r="G223" t="s">
        <v>1257</v>
      </c>
      <c r="H223" t="s">
        <v>1509</v>
      </c>
    </row>
    <row r="224" spans="2:8" ht="45">
      <c r="B224" s="4" t="s">
        <v>1562</v>
      </c>
      <c r="C224" s="4" t="s">
        <v>1578</v>
      </c>
      <c r="D224" t="s">
        <v>1245</v>
      </c>
      <c r="E224" t="s">
        <v>248</v>
      </c>
      <c r="F224">
        <v>2.57</v>
      </c>
      <c r="G224" t="s">
        <v>1258</v>
      </c>
      <c r="H224" t="s">
        <v>1509</v>
      </c>
    </row>
    <row r="225" spans="2:8" ht="45">
      <c r="B225" s="4" t="s">
        <v>1563</v>
      </c>
      <c r="C225" s="4" t="s">
        <v>1578</v>
      </c>
      <c r="D225" t="s">
        <v>1220</v>
      </c>
      <c r="E225" t="s">
        <v>248</v>
      </c>
      <c r="F225">
        <v>1.6</v>
      </c>
      <c r="G225" t="s">
        <v>1520</v>
      </c>
      <c r="H225" t="s">
        <v>1509</v>
      </c>
    </row>
    <row r="226" spans="2:8" ht="45">
      <c r="B226" s="4" t="s">
        <v>1564</v>
      </c>
      <c r="C226" s="4" t="s">
        <v>1578</v>
      </c>
      <c r="D226" t="s">
        <v>1222</v>
      </c>
      <c r="E226" t="s">
        <v>248</v>
      </c>
      <c r="F226">
        <v>1.6</v>
      </c>
      <c r="G226" t="s">
        <v>1522</v>
      </c>
      <c r="H226" t="s">
        <v>1509</v>
      </c>
    </row>
    <row r="227" spans="2:8" ht="45">
      <c r="B227" s="4" t="s">
        <v>1565</v>
      </c>
      <c r="C227" s="4" t="s">
        <v>1578</v>
      </c>
      <c r="D227" t="s">
        <v>1242</v>
      </c>
      <c r="E227" t="s">
        <v>248</v>
      </c>
      <c r="F227">
        <v>1.45</v>
      </c>
      <c r="G227" t="s">
        <v>575</v>
      </c>
      <c r="H227" t="s">
        <v>1524</v>
      </c>
    </row>
    <row r="228" spans="2:8" ht="45">
      <c r="B228" s="4" t="s">
        <v>1579</v>
      </c>
      <c r="C228" s="4" t="s">
        <v>1578</v>
      </c>
      <c r="D228" t="s">
        <v>1244</v>
      </c>
      <c r="E228" t="s">
        <v>248</v>
      </c>
      <c r="F228">
        <v>1.1000000000000001</v>
      </c>
      <c r="G228" t="s">
        <v>70</v>
      </c>
      <c r="H228" t="s">
        <v>1526</v>
      </c>
    </row>
    <row r="229" spans="2:8" ht="45">
      <c r="B229" s="4" t="s">
        <v>1567</v>
      </c>
      <c r="C229" s="4" t="s">
        <v>1578</v>
      </c>
      <c r="D229" t="s">
        <v>1529</v>
      </c>
      <c r="E229" t="s">
        <v>248</v>
      </c>
      <c r="F229">
        <v>1.1000000000000001</v>
      </c>
      <c r="G229" t="s">
        <v>1530</v>
      </c>
      <c r="H229" t="s">
        <v>1518</v>
      </c>
    </row>
    <row r="230" spans="2:8" ht="60">
      <c r="B230" s="4" t="s">
        <v>1569</v>
      </c>
      <c r="C230" s="4" t="s">
        <v>1580</v>
      </c>
      <c r="D230" t="s">
        <v>1219</v>
      </c>
      <c r="E230" t="s">
        <v>250</v>
      </c>
      <c r="F230">
        <v>1.1399999999999999</v>
      </c>
      <c r="G230" t="s">
        <v>1254</v>
      </c>
      <c r="H230" t="s">
        <v>1509</v>
      </c>
    </row>
    <row r="231" spans="2:8" ht="60">
      <c r="B231" s="4" t="s">
        <v>1570</v>
      </c>
      <c r="C231" s="4" t="s">
        <v>1580</v>
      </c>
      <c r="D231" t="s">
        <v>1221</v>
      </c>
      <c r="E231" t="s">
        <v>250</v>
      </c>
      <c r="F231">
        <v>1.1399999999999999</v>
      </c>
      <c r="G231" t="s">
        <v>1255</v>
      </c>
      <c r="H231" t="s">
        <v>1509</v>
      </c>
    </row>
    <row r="232" spans="2:8" ht="75">
      <c r="B232" s="4" t="s">
        <v>1571</v>
      </c>
      <c r="C232" s="4" t="s">
        <v>1581</v>
      </c>
      <c r="D232" t="s">
        <v>1223</v>
      </c>
      <c r="E232" t="s">
        <v>250</v>
      </c>
      <c r="F232">
        <v>0.97</v>
      </c>
      <c r="G232" t="s">
        <v>1256</v>
      </c>
      <c r="H232" t="s">
        <v>1509</v>
      </c>
    </row>
    <row r="233" spans="2:8" ht="75">
      <c r="B233" s="4" t="s">
        <v>1572</v>
      </c>
      <c r="C233" s="4" t="s">
        <v>1581</v>
      </c>
      <c r="D233" t="s">
        <v>1243</v>
      </c>
      <c r="E233" t="s">
        <v>250</v>
      </c>
      <c r="F233">
        <v>0.97</v>
      </c>
      <c r="G233" t="s">
        <v>1257</v>
      </c>
      <c r="H233" t="s">
        <v>1509</v>
      </c>
    </row>
    <row r="234" spans="2:8" ht="75">
      <c r="B234" s="4" t="s">
        <v>1573</v>
      </c>
      <c r="C234" s="4" t="s">
        <v>1581</v>
      </c>
      <c r="D234" t="s">
        <v>1245</v>
      </c>
      <c r="E234" t="s">
        <v>250</v>
      </c>
      <c r="F234">
        <v>0.84</v>
      </c>
      <c r="G234" t="s">
        <v>1258</v>
      </c>
      <c r="H234" t="s">
        <v>1509</v>
      </c>
    </row>
    <row r="235" spans="2:8" ht="60">
      <c r="B235" s="4" t="s">
        <v>1569</v>
      </c>
      <c r="C235" s="4" t="s">
        <v>1580</v>
      </c>
      <c r="D235" t="s">
        <v>1219</v>
      </c>
      <c r="E235" t="s">
        <v>120</v>
      </c>
      <c r="F235">
        <v>1.21</v>
      </c>
      <c r="G235" t="s">
        <v>1254</v>
      </c>
      <c r="H235" t="s">
        <v>1509</v>
      </c>
    </row>
    <row r="236" spans="2:8" ht="60">
      <c r="B236" s="4" t="s">
        <v>1570</v>
      </c>
      <c r="C236" s="4" t="s">
        <v>1580</v>
      </c>
      <c r="D236" t="s">
        <v>1221</v>
      </c>
      <c r="E236" t="s">
        <v>120</v>
      </c>
      <c r="F236">
        <v>1.46</v>
      </c>
      <c r="G236" t="s">
        <v>1255</v>
      </c>
      <c r="H236" t="s">
        <v>1509</v>
      </c>
    </row>
    <row r="237" spans="2:8" ht="75">
      <c r="B237" s="4" t="s">
        <v>1571</v>
      </c>
      <c r="C237" s="4" t="s">
        <v>1581</v>
      </c>
      <c r="D237" t="s">
        <v>1223</v>
      </c>
      <c r="E237" t="s">
        <v>120</v>
      </c>
      <c r="F237">
        <v>0.88</v>
      </c>
      <c r="G237" t="s">
        <v>1256</v>
      </c>
      <c r="H237" t="s">
        <v>1509</v>
      </c>
    </row>
    <row r="238" spans="2:8" ht="75">
      <c r="B238" s="4" t="s">
        <v>1572</v>
      </c>
      <c r="C238" s="4" t="s">
        <v>1581</v>
      </c>
      <c r="D238" t="s">
        <v>1243</v>
      </c>
      <c r="E238" t="s">
        <v>120</v>
      </c>
      <c r="F238">
        <v>0.88</v>
      </c>
      <c r="G238" t="s">
        <v>1257</v>
      </c>
      <c r="H238" t="s">
        <v>1509</v>
      </c>
    </row>
    <row r="239" spans="2:8" ht="75">
      <c r="B239" s="4" t="s">
        <v>1573</v>
      </c>
      <c r="C239" s="4" t="s">
        <v>1581</v>
      </c>
      <c r="D239" t="s">
        <v>1245</v>
      </c>
      <c r="E239" t="s">
        <v>120</v>
      </c>
      <c r="F239">
        <v>0.76</v>
      </c>
      <c r="G239" t="s">
        <v>1258</v>
      </c>
      <c r="H239" t="s">
        <v>1509</v>
      </c>
    </row>
    <row r="240" spans="2:8" ht="60">
      <c r="B240" s="4" t="s">
        <v>1569</v>
      </c>
      <c r="C240" s="4" t="s">
        <v>1580</v>
      </c>
      <c r="D240" t="s">
        <v>1219</v>
      </c>
      <c r="E240" t="s">
        <v>252</v>
      </c>
      <c r="F240">
        <v>1.01</v>
      </c>
      <c r="G240" t="s">
        <v>1254</v>
      </c>
      <c r="H240" t="s">
        <v>1509</v>
      </c>
    </row>
    <row r="241" spans="2:8" ht="60">
      <c r="B241" s="4" t="s">
        <v>1570</v>
      </c>
      <c r="C241" s="4" t="s">
        <v>1580</v>
      </c>
      <c r="D241" t="s">
        <v>1221</v>
      </c>
      <c r="E241" t="s">
        <v>252</v>
      </c>
      <c r="F241">
        <v>1.01</v>
      </c>
      <c r="G241" t="s">
        <v>1255</v>
      </c>
      <c r="H241" t="s">
        <v>1509</v>
      </c>
    </row>
    <row r="242" spans="2:8" ht="75">
      <c r="B242" s="4" t="s">
        <v>1571</v>
      </c>
      <c r="C242" s="4" t="s">
        <v>1581</v>
      </c>
      <c r="D242" t="s">
        <v>1223</v>
      </c>
      <c r="E242" t="s">
        <v>252</v>
      </c>
      <c r="F242">
        <v>1.01</v>
      </c>
      <c r="G242" t="s">
        <v>1256</v>
      </c>
      <c r="H242" t="s">
        <v>1509</v>
      </c>
    </row>
    <row r="243" spans="2:8" ht="75">
      <c r="B243" s="4" t="s">
        <v>1572</v>
      </c>
      <c r="C243" s="4" t="s">
        <v>1581</v>
      </c>
      <c r="D243" t="s">
        <v>1243</v>
      </c>
      <c r="E243" t="s">
        <v>252</v>
      </c>
      <c r="F243">
        <v>0.85</v>
      </c>
      <c r="G243" t="s">
        <v>1257</v>
      </c>
      <c r="H243" t="s">
        <v>1509</v>
      </c>
    </row>
    <row r="244" spans="2:8" ht="75">
      <c r="B244" s="4" t="s">
        <v>1573</v>
      </c>
      <c r="C244" s="4" t="s">
        <v>1581</v>
      </c>
      <c r="D244" t="s">
        <v>1245</v>
      </c>
      <c r="E244" t="s">
        <v>252</v>
      </c>
      <c r="F244">
        <v>0.85</v>
      </c>
      <c r="G244" t="s">
        <v>1258</v>
      </c>
      <c r="H244" t="s">
        <v>1509</v>
      </c>
    </row>
    <row r="245" spans="2:8" ht="60">
      <c r="B245" s="4" t="s">
        <v>1569</v>
      </c>
      <c r="C245" s="4" t="s">
        <v>1580</v>
      </c>
      <c r="D245" t="s">
        <v>1219</v>
      </c>
      <c r="E245" t="s">
        <v>248</v>
      </c>
      <c r="F245">
        <v>5.2</v>
      </c>
      <c r="G245" t="s">
        <v>1254</v>
      </c>
      <c r="H245" t="s">
        <v>1509</v>
      </c>
    </row>
    <row r="246" spans="2:8" ht="60">
      <c r="B246" s="4" t="s">
        <v>1570</v>
      </c>
      <c r="C246" s="4" t="s">
        <v>1580</v>
      </c>
      <c r="D246" t="s">
        <v>1221</v>
      </c>
      <c r="E246" t="s">
        <v>248</v>
      </c>
      <c r="F246">
        <v>5.2</v>
      </c>
      <c r="G246" t="s">
        <v>1255</v>
      </c>
      <c r="H246" t="s">
        <v>1509</v>
      </c>
    </row>
    <row r="247" spans="2:8" ht="75">
      <c r="B247" s="4" t="s">
        <v>1571</v>
      </c>
      <c r="C247" s="4" t="s">
        <v>1581</v>
      </c>
      <c r="D247" t="s">
        <v>1223</v>
      </c>
      <c r="E247" t="s">
        <v>248</v>
      </c>
      <c r="F247">
        <v>5.2</v>
      </c>
      <c r="G247" t="s">
        <v>1256</v>
      </c>
      <c r="H247" t="s">
        <v>1509</v>
      </c>
    </row>
    <row r="248" spans="2:8" ht="75">
      <c r="B248" s="4" t="s">
        <v>1572</v>
      </c>
      <c r="C248" s="4" t="s">
        <v>1581</v>
      </c>
      <c r="D248" t="s">
        <v>1243</v>
      </c>
      <c r="E248" t="s">
        <v>248</v>
      </c>
      <c r="F248">
        <v>2.57</v>
      </c>
      <c r="G248" t="s">
        <v>1257</v>
      </c>
      <c r="H248" t="s">
        <v>1509</v>
      </c>
    </row>
    <row r="249" spans="2:8" ht="75">
      <c r="B249" s="4" t="s">
        <v>1573</v>
      </c>
      <c r="C249" s="4" t="s">
        <v>1581</v>
      </c>
      <c r="D249" t="s">
        <v>1245</v>
      </c>
      <c r="E249" t="s">
        <v>248</v>
      </c>
      <c r="F249">
        <v>2.57</v>
      </c>
      <c r="G249" t="s">
        <v>1258</v>
      </c>
      <c r="H249" t="s">
        <v>1509</v>
      </c>
    </row>
    <row r="250" spans="2:8" ht="45">
      <c r="B250" s="4" t="s">
        <v>1508</v>
      </c>
      <c r="C250" s="4" t="s">
        <v>1184</v>
      </c>
      <c r="D250" t="s">
        <v>1213</v>
      </c>
      <c r="E250" t="s">
        <v>254</v>
      </c>
      <c r="F250">
        <v>1.8</v>
      </c>
      <c r="G250" t="s">
        <v>56</v>
      </c>
    </row>
    <row r="251" spans="2:8" ht="45">
      <c r="B251" s="4" t="s">
        <v>1511</v>
      </c>
      <c r="C251" s="4" t="s">
        <v>1184</v>
      </c>
      <c r="D251" t="s">
        <v>1214</v>
      </c>
      <c r="E251" t="s">
        <v>254</v>
      </c>
      <c r="F251">
        <v>1.1100000000000001</v>
      </c>
      <c r="G251" t="s">
        <v>59</v>
      </c>
    </row>
    <row r="252" spans="2:8" ht="45">
      <c r="B252" s="4" t="s">
        <v>1512</v>
      </c>
      <c r="C252" s="4" t="s">
        <v>1184</v>
      </c>
      <c r="D252" t="s">
        <v>1217</v>
      </c>
      <c r="E252" t="s">
        <v>254</v>
      </c>
      <c r="F252">
        <v>1.1100000000000001</v>
      </c>
      <c r="G252" t="s">
        <v>1253</v>
      </c>
    </row>
    <row r="253" spans="2:8" ht="45">
      <c r="B253" s="4" t="s">
        <v>1513</v>
      </c>
      <c r="C253" s="4" t="s">
        <v>1184</v>
      </c>
      <c r="D253" t="s">
        <v>1219</v>
      </c>
      <c r="E253" t="s">
        <v>254</v>
      </c>
      <c r="F253">
        <v>1.1100000000000001</v>
      </c>
      <c r="G253" t="s">
        <v>1254</v>
      </c>
    </row>
    <row r="254" spans="2:8" ht="45">
      <c r="B254" s="4" t="s">
        <v>1514</v>
      </c>
      <c r="C254" s="4" t="s">
        <v>1184</v>
      </c>
      <c r="D254" t="s">
        <v>1221</v>
      </c>
      <c r="E254" t="s">
        <v>254</v>
      </c>
      <c r="F254">
        <v>0.92</v>
      </c>
      <c r="G254" t="s">
        <v>1255</v>
      </c>
    </row>
    <row r="255" spans="2:8" ht="45">
      <c r="B255" s="4" t="s">
        <v>1515</v>
      </c>
      <c r="C255" s="4" t="s">
        <v>1184</v>
      </c>
      <c r="D255" t="s">
        <v>1223</v>
      </c>
      <c r="E255" t="s">
        <v>254</v>
      </c>
      <c r="F255">
        <v>0.63</v>
      </c>
      <c r="G255" t="s">
        <v>1256</v>
      </c>
    </row>
    <row r="256" spans="2:8" ht="45">
      <c r="B256" s="4" t="s">
        <v>1516</v>
      </c>
      <c r="C256" s="4" t="s">
        <v>1184</v>
      </c>
      <c r="D256" t="s">
        <v>1243</v>
      </c>
      <c r="E256" t="s">
        <v>254</v>
      </c>
      <c r="F256">
        <v>0.43</v>
      </c>
      <c r="G256" t="s">
        <v>1257</v>
      </c>
    </row>
    <row r="257" spans="2:8" ht="45">
      <c r="B257" s="4" t="s">
        <v>1517</v>
      </c>
      <c r="C257" s="4" t="s">
        <v>1184</v>
      </c>
      <c r="D257" t="s">
        <v>1245</v>
      </c>
      <c r="E257" t="s">
        <v>254</v>
      </c>
      <c r="F257">
        <v>0.45</v>
      </c>
      <c r="G257" t="s">
        <v>1258</v>
      </c>
      <c r="H257" t="s">
        <v>1518</v>
      </c>
    </row>
    <row r="258" spans="2:8" ht="45">
      <c r="B258" s="4" t="s">
        <v>1519</v>
      </c>
      <c r="C258" s="4" t="s">
        <v>1184</v>
      </c>
      <c r="D258" t="s">
        <v>1220</v>
      </c>
      <c r="E258" t="s">
        <v>254</v>
      </c>
      <c r="F258">
        <v>0.3</v>
      </c>
      <c r="G258" t="s">
        <v>1520</v>
      </c>
      <c r="H258" t="s">
        <v>1518</v>
      </c>
    </row>
    <row r="259" spans="2:8" ht="45">
      <c r="B259" s="4" t="s">
        <v>1521</v>
      </c>
      <c r="C259" s="4" t="s">
        <v>1184</v>
      </c>
      <c r="D259" t="s">
        <v>1222</v>
      </c>
      <c r="E259" t="s">
        <v>254</v>
      </c>
      <c r="F259">
        <v>0.27500000000000002</v>
      </c>
      <c r="G259" t="s">
        <v>1522</v>
      </c>
      <c r="H259" t="s">
        <v>1518</v>
      </c>
    </row>
    <row r="260" spans="2:8" ht="45">
      <c r="B260" s="4" t="s">
        <v>1523</v>
      </c>
      <c r="C260" s="4" t="s">
        <v>1184</v>
      </c>
      <c r="D260" t="s">
        <v>1242</v>
      </c>
      <c r="E260" t="s">
        <v>254</v>
      </c>
      <c r="F260">
        <v>0.22</v>
      </c>
      <c r="G260" t="s">
        <v>575</v>
      </c>
    </row>
    <row r="261" spans="2:8" ht="45">
      <c r="B261" s="4" t="s">
        <v>1525</v>
      </c>
      <c r="C261" s="4" t="s">
        <v>1184</v>
      </c>
      <c r="D261" t="s">
        <v>1244</v>
      </c>
      <c r="E261" t="s">
        <v>254</v>
      </c>
      <c r="F261">
        <v>0.22</v>
      </c>
      <c r="G261" t="s">
        <v>70</v>
      </c>
    </row>
    <row r="262" spans="2:8" ht="45">
      <c r="B262" s="4" t="s">
        <v>1528</v>
      </c>
      <c r="C262" s="4" t="s">
        <v>1184</v>
      </c>
      <c r="D262" t="s">
        <v>1529</v>
      </c>
      <c r="E262" t="s">
        <v>254</v>
      </c>
      <c r="F262">
        <v>0.22</v>
      </c>
      <c r="G262" t="s">
        <v>1530</v>
      </c>
    </row>
    <row r="263" spans="2:8" ht="45">
      <c r="B263" s="11" t="s">
        <v>1516</v>
      </c>
      <c r="C263" s="11" t="s">
        <v>1184</v>
      </c>
      <c r="D263" t="s">
        <v>1216</v>
      </c>
      <c r="E263" t="s">
        <v>248</v>
      </c>
      <c r="F263">
        <v>4.3</v>
      </c>
      <c r="G263" t="s">
        <v>1257</v>
      </c>
    </row>
    <row r="264" spans="2:8">
      <c r="B264" s="11" t="s">
        <v>1536</v>
      </c>
      <c r="C264" s="11" t="s">
        <v>1186</v>
      </c>
      <c r="D264" t="s">
        <v>1216</v>
      </c>
      <c r="E264" t="s">
        <v>248</v>
      </c>
      <c r="F264">
        <v>2.57</v>
      </c>
      <c r="G264" t="s">
        <v>1257</v>
      </c>
    </row>
    <row r="265" spans="2:8" ht="30">
      <c r="B265" s="11" t="s">
        <v>1549</v>
      </c>
      <c r="C265" s="11" t="s">
        <v>1190</v>
      </c>
      <c r="D265" t="s">
        <v>1216</v>
      </c>
      <c r="E265" t="s">
        <v>248</v>
      </c>
      <c r="F265">
        <v>2.57</v>
      </c>
      <c r="G265" t="s">
        <v>1257</v>
      </c>
    </row>
    <row r="266" spans="2:8" ht="45">
      <c r="B266" s="11" t="s">
        <v>1561</v>
      </c>
      <c r="C266" s="11" t="s">
        <v>1578</v>
      </c>
      <c r="D266" t="s">
        <v>1216</v>
      </c>
      <c r="E266" t="s">
        <v>248</v>
      </c>
      <c r="F266">
        <v>2.57</v>
      </c>
      <c r="G266" t="s">
        <v>1257</v>
      </c>
    </row>
    <row r="267" spans="2:8" ht="75">
      <c r="B267" s="11" t="s">
        <v>1572</v>
      </c>
      <c r="C267" s="11" t="s">
        <v>1581</v>
      </c>
      <c r="D267" t="s">
        <v>1216</v>
      </c>
      <c r="E267" t="s">
        <v>248</v>
      </c>
      <c r="F267">
        <v>2.57</v>
      </c>
      <c r="G267" t="s">
        <v>1257</v>
      </c>
    </row>
    <row r="268" spans="2:8" ht="30">
      <c r="B268" s="4" t="s">
        <v>1575</v>
      </c>
      <c r="C268" s="4" t="s">
        <v>1190</v>
      </c>
      <c r="D268" t="s">
        <v>1213</v>
      </c>
      <c r="E268" s="186" t="s">
        <v>254</v>
      </c>
      <c r="F268" s="186">
        <v>1.8</v>
      </c>
      <c r="G268" s="186" t="s">
        <v>56</v>
      </c>
    </row>
    <row r="269" spans="2:8" ht="30">
      <c r="B269" s="4" t="s">
        <v>1544</v>
      </c>
      <c r="C269" s="4" t="s">
        <v>1190</v>
      </c>
      <c r="D269" t="s">
        <v>1214</v>
      </c>
      <c r="E269" t="s">
        <v>254</v>
      </c>
      <c r="F269">
        <v>1.1100000000000001</v>
      </c>
      <c r="G269" t="s">
        <v>59</v>
      </c>
    </row>
    <row r="270" spans="2:8" ht="30">
      <c r="B270" s="4" t="s">
        <v>1545</v>
      </c>
      <c r="C270" s="4" t="s">
        <v>1190</v>
      </c>
      <c r="D270" t="s">
        <v>1217</v>
      </c>
      <c r="E270" s="186" t="s">
        <v>254</v>
      </c>
      <c r="F270" s="186">
        <v>1.1100000000000001</v>
      </c>
      <c r="G270" s="186" t="s">
        <v>1253</v>
      </c>
    </row>
    <row r="271" spans="2:8" ht="30">
      <c r="B271" s="4" t="s">
        <v>1546</v>
      </c>
      <c r="C271" s="4" t="s">
        <v>1190</v>
      </c>
      <c r="D271" t="s">
        <v>1219</v>
      </c>
      <c r="E271" t="s">
        <v>254</v>
      </c>
      <c r="F271">
        <v>1.1100000000000001</v>
      </c>
      <c r="G271" t="s">
        <v>1254</v>
      </c>
    </row>
    <row r="272" spans="2:8" ht="30">
      <c r="B272" s="4" t="s">
        <v>1547</v>
      </c>
      <c r="C272" s="4" t="s">
        <v>1190</v>
      </c>
      <c r="D272" t="s">
        <v>1221</v>
      </c>
      <c r="E272" s="186" t="s">
        <v>254</v>
      </c>
      <c r="F272" s="186">
        <v>0.92</v>
      </c>
      <c r="G272" s="186" t="s">
        <v>1255</v>
      </c>
    </row>
    <row r="273" spans="2:8" ht="30">
      <c r="B273" s="4" t="s">
        <v>1548</v>
      </c>
      <c r="C273" s="4" t="s">
        <v>1190</v>
      </c>
      <c r="D273" t="s">
        <v>1223</v>
      </c>
      <c r="E273" t="s">
        <v>254</v>
      </c>
      <c r="F273">
        <v>0.63</v>
      </c>
      <c r="G273" t="s">
        <v>1256</v>
      </c>
    </row>
    <row r="274" spans="2:8" ht="30">
      <c r="B274" s="4" t="s">
        <v>1549</v>
      </c>
      <c r="C274" s="4" t="s">
        <v>1190</v>
      </c>
      <c r="D274" t="s">
        <v>1243</v>
      </c>
      <c r="E274" s="186" t="s">
        <v>254</v>
      </c>
      <c r="F274" s="186">
        <v>0.43</v>
      </c>
      <c r="G274" s="186" t="s">
        <v>1257</v>
      </c>
    </row>
    <row r="275" spans="2:8" ht="30">
      <c r="B275" s="4" t="s">
        <v>1550</v>
      </c>
      <c r="C275" s="4" t="s">
        <v>1190</v>
      </c>
      <c r="D275" t="s">
        <v>1245</v>
      </c>
      <c r="E275" t="s">
        <v>254</v>
      </c>
      <c r="F275">
        <v>0.45</v>
      </c>
      <c r="G275" t="s">
        <v>1258</v>
      </c>
      <c r="H275" t="s">
        <v>1518</v>
      </c>
    </row>
    <row r="276" spans="2:8" ht="30">
      <c r="B276" s="4" t="s">
        <v>1551</v>
      </c>
      <c r="C276" s="4" t="s">
        <v>1190</v>
      </c>
      <c r="D276" t="s">
        <v>1220</v>
      </c>
      <c r="E276" s="186" t="s">
        <v>254</v>
      </c>
      <c r="F276" s="186">
        <v>0.3</v>
      </c>
      <c r="G276" s="186" t="s">
        <v>1520</v>
      </c>
      <c r="H276" t="s">
        <v>1518</v>
      </c>
    </row>
    <row r="277" spans="2:8" ht="30">
      <c r="B277" s="4" t="s">
        <v>1552</v>
      </c>
      <c r="C277" s="4" t="s">
        <v>1190</v>
      </c>
      <c r="D277" t="s">
        <v>1222</v>
      </c>
      <c r="E277" t="s">
        <v>254</v>
      </c>
      <c r="F277">
        <v>0.27500000000000002</v>
      </c>
      <c r="G277" t="s">
        <v>1522</v>
      </c>
      <c r="H277" t="s">
        <v>1518</v>
      </c>
    </row>
    <row r="278" spans="2:8" ht="30">
      <c r="B278" s="4" t="s">
        <v>1553</v>
      </c>
      <c r="C278" s="4" t="s">
        <v>1190</v>
      </c>
      <c r="D278" t="s">
        <v>1242</v>
      </c>
      <c r="E278" s="186" t="s">
        <v>254</v>
      </c>
      <c r="F278" s="186">
        <v>0.22</v>
      </c>
      <c r="G278" s="186" t="s">
        <v>575</v>
      </c>
    </row>
    <row r="279" spans="2:8" ht="30">
      <c r="B279" s="4" t="s">
        <v>1576</v>
      </c>
      <c r="C279" s="4" t="s">
        <v>1190</v>
      </c>
      <c r="D279" t="s">
        <v>1244</v>
      </c>
      <c r="E279" t="s">
        <v>254</v>
      </c>
      <c r="F279">
        <v>0.22</v>
      </c>
      <c r="G279" t="s">
        <v>70</v>
      </c>
    </row>
    <row r="280" spans="2:8" ht="30">
      <c r="B280" s="4" t="s">
        <v>1555</v>
      </c>
      <c r="C280" s="4" t="s">
        <v>1190</v>
      </c>
      <c r="D280" t="s">
        <v>1529</v>
      </c>
      <c r="E280" s="186" t="s">
        <v>254</v>
      </c>
      <c r="F280" s="186">
        <v>0.22</v>
      </c>
      <c r="G280" s="186" t="s">
        <v>1530</v>
      </c>
    </row>
    <row r="281" spans="2:8">
      <c r="B281" s="4" t="s">
        <v>1531</v>
      </c>
      <c r="C281" s="4" t="s">
        <v>1186</v>
      </c>
      <c r="D281" s="4" t="s">
        <v>1214</v>
      </c>
      <c r="E281" s="4" t="s">
        <v>254</v>
      </c>
      <c r="F281" s="4">
        <v>1.1100000000000001</v>
      </c>
      <c r="G281" s="4" t="s">
        <v>59</v>
      </c>
    </row>
    <row r="282" spans="2:8">
      <c r="B282" s="4" t="s">
        <v>1532</v>
      </c>
      <c r="C282" s="4" t="s">
        <v>1186</v>
      </c>
      <c r="D282" s="4" t="s">
        <v>1217</v>
      </c>
      <c r="E282" s="4" t="s">
        <v>254</v>
      </c>
      <c r="F282" s="4">
        <v>1.1100000000000001</v>
      </c>
      <c r="G282" s="4" t="s">
        <v>1253</v>
      </c>
    </row>
    <row r="283" spans="2:8">
      <c r="B283" s="4" t="s">
        <v>1533</v>
      </c>
      <c r="C283" s="4" t="s">
        <v>1186</v>
      </c>
      <c r="D283" s="4" t="s">
        <v>1219</v>
      </c>
      <c r="E283" s="4" t="s">
        <v>254</v>
      </c>
      <c r="F283" s="4">
        <v>1.1100000000000001</v>
      </c>
      <c r="G283" s="4" t="s">
        <v>1254</v>
      </c>
    </row>
    <row r="284" spans="2:8">
      <c r="B284" s="4" t="s">
        <v>1534</v>
      </c>
      <c r="C284" s="4" t="s">
        <v>1186</v>
      </c>
      <c r="D284" s="4" t="s">
        <v>1221</v>
      </c>
      <c r="E284" s="4" t="s">
        <v>254</v>
      </c>
      <c r="F284" s="4">
        <v>0.92</v>
      </c>
      <c r="G284" s="4" t="s">
        <v>1255</v>
      </c>
    </row>
    <row r="285" spans="2:8">
      <c r="B285" s="4" t="s">
        <v>1535</v>
      </c>
      <c r="C285" s="4" t="s">
        <v>1186</v>
      </c>
      <c r="D285" s="4" t="s">
        <v>1223</v>
      </c>
      <c r="E285" s="4" t="s">
        <v>254</v>
      </c>
      <c r="F285" s="4">
        <v>0.63</v>
      </c>
      <c r="G285" s="4" t="s">
        <v>1256</v>
      </c>
    </row>
    <row r="286" spans="2:8">
      <c r="B286" s="4" t="s">
        <v>1536</v>
      </c>
      <c r="C286" s="4" t="s">
        <v>1186</v>
      </c>
      <c r="D286" s="4" t="s">
        <v>1243</v>
      </c>
      <c r="E286" s="4" t="s">
        <v>254</v>
      </c>
      <c r="F286" s="4">
        <v>0.43</v>
      </c>
      <c r="G286" s="4" t="s">
        <v>1257</v>
      </c>
    </row>
    <row r="287" spans="2:8">
      <c r="B287" s="4" t="s">
        <v>1537</v>
      </c>
      <c r="C287" s="4" t="s">
        <v>1186</v>
      </c>
      <c r="D287" s="4" t="s">
        <v>1245</v>
      </c>
      <c r="E287" s="4" t="s">
        <v>254</v>
      </c>
      <c r="F287" s="4">
        <v>0.45</v>
      </c>
      <c r="G287" s="4" t="s">
        <v>1258</v>
      </c>
      <c r="H287" t="s">
        <v>1518</v>
      </c>
    </row>
    <row r="288" spans="2:8">
      <c r="B288" s="4" t="s">
        <v>1538</v>
      </c>
      <c r="C288" s="4" t="s">
        <v>1186</v>
      </c>
      <c r="D288" s="4" t="s">
        <v>1220</v>
      </c>
      <c r="E288" s="4" t="s">
        <v>254</v>
      </c>
      <c r="F288" s="4">
        <v>0.3</v>
      </c>
      <c r="G288" s="4" t="s">
        <v>1520</v>
      </c>
      <c r="H288" t="s">
        <v>1518</v>
      </c>
    </row>
    <row r="289" spans="2:8">
      <c r="B289" s="4" t="s">
        <v>1539</v>
      </c>
      <c r="C289" s="4" t="s">
        <v>1186</v>
      </c>
      <c r="D289" s="4" t="s">
        <v>1222</v>
      </c>
      <c r="E289" s="4" t="s">
        <v>254</v>
      </c>
      <c r="F289" s="4">
        <v>0.27500000000000002</v>
      </c>
      <c r="G289" s="4" t="s">
        <v>1522</v>
      </c>
      <c r="H289" t="s">
        <v>1518</v>
      </c>
    </row>
    <row r="290" spans="2:8">
      <c r="B290" s="4" t="s">
        <v>1540</v>
      </c>
      <c r="C290" s="4" t="s">
        <v>1186</v>
      </c>
      <c r="D290" s="4" t="s">
        <v>1242</v>
      </c>
      <c r="E290" s="4" t="s">
        <v>254</v>
      </c>
      <c r="F290" s="4">
        <v>0.22</v>
      </c>
      <c r="G290" s="4" t="s">
        <v>575</v>
      </c>
    </row>
    <row r="291" spans="2:8">
      <c r="B291" s="4" t="s">
        <v>1574</v>
      </c>
      <c r="C291" s="4" t="s">
        <v>1186</v>
      </c>
      <c r="D291" s="4" t="s">
        <v>1244</v>
      </c>
      <c r="E291" s="4" t="s">
        <v>254</v>
      </c>
      <c r="F291" s="4">
        <v>0.22</v>
      </c>
      <c r="G291" s="4" t="s">
        <v>70</v>
      </c>
    </row>
    <row r="292" spans="2:8">
      <c r="B292" s="4" t="s">
        <v>1542</v>
      </c>
      <c r="C292" s="4" t="s">
        <v>1186</v>
      </c>
      <c r="D292" s="4" t="s">
        <v>1529</v>
      </c>
      <c r="E292" s="4" t="s">
        <v>254</v>
      </c>
      <c r="F292" s="4">
        <v>0.22</v>
      </c>
      <c r="G292" s="4" t="s">
        <v>1530</v>
      </c>
    </row>
    <row r="293" spans="2:8">
      <c r="B293" s="4"/>
      <c r="C293" s="4"/>
      <c r="D293" s="4"/>
      <c r="E293" s="4"/>
      <c r="F293" s="4"/>
      <c r="G293" s="4"/>
    </row>
    <row r="294" spans="2:8">
      <c r="B294" s="4"/>
      <c r="C294" s="4"/>
    </row>
    <row r="295" spans="2:8">
      <c r="B295" s="4"/>
      <c r="C295" s="4"/>
    </row>
    <row r="296" spans="2:8">
      <c r="B296" s="4"/>
      <c r="C296" s="4"/>
    </row>
    <row r="297" spans="2:8">
      <c r="B297" s="4"/>
      <c r="C297" s="4"/>
    </row>
  </sheetData>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F8D4-B456-46AB-A0D0-52C764790157}">
  <sheetPr>
    <tabColor rgb="FF9F5987"/>
  </sheetPr>
  <dimension ref="A2:G8202"/>
  <sheetViews>
    <sheetView zoomScaleNormal="100" workbookViewId="0">
      <selection activeCell="D20" sqref="D20:G20"/>
    </sheetView>
  </sheetViews>
  <sheetFormatPr defaultColWidth="11.42578125" defaultRowHeight="15"/>
  <cols>
    <col min="1" max="1" width="25.7109375" bestFit="1" customWidth="1"/>
    <col min="2" max="2" width="38.7109375" customWidth="1"/>
    <col min="4" max="4" width="39.7109375" bestFit="1" customWidth="1"/>
    <col min="5" max="5" width="7" bestFit="1" customWidth="1"/>
    <col min="6" max="6" width="18.85546875" customWidth="1"/>
  </cols>
  <sheetData>
    <row r="2" spans="1:7" ht="30.75" thickBot="1">
      <c r="D2" t="s">
        <v>1582</v>
      </c>
      <c r="E2" s="9" t="s">
        <v>1583</v>
      </c>
      <c r="F2" s="11" t="s">
        <v>1584</v>
      </c>
      <c r="G2" t="s">
        <v>1585</v>
      </c>
    </row>
    <row r="3" spans="1:7" ht="15.75" thickBot="1">
      <c r="A3" s="6" t="s">
        <v>1586</v>
      </c>
      <c r="B3" s="5">
        <f>IN_build!$P$2</f>
        <v>0</v>
      </c>
      <c r="D3" s="198" t="s">
        <v>1587</v>
      </c>
      <c r="E3" s="10">
        <v>26757</v>
      </c>
      <c r="F3" s="199" t="s">
        <v>113</v>
      </c>
      <c r="G3" s="199" t="s">
        <v>113</v>
      </c>
    </row>
    <row r="4" spans="1:7">
      <c r="D4" s="200" t="s">
        <v>1588</v>
      </c>
      <c r="E4" s="10">
        <v>27498</v>
      </c>
      <c r="F4" s="201" t="s">
        <v>113</v>
      </c>
      <c r="G4" s="201" t="s">
        <v>113</v>
      </c>
    </row>
    <row r="5" spans="1:7">
      <c r="A5" s="6" t="s">
        <v>1589</v>
      </c>
      <c r="B5" s="9" cm="1">
        <f t="array" ref="B5">INDEX(Tabelle4[Plz],MATCH(MIN(ABS(Tabelle4[Plz]-$B$3)),ABS(Tabelle4[Plz]-$B$3),0))</f>
        <v>1067</v>
      </c>
      <c r="D5" s="200" t="s">
        <v>1590</v>
      </c>
      <c r="E5" s="10">
        <v>25859</v>
      </c>
      <c r="F5" s="201">
        <v>-6.6</v>
      </c>
      <c r="G5" s="201">
        <v>9.4</v>
      </c>
    </row>
    <row r="6" spans="1:7">
      <c r="A6" s="6" t="s">
        <v>1591</v>
      </c>
      <c r="B6">
        <f>_xlfn.XLOOKUP(B5,Tabelle4[Plz],Tabelle4[Außentemperatur °C])</f>
        <v>-12.3</v>
      </c>
      <c r="D6" s="200" t="s">
        <v>1592</v>
      </c>
      <c r="E6" s="10">
        <v>25946</v>
      </c>
      <c r="F6" s="201">
        <v>-6.6</v>
      </c>
      <c r="G6" s="201">
        <v>9.4</v>
      </c>
    </row>
    <row r="7" spans="1:7">
      <c r="D7" s="200" t="s">
        <v>1593</v>
      </c>
      <c r="E7" s="10">
        <v>24404</v>
      </c>
      <c r="F7" s="201">
        <v>-6.8</v>
      </c>
      <c r="G7" s="201">
        <v>9.3000000000000007</v>
      </c>
    </row>
    <row r="8" spans="1:7">
      <c r="D8" s="200" t="s">
        <v>1594</v>
      </c>
      <c r="E8" s="10">
        <v>25992</v>
      </c>
      <c r="F8" s="201">
        <v>-6.8</v>
      </c>
      <c r="G8" s="201">
        <v>9.5</v>
      </c>
    </row>
    <row r="9" spans="1:7">
      <c r="D9" s="200" t="s">
        <v>1595</v>
      </c>
      <c r="E9" s="10">
        <v>25999</v>
      </c>
      <c r="F9" s="201">
        <v>-6.8</v>
      </c>
      <c r="G9" s="201">
        <v>9.5</v>
      </c>
    </row>
    <row r="10" spans="1:7">
      <c r="D10" s="200" t="s">
        <v>1596</v>
      </c>
      <c r="E10" s="10">
        <v>40210</v>
      </c>
      <c r="F10" s="201">
        <v>-6.8</v>
      </c>
      <c r="G10" s="201">
        <v>11.9</v>
      </c>
    </row>
    <row r="11" spans="1:7">
      <c r="D11" s="200" t="s">
        <v>1596</v>
      </c>
      <c r="E11" s="10">
        <v>40211</v>
      </c>
      <c r="F11" s="201">
        <v>-6.8</v>
      </c>
      <c r="G11" s="201">
        <v>11.9</v>
      </c>
    </row>
    <row r="12" spans="1:7">
      <c r="D12" s="200" t="s">
        <v>1596</v>
      </c>
      <c r="E12" s="10">
        <v>40215</v>
      </c>
      <c r="F12" s="201">
        <v>-6.8</v>
      </c>
      <c r="G12" s="201">
        <v>12.1</v>
      </c>
    </row>
    <row r="13" spans="1:7">
      <c r="D13" s="200" t="s">
        <v>1597</v>
      </c>
      <c r="E13" s="10">
        <v>25980</v>
      </c>
      <c r="F13" s="201">
        <v>-6.9</v>
      </c>
      <c r="G13" s="201">
        <v>9.4</v>
      </c>
    </row>
    <row r="14" spans="1:7">
      <c r="D14" s="200" t="s">
        <v>1598</v>
      </c>
      <c r="E14" s="10">
        <v>26465</v>
      </c>
      <c r="F14" s="201">
        <v>-6.9</v>
      </c>
      <c r="G14" s="201">
        <v>9.9</v>
      </c>
    </row>
    <row r="15" spans="1:7">
      <c r="D15" s="200" t="s">
        <v>1599</v>
      </c>
      <c r="E15" s="10">
        <v>26474</v>
      </c>
      <c r="F15" s="201">
        <v>-6.9</v>
      </c>
      <c r="G15" s="201">
        <v>9.9</v>
      </c>
    </row>
    <row r="16" spans="1:7">
      <c r="D16" s="200" t="s">
        <v>1596</v>
      </c>
      <c r="E16" s="10">
        <v>40212</v>
      </c>
      <c r="F16" s="201">
        <v>-6.9</v>
      </c>
      <c r="G16" s="201">
        <v>11.8</v>
      </c>
    </row>
    <row r="17" spans="4:7">
      <c r="D17" s="200" t="s">
        <v>1596</v>
      </c>
      <c r="E17" s="10">
        <v>40213</v>
      </c>
      <c r="F17" s="201">
        <v>-6.9</v>
      </c>
      <c r="G17" s="201">
        <v>11.8</v>
      </c>
    </row>
    <row r="18" spans="4:7">
      <c r="D18" s="200" t="s">
        <v>1596</v>
      </c>
      <c r="E18" s="10">
        <v>40217</v>
      </c>
      <c r="F18" s="201">
        <v>-6.9</v>
      </c>
      <c r="G18" s="201">
        <v>12</v>
      </c>
    </row>
    <row r="19" spans="4:7">
      <c r="D19" s="200" t="s">
        <v>1600</v>
      </c>
      <c r="E19" s="10">
        <v>23769</v>
      </c>
      <c r="F19" s="201">
        <v>-7</v>
      </c>
      <c r="G19" s="201">
        <v>9.1999999999999993</v>
      </c>
    </row>
    <row r="20" spans="4:7">
      <c r="D20" s="200" t="s">
        <v>1601</v>
      </c>
      <c r="E20" s="10">
        <v>25849</v>
      </c>
      <c r="F20" s="201">
        <v>-7</v>
      </c>
      <c r="G20" s="201">
        <v>9.4</v>
      </c>
    </row>
    <row r="21" spans="4:7">
      <c r="D21" s="200" t="s">
        <v>1602</v>
      </c>
      <c r="E21" s="10">
        <v>25996</v>
      </c>
      <c r="F21" s="201">
        <v>-7</v>
      </c>
      <c r="G21" s="201">
        <v>9.4</v>
      </c>
    </row>
    <row r="22" spans="4:7">
      <c r="D22" s="200" t="s">
        <v>1603</v>
      </c>
      <c r="E22" s="10">
        <v>41061</v>
      </c>
      <c r="F22" s="201">
        <v>-7</v>
      </c>
      <c r="G22" s="201">
        <v>11.7</v>
      </c>
    </row>
    <row r="23" spans="4:7">
      <c r="D23" s="200" t="s">
        <v>1604</v>
      </c>
      <c r="E23" s="10">
        <v>47798</v>
      </c>
      <c r="F23" s="201">
        <v>-7</v>
      </c>
      <c r="G23" s="201">
        <v>11.7</v>
      </c>
    </row>
    <row r="24" spans="4:7">
      <c r="D24" s="200" t="s">
        <v>1605</v>
      </c>
      <c r="E24" s="10">
        <v>50667</v>
      </c>
      <c r="F24" s="201">
        <v>-7</v>
      </c>
      <c r="G24" s="201">
        <v>12</v>
      </c>
    </row>
    <row r="25" spans="4:7">
      <c r="D25" s="200" t="s">
        <v>1605</v>
      </c>
      <c r="E25" s="10">
        <v>50672</v>
      </c>
      <c r="F25" s="201">
        <v>-7</v>
      </c>
      <c r="G25" s="201">
        <v>12.1</v>
      </c>
    </row>
    <row r="26" spans="4:7">
      <c r="D26" s="200" t="s">
        <v>1605</v>
      </c>
      <c r="E26" s="10">
        <v>50676</v>
      </c>
      <c r="F26" s="201">
        <v>-7</v>
      </c>
      <c r="G26" s="201">
        <v>12.1</v>
      </c>
    </row>
    <row r="27" spans="4:7">
      <c r="D27" s="200" t="s">
        <v>1605</v>
      </c>
      <c r="E27" s="10">
        <v>50678</v>
      </c>
      <c r="F27" s="201">
        <v>-7</v>
      </c>
      <c r="G27" s="201">
        <v>12.1</v>
      </c>
    </row>
    <row r="28" spans="4:7">
      <c r="D28" s="200" t="s">
        <v>1606</v>
      </c>
      <c r="E28" s="10">
        <v>24376</v>
      </c>
      <c r="F28" s="201">
        <v>-7.1</v>
      </c>
      <c r="G28" s="201">
        <v>9.1</v>
      </c>
    </row>
    <row r="29" spans="4:7">
      <c r="D29" s="200" t="s">
        <v>1607</v>
      </c>
      <c r="E29" s="10">
        <v>24395</v>
      </c>
      <c r="F29" s="201">
        <v>-7.1</v>
      </c>
      <c r="G29" s="201">
        <v>9.1999999999999993</v>
      </c>
    </row>
    <row r="30" spans="4:7">
      <c r="D30" s="200" t="s">
        <v>1608</v>
      </c>
      <c r="E30" s="10">
        <v>25997</v>
      </c>
      <c r="F30" s="201">
        <v>-7.1</v>
      </c>
      <c r="G30" s="201">
        <v>9.3000000000000007</v>
      </c>
    </row>
    <row r="31" spans="4:7">
      <c r="D31" s="200" t="s">
        <v>1609</v>
      </c>
      <c r="E31" s="10">
        <v>26548</v>
      </c>
      <c r="F31" s="201">
        <v>-7.1</v>
      </c>
      <c r="G31" s="201">
        <v>9.9</v>
      </c>
    </row>
    <row r="32" spans="4:7">
      <c r="D32" s="200" t="s">
        <v>1610</v>
      </c>
      <c r="E32" s="10">
        <v>45127</v>
      </c>
      <c r="F32" s="201">
        <v>-7.1</v>
      </c>
      <c r="G32" s="201">
        <v>11.6</v>
      </c>
    </row>
    <row r="33" spans="4:7">
      <c r="D33" s="200" t="s">
        <v>1611</v>
      </c>
      <c r="E33" s="10">
        <v>47059</v>
      </c>
      <c r="F33" s="201">
        <v>-7.1</v>
      </c>
      <c r="G33" s="201">
        <v>11.7</v>
      </c>
    </row>
    <row r="34" spans="4:7">
      <c r="D34" s="200" t="s">
        <v>1612</v>
      </c>
      <c r="E34" s="10">
        <v>52062</v>
      </c>
      <c r="F34" s="201">
        <v>-7.1</v>
      </c>
      <c r="G34" s="201">
        <v>11.5</v>
      </c>
    </row>
    <row r="35" spans="4:7">
      <c r="D35" s="200" t="s">
        <v>1610</v>
      </c>
      <c r="E35" s="10">
        <v>45128</v>
      </c>
      <c r="F35" s="201">
        <v>-7.2</v>
      </c>
      <c r="G35" s="201">
        <v>11.5</v>
      </c>
    </row>
    <row r="36" spans="4:7">
      <c r="D36" s="200" t="s">
        <v>1605</v>
      </c>
      <c r="E36" s="10">
        <v>50668</v>
      </c>
      <c r="F36" s="201">
        <v>-7.2</v>
      </c>
      <c r="G36" s="201">
        <v>11.9</v>
      </c>
    </row>
    <row r="37" spans="4:7">
      <c r="D37" s="200" t="s">
        <v>1613</v>
      </c>
      <c r="E37" s="10">
        <v>23774</v>
      </c>
      <c r="F37" s="201">
        <v>-7.3</v>
      </c>
      <c r="G37" s="201">
        <v>9.3000000000000007</v>
      </c>
    </row>
    <row r="38" spans="4:7">
      <c r="D38" s="200" t="s">
        <v>1614</v>
      </c>
      <c r="E38" s="10">
        <v>23775</v>
      </c>
      <c r="F38" s="201">
        <v>-7.3</v>
      </c>
      <c r="G38" s="201">
        <v>9.3000000000000007</v>
      </c>
    </row>
    <row r="39" spans="4:7">
      <c r="D39" s="200" t="s">
        <v>1615</v>
      </c>
      <c r="E39" s="10">
        <v>24398</v>
      </c>
      <c r="F39" s="201">
        <v>-7.3</v>
      </c>
      <c r="G39" s="201">
        <v>9.1999999999999993</v>
      </c>
    </row>
    <row r="40" spans="4:7">
      <c r="D40" s="200" t="s">
        <v>1616</v>
      </c>
      <c r="E40" s="10">
        <v>25863</v>
      </c>
      <c r="F40" s="201">
        <v>-7.3</v>
      </c>
      <c r="G40" s="201">
        <v>9.3000000000000007</v>
      </c>
    </row>
    <row r="41" spans="4:7">
      <c r="D41" s="200" t="s">
        <v>1617</v>
      </c>
      <c r="E41" s="10">
        <v>25867</v>
      </c>
      <c r="F41" s="201">
        <v>-7.3</v>
      </c>
      <c r="G41" s="201">
        <v>9.3000000000000007</v>
      </c>
    </row>
    <row r="42" spans="4:7">
      <c r="D42" s="200" t="s">
        <v>1618</v>
      </c>
      <c r="E42" s="10">
        <v>26571</v>
      </c>
      <c r="F42" s="201">
        <v>-7.3</v>
      </c>
      <c r="G42" s="201">
        <v>9.9</v>
      </c>
    </row>
    <row r="43" spans="4:7">
      <c r="D43" s="200" t="s">
        <v>1619</v>
      </c>
      <c r="E43" s="10">
        <v>26579</v>
      </c>
      <c r="F43" s="201">
        <v>-7.3</v>
      </c>
      <c r="G43" s="201">
        <v>9.9</v>
      </c>
    </row>
    <row r="44" spans="4:7">
      <c r="D44" s="200" t="s">
        <v>1596</v>
      </c>
      <c r="E44" s="10">
        <v>40227</v>
      </c>
      <c r="F44" s="201">
        <v>-7.3</v>
      </c>
      <c r="G44" s="201">
        <v>11.6</v>
      </c>
    </row>
    <row r="45" spans="4:7">
      <c r="D45" s="200" t="s">
        <v>1620</v>
      </c>
      <c r="E45" s="10">
        <v>44787</v>
      </c>
      <c r="F45" s="201">
        <v>-7.3</v>
      </c>
      <c r="G45" s="201">
        <v>11.5</v>
      </c>
    </row>
    <row r="46" spans="4:7">
      <c r="D46" s="200" t="s">
        <v>1610</v>
      </c>
      <c r="E46" s="10">
        <v>45329</v>
      </c>
      <c r="F46" s="201">
        <v>-7.3</v>
      </c>
      <c r="G46" s="201">
        <v>11.4</v>
      </c>
    </row>
    <row r="47" spans="4:7">
      <c r="D47" s="200" t="s">
        <v>1621</v>
      </c>
      <c r="E47" s="10">
        <v>45879</v>
      </c>
      <c r="F47" s="201">
        <v>-7.3</v>
      </c>
      <c r="G47" s="201">
        <v>11.6</v>
      </c>
    </row>
    <row r="48" spans="4:7">
      <c r="D48" s="200" t="s">
        <v>1596</v>
      </c>
      <c r="E48" s="10">
        <v>40233</v>
      </c>
      <c r="F48" s="201">
        <v>-7.4</v>
      </c>
      <c r="G48" s="201">
        <v>11.5</v>
      </c>
    </row>
    <row r="49" spans="4:7">
      <c r="D49" s="200" t="s">
        <v>1621</v>
      </c>
      <c r="E49" s="10">
        <v>45889</v>
      </c>
      <c r="F49" s="201">
        <v>-7.4</v>
      </c>
      <c r="G49" s="201">
        <v>11.3</v>
      </c>
    </row>
    <row r="50" spans="4:7">
      <c r="D50" s="200" t="s">
        <v>1622</v>
      </c>
      <c r="E50" s="10">
        <v>46045</v>
      </c>
      <c r="F50" s="201">
        <v>-7.4</v>
      </c>
      <c r="G50" s="201">
        <v>11.4</v>
      </c>
    </row>
    <row r="51" spans="4:7">
      <c r="D51" s="200" t="s">
        <v>1622</v>
      </c>
      <c r="E51" s="10">
        <v>46047</v>
      </c>
      <c r="F51" s="201">
        <v>-7.4</v>
      </c>
      <c r="G51" s="201">
        <v>11.3</v>
      </c>
    </row>
    <row r="52" spans="4:7">
      <c r="D52" s="200" t="s">
        <v>1623</v>
      </c>
      <c r="E52" s="10">
        <v>53111</v>
      </c>
      <c r="F52" s="201">
        <v>-7.4</v>
      </c>
      <c r="G52" s="201">
        <v>11.7</v>
      </c>
    </row>
    <row r="53" spans="4:7">
      <c r="D53" s="200" t="s">
        <v>1624</v>
      </c>
      <c r="E53" s="10">
        <v>24399</v>
      </c>
      <c r="F53" s="201">
        <v>-7.5</v>
      </c>
      <c r="G53" s="201">
        <v>9.1999999999999993</v>
      </c>
    </row>
    <row r="54" spans="4:7">
      <c r="D54" s="200" t="s">
        <v>1625</v>
      </c>
      <c r="E54" s="10">
        <v>24937</v>
      </c>
      <c r="F54" s="201">
        <v>-7.5</v>
      </c>
      <c r="G54" s="201">
        <v>9.4</v>
      </c>
    </row>
    <row r="55" spans="4:7">
      <c r="D55" s="200" t="s">
        <v>1626</v>
      </c>
      <c r="E55" s="10">
        <v>26506</v>
      </c>
      <c r="F55" s="201">
        <v>-7.5</v>
      </c>
      <c r="G55" s="201">
        <v>9.8000000000000007</v>
      </c>
    </row>
    <row r="56" spans="4:7">
      <c r="D56" s="200" t="s">
        <v>1627</v>
      </c>
      <c r="E56" s="10">
        <v>26524</v>
      </c>
      <c r="F56" s="201">
        <v>-7.5</v>
      </c>
      <c r="G56" s="201">
        <v>9.8000000000000007</v>
      </c>
    </row>
    <row r="57" spans="4:7">
      <c r="D57" s="200" t="s">
        <v>1628</v>
      </c>
      <c r="E57" s="10">
        <v>26553</v>
      </c>
      <c r="F57" s="201">
        <v>-7.5</v>
      </c>
      <c r="G57" s="201">
        <v>9.9</v>
      </c>
    </row>
    <row r="58" spans="4:7">
      <c r="D58" s="200" t="s">
        <v>1596</v>
      </c>
      <c r="E58" s="10">
        <v>40235</v>
      </c>
      <c r="F58" s="201">
        <v>-7.5</v>
      </c>
      <c r="G58" s="201">
        <v>11.4</v>
      </c>
    </row>
    <row r="59" spans="4:7">
      <c r="D59" s="200" t="s">
        <v>1596</v>
      </c>
      <c r="E59" s="10">
        <v>40237</v>
      </c>
      <c r="F59" s="201">
        <v>-7.5</v>
      </c>
      <c r="G59" s="201">
        <v>11.4</v>
      </c>
    </row>
    <row r="60" spans="4:7">
      <c r="D60" s="200" t="s">
        <v>1603</v>
      </c>
      <c r="E60" s="10">
        <v>41236</v>
      </c>
      <c r="F60" s="201">
        <v>-7.5</v>
      </c>
      <c r="G60" s="201">
        <v>11.3</v>
      </c>
    </row>
    <row r="61" spans="4:7">
      <c r="D61" s="200" t="s">
        <v>1629</v>
      </c>
      <c r="E61" s="10">
        <v>44135</v>
      </c>
      <c r="F61" s="201">
        <v>-7.5</v>
      </c>
      <c r="G61" s="201">
        <v>11.4</v>
      </c>
    </row>
    <row r="62" spans="4:7">
      <c r="D62" s="200" t="s">
        <v>1630</v>
      </c>
      <c r="E62" s="10">
        <v>44652</v>
      </c>
      <c r="F62" s="201">
        <v>-7.5</v>
      </c>
      <c r="G62" s="201">
        <v>11.3</v>
      </c>
    </row>
    <row r="63" spans="4:7">
      <c r="D63" s="200" t="s">
        <v>1610</v>
      </c>
      <c r="E63" s="10">
        <v>45143</v>
      </c>
      <c r="F63" s="201">
        <v>-7.5</v>
      </c>
      <c r="G63" s="201">
        <v>11.3</v>
      </c>
    </row>
    <row r="64" spans="4:7">
      <c r="D64" s="200" t="s">
        <v>1610</v>
      </c>
      <c r="E64" s="10">
        <v>45356</v>
      </c>
      <c r="F64" s="201">
        <v>-7.5</v>
      </c>
      <c r="G64" s="201">
        <v>11.3</v>
      </c>
    </row>
    <row r="65" spans="4:7">
      <c r="D65" s="200" t="s">
        <v>1631</v>
      </c>
      <c r="E65" s="10">
        <v>45476</v>
      </c>
      <c r="F65" s="201">
        <v>-7.5</v>
      </c>
      <c r="G65" s="201">
        <v>11.3</v>
      </c>
    </row>
    <row r="66" spans="4:7">
      <c r="D66" s="200" t="s">
        <v>1632</v>
      </c>
      <c r="E66" s="10">
        <v>24409</v>
      </c>
      <c r="F66" s="201">
        <v>-7.6</v>
      </c>
      <c r="G66" s="201">
        <v>9</v>
      </c>
    </row>
    <row r="67" spans="4:7">
      <c r="D67" s="200" t="s">
        <v>1633</v>
      </c>
      <c r="E67" s="10">
        <v>24972</v>
      </c>
      <c r="F67" s="201">
        <v>-7.6</v>
      </c>
      <c r="G67" s="201">
        <v>9</v>
      </c>
    </row>
    <row r="68" spans="4:7">
      <c r="D68" s="200" t="s">
        <v>1634</v>
      </c>
      <c r="E68" s="10">
        <v>25924</v>
      </c>
      <c r="F68" s="201">
        <v>-7.6</v>
      </c>
      <c r="G68" s="201">
        <v>9.1</v>
      </c>
    </row>
    <row r="69" spans="4:7">
      <c r="D69" s="200" t="s">
        <v>1635</v>
      </c>
      <c r="E69" s="10">
        <v>25938</v>
      </c>
      <c r="F69" s="201">
        <v>-7.6</v>
      </c>
      <c r="G69" s="201">
        <v>9.1999999999999993</v>
      </c>
    </row>
    <row r="70" spans="4:7">
      <c r="D70" s="200" t="s">
        <v>1596</v>
      </c>
      <c r="E70" s="10">
        <v>40239</v>
      </c>
      <c r="F70" s="201">
        <v>-7.6</v>
      </c>
      <c r="G70" s="201">
        <v>11.4</v>
      </c>
    </row>
    <row r="71" spans="4:7">
      <c r="D71" s="200" t="s">
        <v>1596</v>
      </c>
      <c r="E71" s="10">
        <v>40476</v>
      </c>
      <c r="F71" s="201">
        <v>-7.6</v>
      </c>
      <c r="G71" s="201">
        <v>11.5</v>
      </c>
    </row>
    <row r="72" spans="4:7">
      <c r="D72" s="200" t="s">
        <v>1596</v>
      </c>
      <c r="E72" s="10">
        <v>40477</v>
      </c>
      <c r="F72" s="201">
        <v>-7.6</v>
      </c>
      <c r="G72" s="201">
        <v>11.4</v>
      </c>
    </row>
    <row r="73" spans="4:7">
      <c r="D73" s="200" t="s">
        <v>1596</v>
      </c>
      <c r="E73" s="10">
        <v>40591</v>
      </c>
      <c r="F73" s="201">
        <v>-7.6</v>
      </c>
      <c r="G73" s="201">
        <v>11.4</v>
      </c>
    </row>
    <row r="74" spans="4:7">
      <c r="D74" s="200" t="s">
        <v>1596</v>
      </c>
      <c r="E74" s="10">
        <v>40597</v>
      </c>
      <c r="F74" s="201">
        <v>-7.6</v>
      </c>
      <c r="G74" s="201">
        <v>11.3</v>
      </c>
    </row>
    <row r="75" spans="4:7">
      <c r="D75" s="200" t="s">
        <v>1603</v>
      </c>
      <c r="E75" s="10">
        <v>41066</v>
      </c>
      <c r="F75" s="201">
        <v>-7.6</v>
      </c>
      <c r="G75" s="201">
        <v>11</v>
      </c>
    </row>
    <row r="76" spans="4:7">
      <c r="D76" s="200" t="s">
        <v>1603</v>
      </c>
      <c r="E76" s="10">
        <v>41239</v>
      </c>
      <c r="F76" s="201">
        <v>-7.6</v>
      </c>
      <c r="G76" s="201">
        <v>11.2</v>
      </c>
    </row>
    <row r="77" spans="4:7">
      <c r="D77" s="200" t="s">
        <v>1630</v>
      </c>
      <c r="E77" s="10">
        <v>44625</v>
      </c>
      <c r="F77" s="201">
        <v>-7.6</v>
      </c>
      <c r="G77" s="201">
        <v>11.2</v>
      </c>
    </row>
    <row r="78" spans="4:7">
      <c r="D78" s="200" t="s">
        <v>1610</v>
      </c>
      <c r="E78" s="10">
        <v>45130</v>
      </c>
      <c r="F78" s="201">
        <v>-7.6</v>
      </c>
      <c r="G78" s="201">
        <v>11</v>
      </c>
    </row>
    <row r="79" spans="4:7">
      <c r="D79" s="200" t="s">
        <v>1610</v>
      </c>
      <c r="E79" s="10">
        <v>45138</v>
      </c>
      <c r="F79" s="201">
        <v>-7.6</v>
      </c>
      <c r="G79" s="201">
        <v>11</v>
      </c>
    </row>
    <row r="80" spans="4:7">
      <c r="D80" s="200" t="s">
        <v>1610</v>
      </c>
      <c r="E80" s="10">
        <v>45139</v>
      </c>
      <c r="F80" s="201">
        <v>-7.6</v>
      </c>
      <c r="G80" s="201">
        <v>11</v>
      </c>
    </row>
    <row r="81" spans="4:7">
      <c r="D81" s="200" t="s">
        <v>1610</v>
      </c>
      <c r="E81" s="10">
        <v>45145</v>
      </c>
      <c r="F81" s="201">
        <v>-7.6</v>
      </c>
      <c r="G81" s="201">
        <v>11.1</v>
      </c>
    </row>
    <row r="82" spans="4:7">
      <c r="D82" s="200" t="s">
        <v>1610</v>
      </c>
      <c r="E82" s="10">
        <v>45276</v>
      </c>
      <c r="F82" s="201">
        <v>-7.6</v>
      </c>
      <c r="G82" s="201">
        <v>11.2</v>
      </c>
    </row>
    <row r="83" spans="4:7">
      <c r="D83" s="200" t="s">
        <v>1610</v>
      </c>
      <c r="E83" s="10">
        <v>45277</v>
      </c>
      <c r="F83" s="201">
        <v>-7.6</v>
      </c>
      <c r="G83" s="201">
        <v>11.1</v>
      </c>
    </row>
    <row r="84" spans="4:7">
      <c r="D84" s="200" t="s">
        <v>1610</v>
      </c>
      <c r="E84" s="10">
        <v>45326</v>
      </c>
      <c r="F84" s="201">
        <v>-7.6</v>
      </c>
      <c r="G84" s="201">
        <v>11.2</v>
      </c>
    </row>
    <row r="85" spans="4:7">
      <c r="D85" s="200" t="s">
        <v>1631</v>
      </c>
      <c r="E85" s="10">
        <v>45468</v>
      </c>
      <c r="F85" s="201">
        <v>-7.6</v>
      </c>
      <c r="G85" s="201">
        <v>11.3</v>
      </c>
    </row>
    <row r="86" spans="4:7">
      <c r="D86" s="200" t="s">
        <v>1631</v>
      </c>
      <c r="E86" s="10">
        <v>45475</v>
      </c>
      <c r="F86" s="201">
        <v>-7.6</v>
      </c>
      <c r="G86" s="201">
        <v>11.2</v>
      </c>
    </row>
    <row r="87" spans="4:7">
      <c r="D87" s="200" t="s">
        <v>1621</v>
      </c>
      <c r="E87" s="10">
        <v>45881</v>
      </c>
      <c r="F87" s="201">
        <v>-7.6</v>
      </c>
      <c r="G87" s="201">
        <v>11.3</v>
      </c>
    </row>
    <row r="88" spans="4:7">
      <c r="D88" s="200" t="s">
        <v>1621</v>
      </c>
      <c r="E88" s="10">
        <v>45886</v>
      </c>
      <c r="F88" s="201">
        <v>-7.6</v>
      </c>
      <c r="G88" s="201">
        <v>11.2</v>
      </c>
    </row>
    <row r="89" spans="4:7">
      <c r="D89" s="200" t="s">
        <v>1622</v>
      </c>
      <c r="E89" s="10">
        <v>46049</v>
      </c>
      <c r="F89" s="201">
        <v>-7.6</v>
      </c>
      <c r="G89" s="201">
        <v>11.3</v>
      </c>
    </row>
    <row r="90" spans="4:7">
      <c r="D90" s="200" t="s">
        <v>1611</v>
      </c>
      <c r="E90" s="10">
        <v>47137</v>
      </c>
      <c r="F90" s="201">
        <v>-7.6</v>
      </c>
      <c r="G90" s="201">
        <v>11.4</v>
      </c>
    </row>
    <row r="91" spans="4:7">
      <c r="D91" s="200" t="s">
        <v>1611</v>
      </c>
      <c r="E91" s="10">
        <v>47167</v>
      </c>
      <c r="F91" s="201">
        <v>-7.6</v>
      </c>
      <c r="G91" s="201">
        <v>11.3</v>
      </c>
    </row>
    <row r="92" spans="4:7">
      <c r="D92" s="200" t="s">
        <v>1611</v>
      </c>
      <c r="E92" s="10">
        <v>47169</v>
      </c>
      <c r="F92" s="201">
        <v>-7.6</v>
      </c>
      <c r="G92" s="201">
        <v>11.2</v>
      </c>
    </row>
    <row r="93" spans="4:7">
      <c r="D93" s="200" t="s">
        <v>1604</v>
      </c>
      <c r="E93" s="10">
        <v>47799</v>
      </c>
      <c r="F93" s="201">
        <v>-7.6</v>
      </c>
      <c r="G93" s="201">
        <v>11.3</v>
      </c>
    </row>
    <row r="94" spans="4:7">
      <c r="D94" s="200" t="s">
        <v>1604</v>
      </c>
      <c r="E94" s="10">
        <v>47805</v>
      </c>
      <c r="F94" s="201">
        <v>-7.6</v>
      </c>
      <c r="G94" s="201">
        <v>11.4</v>
      </c>
    </row>
    <row r="95" spans="4:7">
      <c r="D95" s="200" t="s">
        <v>1605</v>
      </c>
      <c r="E95" s="10">
        <v>50823</v>
      </c>
      <c r="F95" s="201">
        <v>-7.6</v>
      </c>
      <c r="G95" s="201">
        <v>11.5</v>
      </c>
    </row>
    <row r="96" spans="4:7">
      <c r="D96" s="200" t="s">
        <v>1636</v>
      </c>
      <c r="E96" s="10">
        <v>24159</v>
      </c>
      <c r="F96" s="201">
        <v>-7.7</v>
      </c>
      <c r="G96" s="201">
        <v>9.3000000000000007</v>
      </c>
    </row>
    <row r="97" spans="4:7">
      <c r="D97" s="200" t="s">
        <v>1637</v>
      </c>
      <c r="E97" s="10">
        <v>27472</v>
      </c>
      <c r="F97" s="201">
        <v>-7.7</v>
      </c>
      <c r="G97" s="201">
        <v>9.8000000000000007</v>
      </c>
    </row>
    <row r="98" spans="4:7">
      <c r="D98" s="200" t="s">
        <v>1596</v>
      </c>
      <c r="E98" s="10">
        <v>40225</v>
      </c>
      <c r="F98" s="201">
        <v>-7.7</v>
      </c>
      <c r="G98" s="201">
        <v>11.3</v>
      </c>
    </row>
    <row r="99" spans="4:7">
      <c r="D99" s="200" t="s">
        <v>1596</v>
      </c>
      <c r="E99" s="10">
        <v>40231</v>
      </c>
      <c r="F99" s="201">
        <v>-7.7</v>
      </c>
      <c r="G99" s="201">
        <v>11.3</v>
      </c>
    </row>
    <row r="100" spans="4:7">
      <c r="D100" s="200" t="s">
        <v>1596</v>
      </c>
      <c r="E100" s="10">
        <v>40468</v>
      </c>
      <c r="F100" s="201">
        <v>-7.7</v>
      </c>
      <c r="G100" s="201">
        <v>11.3</v>
      </c>
    </row>
    <row r="101" spans="4:7">
      <c r="D101" s="200" t="s">
        <v>1596</v>
      </c>
      <c r="E101" s="10">
        <v>40479</v>
      </c>
      <c r="F101" s="201">
        <v>-7.7</v>
      </c>
      <c r="G101" s="201">
        <v>11.3</v>
      </c>
    </row>
    <row r="102" spans="4:7">
      <c r="D102" s="200" t="s">
        <v>1638</v>
      </c>
      <c r="E102" s="10">
        <v>40721</v>
      </c>
      <c r="F102" s="201">
        <v>-7.7</v>
      </c>
      <c r="G102" s="201">
        <v>11.2</v>
      </c>
    </row>
    <row r="103" spans="4:7">
      <c r="D103" s="200" t="s">
        <v>1639</v>
      </c>
      <c r="E103" s="10">
        <v>40723</v>
      </c>
      <c r="F103" s="201">
        <v>-7.7</v>
      </c>
      <c r="G103" s="201">
        <v>11.2</v>
      </c>
    </row>
    <row r="104" spans="4:7">
      <c r="D104" s="200" t="s">
        <v>1603</v>
      </c>
      <c r="E104" s="10">
        <v>41065</v>
      </c>
      <c r="F104" s="201">
        <v>-7.7</v>
      </c>
      <c r="G104" s="201">
        <v>11.1</v>
      </c>
    </row>
    <row r="105" spans="4:7">
      <c r="D105" s="200" t="s">
        <v>1640</v>
      </c>
      <c r="E105" s="10">
        <v>41747</v>
      </c>
      <c r="F105" s="201">
        <v>-7.7</v>
      </c>
      <c r="G105" s="201">
        <v>11</v>
      </c>
    </row>
    <row r="106" spans="4:7">
      <c r="D106" s="200" t="s">
        <v>1610</v>
      </c>
      <c r="E106" s="10">
        <v>45144</v>
      </c>
      <c r="F106" s="201">
        <v>-7.7</v>
      </c>
      <c r="G106" s="201">
        <v>11.1</v>
      </c>
    </row>
    <row r="107" spans="4:7">
      <c r="D107" s="200" t="s">
        <v>1610</v>
      </c>
      <c r="E107" s="10">
        <v>45147</v>
      </c>
      <c r="F107" s="201">
        <v>-7.7</v>
      </c>
      <c r="G107" s="201">
        <v>11</v>
      </c>
    </row>
    <row r="108" spans="4:7">
      <c r="D108" s="200" t="s">
        <v>1610</v>
      </c>
      <c r="E108" s="10">
        <v>45355</v>
      </c>
      <c r="F108" s="201">
        <v>-7.7</v>
      </c>
      <c r="G108" s="201">
        <v>11.1</v>
      </c>
    </row>
    <row r="109" spans="4:7">
      <c r="D109" s="200" t="s">
        <v>1631</v>
      </c>
      <c r="E109" s="10">
        <v>45473</v>
      </c>
      <c r="F109" s="201">
        <v>-7.7</v>
      </c>
      <c r="G109" s="201">
        <v>11.2</v>
      </c>
    </row>
    <row r="110" spans="4:7">
      <c r="D110" s="200" t="s">
        <v>1641</v>
      </c>
      <c r="E110" s="10">
        <v>45884</v>
      </c>
      <c r="F110" s="201">
        <v>-7.7</v>
      </c>
      <c r="G110" s="201">
        <v>11.1</v>
      </c>
    </row>
    <row r="111" spans="4:7">
      <c r="D111" s="200" t="s">
        <v>1622</v>
      </c>
      <c r="E111" s="10">
        <v>46149</v>
      </c>
      <c r="F111" s="201">
        <v>-7.7</v>
      </c>
      <c r="G111" s="201">
        <v>11.2</v>
      </c>
    </row>
    <row r="112" spans="4:7">
      <c r="D112" s="200" t="s">
        <v>1642</v>
      </c>
      <c r="E112" s="10">
        <v>46238</v>
      </c>
      <c r="F112" s="201">
        <v>-7.7</v>
      </c>
      <c r="G112" s="201">
        <v>11.1</v>
      </c>
    </row>
    <row r="113" spans="4:7">
      <c r="D113" s="200" t="s">
        <v>1611</v>
      </c>
      <c r="E113" s="10">
        <v>47053</v>
      </c>
      <c r="F113" s="201">
        <v>-7.7</v>
      </c>
      <c r="G113" s="201">
        <v>11.3</v>
      </c>
    </row>
    <row r="114" spans="4:7">
      <c r="D114" s="200" t="s">
        <v>1604</v>
      </c>
      <c r="E114" s="10">
        <v>47800</v>
      </c>
      <c r="F114" s="201">
        <v>-7.7</v>
      </c>
      <c r="G114" s="201">
        <v>11.3</v>
      </c>
    </row>
    <row r="115" spans="4:7">
      <c r="D115" s="200" t="s">
        <v>1605</v>
      </c>
      <c r="E115" s="10">
        <v>50670</v>
      </c>
      <c r="F115" s="201">
        <v>-7.7</v>
      </c>
      <c r="G115" s="201">
        <v>11.4</v>
      </c>
    </row>
    <row r="116" spans="4:7">
      <c r="D116" s="200" t="s">
        <v>1605</v>
      </c>
      <c r="E116" s="10">
        <v>50674</v>
      </c>
      <c r="F116" s="201">
        <v>-7.7</v>
      </c>
      <c r="G116" s="201">
        <v>11.5</v>
      </c>
    </row>
    <row r="117" spans="4:7">
      <c r="D117" s="200" t="s">
        <v>1605</v>
      </c>
      <c r="E117" s="10">
        <v>50677</v>
      </c>
      <c r="F117" s="201">
        <v>-7.7</v>
      </c>
      <c r="G117" s="201">
        <v>11.4</v>
      </c>
    </row>
    <row r="118" spans="4:7">
      <c r="D118" s="200" t="s">
        <v>1605</v>
      </c>
      <c r="E118" s="10">
        <v>50679</v>
      </c>
      <c r="F118" s="201">
        <v>-7.7</v>
      </c>
      <c r="G118" s="201">
        <v>11.4</v>
      </c>
    </row>
    <row r="119" spans="4:7">
      <c r="D119" s="200" t="s">
        <v>1605</v>
      </c>
      <c r="E119" s="10">
        <v>50733</v>
      </c>
      <c r="F119" s="201">
        <v>-7.7</v>
      </c>
      <c r="G119" s="201">
        <v>11.4</v>
      </c>
    </row>
    <row r="120" spans="4:7">
      <c r="D120" s="200" t="s">
        <v>1605</v>
      </c>
      <c r="E120" s="10">
        <v>50737</v>
      </c>
      <c r="F120" s="201">
        <v>-7.7</v>
      </c>
      <c r="G120" s="201">
        <v>11.3</v>
      </c>
    </row>
    <row r="121" spans="4:7">
      <c r="D121" s="200" t="s">
        <v>1605</v>
      </c>
      <c r="E121" s="10">
        <v>50825</v>
      </c>
      <c r="F121" s="201">
        <v>-7.7</v>
      </c>
      <c r="G121" s="201">
        <v>11.3</v>
      </c>
    </row>
    <row r="122" spans="4:7">
      <c r="D122" s="200" t="s">
        <v>1643</v>
      </c>
      <c r="E122" s="10">
        <v>23758</v>
      </c>
      <c r="F122" s="201">
        <v>-7.8</v>
      </c>
      <c r="G122" s="201">
        <v>9.1999999999999993</v>
      </c>
    </row>
    <row r="123" spans="4:7">
      <c r="D123" s="200" t="s">
        <v>1644</v>
      </c>
      <c r="E123" s="10">
        <v>23779</v>
      </c>
      <c r="F123" s="201">
        <v>-7.8</v>
      </c>
      <c r="G123" s="201">
        <v>9.1999999999999993</v>
      </c>
    </row>
    <row r="124" spans="4:7">
      <c r="D124" s="200" t="s">
        <v>1645</v>
      </c>
      <c r="E124" s="10">
        <v>24351</v>
      </c>
      <c r="F124" s="201">
        <v>-7.8</v>
      </c>
      <c r="G124" s="201">
        <v>9.1</v>
      </c>
    </row>
    <row r="125" spans="4:7">
      <c r="D125" s="200" t="s">
        <v>1646</v>
      </c>
      <c r="E125" s="10">
        <v>24402</v>
      </c>
      <c r="F125" s="201">
        <v>-7.8</v>
      </c>
      <c r="G125" s="201">
        <v>9</v>
      </c>
    </row>
    <row r="126" spans="4:7">
      <c r="D126" s="200" t="s">
        <v>1625</v>
      </c>
      <c r="E126" s="10">
        <v>24939</v>
      </c>
      <c r="F126" s="201">
        <v>-7.8</v>
      </c>
      <c r="G126" s="201">
        <v>9</v>
      </c>
    </row>
    <row r="127" spans="4:7">
      <c r="D127" s="200" t="s">
        <v>1647</v>
      </c>
      <c r="E127" s="10">
        <v>26382</v>
      </c>
      <c r="F127" s="201">
        <v>-7.8</v>
      </c>
      <c r="G127" s="201">
        <v>9.9</v>
      </c>
    </row>
    <row r="128" spans="4:7">
      <c r="D128" s="200" t="s">
        <v>1648</v>
      </c>
      <c r="E128" s="10">
        <v>27570</v>
      </c>
      <c r="F128" s="201">
        <v>-7.8</v>
      </c>
      <c r="G128" s="201">
        <v>10.3</v>
      </c>
    </row>
    <row r="129" spans="4:7">
      <c r="D129" s="200" t="s">
        <v>1596</v>
      </c>
      <c r="E129" s="10">
        <v>40219</v>
      </c>
      <c r="F129" s="201">
        <v>-7.8</v>
      </c>
      <c r="G129" s="201">
        <v>11.3</v>
      </c>
    </row>
    <row r="130" spans="4:7">
      <c r="D130" s="200" t="s">
        <v>1596</v>
      </c>
      <c r="E130" s="10">
        <v>40223</v>
      </c>
      <c r="F130" s="201">
        <v>-7.8</v>
      </c>
      <c r="G130" s="201">
        <v>11.2</v>
      </c>
    </row>
    <row r="131" spans="4:7">
      <c r="D131" s="200" t="s">
        <v>1596</v>
      </c>
      <c r="E131" s="10">
        <v>40470</v>
      </c>
      <c r="F131" s="201">
        <v>-7.8</v>
      </c>
      <c r="G131" s="201">
        <v>11.3</v>
      </c>
    </row>
    <row r="132" spans="4:7">
      <c r="D132" s="200" t="s">
        <v>1596</v>
      </c>
      <c r="E132" s="10">
        <v>40547</v>
      </c>
      <c r="F132" s="201">
        <v>-7.8</v>
      </c>
      <c r="G132" s="201">
        <v>11.3</v>
      </c>
    </row>
    <row r="133" spans="4:7">
      <c r="D133" s="200" t="s">
        <v>1596</v>
      </c>
      <c r="E133" s="10">
        <v>40549</v>
      </c>
      <c r="F133" s="201">
        <v>-7.8</v>
      </c>
      <c r="G133" s="201">
        <v>11.3</v>
      </c>
    </row>
    <row r="134" spans="4:7">
      <c r="D134" s="200" t="s">
        <v>1596</v>
      </c>
      <c r="E134" s="10">
        <v>40595</v>
      </c>
      <c r="F134" s="201">
        <v>-7.8</v>
      </c>
      <c r="G134" s="201">
        <v>11.1</v>
      </c>
    </row>
    <row r="135" spans="4:7">
      <c r="D135" s="200" t="s">
        <v>1596</v>
      </c>
      <c r="E135" s="10">
        <v>40599</v>
      </c>
      <c r="F135" s="201">
        <v>-7.8</v>
      </c>
      <c r="G135" s="201">
        <v>11.2</v>
      </c>
    </row>
    <row r="136" spans="4:7">
      <c r="D136" s="200" t="s">
        <v>1603</v>
      </c>
      <c r="E136" s="10">
        <v>41238</v>
      </c>
      <c r="F136" s="201">
        <v>-7.8</v>
      </c>
      <c r="G136" s="201">
        <v>11.1</v>
      </c>
    </row>
    <row r="137" spans="4:7">
      <c r="D137" s="200" t="s">
        <v>1649</v>
      </c>
      <c r="E137" s="10">
        <v>41460</v>
      </c>
      <c r="F137" s="201">
        <v>-7.8</v>
      </c>
      <c r="G137" s="201">
        <v>11.2</v>
      </c>
    </row>
    <row r="138" spans="4:7">
      <c r="D138" s="200" t="s">
        <v>1649</v>
      </c>
      <c r="E138" s="10">
        <v>41464</v>
      </c>
      <c r="F138" s="201">
        <v>-7.8</v>
      </c>
      <c r="G138" s="201">
        <v>11.2</v>
      </c>
    </row>
    <row r="139" spans="4:7">
      <c r="D139" s="200" t="s">
        <v>1640</v>
      </c>
      <c r="E139" s="10">
        <v>41748</v>
      </c>
      <c r="F139" s="201">
        <v>-7.8</v>
      </c>
      <c r="G139" s="201">
        <v>10.9</v>
      </c>
    </row>
    <row r="140" spans="4:7">
      <c r="D140" s="200" t="s">
        <v>1650</v>
      </c>
      <c r="E140" s="10">
        <v>42275</v>
      </c>
      <c r="F140" s="201">
        <v>-7.8</v>
      </c>
      <c r="G140" s="201">
        <v>11.1</v>
      </c>
    </row>
    <row r="141" spans="4:7">
      <c r="D141" s="200" t="s">
        <v>1630</v>
      </c>
      <c r="E141" s="10">
        <v>44629</v>
      </c>
      <c r="F141" s="201">
        <v>-7.8</v>
      </c>
      <c r="G141" s="201">
        <v>11.1</v>
      </c>
    </row>
    <row r="142" spans="4:7">
      <c r="D142" s="200" t="s">
        <v>1630</v>
      </c>
      <c r="E142" s="10">
        <v>44649</v>
      </c>
      <c r="F142" s="201">
        <v>-7.8</v>
      </c>
      <c r="G142" s="201">
        <v>11.1</v>
      </c>
    </row>
    <row r="143" spans="4:7">
      <c r="D143" s="200" t="s">
        <v>1630</v>
      </c>
      <c r="E143" s="10">
        <v>44651</v>
      </c>
      <c r="F143" s="201">
        <v>-7.8</v>
      </c>
      <c r="G143" s="201">
        <v>11.1</v>
      </c>
    </row>
    <row r="144" spans="4:7">
      <c r="D144" s="200" t="s">
        <v>1630</v>
      </c>
      <c r="E144" s="10">
        <v>44653</v>
      </c>
      <c r="F144" s="201">
        <v>-7.8</v>
      </c>
      <c r="G144" s="201">
        <v>11.1</v>
      </c>
    </row>
    <row r="145" spans="4:7">
      <c r="D145" s="200" t="s">
        <v>1620</v>
      </c>
      <c r="E145" s="10">
        <v>44789</v>
      </c>
      <c r="F145" s="201">
        <v>-7.8</v>
      </c>
      <c r="G145" s="201">
        <v>11</v>
      </c>
    </row>
    <row r="146" spans="4:7">
      <c r="D146" s="200" t="s">
        <v>1620</v>
      </c>
      <c r="E146" s="10">
        <v>44809</v>
      </c>
      <c r="F146" s="201">
        <v>-7.8</v>
      </c>
      <c r="G146" s="201">
        <v>11.1</v>
      </c>
    </row>
    <row r="147" spans="4:7">
      <c r="D147" s="200" t="s">
        <v>1620</v>
      </c>
      <c r="E147" s="10">
        <v>44866</v>
      </c>
      <c r="F147" s="201">
        <v>-7.8</v>
      </c>
      <c r="G147" s="201">
        <v>11.1</v>
      </c>
    </row>
    <row r="148" spans="4:7">
      <c r="D148" s="200" t="s">
        <v>1610</v>
      </c>
      <c r="E148" s="10">
        <v>45136</v>
      </c>
      <c r="F148" s="201">
        <v>-7.8</v>
      </c>
      <c r="G148" s="201">
        <v>11</v>
      </c>
    </row>
    <row r="149" spans="4:7">
      <c r="D149" s="200" t="s">
        <v>1610</v>
      </c>
      <c r="E149" s="10">
        <v>45309</v>
      </c>
      <c r="F149" s="201">
        <v>-7.8</v>
      </c>
      <c r="G149" s="201">
        <v>11</v>
      </c>
    </row>
    <row r="150" spans="4:7">
      <c r="D150" s="200" t="s">
        <v>1610</v>
      </c>
      <c r="E150" s="10">
        <v>45327</v>
      </c>
      <c r="F150" s="201">
        <v>-7.8</v>
      </c>
      <c r="G150" s="201">
        <v>11.1</v>
      </c>
    </row>
    <row r="151" spans="4:7">
      <c r="D151" s="200" t="s">
        <v>1610</v>
      </c>
      <c r="E151" s="10">
        <v>45357</v>
      </c>
      <c r="F151" s="201">
        <v>-7.8</v>
      </c>
      <c r="G151" s="201">
        <v>11</v>
      </c>
    </row>
    <row r="152" spans="4:7">
      <c r="D152" s="200" t="s">
        <v>1621</v>
      </c>
      <c r="E152" s="10">
        <v>45888</v>
      </c>
      <c r="F152" s="201">
        <v>-7.8</v>
      </c>
      <c r="G152" s="201">
        <v>11.1</v>
      </c>
    </row>
    <row r="153" spans="4:7">
      <c r="D153" s="200" t="s">
        <v>1621</v>
      </c>
      <c r="E153" s="10">
        <v>45899</v>
      </c>
      <c r="F153" s="201">
        <v>-7.8</v>
      </c>
      <c r="G153" s="201">
        <v>11.1</v>
      </c>
    </row>
    <row r="154" spans="4:7">
      <c r="D154" s="200" t="s">
        <v>1651</v>
      </c>
      <c r="E154" s="10">
        <v>45968</v>
      </c>
      <c r="F154" s="201">
        <v>-7.8</v>
      </c>
      <c r="G154" s="201">
        <v>11.2</v>
      </c>
    </row>
    <row r="155" spans="4:7">
      <c r="D155" s="200" t="s">
        <v>1622</v>
      </c>
      <c r="E155" s="10">
        <v>46117</v>
      </c>
      <c r="F155" s="201">
        <v>-7.8</v>
      </c>
      <c r="G155" s="201">
        <v>11.1</v>
      </c>
    </row>
    <row r="156" spans="4:7">
      <c r="D156" s="200" t="s">
        <v>1652</v>
      </c>
      <c r="E156" s="10">
        <v>46535</v>
      </c>
      <c r="F156" s="201">
        <v>-7.8</v>
      </c>
      <c r="G156" s="201">
        <v>11.1</v>
      </c>
    </row>
    <row r="157" spans="4:7">
      <c r="D157" s="200" t="s">
        <v>1611</v>
      </c>
      <c r="E157" s="10">
        <v>47051</v>
      </c>
      <c r="F157" s="201">
        <v>-7.8</v>
      </c>
      <c r="G157" s="201">
        <v>11.2</v>
      </c>
    </row>
    <row r="158" spans="4:7">
      <c r="D158" s="200" t="s">
        <v>1611</v>
      </c>
      <c r="E158" s="10">
        <v>47119</v>
      </c>
      <c r="F158" s="201">
        <v>-7.8</v>
      </c>
      <c r="G158" s="201">
        <v>11.1</v>
      </c>
    </row>
    <row r="159" spans="4:7">
      <c r="D159" s="200" t="s">
        <v>1611</v>
      </c>
      <c r="E159" s="10">
        <v>47138</v>
      </c>
      <c r="F159" s="201">
        <v>-7.8</v>
      </c>
      <c r="G159" s="201">
        <v>11.1</v>
      </c>
    </row>
    <row r="160" spans="4:7">
      <c r="D160" s="200" t="s">
        <v>1611</v>
      </c>
      <c r="E160" s="10">
        <v>47166</v>
      </c>
      <c r="F160" s="201">
        <v>-7.8</v>
      </c>
      <c r="G160" s="201">
        <v>11.1</v>
      </c>
    </row>
    <row r="161" spans="4:7">
      <c r="D161" s="200" t="s">
        <v>1611</v>
      </c>
      <c r="E161" s="10">
        <v>47179</v>
      </c>
      <c r="F161" s="201">
        <v>-7.8</v>
      </c>
      <c r="G161" s="201">
        <v>11.1</v>
      </c>
    </row>
    <row r="162" spans="4:7">
      <c r="D162" s="200" t="s">
        <v>1611</v>
      </c>
      <c r="E162" s="10">
        <v>47198</v>
      </c>
      <c r="F162" s="201">
        <v>-7.8</v>
      </c>
      <c r="G162" s="201">
        <v>11.2</v>
      </c>
    </row>
    <row r="163" spans="4:7">
      <c r="D163" s="200" t="s">
        <v>1611</v>
      </c>
      <c r="E163" s="10">
        <v>47226</v>
      </c>
      <c r="F163" s="201">
        <v>-7.8</v>
      </c>
      <c r="G163" s="201">
        <v>11.2</v>
      </c>
    </row>
    <row r="164" spans="4:7">
      <c r="D164" s="200" t="s">
        <v>1611</v>
      </c>
      <c r="E164" s="10">
        <v>47228</v>
      </c>
      <c r="F164" s="201">
        <v>-7.8</v>
      </c>
      <c r="G164" s="201">
        <v>11.4</v>
      </c>
    </row>
    <row r="165" spans="4:7">
      <c r="D165" s="200" t="s">
        <v>1611</v>
      </c>
      <c r="E165" s="10">
        <v>47229</v>
      </c>
      <c r="F165" s="201">
        <v>-7.8</v>
      </c>
      <c r="G165" s="201">
        <v>11.3</v>
      </c>
    </row>
    <row r="166" spans="4:7">
      <c r="D166" s="200" t="s">
        <v>1605</v>
      </c>
      <c r="E166" s="10">
        <v>50739</v>
      </c>
      <c r="F166" s="201">
        <v>-7.8</v>
      </c>
      <c r="G166" s="201">
        <v>11.3</v>
      </c>
    </row>
    <row r="167" spans="4:7">
      <c r="D167" s="200" t="s">
        <v>1605</v>
      </c>
      <c r="E167" s="10">
        <v>50827</v>
      </c>
      <c r="F167" s="201">
        <v>-7.8</v>
      </c>
      <c r="G167" s="201">
        <v>11.2</v>
      </c>
    </row>
    <row r="168" spans="4:7">
      <c r="D168" s="200" t="s">
        <v>1605</v>
      </c>
      <c r="E168" s="10">
        <v>50931</v>
      </c>
      <c r="F168" s="201">
        <v>-7.8</v>
      </c>
      <c r="G168" s="201">
        <v>11.5</v>
      </c>
    </row>
    <row r="169" spans="4:7">
      <c r="D169" s="200" t="s">
        <v>1605</v>
      </c>
      <c r="E169" s="10">
        <v>50933</v>
      </c>
      <c r="F169" s="201">
        <v>-7.8</v>
      </c>
      <c r="G169" s="201">
        <v>11.3</v>
      </c>
    </row>
    <row r="170" spans="4:7">
      <c r="D170" s="200" t="s">
        <v>1605</v>
      </c>
      <c r="E170" s="10">
        <v>50939</v>
      </c>
      <c r="F170" s="201">
        <v>-7.8</v>
      </c>
      <c r="G170" s="201">
        <v>11.3</v>
      </c>
    </row>
    <row r="171" spans="4:7">
      <c r="D171" s="200" t="s">
        <v>1653</v>
      </c>
      <c r="E171" s="10">
        <v>51373</v>
      </c>
      <c r="F171" s="201">
        <v>-7.8</v>
      </c>
      <c r="G171" s="201">
        <v>11.3</v>
      </c>
    </row>
    <row r="172" spans="4:7">
      <c r="D172" s="200" t="s">
        <v>1612</v>
      </c>
      <c r="E172" s="10">
        <v>52064</v>
      </c>
      <c r="F172" s="201">
        <v>-7.8</v>
      </c>
      <c r="G172" s="201">
        <v>10.8</v>
      </c>
    </row>
    <row r="173" spans="4:7">
      <c r="D173" s="200" t="s">
        <v>1612</v>
      </c>
      <c r="E173" s="10">
        <v>52066</v>
      </c>
      <c r="F173" s="201">
        <v>-7.8</v>
      </c>
      <c r="G173" s="201">
        <v>10.8</v>
      </c>
    </row>
    <row r="174" spans="4:7">
      <c r="D174" s="200" t="s">
        <v>1612</v>
      </c>
      <c r="E174" s="10">
        <v>52068</v>
      </c>
      <c r="F174" s="201">
        <v>-7.8</v>
      </c>
      <c r="G174" s="201">
        <v>11</v>
      </c>
    </row>
    <row r="175" spans="4:7">
      <c r="D175" s="200" t="s">
        <v>1654</v>
      </c>
      <c r="E175" s="10">
        <v>18556</v>
      </c>
      <c r="F175" s="201">
        <v>-7.9</v>
      </c>
      <c r="G175" s="201">
        <v>9</v>
      </c>
    </row>
    <row r="176" spans="4:7">
      <c r="D176" s="200" t="s">
        <v>1636</v>
      </c>
      <c r="E176" s="10">
        <v>24103</v>
      </c>
      <c r="F176" s="201">
        <v>-7.9</v>
      </c>
      <c r="G176" s="201">
        <v>9.6</v>
      </c>
    </row>
    <row r="177" spans="4:7">
      <c r="D177" s="200" t="s">
        <v>1636</v>
      </c>
      <c r="E177" s="10">
        <v>24106</v>
      </c>
      <c r="F177" s="201">
        <v>-7.9</v>
      </c>
      <c r="G177" s="201">
        <v>9.5</v>
      </c>
    </row>
    <row r="178" spans="4:7">
      <c r="D178" s="200" t="s">
        <v>1636</v>
      </c>
      <c r="E178" s="10">
        <v>24114</v>
      </c>
      <c r="F178" s="201">
        <v>-7.9</v>
      </c>
      <c r="G178" s="201">
        <v>9.6999999999999993</v>
      </c>
    </row>
    <row r="179" spans="4:7">
      <c r="D179" s="200" t="s">
        <v>1636</v>
      </c>
      <c r="E179" s="10">
        <v>24118</v>
      </c>
      <c r="F179" s="201">
        <v>-7.9</v>
      </c>
      <c r="G179" s="201">
        <v>9.6</v>
      </c>
    </row>
    <row r="180" spans="4:7">
      <c r="D180" s="200" t="s">
        <v>1655</v>
      </c>
      <c r="E180" s="10">
        <v>24364</v>
      </c>
      <c r="F180" s="201">
        <v>-7.9</v>
      </c>
      <c r="G180" s="201">
        <v>9.1</v>
      </c>
    </row>
    <row r="181" spans="4:7">
      <c r="D181" s="200" t="s">
        <v>1656</v>
      </c>
      <c r="E181" s="10">
        <v>24369</v>
      </c>
      <c r="F181" s="201">
        <v>-7.9</v>
      </c>
      <c r="G181" s="201">
        <v>9</v>
      </c>
    </row>
    <row r="182" spans="4:7">
      <c r="D182" s="200" t="s">
        <v>1625</v>
      </c>
      <c r="E182" s="10">
        <v>24941</v>
      </c>
      <c r="F182" s="201">
        <v>-7.9</v>
      </c>
      <c r="G182" s="201">
        <v>9</v>
      </c>
    </row>
    <row r="183" spans="4:7">
      <c r="D183" s="200" t="s">
        <v>1657</v>
      </c>
      <c r="E183" s="10">
        <v>24943</v>
      </c>
      <c r="F183" s="201">
        <v>-7.9</v>
      </c>
      <c r="G183" s="201">
        <v>9</v>
      </c>
    </row>
    <row r="184" spans="4:7">
      <c r="D184" s="200" t="s">
        <v>1658</v>
      </c>
      <c r="E184" s="10">
        <v>24989</v>
      </c>
      <c r="F184" s="201">
        <v>-7.9</v>
      </c>
      <c r="G184" s="201">
        <v>9</v>
      </c>
    </row>
    <row r="185" spans="4:7">
      <c r="D185" s="200" t="s">
        <v>1659</v>
      </c>
      <c r="E185" s="10">
        <v>25869</v>
      </c>
      <c r="F185" s="201">
        <v>-7.9</v>
      </c>
      <c r="G185" s="201">
        <v>9.1</v>
      </c>
    </row>
    <row r="186" spans="4:7">
      <c r="D186" s="200" t="s">
        <v>1647</v>
      </c>
      <c r="E186" s="10">
        <v>26384</v>
      </c>
      <c r="F186" s="201">
        <v>-7.9</v>
      </c>
      <c r="G186" s="201">
        <v>9.8000000000000007</v>
      </c>
    </row>
    <row r="187" spans="4:7">
      <c r="D187" s="200" t="s">
        <v>1660</v>
      </c>
      <c r="E187" s="10">
        <v>26486</v>
      </c>
      <c r="F187" s="201">
        <v>-7.9</v>
      </c>
      <c r="G187" s="201">
        <v>9.6999999999999993</v>
      </c>
    </row>
    <row r="188" spans="4:7">
      <c r="D188" s="200" t="s">
        <v>1637</v>
      </c>
      <c r="E188" s="10">
        <v>27474</v>
      </c>
      <c r="F188" s="201">
        <v>-7.9</v>
      </c>
      <c r="G188" s="201">
        <v>9.6999999999999993</v>
      </c>
    </row>
    <row r="189" spans="4:7">
      <c r="D189" s="200" t="s">
        <v>1596</v>
      </c>
      <c r="E189" s="10">
        <v>40474</v>
      </c>
      <c r="F189" s="201">
        <v>-7.9</v>
      </c>
      <c r="G189" s="201">
        <v>11.1</v>
      </c>
    </row>
    <row r="190" spans="4:7">
      <c r="D190" s="200" t="s">
        <v>1596</v>
      </c>
      <c r="E190" s="10">
        <v>40545</v>
      </c>
      <c r="F190" s="201">
        <v>-7.9</v>
      </c>
      <c r="G190" s="201">
        <v>11.1</v>
      </c>
    </row>
    <row r="191" spans="4:7">
      <c r="D191" s="200" t="s">
        <v>1596</v>
      </c>
      <c r="E191" s="10">
        <v>40593</v>
      </c>
      <c r="F191" s="201">
        <v>-7.9</v>
      </c>
      <c r="G191" s="201">
        <v>10.9</v>
      </c>
    </row>
    <row r="192" spans="4:7">
      <c r="D192" s="200" t="s">
        <v>1596</v>
      </c>
      <c r="E192" s="10">
        <v>40625</v>
      </c>
      <c r="F192" s="201">
        <v>-7.9</v>
      </c>
      <c r="G192" s="201">
        <v>11.1</v>
      </c>
    </row>
    <row r="193" spans="4:7">
      <c r="D193" s="200" t="s">
        <v>1661</v>
      </c>
      <c r="E193" s="10">
        <v>40878</v>
      </c>
      <c r="F193" s="201">
        <v>-7.9</v>
      </c>
      <c r="G193" s="201">
        <v>11.2</v>
      </c>
    </row>
    <row r="194" spans="4:7">
      <c r="D194" s="200" t="s">
        <v>1649</v>
      </c>
      <c r="E194" s="10">
        <v>41462</v>
      </c>
      <c r="F194" s="201">
        <v>-7.9</v>
      </c>
      <c r="G194" s="201">
        <v>11.1</v>
      </c>
    </row>
    <row r="195" spans="4:7">
      <c r="D195" s="200" t="s">
        <v>1649</v>
      </c>
      <c r="E195" s="10">
        <v>41466</v>
      </c>
      <c r="F195" s="201">
        <v>-7.9</v>
      </c>
      <c r="G195" s="201">
        <v>11.1</v>
      </c>
    </row>
    <row r="196" spans="4:7">
      <c r="D196" s="200" t="s">
        <v>1629</v>
      </c>
      <c r="E196" s="10">
        <v>44147</v>
      </c>
      <c r="F196" s="201">
        <v>-7.9</v>
      </c>
      <c r="G196" s="201">
        <v>11.1</v>
      </c>
    </row>
    <row r="197" spans="4:7">
      <c r="D197" s="200" t="s">
        <v>1620</v>
      </c>
      <c r="E197" s="10">
        <v>44795</v>
      </c>
      <c r="F197" s="201">
        <v>-7.9</v>
      </c>
      <c r="G197" s="201">
        <v>10.9</v>
      </c>
    </row>
    <row r="198" spans="4:7">
      <c r="D198" s="200" t="s">
        <v>1620</v>
      </c>
      <c r="E198" s="10">
        <v>44799</v>
      </c>
      <c r="F198" s="201">
        <v>-7.9</v>
      </c>
      <c r="G198" s="201">
        <v>10.9</v>
      </c>
    </row>
    <row r="199" spans="4:7">
      <c r="D199" s="200" t="s">
        <v>1610</v>
      </c>
      <c r="E199" s="10">
        <v>45141</v>
      </c>
      <c r="F199" s="201">
        <v>-7.9</v>
      </c>
      <c r="G199" s="201">
        <v>10.9</v>
      </c>
    </row>
    <row r="200" spans="4:7">
      <c r="D200" s="200" t="s">
        <v>1610</v>
      </c>
      <c r="E200" s="10">
        <v>45307</v>
      </c>
      <c r="F200" s="201">
        <v>-7.9</v>
      </c>
      <c r="G200" s="201">
        <v>10.9</v>
      </c>
    </row>
    <row r="201" spans="4:7">
      <c r="D201" s="200" t="s">
        <v>1631</v>
      </c>
      <c r="E201" s="10">
        <v>45472</v>
      </c>
      <c r="F201" s="201">
        <v>-7.9</v>
      </c>
      <c r="G201" s="201">
        <v>10.9</v>
      </c>
    </row>
    <row r="202" spans="4:7">
      <c r="D202" s="200" t="s">
        <v>1662</v>
      </c>
      <c r="E202" s="10">
        <v>45661</v>
      </c>
      <c r="F202" s="201">
        <v>-7.9</v>
      </c>
      <c r="G202" s="201">
        <v>11.1</v>
      </c>
    </row>
    <row r="203" spans="4:7">
      <c r="D203" s="200" t="s">
        <v>1621</v>
      </c>
      <c r="E203" s="10">
        <v>45894</v>
      </c>
      <c r="F203" s="201">
        <v>-7.9</v>
      </c>
      <c r="G203" s="201">
        <v>10.9</v>
      </c>
    </row>
    <row r="204" spans="4:7">
      <c r="D204" s="200" t="s">
        <v>1622</v>
      </c>
      <c r="E204" s="10">
        <v>46119</v>
      </c>
      <c r="F204" s="201">
        <v>-7.9</v>
      </c>
      <c r="G204" s="201">
        <v>11</v>
      </c>
    </row>
    <row r="205" spans="4:7">
      <c r="D205" s="200" t="s">
        <v>1642</v>
      </c>
      <c r="E205" s="10">
        <v>46236</v>
      </c>
      <c r="F205" s="201">
        <v>-7.9</v>
      </c>
      <c r="G205" s="201">
        <v>11</v>
      </c>
    </row>
    <row r="206" spans="4:7">
      <c r="D206" s="200" t="s">
        <v>1642</v>
      </c>
      <c r="E206" s="10">
        <v>46242</v>
      </c>
      <c r="F206" s="201">
        <v>-7.9</v>
      </c>
      <c r="G206" s="201">
        <v>11</v>
      </c>
    </row>
    <row r="207" spans="4:7">
      <c r="D207" s="200" t="s">
        <v>1611</v>
      </c>
      <c r="E207" s="10">
        <v>47058</v>
      </c>
      <c r="F207" s="201">
        <v>-7.9</v>
      </c>
      <c r="G207" s="201">
        <v>11.1</v>
      </c>
    </row>
    <row r="208" spans="4:7">
      <c r="D208" s="200" t="s">
        <v>1611</v>
      </c>
      <c r="E208" s="10">
        <v>47139</v>
      </c>
      <c r="F208" s="201">
        <v>-7.9</v>
      </c>
      <c r="G208" s="201">
        <v>11</v>
      </c>
    </row>
    <row r="209" spans="4:7">
      <c r="D209" s="200" t="s">
        <v>1611</v>
      </c>
      <c r="E209" s="10">
        <v>47249</v>
      </c>
      <c r="F209" s="201">
        <v>-7.9</v>
      </c>
      <c r="G209" s="201">
        <v>11.2</v>
      </c>
    </row>
    <row r="210" spans="4:7">
      <c r="D210" s="200" t="s">
        <v>1663</v>
      </c>
      <c r="E210" s="10">
        <v>47443</v>
      </c>
      <c r="F210" s="201">
        <v>-7.9</v>
      </c>
      <c r="G210" s="201">
        <v>11</v>
      </c>
    </row>
    <row r="211" spans="4:7">
      <c r="D211" s="200" t="s">
        <v>1604</v>
      </c>
      <c r="E211" s="10">
        <v>47803</v>
      </c>
      <c r="F211" s="201">
        <v>-7.9</v>
      </c>
      <c r="G211" s="201">
        <v>11.1</v>
      </c>
    </row>
    <row r="212" spans="4:7">
      <c r="D212" s="200" t="s">
        <v>1604</v>
      </c>
      <c r="E212" s="10">
        <v>47807</v>
      </c>
      <c r="F212" s="201">
        <v>-7.9</v>
      </c>
      <c r="G212" s="201">
        <v>11.1</v>
      </c>
    </row>
    <row r="213" spans="4:7">
      <c r="D213" s="200" t="s">
        <v>1664</v>
      </c>
      <c r="E213" s="10">
        <v>48143</v>
      </c>
      <c r="F213" s="201">
        <v>-7.9</v>
      </c>
      <c r="G213" s="201">
        <v>11.3</v>
      </c>
    </row>
    <row r="214" spans="4:7">
      <c r="D214" s="200" t="s">
        <v>1605</v>
      </c>
      <c r="E214" s="10">
        <v>50937</v>
      </c>
      <c r="F214" s="201">
        <v>-7.9</v>
      </c>
      <c r="G214" s="201">
        <v>11.3</v>
      </c>
    </row>
    <row r="215" spans="4:7">
      <c r="D215" s="200" t="s">
        <v>1605</v>
      </c>
      <c r="E215" s="10">
        <v>50968</v>
      </c>
      <c r="F215" s="201">
        <v>-7.9</v>
      </c>
      <c r="G215" s="201">
        <v>11.3</v>
      </c>
    </row>
    <row r="216" spans="4:7">
      <c r="D216" s="200" t="s">
        <v>1605</v>
      </c>
      <c r="E216" s="10">
        <v>51065</v>
      </c>
      <c r="F216" s="201">
        <v>-7.9</v>
      </c>
      <c r="G216" s="201">
        <v>11.3</v>
      </c>
    </row>
    <row r="217" spans="4:7">
      <c r="D217" s="200" t="s">
        <v>1605</v>
      </c>
      <c r="E217" s="10">
        <v>51105</v>
      </c>
      <c r="F217" s="201">
        <v>-7.9</v>
      </c>
      <c r="G217" s="201">
        <v>11.3</v>
      </c>
    </row>
    <row r="218" spans="4:7">
      <c r="D218" s="200" t="s">
        <v>1623</v>
      </c>
      <c r="E218" s="10">
        <v>53115</v>
      </c>
      <c r="F218" s="201">
        <v>-7.9</v>
      </c>
      <c r="G218" s="201">
        <v>11.3</v>
      </c>
    </row>
    <row r="219" spans="4:7">
      <c r="D219" s="200" t="s">
        <v>1636</v>
      </c>
      <c r="E219" s="10">
        <v>24143</v>
      </c>
      <c r="F219" s="201">
        <v>-8</v>
      </c>
      <c r="G219" s="201">
        <v>9.6</v>
      </c>
    </row>
    <row r="220" spans="4:7">
      <c r="D220" s="200" t="s">
        <v>1665</v>
      </c>
      <c r="E220" s="10">
        <v>24251</v>
      </c>
      <c r="F220" s="201">
        <v>-8</v>
      </c>
      <c r="G220" s="201">
        <v>9.1</v>
      </c>
    </row>
    <row r="221" spans="4:7">
      <c r="D221" s="200" t="s">
        <v>1625</v>
      </c>
      <c r="E221" s="10">
        <v>24944</v>
      </c>
      <c r="F221" s="201">
        <v>-8</v>
      </c>
      <c r="G221" s="201">
        <v>9</v>
      </c>
    </row>
    <row r="222" spans="4:7">
      <c r="D222" s="200" t="s">
        <v>1666</v>
      </c>
      <c r="E222" s="10">
        <v>24975</v>
      </c>
      <c r="F222" s="201">
        <v>-8</v>
      </c>
      <c r="G222" s="201">
        <v>8.9</v>
      </c>
    </row>
    <row r="223" spans="4:7">
      <c r="D223" s="200" t="s">
        <v>1667</v>
      </c>
      <c r="E223" s="10">
        <v>24996</v>
      </c>
      <c r="F223" s="201">
        <v>-8</v>
      </c>
      <c r="G223" s="201">
        <v>8.9</v>
      </c>
    </row>
    <row r="224" spans="4:7">
      <c r="D224" s="200" t="s">
        <v>1668</v>
      </c>
      <c r="E224" s="10">
        <v>25826</v>
      </c>
      <c r="F224" s="201">
        <v>-8</v>
      </c>
      <c r="G224" s="201">
        <v>9.4</v>
      </c>
    </row>
    <row r="225" spans="4:7">
      <c r="D225" s="200" t="s">
        <v>1647</v>
      </c>
      <c r="E225" s="10">
        <v>26389</v>
      </c>
      <c r="F225" s="201">
        <v>-8</v>
      </c>
      <c r="G225" s="201">
        <v>9.6999999999999993</v>
      </c>
    </row>
    <row r="226" spans="4:7">
      <c r="D226" s="200" t="s">
        <v>1596</v>
      </c>
      <c r="E226" s="10">
        <v>40221</v>
      </c>
      <c r="F226" s="201">
        <v>-8</v>
      </c>
      <c r="G226" s="201">
        <v>11</v>
      </c>
    </row>
    <row r="227" spans="4:7">
      <c r="D227" s="200" t="s">
        <v>1596</v>
      </c>
      <c r="E227" s="10">
        <v>40229</v>
      </c>
      <c r="F227" s="201">
        <v>-8</v>
      </c>
      <c r="G227" s="201">
        <v>11</v>
      </c>
    </row>
    <row r="228" spans="4:7">
      <c r="D228" s="200" t="s">
        <v>1596</v>
      </c>
      <c r="E228" s="10">
        <v>40589</v>
      </c>
      <c r="F228" s="201">
        <v>-8</v>
      </c>
      <c r="G228" s="201">
        <v>11</v>
      </c>
    </row>
    <row r="229" spans="4:7">
      <c r="D229" s="200" t="s">
        <v>1596</v>
      </c>
      <c r="E229" s="10">
        <v>40627</v>
      </c>
      <c r="F229" s="201">
        <v>-8</v>
      </c>
      <c r="G229" s="201">
        <v>11</v>
      </c>
    </row>
    <row r="230" spans="4:7">
      <c r="D230" s="200" t="s">
        <v>1669</v>
      </c>
      <c r="E230" s="10">
        <v>40764</v>
      </c>
      <c r="F230" s="201">
        <v>-8</v>
      </c>
      <c r="G230" s="201">
        <v>11</v>
      </c>
    </row>
    <row r="231" spans="4:7">
      <c r="D231" s="200" t="s">
        <v>1603</v>
      </c>
      <c r="E231" s="10">
        <v>41063</v>
      </c>
      <c r="F231" s="201">
        <v>-8</v>
      </c>
      <c r="G231" s="201">
        <v>10.9</v>
      </c>
    </row>
    <row r="232" spans="4:7">
      <c r="D232" s="200" t="s">
        <v>1603</v>
      </c>
      <c r="E232" s="10">
        <v>41199</v>
      </c>
      <c r="F232" s="201">
        <v>-8</v>
      </c>
      <c r="G232" s="201">
        <v>10.9</v>
      </c>
    </row>
    <row r="233" spans="4:7">
      <c r="D233" s="200" t="s">
        <v>1670</v>
      </c>
      <c r="E233" s="10">
        <v>42655</v>
      </c>
      <c r="F233" s="201">
        <v>-8</v>
      </c>
      <c r="G233" s="201">
        <v>10.8</v>
      </c>
    </row>
    <row r="234" spans="4:7">
      <c r="D234" s="200" t="s">
        <v>1629</v>
      </c>
      <c r="E234" s="10">
        <v>44137</v>
      </c>
      <c r="F234" s="201">
        <v>-8</v>
      </c>
      <c r="G234" s="201">
        <v>11</v>
      </c>
    </row>
    <row r="235" spans="4:7">
      <c r="D235" s="200" t="s">
        <v>1629</v>
      </c>
      <c r="E235" s="10">
        <v>44145</v>
      </c>
      <c r="F235" s="201">
        <v>-8</v>
      </c>
      <c r="G235" s="201">
        <v>11</v>
      </c>
    </row>
    <row r="236" spans="4:7">
      <c r="D236" s="200" t="s">
        <v>1630</v>
      </c>
      <c r="E236" s="10">
        <v>44623</v>
      </c>
      <c r="F236" s="201">
        <v>-8</v>
      </c>
      <c r="G236" s="201">
        <v>11</v>
      </c>
    </row>
    <row r="237" spans="4:7">
      <c r="D237" s="200" t="s">
        <v>1620</v>
      </c>
      <c r="E237" s="10">
        <v>44791</v>
      </c>
      <c r="F237" s="201">
        <v>-8</v>
      </c>
      <c r="G237" s="201">
        <v>10.8</v>
      </c>
    </row>
    <row r="238" spans="4:7">
      <c r="D238" s="200" t="s">
        <v>1620</v>
      </c>
      <c r="E238" s="10">
        <v>44803</v>
      </c>
      <c r="F238" s="201">
        <v>-8</v>
      </c>
      <c r="G238" s="201">
        <v>10.8</v>
      </c>
    </row>
    <row r="239" spans="4:7">
      <c r="D239" s="200" t="s">
        <v>1620</v>
      </c>
      <c r="E239" s="10">
        <v>44867</v>
      </c>
      <c r="F239" s="201">
        <v>-8</v>
      </c>
      <c r="G239" s="201">
        <v>10.9</v>
      </c>
    </row>
    <row r="240" spans="4:7">
      <c r="D240" s="200" t="s">
        <v>1610</v>
      </c>
      <c r="E240" s="10">
        <v>45131</v>
      </c>
      <c r="F240" s="201">
        <v>-8</v>
      </c>
      <c r="G240" s="201">
        <v>10.7</v>
      </c>
    </row>
    <row r="241" spans="4:7">
      <c r="D241" s="200" t="s">
        <v>1610</v>
      </c>
      <c r="E241" s="10">
        <v>45149</v>
      </c>
      <c r="F241" s="201">
        <v>-8</v>
      </c>
      <c r="G241" s="201">
        <v>10.7</v>
      </c>
    </row>
    <row r="242" spans="4:7">
      <c r="D242" s="200" t="s">
        <v>1610</v>
      </c>
      <c r="E242" s="10">
        <v>45259</v>
      </c>
      <c r="F242" s="201">
        <v>-8</v>
      </c>
      <c r="G242" s="201">
        <v>10.8</v>
      </c>
    </row>
    <row r="243" spans="4:7">
      <c r="D243" s="200" t="s">
        <v>1610</v>
      </c>
      <c r="E243" s="10">
        <v>45279</v>
      </c>
      <c r="F243" s="201">
        <v>-8</v>
      </c>
      <c r="G243" s="201">
        <v>10.9</v>
      </c>
    </row>
    <row r="244" spans="4:7">
      <c r="D244" s="200" t="s">
        <v>1610</v>
      </c>
      <c r="E244" s="10">
        <v>45359</v>
      </c>
      <c r="F244" s="201">
        <v>-8</v>
      </c>
      <c r="G244" s="201">
        <v>10.8</v>
      </c>
    </row>
    <row r="245" spans="4:7">
      <c r="D245" s="200" t="s">
        <v>1631</v>
      </c>
      <c r="E245" s="10">
        <v>45478</v>
      </c>
      <c r="F245" s="201">
        <v>-8</v>
      </c>
      <c r="G245" s="201">
        <v>11</v>
      </c>
    </row>
    <row r="246" spans="4:7">
      <c r="D246" s="200" t="s">
        <v>1671</v>
      </c>
      <c r="E246" s="10">
        <v>45699</v>
      </c>
      <c r="F246" s="201">
        <v>-8</v>
      </c>
      <c r="G246" s="201">
        <v>10.9</v>
      </c>
    </row>
    <row r="247" spans="4:7">
      <c r="D247" s="200" t="s">
        <v>1621</v>
      </c>
      <c r="E247" s="10">
        <v>45883</v>
      </c>
      <c r="F247" s="201">
        <v>-8</v>
      </c>
      <c r="G247" s="201">
        <v>10.9</v>
      </c>
    </row>
    <row r="248" spans="4:7">
      <c r="D248" s="200" t="s">
        <v>1621</v>
      </c>
      <c r="E248" s="10">
        <v>45896</v>
      </c>
      <c r="F248" s="201">
        <v>-8</v>
      </c>
      <c r="G248" s="201">
        <v>10.9</v>
      </c>
    </row>
    <row r="249" spans="4:7">
      <c r="D249" s="200" t="s">
        <v>1622</v>
      </c>
      <c r="E249" s="10">
        <v>46145</v>
      </c>
      <c r="F249" s="201">
        <v>-8</v>
      </c>
      <c r="G249" s="201">
        <v>10.9</v>
      </c>
    </row>
    <row r="250" spans="4:7">
      <c r="D250" s="200" t="s">
        <v>1672</v>
      </c>
      <c r="E250" s="10">
        <v>46483</v>
      </c>
      <c r="F250" s="201">
        <v>-8</v>
      </c>
      <c r="G250" s="201">
        <v>10.8</v>
      </c>
    </row>
    <row r="251" spans="4:7">
      <c r="D251" s="200" t="s">
        <v>1652</v>
      </c>
      <c r="E251" s="10">
        <v>46537</v>
      </c>
      <c r="F251" s="201">
        <v>-8</v>
      </c>
      <c r="G251" s="201">
        <v>10.9</v>
      </c>
    </row>
    <row r="252" spans="4:7">
      <c r="D252" s="200" t="s">
        <v>1611</v>
      </c>
      <c r="E252" s="10">
        <v>47239</v>
      </c>
      <c r="F252" s="201">
        <v>-8</v>
      </c>
      <c r="G252" s="201">
        <v>11.1</v>
      </c>
    </row>
    <row r="253" spans="4:7">
      <c r="D253" s="200" t="s">
        <v>1663</v>
      </c>
      <c r="E253" s="10">
        <v>47445</v>
      </c>
      <c r="F253" s="201">
        <v>-8</v>
      </c>
      <c r="G253" s="201">
        <v>10.9</v>
      </c>
    </row>
    <row r="254" spans="4:7">
      <c r="D254" s="200" t="s">
        <v>1604</v>
      </c>
      <c r="E254" s="10">
        <v>47829</v>
      </c>
      <c r="F254" s="201">
        <v>-8</v>
      </c>
      <c r="G254" s="201">
        <v>10.9</v>
      </c>
    </row>
    <row r="255" spans="4:7">
      <c r="D255" s="200" t="s">
        <v>1673</v>
      </c>
      <c r="E255" s="10">
        <v>50389</v>
      </c>
      <c r="F255" s="201">
        <v>-8</v>
      </c>
      <c r="G255" s="201">
        <v>11.1</v>
      </c>
    </row>
    <row r="256" spans="4:7">
      <c r="D256" s="200" t="s">
        <v>1605</v>
      </c>
      <c r="E256" s="10">
        <v>50735</v>
      </c>
      <c r="F256" s="201">
        <v>-8</v>
      </c>
      <c r="G256" s="201">
        <v>11.1</v>
      </c>
    </row>
    <row r="257" spans="4:7">
      <c r="D257" s="200" t="s">
        <v>1605</v>
      </c>
      <c r="E257" s="10">
        <v>50935</v>
      </c>
      <c r="F257" s="201">
        <v>-8</v>
      </c>
      <c r="G257" s="201">
        <v>11.3</v>
      </c>
    </row>
    <row r="258" spans="4:7">
      <c r="D258" s="200" t="s">
        <v>1605</v>
      </c>
      <c r="E258" s="10">
        <v>50969</v>
      </c>
      <c r="F258" s="201">
        <v>-8</v>
      </c>
      <c r="G258" s="201">
        <v>11.2</v>
      </c>
    </row>
    <row r="259" spans="4:7">
      <c r="D259" s="200" t="s">
        <v>1605</v>
      </c>
      <c r="E259" s="10">
        <v>50996</v>
      </c>
      <c r="F259" s="201">
        <v>-8</v>
      </c>
      <c r="G259" s="201">
        <v>11.2</v>
      </c>
    </row>
    <row r="260" spans="4:7">
      <c r="D260" s="200" t="s">
        <v>1605</v>
      </c>
      <c r="E260" s="10">
        <v>51103</v>
      </c>
      <c r="F260" s="201">
        <v>-8</v>
      </c>
      <c r="G260" s="201">
        <v>11.2</v>
      </c>
    </row>
    <row r="261" spans="4:7">
      <c r="D261" s="200" t="s">
        <v>1653</v>
      </c>
      <c r="E261" s="10">
        <v>51379</v>
      </c>
      <c r="F261" s="201">
        <v>-8</v>
      </c>
      <c r="G261" s="201">
        <v>11.1</v>
      </c>
    </row>
    <row r="262" spans="4:7">
      <c r="D262" s="200" t="s">
        <v>1674</v>
      </c>
      <c r="E262" s="10">
        <v>52349</v>
      </c>
      <c r="F262" s="201">
        <v>-8</v>
      </c>
      <c r="G262" s="201">
        <v>11</v>
      </c>
    </row>
    <row r="263" spans="4:7">
      <c r="D263" s="200" t="s">
        <v>1623</v>
      </c>
      <c r="E263" s="10">
        <v>53173</v>
      </c>
      <c r="F263" s="201">
        <v>-8</v>
      </c>
      <c r="G263" s="201">
        <v>11.3</v>
      </c>
    </row>
    <row r="264" spans="4:7">
      <c r="D264" s="200" t="s">
        <v>1675</v>
      </c>
      <c r="E264" s="10">
        <v>23777</v>
      </c>
      <c r="F264" s="201">
        <v>-8.1</v>
      </c>
      <c r="G264" s="201">
        <v>9.1</v>
      </c>
    </row>
    <row r="265" spans="4:7">
      <c r="D265" s="200" t="s">
        <v>1636</v>
      </c>
      <c r="E265" s="10">
        <v>24105</v>
      </c>
      <c r="F265" s="201">
        <v>-8.1</v>
      </c>
      <c r="G265" s="201">
        <v>9.4</v>
      </c>
    </row>
    <row r="266" spans="4:7">
      <c r="D266" s="200" t="s">
        <v>1636</v>
      </c>
      <c r="E266" s="10">
        <v>24116</v>
      </c>
      <c r="F266" s="201">
        <v>-8.1</v>
      </c>
      <c r="G266" s="201">
        <v>9.5</v>
      </c>
    </row>
    <row r="267" spans="4:7">
      <c r="D267" s="200" t="s">
        <v>1676</v>
      </c>
      <c r="E267" s="10">
        <v>24119</v>
      </c>
      <c r="F267" s="201">
        <v>-8.1</v>
      </c>
      <c r="G267" s="201">
        <v>9.4</v>
      </c>
    </row>
    <row r="268" spans="4:7">
      <c r="D268" s="200" t="s">
        <v>1677</v>
      </c>
      <c r="E268" s="10">
        <v>24214</v>
      </c>
      <c r="F268" s="201">
        <v>-8.1</v>
      </c>
      <c r="G268" s="201">
        <v>9.1</v>
      </c>
    </row>
    <row r="269" spans="4:7">
      <c r="D269" s="200" t="s">
        <v>1678</v>
      </c>
      <c r="E269" s="10">
        <v>24340</v>
      </c>
      <c r="F269" s="201">
        <v>-8.1</v>
      </c>
      <c r="G269" s="201">
        <v>9.1</v>
      </c>
    </row>
    <row r="270" spans="4:7">
      <c r="D270" s="200" t="s">
        <v>1679</v>
      </c>
      <c r="E270" s="10">
        <v>24360</v>
      </c>
      <c r="F270" s="201">
        <v>-8.1</v>
      </c>
      <c r="G270" s="201">
        <v>9</v>
      </c>
    </row>
    <row r="271" spans="4:7">
      <c r="D271" s="200" t="s">
        <v>1680</v>
      </c>
      <c r="E271" s="10">
        <v>24366</v>
      </c>
      <c r="F271" s="201">
        <v>-8.1</v>
      </c>
      <c r="G271" s="201">
        <v>9.1</v>
      </c>
    </row>
    <row r="272" spans="4:7">
      <c r="D272" s="200" t="s">
        <v>1681</v>
      </c>
      <c r="E272" s="10">
        <v>24955</v>
      </c>
      <c r="F272" s="201">
        <v>-8.1</v>
      </c>
      <c r="G272" s="201">
        <v>8.8000000000000007</v>
      </c>
    </row>
    <row r="273" spans="4:7">
      <c r="D273" s="200" t="s">
        <v>1682</v>
      </c>
      <c r="E273" s="10">
        <v>24960</v>
      </c>
      <c r="F273" s="201">
        <v>-8.1</v>
      </c>
      <c r="G273" s="201">
        <v>9.1</v>
      </c>
    </row>
    <row r="274" spans="4:7">
      <c r="D274" s="200" t="s">
        <v>1683</v>
      </c>
      <c r="E274" s="10">
        <v>24966</v>
      </c>
      <c r="F274" s="201">
        <v>-8.1</v>
      </c>
      <c r="G274" s="201">
        <v>8.8000000000000007</v>
      </c>
    </row>
    <row r="275" spans="4:7">
      <c r="D275" s="200" t="s">
        <v>1684</v>
      </c>
      <c r="E275" s="10">
        <v>24976</v>
      </c>
      <c r="F275" s="201">
        <v>-8.1</v>
      </c>
      <c r="G275" s="201">
        <v>8.9</v>
      </c>
    </row>
    <row r="276" spans="4:7">
      <c r="D276" s="200" t="s">
        <v>1685</v>
      </c>
      <c r="E276" s="10">
        <v>24977</v>
      </c>
      <c r="F276" s="201">
        <v>-8.1</v>
      </c>
      <c r="G276" s="201">
        <v>9</v>
      </c>
    </row>
    <row r="277" spans="4:7">
      <c r="D277" s="200" t="s">
        <v>1686</v>
      </c>
      <c r="E277" s="10">
        <v>24999</v>
      </c>
      <c r="F277" s="201">
        <v>-8.1</v>
      </c>
      <c r="G277" s="201">
        <v>8.9</v>
      </c>
    </row>
    <row r="278" spans="4:7">
      <c r="D278" s="200" t="s">
        <v>1687</v>
      </c>
      <c r="E278" s="10">
        <v>26434</v>
      </c>
      <c r="F278" s="201">
        <v>-8.1</v>
      </c>
      <c r="G278" s="201">
        <v>9.6</v>
      </c>
    </row>
    <row r="279" spans="4:7">
      <c r="D279" s="200" t="s">
        <v>1648</v>
      </c>
      <c r="E279" s="10">
        <v>27568</v>
      </c>
      <c r="F279" s="201">
        <v>-8.1</v>
      </c>
      <c r="G279" s="201">
        <v>10</v>
      </c>
    </row>
    <row r="280" spans="4:7">
      <c r="D280" s="200" t="s">
        <v>1648</v>
      </c>
      <c r="E280" s="10">
        <v>27580</v>
      </c>
      <c r="F280" s="201">
        <v>-8.1</v>
      </c>
      <c r="G280" s="201">
        <v>10</v>
      </c>
    </row>
    <row r="281" spans="4:7">
      <c r="D281" s="200" t="s">
        <v>1596</v>
      </c>
      <c r="E281" s="10">
        <v>40472</v>
      </c>
      <c r="F281" s="201">
        <v>-8.1</v>
      </c>
      <c r="G281" s="201">
        <v>11</v>
      </c>
    </row>
    <row r="282" spans="4:7">
      <c r="D282" s="200" t="s">
        <v>1639</v>
      </c>
      <c r="E282" s="10">
        <v>40724</v>
      </c>
      <c r="F282" s="201">
        <v>-8.1</v>
      </c>
      <c r="G282" s="201">
        <v>10.8</v>
      </c>
    </row>
    <row r="283" spans="4:7">
      <c r="D283" s="200" t="s">
        <v>1688</v>
      </c>
      <c r="E283" s="10">
        <v>40789</v>
      </c>
      <c r="F283" s="201">
        <v>-8.1</v>
      </c>
      <c r="G283" s="201">
        <v>10.9</v>
      </c>
    </row>
    <row r="284" spans="4:7">
      <c r="D284" s="200" t="s">
        <v>1689</v>
      </c>
      <c r="E284" s="10">
        <v>41334</v>
      </c>
      <c r="F284" s="201">
        <v>-8.1</v>
      </c>
      <c r="G284" s="201">
        <v>10.7</v>
      </c>
    </row>
    <row r="285" spans="4:7">
      <c r="D285" s="200" t="s">
        <v>1690</v>
      </c>
      <c r="E285" s="10">
        <v>41352</v>
      </c>
      <c r="F285" s="201">
        <v>-8.1</v>
      </c>
      <c r="G285" s="201">
        <v>10.8</v>
      </c>
    </row>
    <row r="286" spans="4:7">
      <c r="D286" s="200" t="s">
        <v>1691</v>
      </c>
      <c r="E286" s="10">
        <v>41516</v>
      </c>
      <c r="F286" s="201">
        <v>-8.1</v>
      </c>
      <c r="G286" s="201">
        <v>10.8</v>
      </c>
    </row>
    <row r="287" spans="4:7">
      <c r="D287" s="200" t="s">
        <v>1692</v>
      </c>
      <c r="E287" s="10">
        <v>41541</v>
      </c>
      <c r="F287" s="201">
        <v>-8.1</v>
      </c>
      <c r="G287" s="201">
        <v>10.8</v>
      </c>
    </row>
    <row r="288" spans="4:7">
      <c r="D288" s="200" t="s">
        <v>1640</v>
      </c>
      <c r="E288" s="10">
        <v>41749</v>
      </c>
      <c r="F288" s="201">
        <v>-8.1</v>
      </c>
      <c r="G288" s="201">
        <v>10.8</v>
      </c>
    </row>
    <row r="289" spans="4:7">
      <c r="D289" s="200" t="s">
        <v>1640</v>
      </c>
      <c r="E289" s="10">
        <v>41751</v>
      </c>
      <c r="F289" s="201">
        <v>-8.1</v>
      </c>
      <c r="G289" s="201">
        <v>10.7</v>
      </c>
    </row>
    <row r="290" spans="4:7">
      <c r="D290" s="200" t="s">
        <v>1650</v>
      </c>
      <c r="E290" s="10">
        <v>42105</v>
      </c>
      <c r="F290" s="201">
        <v>-8.1</v>
      </c>
      <c r="G290" s="201">
        <v>10.7</v>
      </c>
    </row>
    <row r="291" spans="4:7">
      <c r="D291" s="200" t="s">
        <v>1670</v>
      </c>
      <c r="E291" s="10">
        <v>42657</v>
      </c>
      <c r="F291" s="201">
        <v>-8.1</v>
      </c>
      <c r="G291" s="201">
        <v>10.6</v>
      </c>
    </row>
    <row r="292" spans="4:7">
      <c r="D292" s="200" t="s">
        <v>1670</v>
      </c>
      <c r="E292" s="10">
        <v>42699</v>
      </c>
      <c r="F292" s="201">
        <v>-8.1</v>
      </c>
      <c r="G292" s="201">
        <v>10.7</v>
      </c>
    </row>
    <row r="293" spans="4:7">
      <c r="D293" s="200" t="s">
        <v>1670</v>
      </c>
      <c r="E293" s="10">
        <v>42719</v>
      </c>
      <c r="F293" s="201">
        <v>-8.1</v>
      </c>
      <c r="G293" s="201">
        <v>10.6</v>
      </c>
    </row>
    <row r="294" spans="4:7">
      <c r="D294" s="200" t="s">
        <v>1629</v>
      </c>
      <c r="E294" s="10">
        <v>44139</v>
      </c>
      <c r="F294" s="201">
        <v>-8.1</v>
      </c>
      <c r="G294" s="201">
        <v>10.9</v>
      </c>
    </row>
    <row r="295" spans="4:7">
      <c r="D295" s="200" t="s">
        <v>1629</v>
      </c>
      <c r="E295" s="10">
        <v>44379</v>
      </c>
      <c r="F295" s="201">
        <v>-8.1</v>
      </c>
      <c r="G295" s="201">
        <v>11</v>
      </c>
    </row>
    <row r="296" spans="4:7">
      <c r="D296" s="200" t="s">
        <v>1630</v>
      </c>
      <c r="E296" s="10">
        <v>44628</v>
      </c>
      <c r="F296" s="201">
        <v>-8.1</v>
      </c>
      <c r="G296" s="201">
        <v>10.9</v>
      </c>
    </row>
    <row r="297" spans="4:7">
      <c r="D297" s="200" t="s">
        <v>1620</v>
      </c>
      <c r="E297" s="10">
        <v>44793</v>
      </c>
      <c r="F297" s="201">
        <v>-8.1</v>
      </c>
      <c r="G297" s="201">
        <v>10.8</v>
      </c>
    </row>
    <row r="298" spans="4:7">
      <c r="D298" s="200" t="s">
        <v>1620</v>
      </c>
      <c r="E298" s="10">
        <v>44801</v>
      </c>
      <c r="F298" s="201">
        <v>-8.1</v>
      </c>
      <c r="G298" s="201">
        <v>10.7</v>
      </c>
    </row>
    <row r="299" spans="4:7">
      <c r="D299" s="200" t="s">
        <v>1620</v>
      </c>
      <c r="E299" s="10">
        <v>44869</v>
      </c>
      <c r="F299" s="201">
        <v>-8.1</v>
      </c>
      <c r="G299" s="201">
        <v>10.7</v>
      </c>
    </row>
    <row r="300" spans="4:7">
      <c r="D300" s="200" t="s">
        <v>1620</v>
      </c>
      <c r="E300" s="10">
        <v>44879</v>
      </c>
      <c r="F300" s="201">
        <v>-8.1</v>
      </c>
      <c r="G300" s="201">
        <v>10.7</v>
      </c>
    </row>
    <row r="301" spans="4:7">
      <c r="D301" s="200" t="s">
        <v>1620</v>
      </c>
      <c r="E301" s="10">
        <v>44894</v>
      </c>
      <c r="F301" s="201">
        <v>-8.1</v>
      </c>
      <c r="G301" s="201">
        <v>10.9</v>
      </c>
    </row>
    <row r="302" spans="4:7">
      <c r="D302" s="200" t="s">
        <v>1610</v>
      </c>
      <c r="E302" s="10">
        <v>45219</v>
      </c>
      <c r="F302" s="201">
        <v>-8.1</v>
      </c>
      <c r="G302" s="201">
        <v>10.7</v>
      </c>
    </row>
    <row r="303" spans="4:7">
      <c r="D303" s="200" t="s">
        <v>1693</v>
      </c>
      <c r="E303" s="10">
        <v>45525</v>
      </c>
      <c r="F303" s="201">
        <v>-8.1</v>
      </c>
      <c r="G303" s="201">
        <v>10.8</v>
      </c>
    </row>
    <row r="304" spans="4:7">
      <c r="D304" s="200" t="s">
        <v>1662</v>
      </c>
      <c r="E304" s="10">
        <v>45657</v>
      </c>
      <c r="F304" s="201">
        <v>-8.1</v>
      </c>
      <c r="G304" s="201">
        <v>10.8</v>
      </c>
    </row>
    <row r="305" spans="4:7">
      <c r="D305" s="200" t="s">
        <v>1662</v>
      </c>
      <c r="E305" s="10">
        <v>45663</v>
      </c>
      <c r="F305" s="201">
        <v>-8.1</v>
      </c>
      <c r="G305" s="201">
        <v>10.9</v>
      </c>
    </row>
    <row r="306" spans="4:7">
      <c r="D306" s="200" t="s">
        <v>1621</v>
      </c>
      <c r="E306" s="10">
        <v>45891</v>
      </c>
      <c r="F306" s="201">
        <v>-8.1</v>
      </c>
      <c r="G306" s="201">
        <v>11</v>
      </c>
    </row>
    <row r="307" spans="4:7">
      <c r="D307" s="200" t="s">
        <v>1621</v>
      </c>
      <c r="E307" s="10">
        <v>45897</v>
      </c>
      <c r="F307" s="201">
        <v>-8.1</v>
      </c>
      <c r="G307" s="201">
        <v>11</v>
      </c>
    </row>
    <row r="308" spans="4:7">
      <c r="D308" s="200" t="s">
        <v>1651</v>
      </c>
      <c r="E308" s="10">
        <v>45964</v>
      </c>
      <c r="F308" s="201">
        <v>-8.1</v>
      </c>
      <c r="G308" s="201">
        <v>10.8</v>
      </c>
    </row>
    <row r="309" spans="4:7">
      <c r="D309" s="200" t="s">
        <v>1651</v>
      </c>
      <c r="E309" s="10">
        <v>45966</v>
      </c>
      <c r="F309" s="201">
        <v>-8.1</v>
      </c>
      <c r="G309" s="201">
        <v>10.8</v>
      </c>
    </row>
    <row r="310" spans="4:7">
      <c r="D310" s="200" t="s">
        <v>1622</v>
      </c>
      <c r="E310" s="10">
        <v>46147</v>
      </c>
      <c r="F310" s="201">
        <v>-8.1</v>
      </c>
      <c r="G310" s="201">
        <v>10.8</v>
      </c>
    </row>
    <row r="311" spans="4:7">
      <c r="D311" s="200" t="s">
        <v>1642</v>
      </c>
      <c r="E311" s="10">
        <v>46240</v>
      </c>
      <c r="F311" s="201">
        <v>-8.1</v>
      </c>
      <c r="G311" s="201">
        <v>10.8</v>
      </c>
    </row>
    <row r="312" spans="4:7">
      <c r="D312" s="200" t="s">
        <v>1694</v>
      </c>
      <c r="E312" s="10">
        <v>46446</v>
      </c>
      <c r="F312" s="201">
        <v>-8.1</v>
      </c>
      <c r="G312" s="201">
        <v>10.6</v>
      </c>
    </row>
    <row r="313" spans="4:7">
      <c r="D313" s="200" t="s">
        <v>1672</v>
      </c>
      <c r="E313" s="10">
        <v>46485</v>
      </c>
      <c r="F313" s="201">
        <v>-8.1</v>
      </c>
      <c r="G313" s="201">
        <v>10.6</v>
      </c>
    </row>
    <row r="314" spans="4:7">
      <c r="D314" s="200" t="s">
        <v>1611</v>
      </c>
      <c r="E314" s="10">
        <v>47055</v>
      </c>
      <c r="F314" s="201">
        <v>-8.1</v>
      </c>
      <c r="G314" s="201">
        <v>11</v>
      </c>
    </row>
    <row r="315" spans="4:7">
      <c r="D315" s="200" t="s">
        <v>1611</v>
      </c>
      <c r="E315" s="10">
        <v>47057</v>
      </c>
      <c r="F315" s="201">
        <v>-8.1</v>
      </c>
      <c r="G315" s="201">
        <v>10.8</v>
      </c>
    </row>
    <row r="316" spans="4:7">
      <c r="D316" s="200" t="s">
        <v>1611</v>
      </c>
      <c r="E316" s="10">
        <v>47178</v>
      </c>
      <c r="F316" s="201">
        <v>-8.1</v>
      </c>
      <c r="G316" s="201">
        <v>10.8</v>
      </c>
    </row>
    <row r="317" spans="4:7">
      <c r="D317" s="200" t="s">
        <v>1663</v>
      </c>
      <c r="E317" s="10">
        <v>47441</v>
      </c>
      <c r="F317" s="201">
        <v>-8.1</v>
      </c>
      <c r="G317" s="201">
        <v>10.9</v>
      </c>
    </row>
    <row r="318" spans="4:7">
      <c r="D318" s="200" t="s">
        <v>1695</v>
      </c>
      <c r="E318" s="10">
        <v>47533</v>
      </c>
      <c r="F318" s="201">
        <v>-8.1</v>
      </c>
      <c r="G318" s="201">
        <v>10.6</v>
      </c>
    </row>
    <row r="319" spans="4:7">
      <c r="D319" s="200" t="s">
        <v>1696</v>
      </c>
      <c r="E319" s="10">
        <v>47546</v>
      </c>
      <c r="F319" s="201">
        <v>-8.1</v>
      </c>
      <c r="G319" s="201">
        <v>10.6</v>
      </c>
    </row>
    <row r="320" spans="4:7">
      <c r="D320" s="200" t="s">
        <v>1697</v>
      </c>
      <c r="E320" s="10">
        <v>47551</v>
      </c>
      <c r="F320" s="201">
        <v>-8.1</v>
      </c>
      <c r="G320" s="201">
        <v>10.5</v>
      </c>
    </row>
    <row r="321" spans="4:7">
      <c r="D321" s="200" t="s">
        <v>1698</v>
      </c>
      <c r="E321" s="10">
        <v>47574</v>
      </c>
      <c r="F321" s="201">
        <v>-8.1</v>
      </c>
      <c r="G321" s="201">
        <v>10.7</v>
      </c>
    </row>
    <row r="322" spans="4:7">
      <c r="D322" s="200" t="s">
        <v>1699</v>
      </c>
      <c r="E322" s="10">
        <v>47647</v>
      </c>
      <c r="F322" s="201">
        <v>-8.1</v>
      </c>
      <c r="G322" s="201">
        <v>10.7</v>
      </c>
    </row>
    <row r="323" spans="4:7">
      <c r="D323" s="200" t="s">
        <v>1604</v>
      </c>
      <c r="E323" s="10">
        <v>47804</v>
      </c>
      <c r="F323" s="201">
        <v>-8.1</v>
      </c>
      <c r="G323" s="201">
        <v>10.8</v>
      </c>
    </row>
    <row r="324" spans="4:7">
      <c r="D324" s="200" t="s">
        <v>1604</v>
      </c>
      <c r="E324" s="10">
        <v>47839</v>
      </c>
      <c r="F324" s="201">
        <v>-8.1</v>
      </c>
      <c r="G324" s="201">
        <v>10.8</v>
      </c>
    </row>
    <row r="325" spans="4:7">
      <c r="D325" s="200" t="s">
        <v>1700</v>
      </c>
      <c r="E325" s="10">
        <v>47906</v>
      </c>
      <c r="F325" s="201">
        <v>-8.1</v>
      </c>
      <c r="G325" s="201">
        <v>10.7</v>
      </c>
    </row>
    <row r="326" spans="4:7">
      <c r="D326" s="200" t="s">
        <v>1701</v>
      </c>
      <c r="E326" s="10">
        <v>47918</v>
      </c>
      <c r="F326" s="201">
        <v>-8.1</v>
      </c>
      <c r="G326" s="201">
        <v>10.8</v>
      </c>
    </row>
    <row r="327" spans="4:7">
      <c r="D327" s="200" t="s">
        <v>1702</v>
      </c>
      <c r="E327" s="10">
        <v>47929</v>
      </c>
      <c r="F327" s="201">
        <v>-8.1</v>
      </c>
      <c r="G327" s="201">
        <v>10.8</v>
      </c>
    </row>
    <row r="328" spans="4:7">
      <c r="D328" s="200" t="s">
        <v>1605</v>
      </c>
      <c r="E328" s="10">
        <v>50767</v>
      </c>
      <c r="F328" s="201">
        <v>-8.1</v>
      </c>
      <c r="G328" s="201">
        <v>11</v>
      </c>
    </row>
    <row r="329" spans="4:7">
      <c r="D329" s="200" t="s">
        <v>1605</v>
      </c>
      <c r="E329" s="10">
        <v>50829</v>
      </c>
      <c r="F329" s="201">
        <v>-8.1</v>
      </c>
      <c r="G329" s="201">
        <v>11.1</v>
      </c>
    </row>
    <row r="330" spans="4:7">
      <c r="D330" s="200" t="s">
        <v>1605</v>
      </c>
      <c r="E330" s="10">
        <v>50999</v>
      </c>
      <c r="F330" s="201">
        <v>-8.1</v>
      </c>
      <c r="G330" s="201">
        <v>11.1</v>
      </c>
    </row>
    <row r="331" spans="4:7">
      <c r="D331" s="200" t="s">
        <v>1605</v>
      </c>
      <c r="E331" s="10">
        <v>51061</v>
      </c>
      <c r="F331" s="201">
        <v>-8.1</v>
      </c>
      <c r="G331" s="201">
        <v>11</v>
      </c>
    </row>
    <row r="332" spans="4:7">
      <c r="D332" s="200" t="s">
        <v>1605</v>
      </c>
      <c r="E332" s="10">
        <v>51063</v>
      </c>
      <c r="F332" s="201">
        <v>-8.1</v>
      </c>
      <c r="G332" s="201">
        <v>11.2</v>
      </c>
    </row>
    <row r="333" spans="4:7">
      <c r="D333" s="200" t="s">
        <v>1612</v>
      </c>
      <c r="E333" s="10">
        <v>52070</v>
      </c>
      <c r="F333" s="201">
        <v>-8.1</v>
      </c>
      <c r="G333" s="201">
        <v>10.8</v>
      </c>
    </row>
    <row r="334" spans="4:7">
      <c r="D334" s="200" t="s">
        <v>1703</v>
      </c>
      <c r="E334" s="10">
        <v>52428</v>
      </c>
      <c r="F334" s="201">
        <v>-8.1</v>
      </c>
      <c r="G334" s="201">
        <v>10.9</v>
      </c>
    </row>
    <row r="335" spans="4:7">
      <c r="D335" s="200" t="s">
        <v>1623</v>
      </c>
      <c r="E335" s="10">
        <v>53119</v>
      </c>
      <c r="F335" s="201">
        <v>-8.1</v>
      </c>
      <c r="G335" s="201">
        <v>11</v>
      </c>
    </row>
    <row r="336" spans="4:7">
      <c r="D336" s="200" t="s">
        <v>1623</v>
      </c>
      <c r="E336" s="10">
        <v>53123</v>
      </c>
      <c r="F336" s="201">
        <v>-8.1</v>
      </c>
      <c r="G336" s="201">
        <v>11</v>
      </c>
    </row>
    <row r="337" spans="4:7">
      <c r="D337" s="200" t="s">
        <v>1623</v>
      </c>
      <c r="E337" s="10">
        <v>53129</v>
      </c>
      <c r="F337" s="201">
        <v>-8.1</v>
      </c>
      <c r="G337" s="201">
        <v>11.2</v>
      </c>
    </row>
    <row r="338" spans="4:7">
      <c r="D338" s="200" t="s">
        <v>1623</v>
      </c>
      <c r="E338" s="10">
        <v>53225</v>
      </c>
      <c r="F338" s="201">
        <v>-8.1</v>
      </c>
      <c r="G338" s="201">
        <v>11.1</v>
      </c>
    </row>
    <row r="339" spans="4:7">
      <c r="D339" s="200" t="s">
        <v>1623</v>
      </c>
      <c r="E339" s="10">
        <v>53227</v>
      </c>
      <c r="F339" s="201">
        <v>-8.1</v>
      </c>
      <c r="G339" s="201">
        <v>11.1</v>
      </c>
    </row>
    <row r="340" spans="4:7">
      <c r="D340" s="200" t="s">
        <v>1704</v>
      </c>
      <c r="E340" s="10">
        <v>53757</v>
      </c>
      <c r="F340" s="201">
        <v>-8.1</v>
      </c>
      <c r="G340" s="201">
        <v>11.1</v>
      </c>
    </row>
    <row r="341" spans="4:7">
      <c r="D341" s="200" t="s">
        <v>1705</v>
      </c>
      <c r="E341" s="10">
        <v>56068</v>
      </c>
      <c r="F341" s="201">
        <v>-8.1</v>
      </c>
      <c r="G341" s="201">
        <v>11.4</v>
      </c>
    </row>
    <row r="342" spans="4:7">
      <c r="D342" s="200" t="s">
        <v>1706</v>
      </c>
      <c r="E342" s="10">
        <v>56564</v>
      </c>
      <c r="F342" s="201">
        <v>-8.1</v>
      </c>
      <c r="G342" s="201">
        <v>11.4</v>
      </c>
    </row>
    <row r="343" spans="4:7">
      <c r="D343" s="200" t="s">
        <v>1707</v>
      </c>
      <c r="E343" s="10">
        <v>20095</v>
      </c>
      <c r="F343" s="201">
        <v>-8.1999999999999993</v>
      </c>
      <c r="G343" s="201">
        <v>10.6</v>
      </c>
    </row>
    <row r="344" spans="4:7">
      <c r="D344" s="200" t="s">
        <v>1708</v>
      </c>
      <c r="E344" s="10">
        <v>23683</v>
      </c>
      <c r="F344" s="201">
        <v>-8.1999999999999993</v>
      </c>
      <c r="G344" s="201">
        <v>9.1999999999999993</v>
      </c>
    </row>
    <row r="345" spans="4:7">
      <c r="D345" s="200" t="s">
        <v>1709</v>
      </c>
      <c r="E345" s="10">
        <v>24217</v>
      </c>
      <c r="F345" s="201">
        <v>-8.1999999999999993</v>
      </c>
      <c r="G345" s="201">
        <v>9.1</v>
      </c>
    </row>
    <row r="346" spans="4:7">
      <c r="D346" s="200" t="s">
        <v>1710</v>
      </c>
      <c r="E346" s="10">
        <v>24244</v>
      </c>
      <c r="F346" s="201">
        <v>-8.1999999999999993</v>
      </c>
      <c r="G346" s="201">
        <v>9.1</v>
      </c>
    </row>
    <row r="347" spans="4:7">
      <c r="D347" s="200" t="s">
        <v>1711</v>
      </c>
      <c r="E347" s="10">
        <v>24257</v>
      </c>
      <c r="F347" s="201">
        <v>-8.1999999999999993</v>
      </c>
      <c r="G347" s="201">
        <v>8.9</v>
      </c>
    </row>
    <row r="348" spans="4:7">
      <c r="D348" s="200" t="s">
        <v>1712</v>
      </c>
      <c r="E348" s="10">
        <v>25724</v>
      </c>
      <c r="F348" s="201">
        <v>-8.1999999999999993</v>
      </c>
      <c r="G348" s="201">
        <v>9.5</v>
      </c>
    </row>
    <row r="349" spans="4:7">
      <c r="D349" s="200" t="s">
        <v>1713</v>
      </c>
      <c r="E349" s="10">
        <v>25836</v>
      </c>
      <c r="F349" s="201">
        <v>-8.1999999999999993</v>
      </c>
      <c r="G349" s="201">
        <v>9.3000000000000007</v>
      </c>
    </row>
    <row r="350" spans="4:7" ht="30">
      <c r="D350" s="200" t="s">
        <v>1714</v>
      </c>
      <c r="E350" s="10">
        <v>25845</v>
      </c>
      <c r="F350" s="201">
        <v>-8.1999999999999993</v>
      </c>
      <c r="G350" s="201">
        <v>9.1999999999999993</v>
      </c>
    </row>
    <row r="351" spans="4:7">
      <c r="D351" s="200" t="s">
        <v>1715</v>
      </c>
      <c r="E351" s="10">
        <v>25881</v>
      </c>
      <c r="F351" s="201">
        <v>-8.1999999999999993</v>
      </c>
      <c r="G351" s="201">
        <v>9.3000000000000007</v>
      </c>
    </row>
    <row r="352" spans="4:7">
      <c r="D352" s="200" t="s">
        <v>1647</v>
      </c>
      <c r="E352" s="10">
        <v>26386</v>
      </c>
      <c r="F352" s="201">
        <v>-8.1999999999999993</v>
      </c>
      <c r="G352" s="201">
        <v>9.6</v>
      </c>
    </row>
    <row r="353" spans="4:7">
      <c r="D353" s="200" t="s">
        <v>1647</v>
      </c>
      <c r="E353" s="10">
        <v>26388</v>
      </c>
      <c r="F353" s="201">
        <v>-8.1999999999999993</v>
      </c>
      <c r="G353" s="201">
        <v>9.6</v>
      </c>
    </row>
    <row r="354" spans="4:7">
      <c r="D354" s="200" t="s">
        <v>1716</v>
      </c>
      <c r="E354" s="10">
        <v>26427</v>
      </c>
      <c r="F354" s="201">
        <v>-8.1999999999999993</v>
      </c>
      <c r="G354" s="201">
        <v>9.6999999999999993</v>
      </c>
    </row>
    <row r="355" spans="4:7">
      <c r="D355" s="200" t="s">
        <v>1603</v>
      </c>
      <c r="E355" s="10">
        <v>41068</v>
      </c>
      <c r="F355" s="201">
        <v>-8.1999999999999993</v>
      </c>
      <c r="G355" s="201">
        <v>10.8</v>
      </c>
    </row>
    <row r="356" spans="4:7">
      <c r="D356" s="200" t="s">
        <v>1603</v>
      </c>
      <c r="E356" s="10">
        <v>41069</v>
      </c>
      <c r="F356" s="201">
        <v>-8.1999999999999993</v>
      </c>
      <c r="G356" s="201">
        <v>10.8</v>
      </c>
    </row>
    <row r="357" spans="4:7">
      <c r="D357" s="200" t="s">
        <v>1649</v>
      </c>
      <c r="E357" s="10">
        <v>41468</v>
      </c>
      <c r="F357" s="201">
        <v>-8.1999999999999993</v>
      </c>
      <c r="G357" s="201">
        <v>10.9</v>
      </c>
    </row>
    <row r="358" spans="4:7">
      <c r="D358" s="200" t="s">
        <v>1649</v>
      </c>
      <c r="E358" s="10">
        <v>41470</v>
      </c>
      <c r="F358" s="201">
        <v>-8.1999999999999993</v>
      </c>
      <c r="G358" s="201">
        <v>10.9</v>
      </c>
    </row>
    <row r="359" spans="4:7">
      <c r="D359" s="200" t="s">
        <v>1649</v>
      </c>
      <c r="E359" s="10">
        <v>41472</v>
      </c>
      <c r="F359" s="201">
        <v>-8.1999999999999993</v>
      </c>
      <c r="G359" s="201">
        <v>10.8</v>
      </c>
    </row>
    <row r="360" spans="4:7">
      <c r="D360" s="200" t="s">
        <v>1691</v>
      </c>
      <c r="E360" s="10">
        <v>41515</v>
      </c>
      <c r="F360" s="201">
        <v>-8.1999999999999993</v>
      </c>
      <c r="G360" s="201">
        <v>10.8</v>
      </c>
    </row>
    <row r="361" spans="4:7">
      <c r="D361" s="200" t="s">
        <v>1692</v>
      </c>
      <c r="E361" s="10">
        <v>41539</v>
      </c>
      <c r="F361" s="201">
        <v>-8.1999999999999993</v>
      </c>
      <c r="G361" s="201">
        <v>10.8</v>
      </c>
    </row>
    <row r="362" spans="4:7">
      <c r="D362" s="200" t="s">
        <v>1692</v>
      </c>
      <c r="E362" s="10">
        <v>41540</v>
      </c>
      <c r="F362" s="201">
        <v>-8.1999999999999993</v>
      </c>
      <c r="G362" s="201">
        <v>10.8</v>
      </c>
    </row>
    <row r="363" spans="4:7">
      <c r="D363" s="200" t="s">
        <v>1692</v>
      </c>
      <c r="E363" s="10">
        <v>41542</v>
      </c>
      <c r="F363" s="201">
        <v>-8.1999999999999993</v>
      </c>
      <c r="G363" s="201">
        <v>10.8</v>
      </c>
    </row>
    <row r="364" spans="4:7">
      <c r="D364" s="200" t="s">
        <v>1717</v>
      </c>
      <c r="E364" s="10">
        <v>41564</v>
      </c>
      <c r="F364" s="201">
        <v>-8.1999999999999993</v>
      </c>
      <c r="G364" s="201">
        <v>10.9</v>
      </c>
    </row>
    <row r="365" spans="4:7">
      <c r="D365" s="200" t="s">
        <v>1650</v>
      </c>
      <c r="E365" s="10">
        <v>42115</v>
      </c>
      <c r="F365" s="201">
        <v>-8.1999999999999993</v>
      </c>
      <c r="G365" s="201">
        <v>10.6</v>
      </c>
    </row>
    <row r="366" spans="4:7">
      <c r="D366" s="200" t="s">
        <v>1650</v>
      </c>
      <c r="E366" s="10">
        <v>42117</v>
      </c>
      <c r="F366" s="201">
        <v>-8.1999999999999993</v>
      </c>
      <c r="G366" s="201">
        <v>10.6</v>
      </c>
    </row>
    <row r="367" spans="4:7">
      <c r="D367" s="200" t="s">
        <v>1629</v>
      </c>
      <c r="E367" s="10">
        <v>44141</v>
      </c>
      <c r="F367" s="201">
        <v>-8.1999999999999993</v>
      </c>
      <c r="G367" s="201">
        <v>10.8</v>
      </c>
    </row>
    <row r="368" spans="4:7">
      <c r="D368" s="200" t="s">
        <v>1629</v>
      </c>
      <c r="E368" s="10">
        <v>44143</v>
      </c>
      <c r="F368" s="201">
        <v>-8.1999999999999993</v>
      </c>
      <c r="G368" s="201">
        <v>10.8</v>
      </c>
    </row>
    <row r="369" spans="4:7">
      <c r="D369" s="200" t="s">
        <v>1629</v>
      </c>
      <c r="E369" s="10">
        <v>44149</v>
      </c>
      <c r="F369" s="201">
        <v>-8.1999999999999993</v>
      </c>
      <c r="G369" s="201">
        <v>10.8</v>
      </c>
    </row>
    <row r="370" spans="4:7">
      <c r="D370" s="200" t="s">
        <v>1629</v>
      </c>
      <c r="E370" s="10">
        <v>44263</v>
      </c>
      <c r="F370" s="201">
        <v>-8.1999999999999993</v>
      </c>
      <c r="G370" s="201">
        <v>10.8</v>
      </c>
    </row>
    <row r="371" spans="4:7">
      <c r="D371" s="200" t="s">
        <v>1620</v>
      </c>
      <c r="E371" s="10">
        <v>44807</v>
      </c>
      <c r="F371" s="201">
        <v>-8.1999999999999993</v>
      </c>
      <c r="G371" s="201">
        <v>10.7</v>
      </c>
    </row>
    <row r="372" spans="4:7">
      <c r="D372" s="200" t="s">
        <v>1610</v>
      </c>
      <c r="E372" s="10">
        <v>45133</v>
      </c>
      <c r="F372" s="201">
        <v>-8.1999999999999993</v>
      </c>
      <c r="G372" s="201">
        <v>10.5</v>
      </c>
    </row>
    <row r="373" spans="4:7">
      <c r="D373" s="200" t="s">
        <v>1610</v>
      </c>
      <c r="E373" s="10">
        <v>45134</v>
      </c>
      <c r="F373" s="201">
        <v>-8.1999999999999993</v>
      </c>
      <c r="G373" s="201">
        <v>10.6</v>
      </c>
    </row>
    <row r="374" spans="4:7">
      <c r="D374" s="200" t="s">
        <v>1631</v>
      </c>
      <c r="E374" s="10">
        <v>45470</v>
      </c>
      <c r="F374" s="201">
        <v>-8.1999999999999993</v>
      </c>
      <c r="G374" s="201">
        <v>10.6</v>
      </c>
    </row>
    <row r="375" spans="4:7">
      <c r="D375" s="200" t="s">
        <v>1631</v>
      </c>
      <c r="E375" s="10">
        <v>45481</v>
      </c>
      <c r="F375" s="201">
        <v>-8.1999999999999993</v>
      </c>
      <c r="G375" s="201">
        <v>10.7</v>
      </c>
    </row>
    <row r="376" spans="4:7">
      <c r="D376" s="200" t="s">
        <v>1662</v>
      </c>
      <c r="E376" s="10">
        <v>45659</v>
      </c>
      <c r="F376" s="201">
        <v>-8.1999999999999993</v>
      </c>
      <c r="G376" s="201">
        <v>10.7</v>
      </c>
    </row>
    <row r="377" spans="4:7">
      <c r="D377" s="200" t="s">
        <v>1718</v>
      </c>
      <c r="E377" s="10">
        <v>45772</v>
      </c>
      <c r="F377" s="201">
        <v>-8.1999999999999993</v>
      </c>
      <c r="G377" s="201">
        <v>10.7</v>
      </c>
    </row>
    <row r="378" spans="4:7">
      <c r="D378" s="200" t="s">
        <v>1719</v>
      </c>
      <c r="E378" s="10">
        <v>46282</v>
      </c>
      <c r="F378" s="201">
        <v>-8.1999999999999993</v>
      </c>
      <c r="G378" s="201">
        <v>10.6</v>
      </c>
    </row>
    <row r="379" spans="4:7">
      <c r="D379" s="200" t="s">
        <v>1720</v>
      </c>
      <c r="E379" s="10">
        <v>46459</v>
      </c>
      <c r="F379" s="201">
        <v>-8.1999999999999993</v>
      </c>
      <c r="G379" s="201">
        <v>10.5</v>
      </c>
    </row>
    <row r="380" spans="4:7">
      <c r="D380" s="200" t="s">
        <v>1672</v>
      </c>
      <c r="E380" s="10">
        <v>46487</v>
      </c>
      <c r="F380" s="201">
        <v>-8.1999999999999993</v>
      </c>
      <c r="G380" s="201">
        <v>10.5</v>
      </c>
    </row>
    <row r="381" spans="4:7">
      <c r="D381" s="200" t="s">
        <v>1721</v>
      </c>
      <c r="E381" s="10">
        <v>46509</v>
      </c>
      <c r="F381" s="201">
        <v>-8.1999999999999993</v>
      </c>
      <c r="G381" s="201">
        <v>10.6</v>
      </c>
    </row>
    <row r="382" spans="4:7">
      <c r="D382" s="200" t="s">
        <v>1722</v>
      </c>
      <c r="E382" s="10">
        <v>46562</v>
      </c>
      <c r="F382" s="201">
        <v>-8.1999999999999993</v>
      </c>
      <c r="G382" s="201">
        <v>10.6</v>
      </c>
    </row>
    <row r="383" spans="4:7">
      <c r="D383" s="200" t="s">
        <v>1611</v>
      </c>
      <c r="E383" s="10">
        <v>47199</v>
      </c>
      <c r="F383" s="201">
        <v>-8.1999999999999993</v>
      </c>
      <c r="G383" s="201">
        <v>10.7</v>
      </c>
    </row>
    <row r="384" spans="4:7">
      <c r="D384" s="200" t="s">
        <v>1663</v>
      </c>
      <c r="E384" s="10">
        <v>47447</v>
      </c>
      <c r="F384" s="201">
        <v>-8.1999999999999993</v>
      </c>
      <c r="G384" s="201">
        <v>10.8</v>
      </c>
    </row>
    <row r="385" spans="4:7">
      <c r="D385" s="200" t="s">
        <v>1723</v>
      </c>
      <c r="E385" s="10">
        <v>47475</v>
      </c>
      <c r="F385" s="201">
        <v>-8.1999999999999993</v>
      </c>
      <c r="G385" s="201">
        <v>10.7</v>
      </c>
    </row>
    <row r="386" spans="4:7">
      <c r="D386" s="200" t="s">
        <v>1724</v>
      </c>
      <c r="E386" s="10">
        <v>47495</v>
      </c>
      <c r="F386" s="201">
        <v>-8.1999999999999993</v>
      </c>
      <c r="G386" s="201">
        <v>10.7</v>
      </c>
    </row>
    <row r="387" spans="4:7">
      <c r="D387" s="200" t="s">
        <v>1725</v>
      </c>
      <c r="E387" s="10">
        <v>47506</v>
      </c>
      <c r="F387" s="201">
        <v>-8.1999999999999993</v>
      </c>
      <c r="G387" s="201">
        <v>10.8</v>
      </c>
    </row>
    <row r="388" spans="4:7">
      <c r="D388" s="200" t="s">
        <v>1726</v>
      </c>
      <c r="E388" s="10">
        <v>47559</v>
      </c>
      <c r="F388" s="201">
        <v>-8.1999999999999993</v>
      </c>
      <c r="G388" s="201">
        <v>10.5</v>
      </c>
    </row>
    <row r="389" spans="4:7">
      <c r="D389" s="200" t="s">
        <v>1727</v>
      </c>
      <c r="E389" s="10">
        <v>47589</v>
      </c>
      <c r="F389" s="201">
        <v>-8.1999999999999993</v>
      </c>
      <c r="G389" s="201">
        <v>10.5</v>
      </c>
    </row>
    <row r="390" spans="4:7">
      <c r="D390" s="200" t="s">
        <v>1728</v>
      </c>
      <c r="E390" s="10">
        <v>47623</v>
      </c>
      <c r="F390" s="201">
        <v>-8.1999999999999993</v>
      </c>
      <c r="G390" s="201">
        <v>10.7</v>
      </c>
    </row>
    <row r="391" spans="4:7">
      <c r="D391" s="200" t="s">
        <v>1729</v>
      </c>
      <c r="E391" s="10">
        <v>47638</v>
      </c>
      <c r="F391" s="201">
        <v>-8.1999999999999993</v>
      </c>
      <c r="G391" s="201">
        <v>10.6</v>
      </c>
    </row>
    <row r="392" spans="4:7">
      <c r="D392" s="200" t="s">
        <v>1730</v>
      </c>
      <c r="E392" s="10">
        <v>47669</v>
      </c>
      <c r="F392" s="201">
        <v>-8.1999999999999993</v>
      </c>
      <c r="G392" s="201">
        <v>10.7</v>
      </c>
    </row>
    <row r="393" spans="4:7">
      <c r="D393" s="200" t="s">
        <v>1604</v>
      </c>
      <c r="E393" s="10">
        <v>47809</v>
      </c>
      <c r="F393" s="201">
        <v>-8.1999999999999993</v>
      </c>
      <c r="G393" s="201">
        <v>10.9</v>
      </c>
    </row>
    <row r="394" spans="4:7">
      <c r="D394" s="200" t="s">
        <v>1731</v>
      </c>
      <c r="E394" s="10">
        <v>47877</v>
      </c>
      <c r="F394" s="201">
        <v>-8.1999999999999993</v>
      </c>
      <c r="G394" s="201">
        <v>10.8</v>
      </c>
    </row>
    <row r="395" spans="4:7">
      <c r="D395" s="200" t="s">
        <v>1732</v>
      </c>
      <c r="E395" s="10">
        <v>48431</v>
      </c>
      <c r="F395" s="201">
        <v>-8.1999999999999993</v>
      </c>
      <c r="G395" s="201">
        <v>10.5</v>
      </c>
    </row>
    <row r="396" spans="4:7">
      <c r="D396" s="200" t="s">
        <v>1605</v>
      </c>
      <c r="E396" s="10">
        <v>50858</v>
      </c>
      <c r="F396" s="201">
        <v>-8.1999999999999993</v>
      </c>
      <c r="G396" s="201">
        <v>11</v>
      </c>
    </row>
    <row r="397" spans="4:7">
      <c r="D397" s="200" t="s">
        <v>1605</v>
      </c>
      <c r="E397" s="10">
        <v>51067</v>
      </c>
      <c r="F397" s="201">
        <v>-8.1999999999999993</v>
      </c>
      <c r="G397" s="201">
        <v>11</v>
      </c>
    </row>
    <row r="398" spans="4:7">
      <c r="D398" s="200" t="s">
        <v>1605</v>
      </c>
      <c r="E398" s="10">
        <v>51109</v>
      </c>
      <c r="F398" s="201">
        <v>-8.1999999999999993</v>
      </c>
      <c r="G398" s="201">
        <v>10.9</v>
      </c>
    </row>
    <row r="399" spans="4:7">
      <c r="D399" s="200" t="s">
        <v>1605</v>
      </c>
      <c r="E399" s="10">
        <v>51145</v>
      </c>
      <c r="F399" s="201">
        <v>-8.1999999999999993</v>
      </c>
      <c r="G399" s="201">
        <v>11</v>
      </c>
    </row>
    <row r="400" spans="4:7">
      <c r="D400" s="200" t="s">
        <v>1733</v>
      </c>
      <c r="E400" s="10">
        <v>51469</v>
      </c>
      <c r="F400" s="201">
        <v>-8.1999999999999993</v>
      </c>
      <c r="G400" s="201">
        <v>11.1</v>
      </c>
    </row>
    <row r="401" spans="4:7">
      <c r="D401" s="200" t="s">
        <v>1623</v>
      </c>
      <c r="E401" s="10">
        <v>53117</v>
      </c>
      <c r="F401" s="201">
        <v>-8.1999999999999993</v>
      </c>
      <c r="G401" s="201">
        <v>11.1</v>
      </c>
    </row>
    <row r="402" spans="4:7">
      <c r="D402" s="200" t="s">
        <v>1734</v>
      </c>
      <c r="E402" s="10">
        <v>53840</v>
      </c>
      <c r="F402" s="201">
        <v>-8.1999999999999993</v>
      </c>
      <c r="G402" s="201">
        <v>11.1</v>
      </c>
    </row>
    <row r="403" spans="4:7">
      <c r="D403" s="200" t="s">
        <v>1705</v>
      </c>
      <c r="E403" s="10">
        <v>56070</v>
      </c>
      <c r="F403" s="201">
        <v>-8.1999999999999993</v>
      </c>
      <c r="G403" s="201">
        <v>11.2</v>
      </c>
    </row>
    <row r="404" spans="4:7">
      <c r="D404" s="200" t="s">
        <v>1735</v>
      </c>
      <c r="E404" s="10">
        <v>58095</v>
      </c>
      <c r="F404" s="201">
        <v>-8.1999999999999993</v>
      </c>
      <c r="G404" s="201">
        <v>10.8</v>
      </c>
    </row>
    <row r="405" spans="4:7">
      <c r="D405" s="200" t="s">
        <v>1736</v>
      </c>
      <c r="E405" s="10">
        <v>60306</v>
      </c>
      <c r="F405" s="201">
        <v>-8.1999999999999993</v>
      </c>
      <c r="G405" s="201">
        <v>11.9</v>
      </c>
    </row>
    <row r="406" spans="4:7">
      <c r="D406" s="200" t="s">
        <v>1737</v>
      </c>
      <c r="E406" s="10">
        <v>23730</v>
      </c>
      <c r="F406" s="201">
        <v>-8.3000000000000007</v>
      </c>
      <c r="G406" s="201">
        <v>9.1999999999999993</v>
      </c>
    </row>
    <row r="407" spans="4:7">
      <c r="D407" s="200" t="s">
        <v>1636</v>
      </c>
      <c r="E407" s="10">
        <v>24148</v>
      </c>
      <c r="F407" s="201">
        <v>-8.3000000000000007</v>
      </c>
      <c r="G407" s="201">
        <v>9.1999999999999993</v>
      </c>
    </row>
    <row r="408" spans="4:7">
      <c r="D408" s="200" t="s">
        <v>1636</v>
      </c>
      <c r="E408" s="10">
        <v>24149</v>
      </c>
      <c r="F408" s="201">
        <v>-8.3000000000000007</v>
      </c>
      <c r="G408" s="201">
        <v>9</v>
      </c>
    </row>
    <row r="409" spans="4:7">
      <c r="D409" s="200" t="s">
        <v>1738</v>
      </c>
      <c r="E409" s="10">
        <v>24161</v>
      </c>
      <c r="F409" s="201">
        <v>-8.3000000000000007</v>
      </c>
      <c r="G409" s="201">
        <v>9.1</v>
      </c>
    </row>
    <row r="410" spans="4:7">
      <c r="D410" s="200" t="s">
        <v>1739</v>
      </c>
      <c r="E410" s="10">
        <v>24226</v>
      </c>
      <c r="F410" s="201">
        <v>-8.3000000000000007</v>
      </c>
      <c r="G410" s="201">
        <v>9.1</v>
      </c>
    </row>
    <row r="411" spans="4:7">
      <c r="D411" s="200" t="s">
        <v>1740</v>
      </c>
      <c r="E411" s="10">
        <v>24229</v>
      </c>
      <c r="F411" s="201">
        <v>-8.3000000000000007</v>
      </c>
      <c r="G411" s="201">
        <v>9.1</v>
      </c>
    </row>
    <row r="412" spans="4:7">
      <c r="D412" s="200" t="s">
        <v>1741</v>
      </c>
      <c r="E412" s="10">
        <v>24235</v>
      </c>
      <c r="F412" s="201">
        <v>-8.3000000000000007</v>
      </c>
      <c r="G412" s="201">
        <v>9.1</v>
      </c>
    </row>
    <row r="413" spans="4:7">
      <c r="D413" s="200" t="s">
        <v>1742</v>
      </c>
      <c r="E413" s="10">
        <v>24248</v>
      </c>
      <c r="F413" s="201">
        <v>-8.3000000000000007</v>
      </c>
      <c r="G413" s="201">
        <v>9</v>
      </c>
    </row>
    <row r="414" spans="4:7">
      <c r="D414" s="200" t="s">
        <v>1743</v>
      </c>
      <c r="E414" s="10">
        <v>25541</v>
      </c>
      <c r="F414" s="201">
        <v>-8.3000000000000007</v>
      </c>
      <c r="G414" s="201">
        <v>9.5</v>
      </c>
    </row>
    <row r="415" spans="4:7">
      <c r="D415" s="200" t="s">
        <v>1744</v>
      </c>
      <c r="E415" s="10">
        <v>26556</v>
      </c>
      <c r="F415" s="201">
        <v>-8.3000000000000007</v>
      </c>
      <c r="G415" s="201">
        <v>9.6999999999999993</v>
      </c>
    </row>
    <row r="416" spans="4:7">
      <c r="D416" s="200" t="s">
        <v>1745</v>
      </c>
      <c r="E416" s="10">
        <v>27499</v>
      </c>
      <c r="F416" s="201">
        <v>-8.3000000000000007</v>
      </c>
      <c r="G416" s="201">
        <v>9.6</v>
      </c>
    </row>
    <row r="417" spans="4:7">
      <c r="D417" s="200" t="s">
        <v>1596</v>
      </c>
      <c r="E417" s="10">
        <v>40629</v>
      </c>
      <c r="F417" s="201">
        <v>-8.3000000000000007</v>
      </c>
      <c r="G417" s="201">
        <v>10.5</v>
      </c>
    </row>
    <row r="418" spans="4:7">
      <c r="D418" s="200" t="s">
        <v>1746</v>
      </c>
      <c r="E418" s="10">
        <v>40668</v>
      </c>
      <c r="F418" s="201">
        <v>-8.3000000000000007</v>
      </c>
      <c r="G418" s="201">
        <v>10.9</v>
      </c>
    </row>
    <row r="419" spans="4:7">
      <c r="D419" s="200" t="s">
        <v>1746</v>
      </c>
      <c r="E419" s="10">
        <v>40670</v>
      </c>
      <c r="F419" s="201">
        <v>-8.3000000000000007</v>
      </c>
      <c r="G419" s="201">
        <v>10.9</v>
      </c>
    </row>
    <row r="420" spans="4:7">
      <c r="D420" s="200" t="s">
        <v>1747</v>
      </c>
      <c r="E420" s="10">
        <v>40699</v>
      </c>
      <c r="F420" s="201">
        <v>-8.3000000000000007</v>
      </c>
      <c r="G420" s="201">
        <v>10.6</v>
      </c>
    </row>
    <row r="421" spans="4:7">
      <c r="D421" s="200" t="s">
        <v>1661</v>
      </c>
      <c r="E421" s="10">
        <v>40882</v>
      </c>
      <c r="F421" s="201">
        <v>-8.3000000000000007</v>
      </c>
      <c r="G421" s="201">
        <v>10.4</v>
      </c>
    </row>
    <row r="422" spans="4:7">
      <c r="D422" s="200" t="s">
        <v>1661</v>
      </c>
      <c r="E422" s="10">
        <v>40883</v>
      </c>
      <c r="F422" s="201">
        <v>-8.3000000000000007</v>
      </c>
      <c r="G422" s="201">
        <v>10.5</v>
      </c>
    </row>
    <row r="423" spans="4:7">
      <c r="D423" s="200" t="s">
        <v>1661</v>
      </c>
      <c r="E423" s="10">
        <v>40885</v>
      </c>
      <c r="F423" s="201">
        <v>-8.3000000000000007</v>
      </c>
      <c r="G423" s="201">
        <v>10.6</v>
      </c>
    </row>
    <row r="424" spans="4:7">
      <c r="D424" s="200" t="s">
        <v>1748</v>
      </c>
      <c r="E424" s="10">
        <v>41363</v>
      </c>
      <c r="F424" s="201">
        <v>-8.3000000000000007</v>
      </c>
      <c r="G424" s="201">
        <v>10.8</v>
      </c>
    </row>
    <row r="425" spans="4:7">
      <c r="D425" s="200" t="s">
        <v>1649</v>
      </c>
      <c r="E425" s="10">
        <v>41469</v>
      </c>
      <c r="F425" s="201">
        <v>-8.3000000000000007</v>
      </c>
      <c r="G425" s="201">
        <v>10.8</v>
      </c>
    </row>
    <row r="426" spans="4:7">
      <c r="D426" s="200" t="s">
        <v>1650</v>
      </c>
      <c r="E426" s="10">
        <v>42103</v>
      </c>
      <c r="F426" s="201">
        <v>-8.3000000000000007</v>
      </c>
      <c r="G426" s="201">
        <v>10.6</v>
      </c>
    </row>
    <row r="427" spans="4:7">
      <c r="D427" s="200" t="s">
        <v>1650</v>
      </c>
      <c r="E427" s="10">
        <v>42107</v>
      </c>
      <c r="F427" s="201">
        <v>-8.3000000000000007</v>
      </c>
      <c r="G427" s="201">
        <v>10.6</v>
      </c>
    </row>
    <row r="428" spans="4:7">
      <c r="D428" s="200" t="s">
        <v>1650</v>
      </c>
      <c r="E428" s="10">
        <v>42109</v>
      </c>
      <c r="F428" s="201">
        <v>-8.3000000000000007</v>
      </c>
      <c r="G428" s="201">
        <v>10.5</v>
      </c>
    </row>
    <row r="429" spans="4:7">
      <c r="D429" s="200" t="s">
        <v>1650</v>
      </c>
      <c r="E429" s="10">
        <v>42283</v>
      </c>
      <c r="F429" s="201">
        <v>-8.3000000000000007</v>
      </c>
      <c r="G429" s="201">
        <v>10.6</v>
      </c>
    </row>
    <row r="430" spans="4:7">
      <c r="D430" s="200" t="s">
        <v>1650</v>
      </c>
      <c r="E430" s="10">
        <v>42285</v>
      </c>
      <c r="F430" s="201">
        <v>-8.3000000000000007</v>
      </c>
      <c r="G430" s="201">
        <v>10.3</v>
      </c>
    </row>
    <row r="431" spans="4:7">
      <c r="D431" s="200" t="s">
        <v>1650</v>
      </c>
      <c r="E431" s="10">
        <v>42327</v>
      </c>
      <c r="F431" s="201">
        <v>-8.3000000000000007</v>
      </c>
      <c r="G431" s="201">
        <v>10.199999999999999</v>
      </c>
    </row>
    <row r="432" spans="4:7">
      <c r="D432" s="200" t="s">
        <v>1749</v>
      </c>
      <c r="E432" s="10">
        <v>42555</v>
      </c>
      <c r="F432" s="201">
        <v>-8.3000000000000007</v>
      </c>
      <c r="G432" s="201">
        <v>10.6</v>
      </c>
    </row>
    <row r="433" spans="4:7">
      <c r="D433" s="200" t="s">
        <v>1750</v>
      </c>
      <c r="E433" s="10">
        <v>42579</v>
      </c>
      <c r="F433" s="201">
        <v>-8.3000000000000007</v>
      </c>
      <c r="G433" s="201">
        <v>10.5</v>
      </c>
    </row>
    <row r="434" spans="4:7">
      <c r="D434" s="200" t="s">
        <v>1670</v>
      </c>
      <c r="E434" s="10">
        <v>42651</v>
      </c>
      <c r="F434" s="201">
        <v>-8.3000000000000007</v>
      </c>
      <c r="G434" s="201">
        <v>10.5</v>
      </c>
    </row>
    <row r="435" spans="4:7">
      <c r="D435" s="200" t="s">
        <v>1670</v>
      </c>
      <c r="E435" s="10">
        <v>42697</v>
      </c>
      <c r="F435" s="201">
        <v>-8.3000000000000007</v>
      </c>
      <c r="G435" s="201">
        <v>10.7</v>
      </c>
    </row>
    <row r="436" spans="4:7">
      <c r="D436" s="200" t="s">
        <v>1629</v>
      </c>
      <c r="E436" s="10">
        <v>44225</v>
      </c>
      <c r="F436" s="201">
        <v>-8.3000000000000007</v>
      </c>
      <c r="G436" s="201">
        <v>10.7</v>
      </c>
    </row>
    <row r="437" spans="4:7">
      <c r="D437" s="200" t="s">
        <v>1629</v>
      </c>
      <c r="E437" s="10">
        <v>44369</v>
      </c>
      <c r="F437" s="201">
        <v>-8.3000000000000007</v>
      </c>
      <c r="G437" s="201">
        <v>10.8</v>
      </c>
    </row>
    <row r="438" spans="4:7">
      <c r="D438" s="200" t="s">
        <v>1629</v>
      </c>
      <c r="E438" s="10">
        <v>44388</v>
      </c>
      <c r="F438" s="201">
        <v>-8.3000000000000007</v>
      </c>
      <c r="G438" s="201">
        <v>10.7</v>
      </c>
    </row>
    <row r="439" spans="4:7">
      <c r="D439" s="200" t="s">
        <v>1751</v>
      </c>
      <c r="E439" s="10">
        <v>44575</v>
      </c>
      <c r="F439" s="201">
        <v>-8.3000000000000007</v>
      </c>
      <c r="G439" s="201">
        <v>10.8</v>
      </c>
    </row>
    <row r="440" spans="4:7">
      <c r="D440" s="200" t="s">
        <v>1751</v>
      </c>
      <c r="E440" s="10">
        <v>44579</v>
      </c>
      <c r="F440" s="201">
        <v>-8.3000000000000007</v>
      </c>
      <c r="G440" s="201">
        <v>10.6</v>
      </c>
    </row>
    <row r="441" spans="4:7">
      <c r="D441" s="200" t="s">
        <v>1620</v>
      </c>
      <c r="E441" s="10">
        <v>44805</v>
      </c>
      <c r="F441" s="201">
        <v>-8.3000000000000007</v>
      </c>
      <c r="G441" s="201">
        <v>10.6</v>
      </c>
    </row>
    <row r="442" spans="4:7">
      <c r="D442" s="200" t="s">
        <v>1620</v>
      </c>
      <c r="E442" s="10">
        <v>44892</v>
      </c>
      <c r="F442" s="201">
        <v>-8.3000000000000007</v>
      </c>
      <c r="G442" s="201">
        <v>10.7</v>
      </c>
    </row>
    <row r="443" spans="4:7">
      <c r="D443" s="200" t="s">
        <v>1610</v>
      </c>
      <c r="E443" s="10">
        <v>45257</v>
      </c>
      <c r="F443" s="201">
        <v>-8.3000000000000007</v>
      </c>
      <c r="G443" s="201">
        <v>10.6</v>
      </c>
    </row>
    <row r="444" spans="4:7">
      <c r="D444" s="200" t="s">
        <v>1610</v>
      </c>
      <c r="E444" s="10">
        <v>45289</v>
      </c>
      <c r="F444" s="201">
        <v>-8.3000000000000007</v>
      </c>
      <c r="G444" s="201">
        <v>10.6</v>
      </c>
    </row>
    <row r="445" spans="4:7">
      <c r="D445" s="200" t="s">
        <v>1631</v>
      </c>
      <c r="E445" s="10">
        <v>45479</v>
      </c>
      <c r="F445" s="201">
        <v>-8.3000000000000007</v>
      </c>
      <c r="G445" s="201">
        <v>10.7</v>
      </c>
    </row>
    <row r="446" spans="4:7">
      <c r="D446" s="200" t="s">
        <v>1718</v>
      </c>
      <c r="E446" s="10">
        <v>45768</v>
      </c>
      <c r="F446" s="201">
        <v>-8.3000000000000007</v>
      </c>
      <c r="G446" s="201">
        <v>10.5</v>
      </c>
    </row>
    <row r="447" spans="4:7">
      <c r="D447" s="200" t="s">
        <v>1718</v>
      </c>
      <c r="E447" s="10">
        <v>45770</v>
      </c>
      <c r="F447" s="201">
        <v>-8.3000000000000007</v>
      </c>
      <c r="G447" s="201">
        <v>10.6</v>
      </c>
    </row>
    <row r="448" spans="4:7">
      <c r="D448" s="200" t="s">
        <v>1621</v>
      </c>
      <c r="E448" s="10">
        <v>45892</v>
      </c>
      <c r="F448" s="201">
        <v>-8.3000000000000007</v>
      </c>
      <c r="G448" s="201">
        <v>10.7</v>
      </c>
    </row>
    <row r="449" spans="4:7">
      <c r="D449" s="200" t="s">
        <v>1719</v>
      </c>
      <c r="E449" s="10">
        <v>46284</v>
      </c>
      <c r="F449" s="201">
        <v>-8.3000000000000007</v>
      </c>
      <c r="G449" s="201">
        <v>10.5</v>
      </c>
    </row>
    <row r="450" spans="4:7">
      <c r="D450" s="200" t="s">
        <v>1752</v>
      </c>
      <c r="E450" s="10">
        <v>46395</v>
      </c>
      <c r="F450" s="201">
        <v>-8.3000000000000007</v>
      </c>
      <c r="G450" s="201">
        <v>10.5</v>
      </c>
    </row>
    <row r="451" spans="4:7">
      <c r="D451" s="200" t="s">
        <v>1753</v>
      </c>
      <c r="E451" s="10">
        <v>46414</v>
      </c>
      <c r="F451" s="201">
        <v>-8.3000000000000007</v>
      </c>
      <c r="G451" s="201">
        <v>10.4</v>
      </c>
    </row>
    <row r="452" spans="4:7">
      <c r="D452" s="200" t="s">
        <v>1754</v>
      </c>
      <c r="E452" s="10">
        <v>46419</v>
      </c>
      <c r="F452" s="201">
        <v>-8.3000000000000007</v>
      </c>
      <c r="G452" s="201">
        <v>10.5</v>
      </c>
    </row>
    <row r="453" spans="4:7">
      <c r="D453" s="200" t="s">
        <v>1755</v>
      </c>
      <c r="E453" s="10">
        <v>46499</v>
      </c>
      <c r="F453" s="201">
        <v>-8.3000000000000007</v>
      </c>
      <c r="G453" s="201">
        <v>10.5</v>
      </c>
    </row>
    <row r="454" spans="4:7">
      <c r="D454" s="200" t="s">
        <v>1756</v>
      </c>
      <c r="E454" s="10">
        <v>46514</v>
      </c>
      <c r="F454" s="201">
        <v>-8.3000000000000007</v>
      </c>
      <c r="G454" s="201">
        <v>10.4</v>
      </c>
    </row>
    <row r="455" spans="4:7">
      <c r="D455" s="200" t="s">
        <v>1757</v>
      </c>
      <c r="E455" s="10">
        <v>46519</v>
      </c>
      <c r="F455" s="201">
        <v>-8.3000000000000007</v>
      </c>
      <c r="G455" s="201">
        <v>10.6</v>
      </c>
    </row>
    <row r="456" spans="4:7">
      <c r="D456" s="200" t="s">
        <v>1652</v>
      </c>
      <c r="E456" s="10">
        <v>46539</v>
      </c>
      <c r="F456" s="201">
        <v>-8.3000000000000007</v>
      </c>
      <c r="G456" s="201">
        <v>10.6</v>
      </c>
    </row>
    <row r="457" spans="4:7">
      <c r="D457" s="200" t="s">
        <v>1758</v>
      </c>
      <c r="E457" s="10">
        <v>46569</v>
      </c>
      <c r="F457" s="201">
        <v>-8.3000000000000007</v>
      </c>
      <c r="G457" s="201">
        <v>10.5</v>
      </c>
    </row>
    <row r="458" spans="4:7">
      <c r="D458" s="200" t="s">
        <v>1611</v>
      </c>
      <c r="E458" s="10">
        <v>47259</v>
      </c>
      <c r="F458" s="201">
        <v>-8.3000000000000007</v>
      </c>
      <c r="G458" s="201">
        <v>10.8</v>
      </c>
    </row>
    <row r="459" spans="4:7">
      <c r="D459" s="200" t="s">
        <v>1611</v>
      </c>
      <c r="E459" s="10">
        <v>47279</v>
      </c>
      <c r="F459" s="201">
        <v>-8.3000000000000007</v>
      </c>
      <c r="G459" s="201">
        <v>10.8</v>
      </c>
    </row>
    <row r="460" spans="4:7">
      <c r="D460" s="200" t="s">
        <v>1759</v>
      </c>
      <c r="E460" s="10">
        <v>47509</v>
      </c>
      <c r="F460" s="201">
        <v>-8.3000000000000007</v>
      </c>
      <c r="G460" s="201">
        <v>10.6</v>
      </c>
    </row>
    <row r="461" spans="4:7">
      <c r="D461" s="200" t="s">
        <v>1760</v>
      </c>
      <c r="E461" s="10">
        <v>47608</v>
      </c>
      <c r="F461" s="201">
        <v>-8.3000000000000007</v>
      </c>
      <c r="G461" s="201">
        <v>10.6</v>
      </c>
    </row>
    <row r="462" spans="4:7">
      <c r="D462" s="200" t="s">
        <v>1761</v>
      </c>
      <c r="E462" s="10">
        <v>47625</v>
      </c>
      <c r="F462" s="201">
        <v>-8.3000000000000007</v>
      </c>
      <c r="G462" s="201">
        <v>10.6</v>
      </c>
    </row>
    <row r="463" spans="4:7">
      <c r="D463" s="200" t="s">
        <v>1762</v>
      </c>
      <c r="E463" s="10">
        <v>47626</v>
      </c>
      <c r="F463" s="201">
        <v>-8.3000000000000007</v>
      </c>
      <c r="G463" s="201">
        <v>10.6</v>
      </c>
    </row>
    <row r="464" spans="4:7">
      <c r="D464" s="200" t="s">
        <v>1763</v>
      </c>
      <c r="E464" s="10">
        <v>47627</v>
      </c>
      <c r="F464" s="201">
        <v>-8.3000000000000007</v>
      </c>
      <c r="G464" s="201">
        <v>10.6</v>
      </c>
    </row>
    <row r="465" spans="4:7">
      <c r="D465" s="200" t="s">
        <v>1764</v>
      </c>
      <c r="E465" s="10">
        <v>47652</v>
      </c>
      <c r="F465" s="201">
        <v>-8.3000000000000007</v>
      </c>
      <c r="G465" s="201">
        <v>10.6</v>
      </c>
    </row>
    <row r="466" spans="4:7">
      <c r="D466" s="200" t="s">
        <v>1765</v>
      </c>
      <c r="E466" s="10">
        <v>47661</v>
      </c>
      <c r="F466" s="201">
        <v>-8.3000000000000007</v>
      </c>
      <c r="G466" s="201">
        <v>10.6</v>
      </c>
    </row>
    <row r="467" spans="4:7">
      <c r="D467" s="200" t="s">
        <v>1766</v>
      </c>
      <c r="E467" s="10">
        <v>47665</v>
      </c>
      <c r="F467" s="201">
        <v>-8.3000000000000007</v>
      </c>
      <c r="G467" s="201">
        <v>10.6</v>
      </c>
    </row>
    <row r="468" spans="4:7">
      <c r="D468" s="200" t="s">
        <v>1604</v>
      </c>
      <c r="E468" s="10">
        <v>47802</v>
      </c>
      <c r="F468" s="201">
        <v>-8.3000000000000007</v>
      </c>
      <c r="G468" s="201">
        <v>10.8</v>
      </c>
    </row>
    <row r="469" spans="4:7">
      <c r="D469" s="200" t="s">
        <v>1732</v>
      </c>
      <c r="E469" s="10">
        <v>48429</v>
      </c>
      <c r="F469" s="201">
        <v>-8.3000000000000007</v>
      </c>
      <c r="G469" s="201">
        <v>10.5</v>
      </c>
    </row>
    <row r="470" spans="4:7">
      <c r="D470" s="200" t="s">
        <v>1605</v>
      </c>
      <c r="E470" s="10">
        <v>50769</v>
      </c>
      <c r="F470" s="201">
        <v>-8.3000000000000007</v>
      </c>
      <c r="G470" s="201">
        <v>10.9</v>
      </c>
    </row>
    <row r="471" spans="4:7">
      <c r="D471" s="200" t="s">
        <v>1605</v>
      </c>
      <c r="E471" s="10">
        <v>51069</v>
      </c>
      <c r="F471" s="201">
        <v>-8.3000000000000007</v>
      </c>
      <c r="G471" s="201">
        <v>10.9</v>
      </c>
    </row>
    <row r="472" spans="4:7">
      <c r="D472" s="200" t="s">
        <v>1605</v>
      </c>
      <c r="E472" s="10">
        <v>51147</v>
      </c>
      <c r="F472" s="201">
        <v>-8.3000000000000007</v>
      </c>
      <c r="G472" s="201">
        <v>10.9</v>
      </c>
    </row>
    <row r="473" spans="4:7">
      <c r="D473" s="200" t="s">
        <v>1653</v>
      </c>
      <c r="E473" s="10">
        <v>51371</v>
      </c>
      <c r="F473" s="201">
        <v>-8.3000000000000007</v>
      </c>
      <c r="G473" s="201">
        <v>10.9</v>
      </c>
    </row>
    <row r="474" spans="4:7">
      <c r="D474" s="200" t="s">
        <v>1653</v>
      </c>
      <c r="E474" s="10">
        <v>51377</v>
      </c>
      <c r="F474" s="201">
        <v>-8.3000000000000007</v>
      </c>
      <c r="G474" s="201">
        <v>11</v>
      </c>
    </row>
    <row r="475" spans="4:7">
      <c r="D475" s="200" t="s">
        <v>1767</v>
      </c>
      <c r="E475" s="10">
        <v>52134</v>
      </c>
      <c r="F475" s="201">
        <v>-8.3000000000000007</v>
      </c>
      <c r="G475" s="201">
        <v>10.8</v>
      </c>
    </row>
    <row r="476" spans="4:7">
      <c r="D476" s="200" t="s">
        <v>1674</v>
      </c>
      <c r="E476" s="10">
        <v>52351</v>
      </c>
      <c r="F476" s="201">
        <v>-8.3000000000000007</v>
      </c>
      <c r="G476" s="201">
        <v>10.9</v>
      </c>
    </row>
    <row r="477" spans="4:7">
      <c r="D477" s="200" t="s">
        <v>1768</v>
      </c>
      <c r="E477" s="10">
        <v>52531</v>
      </c>
      <c r="F477" s="201">
        <v>-8.3000000000000007</v>
      </c>
      <c r="G477" s="201">
        <v>10.8</v>
      </c>
    </row>
    <row r="478" spans="4:7">
      <c r="D478" s="200" t="s">
        <v>1623</v>
      </c>
      <c r="E478" s="10">
        <v>53113</v>
      </c>
      <c r="F478" s="201">
        <v>-8.3000000000000007</v>
      </c>
      <c r="G478" s="201">
        <v>11</v>
      </c>
    </row>
    <row r="479" spans="4:7">
      <c r="D479" s="200" t="s">
        <v>1623</v>
      </c>
      <c r="E479" s="10">
        <v>53121</v>
      </c>
      <c r="F479" s="201">
        <v>-8.3000000000000007</v>
      </c>
      <c r="G479" s="201">
        <v>10.9</v>
      </c>
    </row>
    <row r="480" spans="4:7">
      <c r="D480" s="200" t="s">
        <v>1623</v>
      </c>
      <c r="E480" s="10">
        <v>53175</v>
      </c>
      <c r="F480" s="201">
        <v>-8.3000000000000007</v>
      </c>
      <c r="G480" s="201">
        <v>11.1</v>
      </c>
    </row>
    <row r="481" spans="4:7">
      <c r="D481" s="200" t="s">
        <v>1769</v>
      </c>
      <c r="E481" s="10">
        <v>53879</v>
      </c>
      <c r="F481" s="201">
        <v>-8.3000000000000007</v>
      </c>
      <c r="G481" s="201">
        <v>10.7</v>
      </c>
    </row>
    <row r="482" spans="4:7">
      <c r="D482" s="200" t="s">
        <v>1735</v>
      </c>
      <c r="E482" s="10">
        <v>58097</v>
      </c>
      <c r="F482" s="201">
        <v>-8.3000000000000007</v>
      </c>
      <c r="G482" s="201">
        <v>10.6</v>
      </c>
    </row>
    <row r="483" spans="4:7">
      <c r="D483" s="200" t="s">
        <v>1770</v>
      </c>
      <c r="E483" s="10">
        <v>58455</v>
      </c>
      <c r="F483" s="201">
        <v>-8.3000000000000007</v>
      </c>
      <c r="G483" s="201">
        <v>10.6</v>
      </c>
    </row>
    <row r="484" spans="4:7">
      <c r="D484" s="200" t="s">
        <v>1771</v>
      </c>
      <c r="E484" s="10">
        <v>60313</v>
      </c>
      <c r="F484" s="201">
        <v>-8.3000000000000007</v>
      </c>
      <c r="G484" s="201">
        <v>11.8</v>
      </c>
    </row>
    <row r="485" spans="4:7">
      <c r="D485" s="200" t="s">
        <v>1771</v>
      </c>
      <c r="E485" s="10">
        <v>60318</v>
      </c>
      <c r="F485" s="201">
        <v>-8.3000000000000007</v>
      </c>
      <c r="G485" s="201">
        <v>11.7</v>
      </c>
    </row>
    <row r="486" spans="4:7">
      <c r="D486" s="200" t="s">
        <v>1771</v>
      </c>
      <c r="E486" s="10">
        <v>60329</v>
      </c>
      <c r="F486" s="201">
        <v>-8.3000000000000007</v>
      </c>
      <c r="G486" s="201">
        <v>11.8</v>
      </c>
    </row>
    <row r="487" spans="4:7">
      <c r="D487" s="200" t="s">
        <v>1772</v>
      </c>
      <c r="E487" s="10">
        <v>23743</v>
      </c>
      <c r="F487" s="201">
        <v>-8.4</v>
      </c>
      <c r="G487" s="201">
        <v>9.1</v>
      </c>
    </row>
    <row r="488" spans="4:7">
      <c r="D488" s="200" t="s">
        <v>1773</v>
      </c>
      <c r="E488" s="10">
        <v>23749</v>
      </c>
      <c r="F488" s="201">
        <v>-8.4</v>
      </c>
      <c r="G488" s="201">
        <v>9.1999999999999993</v>
      </c>
    </row>
    <row r="489" spans="4:7">
      <c r="D489" s="200" t="s">
        <v>1636</v>
      </c>
      <c r="E489" s="10">
        <v>24147</v>
      </c>
      <c r="F489" s="201">
        <v>-8.4</v>
      </c>
      <c r="G489" s="201">
        <v>9.1999999999999993</v>
      </c>
    </row>
    <row r="490" spans="4:7">
      <c r="D490" s="200" t="s">
        <v>1774</v>
      </c>
      <c r="E490" s="10">
        <v>24222</v>
      </c>
      <c r="F490" s="201">
        <v>-8.4</v>
      </c>
      <c r="G490" s="201">
        <v>9.1</v>
      </c>
    </row>
    <row r="491" spans="4:7">
      <c r="D491" s="200" t="s">
        <v>1684</v>
      </c>
      <c r="E491" s="10">
        <v>24983</v>
      </c>
      <c r="F491" s="201">
        <v>-8.4</v>
      </c>
      <c r="G491" s="201">
        <v>8.9</v>
      </c>
    </row>
    <row r="492" spans="4:7">
      <c r="D492" s="200" t="s">
        <v>1775</v>
      </c>
      <c r="E492" s="10">
        <v>25774</v>
      </c>
      <c r="F492" s="201">
        <v>-8.4</v>
      </c>
      <c r="G492" s="201">
        <v>9.1999999999999993</v>
      </c>
    </row>
    <row r="493" spans="4:7">
      <c r="D493" s="200" t="s">
        <v>1776</v>
      </c>
      <c r="E493" s="10">
        <v>25832</v>
      </c>
      <c r="F493" s="201">
        <v>-8.4</v>
      </c>
      <c r="G493" s="201">
        <v>9.3000000000000007</v>
      </c>
    </row>
    <row r="494" spans="4:7">
      <c r="D494" s="200" t="s">
        <v>1777</v>
      </c>
      <c r="E494" s="10">
        <v>26489</v>
      </c>
      <c r="F494" s="201">
        <v>-8.4</v>
      </c>
      <c r="G494" s="201">
        <v>9.6999999999999993</v>
      </c>
    </row>
    <row r="495" spans="4:7">
      <c r="D495" s="200" t="s">
        <v>1778</v>
      </c>
      <c r="E495" s="10">
        <v>26532</v>
      </c>
      <c r="F495" s="201">
        <v>-8.4</v>
      </c>
      <c r="G495" s="201">
        <v>9.6999999999999993</v>
      </c>
    </row>
    <row r="496" spans="4:7">
      <c r="D496" s="200" t="s">
        <v>1779</v>
      </c>
      <c r="E496" s="10">
        <v>26603</v>
      </c>
      <c r="F496" s="201">
        <v>-8.4</v>
      </c>
      <c r="G496" s="201">
        <v>9.8000000000000007</v>
      </c>
    </row>
    <row r="497" spans="4:7">
      <c r="D497" s="200" t="s">
        <v>1637</v>
      </c>
      <c r="E497" s="10">
        <v>27476</v>
      </c>
      <c r="F497" s="201">
        <v>-8.4</v>
      </c>
      <c r="G497" s="201">
        <v>9.6</v>
      </c>
    </row>
    <row r="498" spans="4:7">
      <c r="D498" s="200" t="s">
        <v>1648</v>
      </c>
      <c r="E498" s="10">
        <v>27574</v>
      </c>
      <c r="F498" s="201">
        <v>-8.4</v>
      </c>
      <c r="G498" s="201">
        <v>9.9</v>
      </c>
    </row>
    <row r="499" spans="4:7">
      <c r="D499" s="200" t="s">
        <v>1648</v>
      </c>
      <c r="E499" s="10">
        <v>27576</v>
      </c>
      <c r="F499" s="201">
        <v>-8.4</v>
      </c>
      <c r="G499" s="201">
        <v>9.9</v>
      </c>
    </row>
    <row r="500" spans="4:7">
      <c r="D500" s="200" t="s">
        <v>1596</v>
      </c>
      <c r="E500" s="10">
        <v>40489</v>
      </c>
      <c r="F500" s="201">
        <v>-8.4</v>
      </c>
      <c r="G500" s="201">
        <v>10.8</v>
      </c>
    </row>
    <row r="501" spans="4:7">
      <c r="D501" s="200" t="s">
        <v>1746</v>
      </c>
      <c r="E501" s="10">
        <v>40667</v>
      </c>
      <c r="F501" s="201">
        <v>-8.4</v>
      </c>
      <c r="G501" s="201">
        <v>10.8</v>
      </c>
    </row>
    <row r="502" spans="4:7">
      <c r="D502" s="200" t="s">
        <v>1780</v>
      </c>
      <c r="E502" s="10">
        <v>40822</v>
      </c>
      <c r="F502" s="201">
        <v>-8.4</v>
      </c>
      <c r="G502" s="201">
        <v>10.4</v>
      </c>
    </row>
    <row r="503" spans="4:7">
      <c r="D503" s="200" t="s">
        <v>1661</v>
      </c>
      <c r="E503" s="10">
        <v>40880</v>
      </c>
      <c r="F503" s="201">
        <v>-8.4</v>
      </c>
      <c r="G503" s="201">
        <v>10.8</v>
      </c>
    </row>
    <row r="504" spans="4:7">
      <c r="D504" s="200" t="s">
        <v>1603</v>
      </c>
      <c r="E504" s="10">
        <v>41169</v>
      </c>
      <c r="F504" s="201">
        <v>-8.4</v>
      </c>
      <c r="G504" s="201">
        <v>10.7</v>
      </c>
    </row>
    <row r="505" spans="4:7">
      <c r="D505" s="200" t="s">
        <v>1603</v>
      </c>
      <c r="E505" s="10">
        <v>41179</v>
      </c>
      <c r="F505" s="201">
        <v>-8.4</v>
      </c>
      <c r="G505" s="201">
        <v>10.8</v>
      </c>
    </row>
    <row r="506" spans="4:7">
      <c r="D506" s="200" t="s">
        <v>1691</v>
      </c>
      <c r="E506" s="10">
        <v>41517</v>
      </c>
      <c r="F506" s="201">
        <v>-8.4</v>
      </c>
      <c r="G506" s="201">
        <v>10.8</v>
      </c>
    </row>
    <row r="507" spans="4:7">
      <c r="D507" s="200" t="s">
        <v>1781</v>
      </c>
      <c r="E507" s="10">
        <v>41569</v>
      </c>
      <c r="F507" s="201">
        <v>-8.4</v>
      </c>
      <c r="G507" s="201">
        <v>10.7</v>
      </c>
    </row>
    <row r="508" spans="4:7">
      <c r="D508" s="200" t="s">
        <v>1650</v>
      </c>
      <c r="E508" s="10">
        <v>42277</v>
      </c>
      <c r="F508" s="201">
        <v>-8.4</v>
      </c>
      <c r="G508" s="201">
        <v>10.5</v>
      </c>
    </row>
    <row r="509" spans="4:7">
      <c r="D509" s="200" t="s">
        <v>1650</v>
      </c>
      <c r="E509" s="10">
        <v>42281</v>
      </c>
      <c r="F509" s="201">
        <v>-8.4</v>
      </c>
      <c r="G509" s="201">
        <v>10.4</v>
      </c>
    </row>
    <row r="510" spans="4:7">
      <c r="D510" s="200" t="s">
        <v>1620</v>
      </c>
      <c r="E510" s="10">
        <v>44797</v>
      </c>
      <c r="F510" s="201">
        <v>-8.4</v>
      </c>
      <c r="G510" s="201">
        <v>10.5</v>
      </c>
    </row>
    <row r="511" spans="4:7">
      <c r="D511" s="200" t="s">
        <v>1610</v>
      </c>
      <c r="E511" s="10">
        <v>45239</v>
      </c>
      <c r="F511" s="201">
        <v>-8.4</v>
      </c>
      <c r="G511" s="201">
        <v>10.4</v>
      </c>
    </row>
    <row r="512" spans="4:7">
      <c r="D512" s="200" t="s">
        <v>1642</v>
      </c>
      <c r="E512" s="10">
        <v>46244</v>
      </c>
      <c r="F512" s="201">
        <v>-8.4</v>
      </c>
      <c r="G512" s="201">
        <v>10.5</v>
      </c>
    </row>
    <row r="513" spans="4:7">
      <c r="D513" s="200" t="s">
        <v>1719</v>
      </c>
      <c r="E513" s="10">
        <v>46286</v>
      </c>
      <c r="F513" s="201">
        <v>-8.4</v>
      </c>
      <c r="G513" s="201">
        <v>10.3</v>
      </c>
    </row>
    <row r="514" spans="4:7">
      <c r="D514" s="200" t="s">
        <v>1752</v>
      </c>
      <c r="E514" s="10">
        <v>46399</v>
      </c>
      <c r="F514" s="201">
        <v>-8.4</v>
      </c>
      <c r="G514" s="201">
        <v>10.4</v>
      </c>
    </row>
    <row r="515" spans="4:7">
      <c r="D515" s="200" t="s">
        <v>1611</v>
      </c>
      <c r="E515" s="10">
        <v>47269</v>
      </c>
      <c r="F515" s="201">
        <v>-8.4</v>
      </c>
      <c r="G515" s="201">
        <v>10.8</v>
      </c>
    </row>
    <row r="516" spans="4:7">
      <c r="D516" s="200" t="s">
        <v>1728</v>
      </c>
      <c r="E516" s="10">
        <v>47624</v>
      </c>
      <c r="F516" s="201">
        <v>-8.4</v>
      </c>
      <c r="G516" s="201">
        <v>10.6</v>
      </c>
    </row>
    <row r="517" spans="4:7">
      <c r="D517" s="200" t="s">
        <v>1782</v>
      </c>
      <c r="E517" s="10">
        <v>50127</v>
      </c>
      <c r="F517" s="201">
        <v>-8.4</v>
      </c>
      <c r="G517" s="201">
        <v>10.9</v>
      </c>
    </row>
    <row r="518" spans="4:7">
      <c r="D518" s="200" t="s">
        <v>1783</v>
      </c>
      <c r="E518" s="10">
        <v>50321</v>
      </c>
      <c r="F518" s="201">
        <v>-8.4</v>
      </c>
      <c r="G518" s="201">
        <v>10.8</v>
      </c>
    </row>
    <row r="519" spans="4:7">
      <c r="D519" s="200" t="s">
        <v>1605</v>
      </c>
      <c r="E519" s="10">
        <v>51149</v>
      </c>
      <c r="F519" s="201">
        <v>-8.4</v>
      </c>
      <c r="G519" s="201">
        <v>10.9</v>
      </c>
    </row>
    <row r="520" spans="4:7">
      <c r="D520" s="200" t="s">
        <v>1653</v>
      </c>
      <c r="E520" s="10">
        <v>51375</v>
      </c>
      <c r="F520" s="201">
        <v>-8.4</v>
      </c>
      <c r="G520" s="201">
        <v>10.8</v>
      </c>
    </row>
    <row r="521" spans="4:7">
      <c r="D521" s="200" t="s">
        <v>1612</v>
      </c>
      <c r="E521" s="10">
        <v>52078</v>
      </c>
      <c r="F521" s="201">
        <v>-8.4</v>
      </c>
      <c r="G521" s="201">
        <v>10.4</v>
      </c>
    </row>
    <row r="522" spans="4:7">
      <c r="D522" s="200" t="s">
        <v>1623</v>
      </c>
      <c r="E522" s="10">
        <v>53179</v>
      </c>
      <c r="F522" s="201">
        <v>-8.4</v>
      </c>
      <c r="G522" s="201">
        <v>10.8</v>
      </c>
    </row>
    <row r="523" spans="4:7">
      <c r="D523" s="200" t="s">
        <v>1734</v>
      </c>
      <c r="E523" s="10">
        <v>53844</v>
      </c>
      <c r="F523" s="201">
        <v>-8.4</v>
      </c>
      <c r="G523" s="201">
        <v>10.9</v>
      </c>
    </row>
    <row r="524" spans="4:7">
      <c r="D524" s="200" t="s">
        <v>1784</v>
      </c>
      <c r="E524" s="10">
        <v>56575</v>
      </c>
      <c r="F524" s="201">
        <v>-8.4</v>
      </c>
      <c r="G524" s="201">
        <v>11</v>
      </c>
    </row>
    <row r="525" spans="4:7">
      <c r="D525" s="200" t="s">
        <v>1770</v>
      </c>
      <c r="E525" s="10">
        <v>58452</v>
      </c>
      <c r="F525" s="201">
        <v>-8.4</v>
      </c>
      <c r="G525" s="201">
        <v>10.5</v>
      </c>
    </row>
    <row r="526" spans="4:7">
      <c r="D526" s="200" t="s">
        <v>1785</v>
      </c>
      <c r="E526" s="10">
        <v>60310</v>
      </c>
      <c r="F526" s="201">
        <v>-8.4</v>
      </c>
      <c r="G526" s="201">
        <v>11.7</v>
      </c>
    </row>
    <row r="527" spans="4:7">
      <c r="D527" s="200" t="s">
        <v>1786</v>
      </c>
      <c r="E527" s="10">
        <v>65185</v>
      </c>
      <c r="F527" s="201">
        <v>-8.4</v>
      </c>
      <c r="G527" s="201">
        <v>11.7</v>
      </c>
    </row>
    <row r="528" spans="4:7">
      <c r="D528" s="200" t="s">
        <v>1787</v>
      </c>
      <c r="E528" s="10">
        <v>21762</v>
      </c>
      <c r="F528" s="201">
        <v>-8.5</v>
      </c>
      <c r="G528" s="201">
        <v>9.6</v>
      </c>
    </row>
    <row r="529" spans="4:7">
      <c r="D529" s="200" t="s">
        <v>1788</v>
      </c>
      <c r="E529" s="10">
        <v>23746</v>
      </c>
      <c r="F529" s="201">
        <v>-8.5</v>
      </c>
      <c r="G529" s="201">
        <v>9.1999999999999993</v>
      </c>
    </row>
    <row r="530" spans="4:7">
      <c r="D530" s="200" t="s">
        <v>1789</v>
      </c>
      <c r="E530" s="10">
        <v>23747</v>
      </c>
      <c r="F530" s="201">
        <v>-8.5</v>
      </c>
      <c r="G530" s="201">
        <v>9.1999999999999993</v>
      </c>
    </row>
    <row r="531" spans="4:7">
      <c r="D531" s="200" t="s">
        <v>1790</v>
      </c>
      <c r="E531" s="10">
        <v>24109</v>
      </c>
      <c r="F531" s="201">
        <v>-8.5</v>
      </c>
      <c r="G531" s="201">
        <v>9.1</v>
      </c>
    </row>
    <row r="532" spans="4:7">
      <c r="D532" s="200" t="s">
        <v>1791</v>
      </c>
      <c r="E532" s="10">
        <v>24232</v>
      </c>
      <c r="F532" s="201">
        <v>-8.5</v>
      </c>
      <c r="G532" s="201">
        <v>9</v>
      </c>
    </row>
    <row r="533" spans="4:7">
      <c r="D533" s="200" t="s">
        <v>1792</v>
      </c>
      <c r="E533" s="10">
        <v>24253</v>
      </c>
      <c r="F533" s="201">
        <v>-8.5</v>
      </c>
      <c r="G533" s="201">
        <v>9</v>
      </c>
    </row>
    <row r="534" spans="4:7">
      <c r="D534" s="200" t="s">
        <v>1793</v>
      </c>
      <c r="E534" s="10">
        <v>24321</v>
      </c>
      <c r="F534" s="201">
        <v>-8.5</v>
      </c>
      <c r="G534" s="201">
        <v>8.6999999999999993</v>
      </c>
    </row>
    <row r="535" spans="4:7">
      <c r="D535" s="200" t="s">
        <v>1794</v>
      </c>
      <c r="E535" s="10">
        <v>24363</v>
      </c>
      <c r="F535" s="201">
        <v>-8.5</v>
      </c>
      <c r="G535" s="201">
        <v>9</v>
      </c>
    </row>
    <row r="536" spans="4:7">
      <c r="D536" s="200" t="s">
        <v>1795</v>
      </c>
      <c r="E536" s="10">
        <v>24407</v>
      </c>
      <c r="F536" s="201">
        <v>-8.5</v>
      </c>
      <c r="G536" s="201">
        <v>9</v>
      </c>
    </row>
    <row r="537" spans="4:7">
      <c r="D537" s="200" t="s">
        <v>1796</v>
      </c>
      <c r="E537" s="10">
        <v>25792</v>
      </c>
      <c r="F537" s="201">
        <v>-8.5</v>
      </c>
      <c r="G537" s="201">
        <v>9.1999999999999993</v>
      </c>
    </row>
    <row r="538" spans="4:7">
      <c r="D538" s="200" t="s">
        <v>1797</v>
      </c>
      <c r="E538" s="10">
        <v>25870</v>
      </c>
      <c r="F538" s="201">
        <v>-8.5</v>
      </c>
      <c r="G538" s="201">
        <v>9.1999999999999993</v>
      </c>
    </row>
    <row r="539" spans="4:7">
      <c r="D539" s="200" t="s">
        <v>1798</v>
      </c>
      <c r="E539" s="10">
        <v>25882</v>
      </c>
      <c r="F539" s="201">
        <v>-8.5</v>
      </c>
      <c r="G539" s="201">
        <v>9.3000000000000007</v>
      </c>
    </row>
    <row r="540" spans="4:7">
      <c r="D540" s="200" t="s">
        <v>1799</v>
      </c>
      <c r="E540" s="10">
        <v>25927</v>
      </c>
      <c r="F540" s="201">
        <v>-8.5</v>
      </c>
      <c r="G540" s="201">
        <v>9</v>
      </c>
    </row>
    <row r="541" spans="4:7">
      <c r="D541" s="200" t="s">
        <v>1800</v>
      </c>
      <c r="E541" s="10">
        <v>26441</v>
      </c>
      <c r="F541" s="201">
        <v>-8.5</v>
      </c>
      <c r="G541" s="201">
        <v>9.6</v>
      </c>
    </row>
    <row r="542" spans="4:7">
      <c r="D542" s="200" t="s">
        <v>1801</v>
      </c>
      <c r="E542" s="10">
        <v>26452</v>
      </c>
      <c r="F542" s="201">
        <v>-8.5</v>
      </c>
      <c r="G542" s="201">
        <v>9.6</v>
      </c>
    </row>
    <row r="543" spans="4:7">
      <c r="D543" s="200" t="s">
        <v>1802</v>
      </c>
      <c r="E543" s="10">
        <v>26487</v>
      </c>
      <c r="F543" s="201">
        <v>-8.5</v>
      </c>
      <c r="G543" s="201">
        <v>9.6999999999999993</v>
      </c>
    </row>
    <row r="544" spans="4:7">
      <c r="D544" s="200" t="s">
        <v>1603</v>
      </c>
      <c r="E544" s="10">
        <v>41189</v>
      </c>
      <c r="F544" s="201">
        <v>-8.5</v>
      </c>
      <c r="G544" s="201">
        <v>10.7</v>
      </c>
    </row>
    <row r="545" spans="4:7">
      <c r="D545" s="200" t="s">
        <v>1803</v>
      </c>
      <c r="E545" s="10">
        <v>41366</v>
      </c>
      <c r="F545" s="201">
        <v>-8.5</v>
      </c>
      <c r="G545" s="201">
        <v>10.7</v>
      </c>
    </row>
    <row r="546" spans="4:7">
      <c r="D546" s="200" t="s">
        <v>1650</v>
      </c>
      <c r="E546" s="10">
        <v>42113</v>
      </c>
      <c r="F546" s="201">
        <v>-8.5</v>
      </c>
      <c r="G546" s="201">
        <v>10.199999999999999</v>
      </c>
    </row>
    <row r="547" spans="4:7">
      <c r="D547" s="200" t="s">
        <v>1650</v>
      </c>
      <c r="E547" s="10">
        <v>42289</v>
      </c>
      <c r="F547" s="201">
        <v>-8.5</v>
      </c>
      <c r="G547" s="201">
        <v>10.199999999999999</v>
      </c>
    </row>
    <row r="548" spans="4:7">
      <c r="D548" s="200" t="s">
        <v>1650</v>
      </c>
      <c r="E548" s="10">
        <v>42329</v>
      </c>
      <c r="F548" s="201">
        <v>-8.5</v>
      </c>
      <c r="G548" s="201">
        <v>10.1</v>
      </c>
    </row>
    <row r="549" spans="4:7">
      <c r="D549" s="200" t="s">
        <v>1650</v>
      </c>
      <c r="E549" s="10">
        <v>42389</v>
      </c>
      <c r="F549" s="201">
        <v>-8.5</v>
      </c>
      <c r="G549" s="201">
        <v>10.4</v>
      </c>
    </row>
    <row r="550" spans="4:7">
      <c r="D550" s="200" t="s">
        <v>1749</v>
      </c>
      <c r="E550" s="10">
        <v>42549</v>
      </c>
      <c r="F550" s="201">
        <v>-8.5</v>
      </c>
      <c r="G550" s="201">
        <v>10.199999999999999</v>
      </c>
    </row>
    <row r="551" spans="4:7">
      <c r="D551" s="200" t="s">
        <v>1749</v>
      </c>
      <c r="E551" s="10">
        <v>42553</v>
      </c>
      <c r="F551" s="201">
        <v>-8.5</v>
      </c>
      <c r="G551" s="201">
        <v>10.3</v>
      </c>
    </row>
    <row r="552" spans="4:7">
      <c r="D552" s="200" t="s">
        <v>1670</v>
      </c>
      <c r="E552" s="10">
        <v>42659</v>
      </c>
      <c r="F552" s="201">
        <v>-8.5</v>
      </c>
      <c r="G552" s="201">
        <v>10.4</v>
      </c>
    </row>
    <row r="553" spans="4:7">
      <c r="D553" s="200" t="s">
        <v>1751</v>
      </c>
      <c r="E553" s="10">
        <v>44581</v>
      </c>
      <c r="F553" s="201">
        <v>-8.5</v>
      </c>
      <c r="G553" s="201">
        <v>10.5</v>
      </c>
    </row>
    <row r="554" spans="4:7">
      <c r="D554" s="200" t="s">
        <v>1630</v>
      </c>
      <c r="E554" s="10">
        <v>44627</v>
      </c>
      <c r="F554" s="201">
        <v>-8.5</v>
      </c>
      <c r="G554" s="201">
        <v>10.5</v>
      </c>
    </row>
    <row r="555" spans="4:7">
      <c r="D555" s="200" t="s">
        <v>1662</v>
      </c>
      <c r="E555" s="10">
        <v>45665</v>
      </c>
      <c r="F555" s="201">
        <v>-8.5</v>
      </c>
      <c r="G555" s="201">
        <v>10.5</v>
      </c>
    </row>
    <row r="556" spans="4:7">
      <c r="D556" s="200" t="s">
        <v>1671</v>
      </c>
      <c r="E556" s="10">
        <v>45701</v>
      </c>
      <c r="F556" s="201">
        <v>-8.5</v>
      </c>
      <c r="G556" s="201">
        <v>10.5</v>
      </c>
    </row>
    <row r="557" spans="4:7">
      <c r="D557" s="200" t="s">
        <v>1804</v>
      </c>
      <c r="E557" s="10">
        <v>45721</v>
      </c>
      <c r="F557" s="201">
        <v>-8.5</v>
      </c>
      <c r="G557" s="201">
        <v>10.4</v>
      </c>
    </row>
    <row r="558" spans="4:7">
      <c r="D558" s="200" t="s">
        <v>1805</v>
      </c>
      <c r="E558" s="10">
        <v>46325</v>
      </c>
      <c r="F558" s="201">
        <v>-8.5</v>
      </c>
      <c r="G558" s="201">
        <v>10.3</v>
      </c>
    </row>
    <row r="559" spans="4:7">
      <c r="D559" s="200" t="s">
        <v>1664</v>
      </c>
      <c r="E559" s="10">
        <v>48147</v>
      </c>
      <c r="F559" s="201">
        <v>-8.5</v>
      </c>
      <c r="G559" s="201">
        <v>10.6</v>
      </c>
    </row>
    <row r="560" spans="4:7">
      <c r="D560" s="200" t="s">
        <v>1806</v>
      </c>
      <c r="E560" s="10">
        <v>49074</v>
      </c>
      <c r="F560" s="201">
        <v>-8.5</v>
      </c>
      <c r="G560" s="201">
        <v>11</v>
      </c>
    </row>
    <row r="561" spans="4:7">
      <c r="D561" s="200" t="s">
        <v>1807</v>
      </c>
      <c r="E561" s="10">
        <v>50171</v>
      </c>
      <c r="F561" s="201">
        <v>-8.5</v>
      </c>
      <c r="G561" s="201">
        <v>10.8</v>
      </c>
    </row>
    <row r="562" spans="4:7">
      <c r="D562" s="200" t="s">
        <v>1808</v>
      </c>
      <c r="E562" s="10">
        <v>50189</v>
      </c>
      <c r="F562" s="201">
        <v>-8.5</v>
      </c>
      <c r="G562" s="201">
        <v>10.9</v>
      </c>
    </row>
    <row r="563" spans="4:7">
      <c r="D563" s="200" t="s">
        <v>1809</v>
      </c>
      <c r="E563" s="10">
        <v>50259</v>
      </c>
      <c r="F563" s="201">
        <v>-8.5</v>
      </c>
      <c r="G563" s="201">
        <v>10.8</v>
      </c>
    </row>
    <row r="564" spans="4:7">
      <c r="D564" s="200" t="s">
        <v>1810</v>
      </c>
      <c r="E564" s="10">
        <v>50354</v>
      </c>
      <c r="F564" s="201">
        <v>-8.5</v>
      </c>
      <c r="G564" s="201">
        <v>10.8</v>
      </c>
    </row>
    <row r="565" spans="4:7">
      <c r="D565" s="200" t="s">
        <v>1605</v>
      </c>
      <c r="E565" s="10">
        <v>50765</v>
      </c>
      <c r="F565" s="201">
        <v>-8.5</v>
      </c>
      <c r="G565" s="201">
        <v>10.8</v>
      </c>
    </row>
    <row r="566" spans="4:7">
      <c r="D566" s="200" t="s">
        <v>1605</v>
      </c>
      <c r="E566" s="10">
        <v>50859</v>
      </c>
      <c r="F566" s="201">
        <v>-8.5</v>
      </c>
      <c r="G566" s="201">
        <v>10.9</v>
      </c>
    </row>
    <row r="567" spans="4:7">
      <c r="D567" s="200" t="s">
        <v>1653</v>
      </c>
      <c r="E567" s="10">
        <v>51381</v>
      </c>
      <c r="F567" s="201">
        <v>-8.5</v>
      </c>
      <c r="G567" s="201">
        <v>10.7</v>
      </c>
    </row>
    <row r="568" spans="4:7">
      <c r="D568" s="200" t="s">
        <v>1612</v>
      </c>
      <c r="E568" s="10">
        <v>52074</v>
      </c>
      <c r="F568" s="201">
        <v>-8.5</v>
      </c>
      <c r="G568" s="201">
        <v>10.3</v>
      </c>
    </row>
    <row r="569" spans="4:7">
      <c r="D569" s="200" t="s">
        <v>1811</v>
      </c>
      <c r="E569" s="10">
        <v>52372</v>
      </c>
      <c r="F569" s="201">
        <v>-8.5</v>
      </c>
      <c r="G569" s="201">
        <v>10.6</v>
      </c>
    </row>
    <row r="570" spans="4:7">
      <c r="D570" s="200" t="s">
        <v>1812</v>
      </c>
      <c r="E570" s="10">
        <v>52459</v>
      </c>
      <c r="F570" s="201">
        <v>-8.5</v>
      </c>
      <c r="G570" s="201">
        <v>10.8</v>
      </c>
    </row>
    <row r="571" spans="4:7">
      <c r="D571" s="200" t="s">
        <v>1813</v>
      </c>
      <c r="E571" s="10">
        <v>52477</v>
      </c>
      <c r="F571" s="201">
        <v>-8.5</v>
      </c>
      <c r="G571" s="201">
        <v>10.6</v>
      </c>
    </row>
    <row r="572" spans="4:7">
      <c r="D572" s="200" t="s">
        <v>1705</v>
      </c>
      <c r="E572" s="10">
        <v>56073</v>
      </c>
      <c r="F572" s="201">
        <v>-8.5</v>
      </c>
      <c r="G572" s="201">
        <v>10.8</v>
      </c>
    </row>
    <row r="573" spans="4:7">
      <c r="D573" s="200" t="s">
        <v>1735</v>
      </c>
      <c r="E573" s="10">
        <v>58089</v>
      </c>
      <c r="F573" s="201">
        <v>-8.5</v>
      </c>
      <c r="G573" s="201">
        <v>10.5</v>
      </c>
    </row>
    <row r="574" spans="4:7">
      <c r="D574" s="200" t="s">
        <v>1770</v>
      </c>
      <c r="E574" s="10">
        <v>58454</v>
      </c>
      <c r="F574" s="201">
        <v>-8.5</v>
      </c>
      <c r="G574" s="201">
        <v>10.5</v>
      </c>
    </row>
    <row r="575" spans="4:7">
      <c r="D575" s="200" t="s">
        <v>1814</v>
      </c>
      <c r="E575" s="10">
        <v>66111</v>
      </c>
      <c r="F575" s="201">
        <v>-8.5</v>
      </c>
      <c r="G575" s="201">
        <v>11.2</v>
      </c>
    </row>
    <row r="576" spans="4:7">
      <c r="D576" s="200" t="s">
        <v>1815</v>
      </c>
      <c r="E576" s="10">
        <v>18551</v>
      </c>
      <c r="F576" s="201">
        <v>-8.6</v>
      </c>
      <c r="G576" s="201">
        <v>8.6999999999999993</v>
      </c>
    </row>
    <row r="577" spans="4:7">
      <c r="D577" s="200" t="s">
        <v>1816</v>
      </c>
      <c r="E577" s="10">
        <v>23738</v>
      </c>
      <c r="F577" s="201">
        <v>-8.6</v>
      </c>
      <c r="G577" s="201">
        <v>9.1</v>
      </c>
    </row>
    <row r="578" spans="4:7">
      <c r="D578" s="200" t="s">
        <v>1636</v>
      </c>
      <c r="E578" s="10">
        <v>24107</v>
      </c>
      <c r="F578" s="201">
        <v>-8.6</v>
      </c>
      <c r="G578" s="201">
        <v>9</v>
      </c>
    </row>
    <row r="579" spans="4:7">
      <c r="D579" s="200" t="s">
        <v>1817</v>
      </c>
      <c r="E579" s="10">
        <v>24111</v>
      </c>
      <c r="F579" s="201">
        <v>-8.6</v>
      </c>
      <c r="G579" s="201">
        <v>9.1</v>
      </c>
    </row>
    <row r="580" spans="4:7">
      <c r="D580" s="200" t="s">
        <v>1636</v>
      </c>
      <c r="E580" s="10">
        <v>24113</v>
      </c>
      <c r="F580" s="201">
        <v>-8.6</v>
      </c>
      <c r="G580" s="201">
        <v>9.1</v>
      </c>
    </row>
    <row r="581" spans="4:7">
      <c r="D581" s="200" t="s">
        <v>1636</v>
      </c>
      <c r="E581" s="10">
        <v>24145</v>
      </c>
      <c r="F581" s="201">
        <v>-8.6</v>
      </c>
      <c r="G581" s="201">
        <v>8.9</v>
      </c>
    </row>
    <row r="582" spans="4:7">
      <c r="D582" s="200" t="s">
        <v>1818</v>
      </c>
      <c r="E582" s="10">
        <v>24256</v>
      </c>
      <c r="F582" s="201">
        <v>-8.6</v>
      </c>
      <c r="G582" s="201">
        <v>8.8000000000000007</v>
      </c>
    </row>
    <row r="583" spans="4:7">
      <c r="D583" s="200" t="s">
        <v>1819</v>
      </c>
      <c r="E583" s="10">
        <v>24327</v>
      </c>
      <c r="F583" s="201">
        <v>-8.6</v>
      </c>
      <c r="G583" s="201">
        <v>8.9</v>
      </c>
    </row>
    <row r="584" spans="4:7">
      <c r="D584" s="200" t="s">
        <v>1820</v>
      </c>
      <c r="E584" s="10">
        <v>24354</v>
      </c>
      <c r="F584" s="201">
        <v>-8.6</v>
      </c>
      <c r="G584" s="201">
        <v>9</v>
      </c>
    </row>
    <row r="585" spans="4:7">
      <c r="D585" s="200" t="s">
        <v>1821</v>
      </c>
      <c r="E585" s="10">
        <v>24392</v>
      </c>
      <c r="F585" s="201">
        <v>-8.6</v>
      </c>
      <c r="G585" s="201">
        <v>8.9</v>
      </c>
    </row>
    <row r="586" spans="4:7">
      <c r="D586" s="200" t="s">
        <v>1822</v>
      </c>
      <c r="E586" s="10">
        <v>24401</v>
      </c>
      <c r="F586" s="201">
        <v>-8.6</v>
      </c>
      <c r="G586" s="201">
        <v>8.9</v>
      </c>
    </row>
    <row r="587" spans="4:7">
      <c r="D587" s="200" t="s">
        <v>1823</v>
      </c>
      <c r="E587" s="10">
        <v>24405</v>
      </c>
      <c r="F587" s="201">
        <v>-8.6</v>
      </c>
      <c r="G587" s="201">
        <v>8.9</v>
      </c>
    </row>
    <row r="588" spans="4:7">
      <c r="D588" s="200" t="s">
        <v>1824</v>
      </c>
      <c r="E588" s="10">
        <v>24768</v>
      </c>
      <c r="F588" s="201">
        <v>-8.6</v>
      </c>
      <c r="G588" s="201">
        <v>9.3000000000000007</v>
      </c>
    </row>
    <row r="589" spans="4:7">
      <c r="D589" s="200" t="s">
        <v>1825</v>
      </c>
      <c r="E589" s="10">
        <v>24796</v>
      </c>
      <c r="F589" s="201">
        <v>-8.6</v>
      </c>
      <c r="G589" s="201">
        <v>9</v>
      </c>
    </row>
    <row r="590" spans="4:7">
      <c r="D590" s="200" t="s">
        <v>1826</v>
      </c>
      <c r="E590" s="10">
        <v>24873</v>
      </c>
      <c r="F590" s="201">
        <v>-8.6</v>
      </c>
      <c r="G590" s="201">
        <v>8.9</v>
      </c>
    </row>
    <row r="591" spans="4:7">
      <c r="D591" s="200" t="s">
        <v>1827</v>
      </c>
      <c r="E591" s="10">
        <v>24988</v>
      </c>
      <c r="F591" s="201">
        <v>-8.6</v>
      </c>
      <c r="G591" s="201">
        <v>8.9</v>
      </c>
    </row>
    <row r="592" spans="4:7">
      <c r="D592" s="200" t="s">
        <v>1828</v>
      </c>
      <c r="E592" s="10">
        <v>24991</v>
      </c>
      <c r="F592" s="201">
        <v>-8.6</v>
      </c>
      <c r="G592" s="201">
        <v>8.9</v>
      </c>
    </row>
    <row r="593" spans="4:7">
      <c r="D593" s="200" t="s">
        <v>1829</v>
      </c>
      <c r="E593" s="10">
        <v>25761</v>
      </c>
      <c r="F593" s="201">
        <v>-8.6</v>
      </c>
      <c r="G593" s="201">
        <v>9.4</v>
      </c>
    </row>
    <row r="594" spans="4:7">
      <c r="D594" s="200" t="s">
        <v>1830</v>
      </c>
      <c r="E594" s="10">
        <v>25779</v>
      </c>
      <c r="F594" s="201">
        <v>-8.6</v>
      </c>
      <c r="G594" s="201">
        <v>9</v>
      </c>
    </row>
    <row r="595" spans="4:7">
      <c r="D595" s="200" t="s">
        <v>1831</v>
      </c>
      <c r="E595" s="10">
        <v>25889</v>
      </c>
      <c r="F595" s="201">
        <v>-8.6</v>
      </c>
      <c r="G595" s="201">
        <v>9.1999999999999993</v>
      </c>
    </row>
    <row r="596" spans="4:7">
      <c r="D596" s="200" t="s">
        <v>1832</v>
      </c>
      <c r="E596" s="10">
        <v>25899</v>
      </c>
      <c r="F596" s="201">
        <v>-8.6</v>
      </c>
      <c r="G596" s="201">
        <v>9</v>
      </c>
    </row>
    <row r="597" spans="4:7">
      <c r="D597" s="200" t="s">
        <v>1833</v>
      </c>
      <c r="E597" s="10">
        <v>26409</v>
      </c>
      <c r="F597" s="201">
        <v>-8.6</v>
      </c>
      <c r="G597" s="201">
        <v>9.6999999999999993</v>
      </c>
    </row>
    <row r="598" spans="4:7">
      <c r="D598" s="200" t="s">
        <v>1834</v>
      </c>
      <c r="E598" s="10">
        <v>26419</v>
      </c>
      <c r="F598" s="201">
        <v>-8.6</v>
      </c>
      <c r="G598" s="201">
        <v>9.6</v>
      </c>
    </row>
    <row r="599" spans="4:7">
      <c r="D599" s="200" t="s">
        <v>1835</v>
      </c>
      <c r="E599" s="10">
        <v>26529</v>
      </c>
      <c r="F599" s="201">
        <v>-8.6</v>
      </c>
      <c r="G599" s="201">
        <v>9.6999999999999993</v>
      </c>
    </row>
    <row r="600" spans="4:7">
      <c r="D600" s="200" t="s">
        <v>1836</v>
      </c>
      <c r="E600" s="10">
        <v>26937</v>
      </c>
      <c r="F600" s="201">
        <v>-8.6</v>
      </c>
      <c r="G600" s="201">
        <v>9.6999999999999993</v>
      </c>
    </row>
    <row r="601" spans="4:7">
      <c r="D601" s="200" t="s">
        <v>1648</v>
      </c>
      <c r="E601" s="10">
        <v>27572</v>
      </c>
      <c r="F601" s="201">
        <v>-8.6</v>
      </c>
      <c r="G601" s="201">
        <v>9.8000000000000007</v>
      </c>
    </row>
    <row r="602" spans="4:7">
      <c r="D602" s="200" t="s">
        <v>1648</v>
      </c>
      <c r="E602" s="10">
        <v>27578</v>
      </c>
      <c r="F602" s="201">
        <v>-8.6</v>
      </c>
      <c r="G602" s="201">
        <v>9.8000000000000007</v>
      </c>
    </row>
    <row r="603" spans="4:7">
      <c r="D603" s="200" t="s">
        <v>1837</v>
      </c>
      <c r="E603" s="10">
        <v>28195</v>
      </c>
      <c r="F603" s="201">
        <v>-8.6</v>
      </c>
      <c r="G603" s="201">
        <v>10.1</v>
      </c>
    </row>
    <row r="604" spans="4:7">
      <c r="D604" s="200" t="s">
        <v>1838</v>
      </c>
      <c r="E604" s="10">
        <v>41379</v>
      </c>
      <c r="F604" s="201">
        <v>-8.6</v>
      </c>
      <c r="G604" s="201">
        <v>10.6</v>
      </c>
    </row>
    <row r="605" spans="4:7">
      <c r="D605" s="200" t="s">
        <v>1839</v>
      </c>
      <c r="E605" s="10">
        <v>41812</v>
      </c>
      <c r="F605" s="201">
        <v>-8.6</v>
      </c>
      <c r="G605" s="201">
        <v>10.8</v>
      </c>
    </row>
    <row r="606" spans="4:7">
      <c r="D606" s="200" t="s">
        <v>1840</v>
      </c>
      <c r="E606" s="10">
        <v>41836</v>
      </c>
      <c r="F606" s="201">
        <v>-8.6</v>
      </c>
      <c r="G606" s="201">
        <v>10.9</v>
      </c>
    </row>
    <row r="607" spans="4:7">
      <c r="D607" s="200" t="s">
        <v>1650</v>
      </c>
      <c r="E607" s="10">
        <v>42119</v>
      </c>
      <c r="F607" s="201">
        <v>-8.6</v>
      </c>
      <c r="G607" s="201">
        <v>10.1</v>
      </c>
    </row>
    <row r="608" spans="4:7">
      <c r="D608" s="200" t="s">
        <v>1670</v>
      </c>
      <c r="E608" s="10">
        <v>42653</v>
      </c>
      <c r="F608" s="201">
        <v>-8.6</v>
      </c>
      <c r="G608" s="201">
        <v>10.1</v>
      </c>
    </row>
    <row r="609" spans="4:7">
      <c r="D609" s="200" t="s">
        <v>1841</v>
      </c>
      <c r="E609" s="10">
        <v>42781</v>
      </c>
      <c r="F609" s="201">
        <v>-8.6</v>
      </c>
      <c r="G609" s="201">
        <v>10.3</v>
      </c>
    </row>
    <row r="610" spans="4:7">
      <c r="D610" s="200" t="s">
        <v>1629</v>
      </c>
      <c r="E610" s="10">
        <v>44269</v>
      </c>
      <c r="F610" s="201">
        <v>-8.6</v>
      </c>
      <c r="G610" s="201">
        <v>10.6</v>
      </c>
    </row>
    <row r="611" spans="4:7">
      <c r="D611" s="200" t="s">
        <v>1629</v>
      </c>
      <c r="E611" s="10">
        <v>44328</v>
      </c>
      <c r="F611" s="201">
        <v>-8.6</v>
      </c>
      <c r="G611" s="201">
        <v>10.6</v>
      </c>
    </row>
    <row r="612" spans="4:7">
      <c r="D612" s="200" t="s">
        <v>1629</v>
      </c>
      <c r="E612" s="10">
        <v>44357</v>
      </c>
      <c r="F612" s="201">
        <v>-8.6</v>
      </c>
      <c r="G612" s="201">
        <v>10.4</v>
      </c>
    </row>
    <row r="613" spans="4:7">
      <c r="D613" s="200" t="s">
        <v>1629</v>
      </c>
      <c r="E613" s="10">
        <v>44359</v>
      </c>
      <c r="F613" s="201">
        <v>-8.6</v>
      </c>
      <c r="G613" s="201">
        <v>10.4</v>
      </c>
    </row>
    <row r="614" spans="4:7">
      <c r="D614" s="200" t="s">
        <v>1751</v>
      </c>
      <c r="E614" s="10">
        <v>44577</v>
      </c>
      <c r="F614" s="201">
        <v>-8.6</v>
      </c>
      <c r="G614" s="201">
        <v>10.4</v>
      </c>
    </row>
    <row r="615" spans="4:7">
      <c r="D615" s="200" t="s">
        <v>1693</v>
      </c>
      <c r="E615" s="10">
        <v>45527</v>
      </c>
      <c r="F615" s="201">
        <v>-8.6</v>
      </c>
      <c r="G615" s="201">
        <v>10.3</v>
      </c>
    </row>
    <row r="616" spans="4:7">
      <c r="D616" s="200" t="s">
        <v>1842</v>
      </c>
      <c r="E616" s="10">
        <v>45731</v>
      </c>
      <c r="F616" s="201">
        <v>-8.6</v>
      </c>
      <c r="G616" s="201">
        <v>10.5</v>
      </c>
    </row>
    <row r="617" spans="4:7">
      <c r="D617" s="200" t="s">
        <v>1843</v>
      </c>
      <c r="E617" s="10">
        <v>46348</v>
      </c>
      <c r="F617" s="201">
        <v>-8.6</v>
      </c>
      <c r="G617" s="201">
        <v>10.3</v>
      </c>
    </row>
    <row r="618" spans="4:7">
      <c r="D618" s="200" t="s">
        <v>1844</v>
      </c>
      <c r="E618" s="10">
        <v>46359</v>
      </c>
      <c r="F618" s="201">
        <v>-8.6</v>
      </c>
      <c r="G618" s="201">
        <v>10.1</v>
      </c>
    </row>
    <row r="619" spans="4:7">
      <c r="D619" s="200" t="s">
        <v>1752</v>
      </c>
      <c r="E619" s="10">
        <v>46397</v>
      </c>
      <c r="F619" s="201">
        <v>-8.6</v>
      </c>
      <c r="G619" s="201">
        <v>10.199999999999999</v>
      </c>
    </row>
    <row r="620" spans="4:7">
      <c r="D620" s="200" t="s">
        <v>1664</v>
      </c>
      <c r="E620" s="10">
        <v>48151</v>
      </c>
      <c r="F620" s="201">
        <v>-8.6</v>
      </c>
      <c r="G620" s="201">
        <v>10.8</v>
      </c>
    </row>
    <row r="621" spans="4:7">
      <c r="D621" s="200" t="s">
        <v>1782</v>
      </c>
      <c r="E621" s="10">
        <v>50126</v>
      </c>
      <c r="F621" s="201">
        <v>-8.6</v>
      </c>
      <c r="G621" s="201">
        <v>10.9</v>
      </c>
    </row>
    <row r="622" spans="4:7">
      <c r="D622" s="200" t="s">
        <v>1782</v>
      </c>
      <c r="E622" s="10">
        <v>50129</v>
      </c>
      <c r="F622" s="201">
        <v>-8.6</v>
      </c>
      <c r="G622" s="201">
        <v>10.7</v>
      </c>
    </row>
    <row r="623" spans="4:7">
      <c r="D623" s="200" t="s">
        <v>1807</v>
      </c>
      <c r="E623" s="10">
        <v>50169</v>
      </c>
      <c r="F623" s="201">
        <v>-8.6</v>
      </c>
      <c r="G623" s="201">
        <v>10.8</v>
      </c>
    </row>
    <row r="624" spans="4:7">
      <c r="D624" s="200" t="s">
        <v>1807</v>
      </c>
      <c r="E624" s="10">
        <v>50170</v>
      </c>
      <c r="F624" s="201">
        <v>-8.6</v>
      </c>
      <c r="G624" s="201">
        <v>10.7</v>
      </c>
    </row>
    <row r="625" spans="4:7">
      <c r="D625" s="200" t="s">
        <v>1845</v>
      </c>
      <c r="E625" s="10">
        <v>50181</v>
      </c>
      <c r="F625" s="201">
        <v>-8.6</v>
      </c>
      <c r="G625" s="201">
        <v>10.7</v>
      </c>
    </row>
    <row r="626" spans="4:7">
      <c r="D626" s="200" t="s">
        <v>1846</v>
      </c>
      <c r="E626" s="10">
        <v>50374</v>
      </c>
      <c r="F626" s="201">
        <v>-8.6</v>
      </c>
      <c r="G626" s="201">
        <v>10.8</v>
      </c>
    </row>
    <row r="627" spans="4:7">
      <c r="D627" s="200" t="s">
        <v>1605</v>
      </c>
      <c r="E627" s="10">
        <v>50997</v>
      </c>
      <c r="F627" s="201">
        <v>-8.6</v>
      </c>
      <c r="G627" s="201">
        <v>10.8</v>
      </c>
    </row>
    <row r="628" spans="4:7">
      <c r="D628" s="200" t="s">
        <v>1733</v>
      </c>
      <c r="E628" s="10">
        <v>51467</v>
      </c>
      <c r="F628" s="201">
        <v>-8.6</v>
      </c>
      <c r="G628" s="201">
        <v>10.5</v>
      </c>
    </row>
    <row r="629" spans="4:7">
      <c r="D629" s="200" t="s">
        <v>1612</v>
      </c>
      <c r="E629" s="10">
        <v>52072</v>
      </c>
      <c r="F629" s="201">
        <v>-8.6</v>
      </c>
      <c r="G629" s="201">
        <v>10.5</v>
      </c>
    </row>
    <row r="630" spans="4:7">
      <c r="D630" s="200" t="s">
        <v>1674</v>
      </c>
      <c r="E630" s="10">
        <v>52353</v>
      </c>
      <c r="F630" s="201">
        <v>-8.6</v>
      </c>
      <c r="G630" s="201">
        <v>10.7</v>
      </c>
    </row>
    <row r="631" spans="4:7">
      <c r="D631" s="200" t="s">
        <v>1847</v>
      </c>
      <c r="E631" s="10">
        <v>52441</v>
      </c>
      <c r="F631" s="201">
        <v>-8.6</v>
      </c>
      <c r="G631" s="201">
        <v>10.9</v>
      </c>
    </row>
    <row r="632" spans="4:7">
      <c r="D632" s="200" t="s">
        <v>1848</v>
      </c>
      <c r="E632" s="10">
        <v>52445</v>
      </c>
      <c r="F632" s="201">
        <v>-8.6</v>
      </c>
      <c r="G632" s="201">
        <v>10.7</v>
      </c>
    </row>
    <row r="633" spans="4:7">
      <c r="D633" s="200" t="s">
        <v>1849</v>
      </c>
      <c r="E633" s="10">
        <v>52525</v>
      </c>
      <c r="F633" s="201">
        <v>-8.6</v>
      </c>
      <c r="G633" s="201">
        <v>10.9</v>
      </c>
    </row>
    <row r="634" spans="4:7">
      <c r="D634" s="200" t="s">
        <v>1623</v>
      </c>
      <c r="E634" s="10">
        <v>53229</v>
      </c>
      <c r="F634" s="201">
        <v>-8.6</v>
      </c>
      <c r="G634" s="201">
        <v>10.7</v>
      </c>
    </row>
    <row r="635" spans="4:7">
      <c r="D635" s="200" t="s">
        <v>1850</v>
      </c>
      <c r="E635" s="10">
        <v>53919</v>
      </c>
      <c r="F635" s="201">
        <v>-8.6</v>
      </c>
      <c r="G635" s="201">
        <v>10.6</v>
      </c>
    </row>
    <row r="636" spans="4:7">
      <c r="D636" s="200" t="s">
        <v>1851</v>
      </c>
      <c r="E636" s="10">
        <v>55116</v>
      </c>
      <c r="F636" s="201">
        <v>-8.6</v>
      </c>
      <c r="G636" s="201">
        <v>11.7</v>
      </c>
    </row>
    <row r="637" spans="4:7">
      <c r="D637" s="200" t="s">
        <v>1707</v>
      </c>
      <c r="E637" s="10">
        <v>20355</v>
      </c>
      <c r="F637" s="201">
        <v>-8.6999999999999993</v>
      </c>
      <c r="G637" s="201">
        <v>10.199999999999999</v>
      </c>
    </row>
    <row r="638" spans="4:7">
      <c r="D638" s="200" t="s">
        <v>1852</v>
      </c>
      <c r="E638" s="10">
        <v>23669</v>
      </c>
      <c r="F638" s="201">
        <v>-8.6999999999999993</v>
      </c>
      <c r="G638" s="201">
        <v>9.1999999999999993</v>
      </c>
    </row>
    <row r="639" spans="4:7">
      <c r="D639" s="200" t="s">
        <v>1636</v>
      </c>
      <c r="E639" s="10">
        <v>24146</v>
      </c>
      <c r="F639" s="201">
        <v>-8.6999999999999993</v>
      </c>
      <c r="G639" s="201">
        <v>9</v>
      </c>
    </row>
    <row r="640" spans="4:7">
      <c r="D640" s="200" t="s">
        <v>1853</v>
      </c>
      <c r="E640" s="10">
        <v>24814</v>
      </c>
      <c r="F640" s="201">
        <v>-8.6999999999999993</v>
      </c>
      <c r="G640" s="201">
        <v>9</v>
      </c>
    </row>
    <row r="641" spans="4:7">
      <c r="D641" s="200" t="s">
        <v>1854</v>
      </c>
      <c r="E641" s="10">
        <v>24837</v>
      </c>
      <c r="F641" s="201">
        <v>-8.6999999999999993</v>
      </c>
      <c r="G641" s="201">
        <v>9.1</v>
      </c>
    </row>
    <row r="642" spans="4:7">
      <c r="D642" s="200" t="s">
        <v>1855</v>
      </c>
      <c r="E642" s="10">
        <v>24860</v>
      </c>
      <c r="F642" s="201">
        <v>-8.6999999999999993</v>
      </c>
      <c r="G642" s="201">
        <v>8.8000000000000007</v>
      </c>
    </row>
    <row r="643" spans="4:7">
      <c r="D643" s="200" t="s">
        <v>1856</v>
      </c>
      <c r="E643" s="10">
        <v>24879</v>
      </c>
      <c r="F643" s="201">
        <v>-8.6999999999999993</v>
      </c>
      <c r="G643" s="201">
        <v>8.8000000000000007</v>
      </c>
    </row>
    <row r="644" spans="4:7">
      <c r="D644" s="200" t="s">
        <v>1857</v>
      </c>
      <c r="E644" s="10">
        <v>24885</v>
      </c>
      <c r="F644" s="201">
        <v>-8.6999999999999993</v>
      </c>
      <c r="G644" s="201">
        <v>8.9</v>
      </c>
    </row>
    <row r="645" spans="4:7">
      <c r="D645" s="200" t="s">
        <v>1858</v>
      </c>
      <c r="E645" s="10">
        <v>24888</v>
      </c>
      <c r="F645" s="201">
        <v>-8.6999999999999993</v>
      </c>
      <c r="G645" s="201">
        <v>8.9</v>
      </c>
    </row>
    <row r="646" spans="4:7">
      <c r="D646" s="200" t="s">
        <v>1859</v>
      </c>
      <c r="E646" s="10">
        <v>24891</v>
      </c>
      <c r="F646" s="201">
        <v>-8.6999999999999993</v>
      </c>
      <c r="G646" s="201">
        <v>8.9</v>
      </c>
    </row>
    <row r="647" spans="4:7">
      <c r="D647" s="200" t="s">
        <v>1860</v>
      </c>
      <c r="E647" s="10">
        <v>24963</v>
      </c>
      <c r="F647" s="201">
        <v>-8.6999999999999993</v>
      </c>
      <c r="G647" s="201">
        <v>8.9</v>
      </c>
    </row>
    <row r="648" spans="4:7">
      <c r="D648" s="200" t="s">
        <v>1861</v>
      </c>
      <c r="E648" s="10">
        <v>24986</v>
      </c>
      <c r="F648" s="201">
        <v>-8.6999999999999993</v>
      </c>
      <c r="G648" s="201">
        <v>8.8000000000000007</v>
      </c>
    </row>
    <row r="649" spans="4:7">
      <c r="D649" s="200" t="s">
        <v>1862</v>
      </c>
      <c r="E649" s="10">
        <v>25791</v>
      </c>
      <c r="F649" s="201">
        <v>-8.6999999999999993</v>
      </c>
      <c r="G649" s="201">
        <v>9.1</v>
      </c>
    </row>
    <row r="650" spans="4:7">
      <c r="D650" s="200" t="s">
        <v>1863</v>
      </c>
      <c r="E650" s="10">
        <v>26340</v>
      </c>
      <c r="F650" s="201">
        <v>-8.6999999999999993</v>
      </c>
      <c r="G650" s="201">
        <v>9.5</v>
      </c>
    </row>
    <row r="651" spans="4:7">
      <c r="D651" s="200" t="s">
        <v>1864</v>
      </c>
      <c r="E651" s="10">
        <v>26446</v>
      </c>
      <c r="F651" s="201">
        <v>-8.6999999999999993</v>
      </c>
      <c r="G651" s="201">
        <v>9.5</v>
      </c>
    </row>
    <row r="652" spans="4:7">
      <c r="D652" s="200" t="s">
        <v>1779</v>
      </c>
      <c r="E652" s="10">
        <v>26605</v>
      </c>
      <c r="F652" s="201">
        <v>-8.6999999999999993</v>
      </c>
      <c r="G652" s="201">
        <v>9.6</v>
      </c>
    </row>
    <row r="653" spans="4:7">
      <c r="D653" s="200" t="s">
        <v>1779</v>
      </c>
      <c r="E653" s="10">
        <v>26607</v>
      </c>
      <c r="F653" s="201">
        <v>-8.6999999999999993</v>
      </c>
      <c r="G653" s="201">
        <v>9.6</v>
      </c>
    </row>
    <row r="654" spans="4:7">
      <c r="D654" s="200" t="s">
        <v>1865</v>
      </c>
      <c r="E654" s="10">
        <v>26789</v>
      </c>
      <c r="F654" s="201">
        <v>-8.6999999999999993</v>
      </c>
      <c r="G654" s="201">
        <v>9.9</v>
      </c>
    </row>
    <row r="655" spans="4:7">
      <c r="D655" s="200" t="s">
        <v>1866</v>
      </c>
      <c r="E655" s="10">
        <v>41372</v>
      </c>
      <c r="F655" s="201">
        <v>-8.6999999999999993</v>
      </c>
      <c r="G655" s="201">
        <v>10.7</v>
      </c>
    </row>
    <row r="656" spans="4:7">
      <c r="D656" s="200" t="s">
        <v>1867</v>
      </c>
      <c r="E656" s="10">
        <v>41844</v>
      </c>
      <c r="F656" s="201">
        <v>-8.6999999999999993</v>
      </c>
      <c r="G656" s="201">
        <v>10.7</v>
      </c>
    </row>
    <row r="657" spans="4:7">
      <c r="D657" s="200" t="s">
        <v>1868</v>
      </c>
      <c r="E657" s="10">
        <v>41849</v>
      </c>
      <c r="F657" s="201">
        <v>-8.6999999999999993</v>
      </c>
      <c r="G657" s="201">
        <v>10.8</v>
      </c>
    </row>
    <row r="658" spans="4:7">
      <c r="D658" s="200" t="s">
        <v>1650</v>
      </c>
      <c r="E658" s="10">
        <v>42111</v>
      </c>
      <c r="F658" s="201">
        <v>-8.6999999999999993</v>
      </c>
      <c r="G658" s="201">
        <v>9.9</v>
      </c>
    </row>
    <row r="659" spans="4:7">
      <c r="D659" s="200" t="s">
        <v>1650</v>
      </c>
      <c r="E659" s="10">
        <v>42369</v>
      </c>
      <c r="F659" s="201">
        <v>-8.6999999999999993</v>
      </c>
      <c r="G659" s="201">
        <v>9.9</v>
      </c>
    </row>
    <row r="660" spans="4:7">
      <c r="D660" s="200" t="s">
        <v>1869</v>
      </c>
      <c r="E660" s="10">
        <v>42489</v>
      </c>
      <c r="F660" s="201">
        <v>-8.6999999999999993</v>
      </c>
      <c r="G660" s="201">
        <v>10.199999999999999</v>
      </c>
    </row>
    <row r="661" spans="4:7">
      <c r="D661" s="200" t="s">
        <v>1749</v>
      </c>
      <c r="E661" s="10">
        <v>42551</v>
      </c>
      <c r="F661" s="201">
        <v>-8.6999999999999993</v>
      </c>
      <c r="G661" s="201">
        <v>10.1</v>
      </c>
    </row>
    <row r="662" spans="4:7">
      <c r="D662" s="200" t="s">
        <v>1629</v>
      </c>
      <c r="E662" s="10">
        <v>44227</v>
      </c>
      <c r="F662" s="201">
        <v>-8.6999999999999993</v>
      </c>
      <c r="G662" s="201">
        <v>10.4</v>
      </c>
    </row>
    <row r="663" spans="4:7">
      <c r="D663" s="200" t="s">
        <v>1629</v>
      </c>
      <c r="E663" s="10">
        <v>44229</v>
      </c>
      <c r="F663" s="201">
        <v>-8.6999999999999993</v>
      </c>
      <c r="G663" s="201">
        <v>10.4</v>
      </c>
    </row>
    <row r="664" spans="4:7">
      <c r="D664" s="200" t="s">
        <v>1629</v>
      </c>
      <c r="E664" s="10">
        <v>44287</v>
      </c>
      <c r="F664" s="201">
        <v>-8.6999999999999993</v>
      </c>
      <c r="G664" s="201">
        <v>10.5</v>
      </c>
    </row>
    <row r="665" spans="4:7">
      <c r="D665" s="200" t="s">
        <v>1629</v>
      </c>
      <c r="E665" s="10">
        <v>44339</v>
      </c>
      <c r="F665" s="201">
        <v>-8.6999999999999993</v>
      </c>
      <c r="G665" s="201">
        <v>10.4</v>
      </c>
    </row>
    <row r="666" spans="4:7">
      <c r="D666" s="200" t="s">
        <v>1693</v>
      </c>
      <c r="E666" s="10">
        <v>45529</v>
      </c>
      <c r="F666" s="201">
        <v>-8.6999999999999993</v>
      </c>
      <c r="G666" s="201">
        <v>10</v>
      </c>
    </row>
    <row r="667" spans="4:7">
      <c r="D667" s="200" t="s">
        <v>1870</v>
      </c>
      <c r="E667" s="10">
        <v>45739</v>
      </c>
      <c r="F667" s="201">
        <v>-8.6999999999999993</v>
      </c>
      <c r="G667" s="201">
        <v>10.3</v>
      </c>
    </row>
    <row r="668" spans="4:7">
      <c r="D668" s="200" t="s">
        <v>1871</v>
      </c>
      <c r="E668" s="10">
        <v>46354</v>
      </c>
      <c r="F668" s="201">
        <v>-8.6999999999999993</v>
      </c>
      <c r="G668" s="201">
        <v>10.199999999999999</v>
      </c>
    </row>
    <row r="669" spans="4:7">
      <c r="D669" s="200" t="s">
        <v>1664</v>
      </c>
      <c r="E669" s="10">
        <v>48145</v>
      </c>
      <c r="F669" s="201">
        <v>-8.6999999999999993</v>
      </c>
      <c r="G669" s="201">
        <v>10.7</v>
      </c>
    </row>
    <row r="670" spans="4:7">
      <c r="D670" s="200" t="s">
        <v>1872</v>
      </c>
      <c r="E670" s="10">
        <v>48734</v>
      </c>
      <c r="F670" s="201">
        <v>-8.6999999999999993</v>
      </c>
      <c r="G670" s="201">
        <v>10.1</v>
      </c>
    </row>
    <row r="671" spans="4:7">
      <c r="D671" s="200" t="s">
        <v>1873</v>
      </c>
      <c r="E671" s="10">
        <v>49809</v>
      </c>
      <c r="F671" s="201">
        <v>-8.6999999999999993</v>
      </c>
      <c r="G671" s="201">
        <v>10.199999999999999</v>
      </c>
    </row>
    <row r="672" spans="4:7">
      <c r="D672" s="200" t="s">
        <v>1874</v>
      </c>
      <c r="E672" s="10">
        <v>50226</v>
      </c>
      <c r="F672" s="201">
        <v>-8.6999999999999993</v>
      </c>
      <c r="G672" s="201">
        <v>10.8</v>
      </c>
    </row>
    <row r="673" spans="4:7">
      <c r="D673" s="200" t="s">
        <v>1605</v>
      </c>
      <c r="E673" s="10">
        <v>51107</v>
      </c>
      <c r="F673" s="201">
        <v>-8.6999999999999993</v>
      </c>
      <c r="G673" s="201">
        <v>10.8</v>
      </c>
    </row>
    <row r="674" spans="4:7">
      <c r="D674" s="200" t="s">
        <v>1605</v>
      </c>
      <c r="E674" s="10">
        <v>51143</v>
      </c>
      <c r="F674" s="201">
        <v>-8.6999999999999993</v>
      </c>
      <c r="G674" s="201">
        <v>10.8</v>
      </c>
    </row>
    <row r="675" spans="4:7">
      <c r="D675" s="200" t="s">
        <v>1612</v>
      </c>
      <c r="E675" s="10">
        <v>52080</v>
      </c>
      <c r="F675" s="201">
        <v>-8.6999999999999993</v>
      </c>
      <c r="G675" s="201">
        <v>10.5</v>
      </c>
    </row>
    <row r="676" spans="4:7">
      <c r="D676" s="200" t="s">
        <v>1875</v>
      </c>
      <c r="E676" s="10">
        <v>52222</v>
      </c>
      <c r="F676" s="201">
        <v>-8.6999999999999993</v>
      </c>
      <c r="G676" s="201">
        <v>10.4</v>
      </c>
    </row>
    <row r="677" spans="4:7">
      <c r="D677" s="200" t="s">
        <v>1876</v>
      </c>
      <c r="E677" s="10">
        <v>52249</v>
      </c>
      <c r="F677" s="201">
        <v>-8.6999999999999993</v>
      </c>
      <c r="G677" s="201">
        <v>10.5</v>
      </c>
    </row>
    <row r="678" spans="4:7">
      <c r="D678" s="200" t="s">
        <v>1674</v>
      </c>
      <c r="E678" s="10">
        <v>52355</v>
      </c>
      <c r="F678" s="201">
        <v>-8.6999999999999993</v>
      </c>
      <c r="G678" s="201">
        <v>10.6</v>
      </c>
    </row>
    <row r="679" spans="4:7">
      <c r="D679" s="200" t="s">
        <v>1877</v>
      </c>
      <c r="E679" s="10">
        <v>52388</v>
      </c>
      <c r="F679" s="201">
        <v>-8.6999999999999993</v>
      </c>
      <c r="G679" s="201">
        <v>10.7</v>
      </c>
    </row>
    <row r="680" spans="4:7">
      <c r="D680" s="200" t="s">
        <v>1878</v>
      </c>
      <c r="E680" s="10">
        <v>52399</v>
      </c>
      <c r="F680" s="201">
        <v>-8.6999999999999993</v>
      </c>
      <c r="G680" s="201">
        <v>10.7</v>
      </c>
    </row>
    <row r="681" spans="4:7">
      <c r="D681" s="200" t="s">
        <v>1879</v>
      </c>
      <c r="E681" s="10">
        <v>52457</v>
      </c>
      <c r="F681" s="201">
        <v>-8.6999999999999993</v>
      </c>
      <c r="G681" s="201">
        <v>10.7</v>
      </c>
    </row>
    <row r="682" spans="4:7">
      <c r="D682" s="200" t="s">
        <v>1880</v>
      </c>
      <c r="E682" s="10">
        <v>52499</v>
      </c>
      <c r="F682" s="201">
        <v>-8.6999999999999993</v>
      </c>
      <c r="G682" s="201">
        <v>10.7</v>
      </c>
    </row>
    <row r="683" spans="4:7">
      <c r="D683" s="200" t="s">
        <v>1623</v>
      </c>
      <c r="E683" s="10">
        <v>53127</v>
      </c>
      <c r="F683" s="201">
        <v>-8.6999999999999993</v>
      </c>
      <c r="G683" s="201">
        <v>10.5</v>
      </c>
    </row>
    <row r="684" spans="4:7">
      <c r="D684" s="200" t="s">
        <v>1769</v>
      </c>
      <c r="E684" s="10">
        <v>53881</v>
      </c>
      <c r="F684" s="201">
        <v>-8.6999999999999993</v>
      </c>
      <c r="G684" s="201">
        <v>10.4</v>
      </c>
    </row>
    <row r="685" spans="4:7">
      <c r="D685" s="200" t="s">
        <v>1881</v>
      </c>
      <c r="E685" s="10">
        <v>53909</v>
      </c>
      <c r="F685" s="201">
        <v>-8.6999999999999993</v>
      </c>
      <c r="G685" s="201">
        <v>10.5</v>
      </c>
    </row>
    <row r="686" spans="4:7">
      <c r="D686" s="200" t="s">
        <v>1735</v>
      </c>
      <c r="E686" s="10">
        <v>58099</v>
      </c>
      <c r="F686" s="201">
        <v>-8.6999999999999993</v>
      </c>
      <c r="G686" s="201">
        <v>10.4</v>
      </c>
    </row>
    <row r="687" spans="4:7">
      <c r="D687" s="200" t="s">
        <v>1882</v>
      </c>
      <c r="E687" s="10">
        <v>58300</v>
      </c>
      <c r="F687" s="201">
        <v>-8.6999999999999993</v>
      </c>
      <c r="G687" s="201">
        <v>10.3</v>
      </c>
    </row>
    <row r="688" spans="4:7">
      <c r="D688" s="200" t="s">
        <v>1883</v>
      </c>
      <c r="E688" s="10">
        <v>21730</v>
      </c>
      <c r="F688" s="201">
        <v>-8.8000000000000007</v>
      </c>
      <c r="G688" s="201">
        <v>9.5</v>
      </c>
    </row>
    <row r="689" spans="4:7">
      <c r="D689" s="200" t="s">
        <v>1884</v>
      </c>
      <c r="E689" s="10">
        <v>21785</v>
      </c>
      <c r="F689" s="201">
        <v>-8.8000000000000007</v>
      </c>
      <c r="G689" s="201">
        <v>9.5</v>
      </c>
    </row>
    <row r="690" spans="4:7">
      <c r="D690" s="200" t="s">
        <v>1707</v>
      </c>
      <c r="E690" s="10">
        <v>22041</v>
      </c>
      <c r="F690" s="201">
        <v>-8.8000000000000007</v>
      </c>
      <c r="G690" s="201">
        <v>10.199999999999999</v>
      </c>
    </row>
    <row r="691" spans="4:7">
      <c r="D691" s="200" t="s">
        <v>1885</v>
      </c>
      <c r="E691" s="10">
        <v>24223</v>
      </c>
      <c r="F691" s="201">
        <v>-8.8000000000000007</v>
      </c>
      <c r="G691" s="201">
        <v>8.9</v>
      </c>
    </row>
    <row r="692" spans="4:7">
      <c r="D692" s="200" t="s">
        <v>1886</v>
      </c>
      <c r="E692" s="10">
        <v>24239</v>
      </c>
      <c r="F692" s="201">
        <v>-8.8000000000000007</v>
      </c>
      <c r="G692" s="201">
        <v>9</v>
      </c>
    </row>
    <row r="693" spans="4:7">
      <c r="D693" s="200" t="s">
        <v>1887</v>
      </c>
      <c r="E693" s="10">
        <v>24242</v>
      </c>
      <c r="F693" s="201">
        <v>-8.8000000000000007</v>
      </c>
      <c r="G693" s="201">
        <v>9</v>
      </c>
    </row>
    <row r="694" spans="4:7">
      <c r="D694" s="200" t="s">
        <v>1888</v>
      </c>
      <c r="E694" s="10">
        <v>24247</v>
      </c>
      <c r="F694" s="201">
        <v>-8.8000000000000007</v>
      </c>
      <c r="G694" s="201">
        <v>9</v>
      </c>
    </row>
    <row r="695" spans="4:7">
      <c r="D695" s="200" t="s">
        <v>1889</v>
      </c>
      <c r="E695" s="10">
        <v>24358</v>
      </c>
      <c r="F695" s="201">
        <v>-8.8000000000000007</v>
      </c>
      <c r="G695" s="201">
        <v>8.8000000000000007</v>
      </c>
    </row>
    <row r="696" spans="4:7">
      <c r="D696" s="200" t="s">
        <v>1890</v>
      </c>
      <c r="E696" s="10">
        <v>24361</v>
      </c>
      <c r="F696" s="201">
        <v>-8.8000000000000007</v>
      </c>
      <c r="G696" s="201">
        <v>8.9</v>
      </c>
    </row>
    <row r="697" spans="4:7">
      <c r="D697" s="200" t="s">
        <v>1891</v>
      </c>
      <c r="E697" s="10">
        <v>24534</v>
      </c>
      <c r="F697" s="201">
        <v>-8.8000000000000007</v>
      </c>
      <c r="G697" s="201">
        <v>9.4</v>
      </c>
    </row>
    <row r="698" spans="4:7">
      <c r="D698" s="200" t="s">
        <v>1892</v>
      </c>
      <c r="E698" s="10">
        <v>24805</v>
      </c>
      <c r="F698" s="201">
        <v>-8.8000000000000007</v>
      </c>
      <c r="G698" s="201">
        <v>9</v>
      </c>
    </row>
    <row r="699" spans="4:7">
      <c r="D699" s="200" t="s">
        <v>1893</v>
      </c>
      <c r="E699" s="10">
        <v>24808</v>
      </c>
      <c r="F699" s="201">
        <v>-8.8000000000000007</v>
      </c>
      <c r="G699" s="201">
        <v>9</v>
      </c>
    </row>
    <row r="700" spans="4:7">
      <c r="D700" s="200" t="s">
        <v>1894</v>
      </c>
      <c r="E700" s="10">
        <v>24813</v>
      </c>
      <c r="F700" s="201">
        <v>-8.8000000000000007</v>
      </c>
      <c r="G700" s="201">
        <v>9.1</v>
      </c>
    </row>
    <row r="701" spans="4:7">
      <c r="D701" s="200" t="s">
        <v>1895</v>
      </c>
      <c r="E701" s="10">
        <v>24850</v>
      </c>
      <c r="F701" s="201">
        <v>-8.8000000000000007</v>
      </c>
      <c r="G701" s="201">
        <v>9</v>
      </c>
    </row>
    <row r="702" spans="4:7">
      <c r="D702" s="200" t="s">
        <v>1896</v>
      </c>
      <c r="E702" s="10">
        <v>24857</v>
      </c>
      <c r="F702" s="201">
        <v>-8.8000000000000007</v>
      </c>
      <c r="G702" s="201">
        <v>8.9</v>
      </c>
    </row>
    <row r="703" spans="4:7">
      <c r="D703" s="200" t="s">
        <v>1897</v>
      </c>
      <c r="E703" s="10">
        <v>24864</v>
      </c>
      <c r="F703" s="201">
        <v>-8.8000000000000007</v>
      </c>
      <c r="G703" s="201">
        <v>9</v>
      </c>
    </row>
    <row r="704" spans="4:7">
      <c r="D704" s="200" t="s">
        <v>1898</v>
      </c>
      <c r="E704" s="10">
        <v>24881</v>
      </c>
      <c r="F704" s="201">
        <v>-8.8000000000000007</v>
      </c>
      <c r="G704" s="201">
        <v>8.9</v>
      </c>
    </row>
    <row r="705" spans="4:7">
      <c r="D705" s="200" t="s">
        <v>1899</v>
      </c>
      <c r="E705" s="10">
        <v>24890</v>
      </c>
      <c r="F705" s="201">
        <v>-8.8000000000000007</v>
      </c>
      <c r="G705" s="201">
        <v>8.8000000000000007</v>
      </c>
    </row>
    <row r="706" spans="4:7">
      <c r="D706" s="200" t="s">
        <v>1900</v>
      </c>
      <c r="E706" s="10">
        <v>24893</v>
      </c>
      <c r="F706" s="201">
        <v>-8.8000000000000007</v>
      </c>
      <c r="G706" s="201">
        <v>9</v>
      </c>
    </row>
    <row r="707" spans="4:7">
      <c r="D707" s="200" t="s">
        <v>1901</v>
      </c>
      <c r="E707" s="10">
        <v>24894</v>
      </c>
      <c r="F707" s="201">
        <v>-8.8000000000000007</v>
      </c>
      <c r="G707" s="201">
        <v>8.9</v>
      </c>
    </row>
    <row r="708" spans="4:7">
      <c r="D708" s="200" t="s">
        <v>1902</v>
      </c>
      <c r="E708" s="10">
        <v>24897</v>
      </c>
      <c r="F708" s="201">
        <v>-8.8000000000000007</v>
      </c>
      <c r="G708" s="201">
        <v>9.1</v>
      </c>
    </row>
    <row r="709" spans="4:7">
      <c r="D709" s="200" t="s">
        <v>1903</v>
      </c>
      <c r="E709" s="10">
        <v>24997</v>
      </c>
      <c r="F709" s="201">
        <v>-8.8000000000000007</v>
      </c>
      <c r="G709" s="201">
        <v>8.9</v>
      </c>
    </row>
    <row r="710" spans="4:7">
      <c r="D710" s="200" t="s">
        <v>1904</v>
      </c>
      <c r="E710" s="10">
        <v>25715</v>
      </c>
      <c r="F710" s="201">
        <v>-8.8000000000000007</v>
      </c>
      <c r="G710" s="201">
        <v>9.4</v>
      </c>
    </row>
    <row r="711" spans="4:7">
      <c r="D711" s="200" t="s">
        <v>1905</v>
      </c>
      <c r="E711" s="10">
        <v>25746</v>
      </c>
      <c r="F711" s="201">
        <v>-8.8000000000000007</v>
      </c>
      <c r="G711" s="201">
        <v>9.1</v>
      </c>
    </row>
    <row r="712" spans="4:7">
      <c r="D712" s="200" t="s">
        <v>1906</v>
      </c>
      <c r="E712" s="10">
        <v>25764</v>
      </c>
      <c r="F712" s="201">
        <v>-8.8000000000000007</v>
      </c>
      <c r="G712" s="201">
        <v>9.3000000000000007</v>
      </c>
    </row>
    <row r="713" spans="4:7">
      <c r="D713" s="200" t="s">
        <v>1907</v>
      </c>
      <c r="E713" s="10">
        <v>25776</v>
      </c>
      <c r="F713" s="201">
        <v>-8.8000000000000007</v>
      </c>
      <c r="G713" s="201">
        <v>9.1</v>
      </c>
    </row>
    <row r="714" spans="4:7">
      <c r="D714" s="200" t="s">
        <v>1908</v>
      </c>
      <c r="E714" s="10">
        <v>25782</v>
      </c>
      <c r="F714" s="201">
        <v>-8.8000000000000007</v>
      </c>
      <c r="G714" s="201">
        <v>9</v>
      </c>
    </row>
    <row r="715" spans="4:7">
      <c r="D715" s="200" t="s">
        <v>1909</v>
      </c>
      <c r="E715" s="10">
        <v>25786</v>
      </c>
      <c r="F715" s="201">
        <v>-8.8000000000000007</v>
      </c>
      <c r="G715" s="201">
        <v>9.1</v>
      </c>
    </row>
    <row r="716" spans="4:7">
      <c r="D716" s="200" t="s">
        <v>1910</v>
      </c>
      <c r="E716" s="10">
        <v>25788</v>
      </c>
      <c r="F716" s="201">
        <v>-8.8000000000000007</v>
      </c>
      <c r="G716" s="201">
        <v>9.1</v>
      </c>
    </row>
    <row r="717" spans="4:7">
      <c r="D717" s="200" t="s">
        <v>1911</v>
      </c>
      <c r="E717" s="10">
        <v>25794</v>
      </c>
      <c r="F717" s="201">
        <v>-8.8000000000000007</v>
      </c>
      <c r="G717" s="201">
        <v>9.1</v>
      </c>
    </row>
    <row r="718" spans="4:7">
      <c r="D718" s="200" t="s">
        <v>1912</v>
      </c>
      <c r="E718" s="10">
        <v>25795</v>
      </c>
      <c r="F718" s="201">
        <v>-8.8000000000000007</v>
      </c>
      <c r="G718" s="201">
        <v>9.1</v>
      </c>
    </row>
    <row r="719" spans="4:7">
      <c r="D719" s="200" t="s">
        <v>1913</v>
      </c>
      <c r="E719" s="10">
        <v>25799</v>
      </c>
      <c r="F719" s="201">
        <v>-8.8000000000000007</v>
      </c>
      <c r="G719" s="201">
        <v>9</v>
      </c>
    </row>
    <row r="720" spans="4:7">
      <c r="D720" s="200" t="s">
        <v>1914</v>
      </c>
      <c r="E720" s="10">
        <v>25813</v>
      </c>
      <c r="F720" s="201">
        <v>-8.8000000000000007</v>
      </c>
      <c r="G720" s="201">
        <v>9.1</v>
      </c>
    </row>
    <row r="721" spans="4:7">
      <c r="D721" s="200" t="s">
        <v>1915</v>
      </c>
      <c r="E721" s="10">
        <v>25840</v>
      </c>
      <c r="F721" s="201">
        <v>-8.8000000000000007</v>
      </c>
      <c r="G721" s="201">
        <v>9.1</v>
      </c>
    </row>
    <row r="722" spans="4:7">
      <c r="D722" s="200" t="s">
        <v>1916</v>
      </c>
      <c r="E722" s="10">
        <v>25852</v>
      </c>
      <c r="F722" s="201">
        <v>-8.8000000000000007</v>
      </c>
      <c r="G722" s="201">
        <v>8.9</v>
      </c>
    </row>
    <row r="723" spans="4:7">
      <c r="D723" s="200" t="s">
        <v>1917</v>
      </c>
      <c r="E723" s="10">
        <v>25856</v>
      </c>
      <c r="F723" s="201">
        <v>-8.8000000000000007</v>
      </c>
      <c r="G723" s="201">
        <v>9.1</v>
      </c>
    </row>
    <row r="724" spans="4:7">
      <c r="D724" s="200" t="s">
        <v>1918</v>
      </c>
      <c r="E724" s="10">
        <v>25868</v>
      </c>
      <c r="F724" s="201">
        <v>-8.8000000000000007</v>
      </c>
      <c r="G724" s="201">
        <v>9.1</v>
      </c>
    </row>
    <row r="725" spans="4:7">
      <c r="D725" s="200" t="s">
        <v>1919</v>
      </c>
      <c r="E725" s="10">
        <v>25872</v>
      </c>
      <c r="F725" s="201">
        <v>-8.8000000000000007</v>
      </c>
      <c r="G725" s="201">
        <v>8.8000000000000007</v>
      </c>
    </row>
    <row r="726" spans="4:7">
      <c r="D726" s="200" t="s">
        <v>1920</v>
      </c>
      <c r="E726" s="10">
        <v>25878</v>
      </c>
      <c r="F726" s="201">
        <v>-8.8000000000000007</v>
      </c>
      <c r="G726" s="201">
        <v>9</v>
      </c>
    </row>
    <row r="727" spans="4:7">
      <c r="D727" s="200" t="s">
        <v>1921</v>
      </c>
      <c r="E727" s="10">
        <v>26121</v>
      </c>
      <c r="F727" s="201">
        <v>-8.8000000000000007</v>
      </c>
      <c r="G727" s="201">
        <v>10</v>
      </c>
    </row>
    <row r="728" spans="4:7">
      <c r="D728" s="200" t="s">
        <v>1922</v>
      </c>
      <c r="E728" s="10">
        <v>26122</v>
      </c>
      <c r="F728" s="201">
        <v>-8.8000000000000007</v>
      </c>
      <c r="G728" s="201">
        <v>10</v>
      </c>
    </row>
    <row r="729" spans="4:7">
      <c r="D729" s="200" t="s">
        <v>1921</v>
      </c>
      <c r="E729" s="10">
        <v>26123</v>
      </c>
      <c r="F729" s="201">
        <v>-8.8000000000000007</v>
      </c>
      <c r="G729" s="201">
        <v>9.9</v>
      </c>
    </row>
    <row r="730" spans="4:7">
      <c r="D730" s="200" t="s">
        <v>1921</v>
      </c>
      <c r="E730" s="10">
        <v>26127</v>
      </c>
      <c r="F730" s="201">
        <v>-8.8000000000000007</v>
      </c>
      <c r="G730" s="201">
        <v>9.8000000000000007</v>
      </c>
    </row>
    <row r="731" spans="4:7">
      <c r="D731" s="200" t="s">
        <v>1921</v>
      </c>
      <c r="E731" s="10">
        <v>26133</v>
      </c>
      <c r="F731" s="201">
        <v>-8.8000000000000007</v>
      </c>
      <c r="G731" s="201">
        <v>10</v>
      </c>
    </row>
    <row r="732" spans="4:7">
      <c r="D732" s="200" t="s">
        <v>1923</v>
      </c>
      <c r="E732" s="10">
        <v>26736</v>
      </c>
      <c r="F732" s="201">
        <v>-8.8000000000000007</v>
      </c>
      <c r="G732" s="201">
        <v>9.6999999999999993</v>
      </c>
    </row>
    <row r="733" spans="4:7">
      <c r="D733" s="200" t="s">
        <v>1924</v>
      </c>
      <c r="E733" s="10">
        <v>26954</v>
      </c>
      <c r="F733" s="201">
        <v>-8.8000000000000007</v>
      </c>
      <c r="G733" s="201">
        <v>9.8000000000000007</v>
      </c>
    </row>
    <row r="734" spans="4:7">
      <c r="D734" s="200" t="s">
        <v>1925</v>
      </c>
      <c r="E734" s="10">
        <v>26969</v>
      </c>
      <c r="F734" s="201">
        <v>-8.8000000000000007</v>
      </c>
      <c r="G734" s="201">
        <v>9.6999999999999993</v>
      </c>
    </row>
    <row r="735" spans="4:7">
      <c r="D735" s="200" t="s">
        <v>1637</v>
      </c>
      <c r="E735" s="10">
        <v>27478</v>
      </c>
      <c r="F735" s="201">
        <v>-8.8000000000000007</v>
      </c>
      <c r="G735" s="201">
        <v>9.6</v>
      </c>
    </row>
    <row r="736" spans="4:7">
      <c r="D736" s="200" t="s">
        <v>1837</v>
      </c>
      <c r="E736" s="10">
        <v>28199</v>
      </c>
      <c r="F736" s="201">
        <v>-8.8000000000000007</v>
      </c>
      <c r="G736" s="201">
        <v>10</v>
      </c>
    </row>
    <row r="737" spans="4:7">
      <c r="D737" s="200" t="s">
        <v>1837</v>
      </c>
      <c r="E737" s="10">
        <v>28203</v>
      </c>
      <c r="F737" s="201">
        <v>-8.8000000000000007</v>
      </c>
      <c r="G737" s="201">
        <v>10</v>
      </c>
    </row>
    <row r="738" spans="4:7">
      <c r="D738" s="200" t="s">
        <v>1837</v>
      </c>
      <c r="E738" s="10">
        <v>28205</v>
      </c>
      <c r="F738" s="201">
        <v>-8.8000000000000007</v>
      </c>
      <c r="G738" s="201">
        <v>10</v>
      </c>
    </row>
    <row r="739" spans="4:7">
      <c r="D739" s="200" t="s">
        <v>1837</v>
      </c>
      <c r="E739" s="10">
        <v>28207</v>
      </c>
      <c r="F739" s="201">
        <v>-8.8000000000000007</v>
      </c>
      <c r="G739" s="201">
        <v>10</v>
      </c>
    </row>
    <row r="740" spans="4:7">
      <c r="D740" s="200" t="s">
        <v>1837</v>
      </c>
      <c r="E740" s="10">
        <v>28209</v>
      </c>
      <c r="F740" s="201">
        <v>-8.8000000000000007</v>
      </c>
      <c r="G740" s="201">
        <v>10</v>
      </c>
    </row>
    <row r="741" spans="4:7">
      <c r="D741" s="200" t="s">
        <v>1837</v>
      </c>
      <c r="E741" s="10">
        <v>28211</v>
      </c>
      <c r="F741" s="201">
        <v>-8.8000000000000007</v>
      </c>
      <c r="G741" s="201">
        <v>10.1</v>
      </c>
    </row>
    <row r="742" spans="4:7">
      <c r="D742" s="200" t="s">
        <v>1837</v>
      </c>
      <c r="E742" s="10">
        <v>28309</v>
      </c>
      <c r="F742" s="201">
        <v>-8.8000000000000007</v>
      </c>
      <c r="G742" s="201">
        <v>10</v>
      </c>
    </row>
    <row r="743" spans="4:7">
      <c r="D743" s="200" t="s">
        <v>1837</v>
      </c>
      <c r="E743" s="10">
        <v>28325</v>
      </c>
      <c r="F743" s="201">
        <v>-8.8000000000000007</v>
      </c>
      <c r="G743" s="201">
        <v>10</v>
      </c>
    </row>
    <row r="744" spans="4:7">
      <c r="D744" s="200" t="s">
        <v>1837</v>
      </c>
      <c r="E744" s="10">
        <v>28327</v>
      </c>
      <c r="F744" s="201">
        <v>-8.8000000000000007</v>
      </c>
      <c r="G744" s="201">
        <v>10</v>
      </c>
    </row>
    <row r="745" spans="4:7">
      <c r="D745" s="200" t="s">
        <v>1837</v>
      </c>
      <c r="E745" s="10">
        <v>28329</v>
      </c>
      <c r="F745" s="201">
        <v>-8.8000000000000007</v>
      </c>
      <c r="G745" s="201">
        <v>10</v>
      </c>
    </row>
    <row r="746" spans="4:7">
      <c r="D746" s="200" t="s">
        <v>1926</v>
      </c>
      <c r="E746" s="10">
        <v>33602</v>
      </c>
      <c r="F746" s="201">
        <v>-8.8000000000000007</v>
      </c>
      <c r="G746" s="201">
        <v>10.9</v>
      </c>
    </row>
    <row r="747" spans="4:7">
      <c r="D747" s="200" t="s">
        <v>1927</v>
      </c>
      <c r="E747" s="10">
        <v>42799</v>
      </c>
      <c r="F747" s="201">
        <v>-8.8000000000000007</v>
      </c>
      <c r="G747" s="201">
        <v>10.3</v>
      </c>
    </row>
    <row r="748" spans="4:7">
      <c r="D748" s="200" t="s">
        <v>1928</v>
      </c>
      <c r="E748" s="10">
        <v>42853</v>
      </c>
      <c r="F748" s="201">
        <v>-8.8000000000000007</v>
      </c>
      <c r="G748" s="201">
        <v>9.8000000000000007</v>
      </c>
    </row>
    <row r="749" spans="4:7">
      <c r="D749" s="200" t="s">
        <v>1928</v>
      </c>
      <c r="E749" s="10">
        <v>42855</v>
      </c>
      <c r="F749" s="201">
        <v>-8.8000000000000007</v>
      </c>
      <c r="G749" s="201">
        <v>10.1</v>
      </c>
    </row>
    <row r="750" spans="4:7">
      <c r="D750" s="200" t="s">
        <v>1928</v>
      </c>
      <c r="E750" s="10">
        <v>42857</v>
      </c>
      <c r="F750" s="201">
        <v>-8.8000000000000007</v>
      </c>
      <c r="G750" s="201">
        <v>10.1</v>
      </c>
    </row>
    <row r="751" spans="4:7">
      <c r="D751" s="200" t="s">
        <v>1928</v>
      </c>
      <c r="E751" s="10">
        <v>42899</v>
      </c>
      <c r="F751" s="201">
        <v>-8.8000000000000007</v>
      </c>
      <c r="G751" s="201">
        <v>9.6999999999999993</v>
      </c>
    </row>
    <row r="752" spans="4:7">
      <c r="D752" s="200" t="s">
        <v>1629</v>
      </c>
      <c r="E752" s="10">
        <v>44309</v>
      </c>
      <c r="F752" s="201">
        <v>-8.8000000000000007</v>
      </c>
      <c r="G752" s="201">
        <v>10.6</v>
      </c>
    </row>
    <row r="753" spans="4:7">
      <c r="D753" s="200" t="s">
        <v>1929</v>
      </c>
      <c r="E753" s="10">
        <v>45549</v>
      </c>
      <c r="F753" s="201">
        <v>-8.8000000000000007</v>
      </c>
      <c r="G753" s="201">
        <v>9.9</v>
      </c>
    </row>
    <row r="754" spans="4:7">
      <c r="D754" s="200" t="s">
        <v>1930</v>
      </c>
      <c r="E754" s="10">
        <v>45711</v>
      </c>
      <c r="F754" s="201">
        <v>-8.8000000000000007</v>
      </c>
      <c r="G754" s="201">
        <v>10.4</v>
      </c>
    </row>
    <row r="755" spans="4:7">
      <c r="D755" s="200" t="s">
        <v>1931</v>
      </c>
      <c r="E755" s="10">
        <v>46342</v>
      </c>
      <c r="F755" s="201">
        <v>-8.8000000000000007</v>
      </c>
      <c r="G755" s="201">
        <v>10.1</v>
      </c>
    </row>
    <row r="756" spans="4:7">
      <c r="D756" s="200" t="s">
        <v>1664</v>
      </c>
      <c r="E756" s="10">
        <v>48149</v>
      </c>
      <c r="F756" s="201">
        <v>-8.8000000000000007</v>
      </c>
      <c r="G756" s="201">
        <v>10.7</v>
      </c>
    </row>
    <row r="757" spans="4:7">
      <c r="D757" s="200" t="s">
        <v>1664</v>
      </c>
      <c r="E757" s="10">
        <v>48153</v>
      </c>
      <c r="F757" s="201">
        <v>-8.8000000000000007</v>
      </c>
      <c r="G757" s="201">
        <v>10.6</v>
      </c>
    </row>
    <row r="758" spans="4:7">
      <c r="D758" s="200" t="s">
        <v>1664</v>
      </c>
      <c r="E758" s="10">
        <v>48155</v>
      </c>
      <c r="F758" s="201">
        <v>-8.8000000000000007</v>
      </c>
      <c r="G758" s="201">
        <v>10.6</v>
      </c>
    </row>
    <row r="759" spans="4:7">
      <c r="D759" s="200" t="s">
        <v>1932</v>
      </c>
      <c r="E759" s="10">
        <v>48282</v>
      </c>
      <c r="F759" s="201">
        <v>-8.8000000000000007</v>
      </c>
      <c r="G759" s="201">
        <v>10.4</v>
      </c>
    </row>
    <row r="760" spans="4:7">
      <c r="D760" s="200" t="s">
        <v>1732</v>
      </c>
      <c r="E760" s="10">
        <v>48432</v>
      </c>
      <c r="F760" s="201">
        <v>-8.8000000000000007</v>
      </c>
      <c r="G760" s="201">
        <v>10.199999999999999</v>
      </c>
    </row>
    <row r="761" spans="4:7">
      <c r="D761" s="200" t="s">
        <v>1933</v>
      </c>
      <c r="E761" s="10">
        <v>48599</v>
      </c>
      <c r="F761" s="201">
        <v>-8.8000000000000007</v>
      </c>
      <c r="G761" s="201">
        <v>10.1</v>
      </c>
    </row>
    <row r="762" spans="4:7">
      <c r="D762" s="200" t="s">
        <v>1934</v>
      </c>
      <c r="E762" s="10">
        <v>48691</v>
      </c>
      <c r="F762" s="201">
        <v>-8.8000000000000007</v>
      </c>
      <c r="G762" s="201">
        <v>10.1</v>
      </c>
    </row>
    <row r="763" spans="4:7">
      <c r="D763" s="200" t="s">
        <v>1935</v>
      </c>
      <c r="E763" s="10">
        <v>48703</v>
      </c>
      <c r="F763" s="201">
        <v>-8.8000000000000007</v>
      </c>
      <c r="G763" s="201">
        <v>10.1</v>
      </c>
    </row>
    <row r="764" spans="4:7">
      <c r="D764" s="200" t="s">
        <v>1936</v>
      </c>
      <c r="E764" s="10">
        <v>48712</v>
      </c>
      <c r="F764" s="201">
        <v>-8.8000000000000007</v>
      </c>
      <c r="G764" s="201">
        <v>10.1</v>
      </c>
    </row>
    <row r="765" spans="4:7">
      <c r="D765" s="200" t="s">
        <v>1937</v>
      </c>
      <c r="E765" s="10">
        <v>49716</v>
      </c>
      <c r="F765" s="201">
        <v>-8.8000000000000007</v>
      </c>
      <c r="G765" s="201">
        <v>10.1</v>
      </c>
    </row>
    <row r="766" spans="4:7">
      <c r="D766" s="200" t="s">
        <v>1938</v>
      </c>
      <c r="E766" s="10">
        <v>49733</v>
      </c>
      <c r="F766" s="201">
        <v>-8.8000000000000007</v>
      </c>
      <c r="G766" s="201">
        <v>10</v>
      </c>
    </row>
    <row r="767" spans="4:7">
      <c r="D767" s="200" t="s">
        <v>1939</v>
      </c>
      <c r="E767" s="10">
        <v>49824</v>
      </c>
      <c r="F767" s="201">
        <v>-8.8000000000000007</v>
      </c>
      <c r="G767" s="201">
        <v>10.1</v>
      </c>
    </row>
    <row r="768" spans="4:7">
      <c r="D768" s="200" t="s">
        <v>1940</v>
      </c>
      <c r="E768" s="10">
        <v>51399</v>
      </c>
      <c r="F768" s="201">
        <v>-8.8000000000000007</v>
      </c>
      <c r="G768" s="201">
        <v>10.3</v>
      </c>
    </row>
    <row r="769" spans="4:7">
      <c r="D769" s="200" t="s">
        <v>1733</v>
      </c>
      <c r="E769" s="10">
        <v>51465</v>
      </c>
      <c r="F769" s="201">
        <v>-8.8000000000000007</v>
      </c>
      <c r="G769" s="201">
        <v>10.5</v>
      </c>
    </row>
    <row r="770" spans="4:7">
      <c r="D770" s="200" t="s">
        <v>1941</v>
      </c>
      <c r="E770" s="10">
        <v>51503</v>
      </c>
      <c r="F770" s="201">
        <v>-8.8000000000000007</v>
      </c>
      <c r="G770" s="201">
        <v>10.5</v>
      </c>
    </row>
    <row r="771" spans="4:7">
      <c r="D771" s="200" t="s">
        <v>1612</v>
      </c>
      <c r="E771" s="10">
        <v>52076</v>
      </c>
      <c r="F771" s="201">
        <v>-8.8000000000000007</v>
      </c>
      <c r="G771" s="201">
        <v>10.1</v>
      </c>
    </row>
    <row r="772" spans="4:7">
      <c r="D772" s="200" t="s">
        <v>1942</v>
      </c>
      <c r="E772" s="10">
        <v>52146</v>
      </c>
      <c r="F772" s="201">
        <v>-8.8000000000000007</v>
      </c>
      <c r="G772" s="201">
        <v>10.4</v>
      </c>
    </row>
    <row r="773" spans="4:7">
      <c r="D773" s="200" t="s">
        <v>1875</v>
      </c>
      <c r="E773" s="10">
        <v>52223</v>
      </c>
      <c r="F773" s="201">
        <v>-8.8000000000000007</v>
      </c>
      <c r="G773" s="201">
        <v>10.1</v>
      </c>
    </row>
    <row r="774" spans="4:7">
      <c r="D774" s="200" t="s">
        <v>1943</v>
      </c>
      <c r="E774" s="10">
        <v>52224</v>
      </c>
      <c r="F774" s="201">
        <v>-8.8000000000000007</v>
      </c>
      <c r="G774" s="201">
        <v>10</v>
      </c>
    </row>
    <row r="775" spans="4:7">
      <c r="D775" s="200" t="s">
        <v>1944</v>
      </c>
      <c r="E775" s="10">
        <v>52379</v>
      </c>
      <c r="F775" s="201">
        <v>-8.8000000000000007</v>
      </c>
      <c r="G775" s="201">
        <v>10.3</v>
      </c>
    </row>
    <row r="776" spans="4:7">
      <c r="D776" s="200" t="s">
        <v>1945</v>
      </c>
      <c r="E776" s="10">
        <v>52382</v>
      </c>
      <c r="F776" s="201">
        <v>-8.8000000000000007</v>
      </c>
      <c r="G776" s="201">
        <v>10.7</v>
      </c>
    </row>
    <row r="777" spans="4:7">
      <c r="D777" s="200" t="s">
        <v>1946</v>
      </c>
      <c r="E777" s="10">
        <v>52391</v>
      </c>
      <c r="F777" s="201">
        <v>-8.8000000000000007</v>
      </c>
      <c r="G777" s="201">
        <v>10.6</v>
      </c>
    </row>
    <row r="778" spans="4:7">
      <c r="D778" s="200" t="s">
        <v>1947</v>
      </c>
      <c r="E778" s="10">
        <v>52511</v>
      </c>
      <c r="F778" s="201">
        <v>-8.8000000000000007</v>
      </c>
      <c r="G778" s="201">
        <v>10.9</v>
      </c>
    </row>
    <row r="779" spans="4:7">
      <c r="D779" s="200" t="s">
        <v>1948</v>
      </c>
      <c r="E779" s="10">
        <v>52538</v>
      </c>
      <c r="F779" s="201">
        <v>-8.8000000000000007</v>
      </c>
      <c r="G779" s="201">
        <v>10.8</v>
      </c>
    </row>
    <row r="780" spans="4:7">
      <c r="D780" s="200" t="s">
        <v>1949</v>
      </c>
      <c r="E780" s="10">
        <v>53332</v>
      </c>
      <c r="F780" s="201">
        <v>-8.8000000000000007</v>
      </c>
      <c r="G780" s="201">
        <v>10.7</v>
      </c>
    </row>
    <row r="781" spans="4:7">
      <c r="D781" s="200" t="s">
        <v>1950</v>
      </c>
      <c r="E781" s="10">
        <v>53359</v>
      </c>
      <c r="F781" s="201">
        <v>-8.8000000000000007</v>
      </c>
      <c r="G781" s="201">
        <v>10.3</v>
      </c>
    </row>
    <row r="782" spans="4:7">
      <c r="D782" s="200" t="s">
        <v>1951</v>
      </c>
      <c r="E782" s="10">
        <v>53913</v>
      </c>
      <c r="F782" s="201">
        <v>-8.8000000000000007</v>
      </c>
      <c r="G782" s="201">
        <v>10.5</v>
      </c>
    </row>
    <row r="783" spans="4:7">
      <c r="D783" s="200" t="s">
        <v>1952</v>
      </c>
      <c r="E783" s="10">
        <v>54290</v>
      </c>
      <c r="F783" s="201">
        <v>-8.8000000000000007</v>
      </c>
      <c r="G783" s="201">
        <v>10.7</v>
      </c>
    </row>
    <row r="784" spans="4:7">
      <c r="D784" s="200" t="s">
        <v>1953</v>
      </c>
      <c r="E784" s="10">
        <v>56182</v>
      </c>
      <c r="F784" s="201">
        <v>-8.8000000000000007</v>
      </c>
      <c r="G784" s="201">
        <v>10.7</v>
      </c>
    </row>
    <row r="785" spans="4:7">
      <c r="D785" s="200" t="s">
        <v>1735</v>
      </c>
      <c r="E785" s="10">
        <v>58093</v>
      </c>
      <c r="F785" s="201">
        <v>-8.8000000000000007</v>
      </c>
      <c r="G785" s="201">
        <v>10.3</v>
      </c>
    </row>
    <row r="786" spans="4:7">
      <c r="D786" s="200" t="s">
        <v>1954</v>
      </c>
      <c r="E786" s="10">
        <v>58332</v>
      </c>
      <c r="F786" s="201">
        <v>-8.8000000000000007</v>
      </c>
      <c r="G786" s="201">
        <v>10.199999999999999</v>
      </c>
    </row>
    <row r="787" spans="4:7">
      <c r="D787" s="200" t="s">
        <v>1770</v>
      </c>
      <c r="E787" s="10">
        <v>58453</v>
      </c>
      <c r="F787" s="201">
        <v>-8.8000000000000007</v>
      </c>
      <c r="G787" s="201">
        <v>10.199999999999999</v>
      </c>
    </row>
    <row r="788" spans="4:7">
      <c r="D788" s="200" t="s">
        <v>1770</v>
      </c>
      <c r="E788" s="10">
        <v>58456</v>
      </c>
      <c r="F788" s="201">
        <v>-8.8000000000000007</v>
      </c>
      <c r="G788" s="201">
        <v>10.1</v>
      </c>
    </row>
    <row r="789" spans="4:7">
      <c r="D789" s="200" t="s">
        <v>1786</v>
      </c>
      <c r="E789" s="10">
        <v>65183</v>
      </c>
      <c r="F789" s="201">
        <v>-8.8000000000000007</v>
      </c>
      <c r="G789" s="201">
        <v>11.5</v>
      </c>
    </row>
    <row r="790" spans="4:7">
      <c r="D790" s="200" t="s">
        <v>1955</v>
      </c>
      <c r="E790" s="10">
        <v>66740</v>
      </c>
      <c r="F790" s="201">
        <v>-8.8000000000000007</v>
      </c>
      <c r="G790" s="201">
        <v>10.8</v>
      </c>
    </row>
    <row r="791" spans="4:7">
      <c r="D791" s="200" t="s">
        <v>1956</v>
      </c>
      <c r="E791" s="10">
        <v>67655</v>
      </c>
      <c r="F791" s="201">
        <v>-8.8000000000000007</v>
      </c>
      <c r="G791" s="201">
        <v>10.9</v>
      </c>
    </row>
    <row r="792" spans="4:7">
      <c r="D792" s="200" t="s">
        <v>1957</v>
      </c>
      <c r="E792" s="10">
        <v>77656</v>
      </c>
      <c r="F792" s="201">
        <v>-8.8000000000000007</v>
      </c>
      <c r="G792" s="201">
        <v>11.3</v>
      </c>
    </row>
    <row r="793" spans="4:7">
      <c r="D793" s="200" t="s">
        <v>1958</v>
      </c>
      <c r="E793" s="10">
        <v>18565</v>
      </c>
      <c r="F793" s="201">
        <v>-8.9</v>
      </c>
      <c r="G793" s="201">
        <v>9</v>
      </c>
    </row>
    <row r="794" spans="4:7">
      <c r="D794" s="200" t="s">
        <v>1707</v>
      </c>
      <c r="E794" s="10">
        <v>20459</v>
      </c>
      <c r="F794" s="201">
        <v>-8.9</v>
      </c>
      <c r="G794" s="201">
        <v>10</v>
      </c>
    </row>
    <row r="795" spans="4:7">
      <c r="D795" s="200" t="s">
        <v>1959</v>
      </c>
      <c r="E795" s="10">
        <v>24220</v>
      </c>
      <c r="F795" s="201">
        <v>-8.9</v>
      </c>
      <c r="G795" s="201">
        <v>8.8000000000000007</v>
      </c>
    </row>
    <row r="796" spans="4:7">
      <c r="D796" s="200" t="s">
        <v>1960</v>
      </c>
      <c r="E796" s="10">
        <v>24357</v>
      </c>
      <c r="F796" s="201">
        <v>-8.9</v>
      </c>
      <c r="G796" s="201">
        <v>8.9</v>
      </c>
    </row>
    <row r="797" spans="4:7">
      <c r="D797" s="200" t="s">
        <v>1961</v>
      </c>
      <c r="E797" s="10">
        <v>24367</v>
      </c>
      <c r="F797" s="201">
        <v>-8.9</v>
      </c>
      <c r="G797" s="201">
        <v>9</v>
      </c>
    </row>
    <row r="798" spans="4:7">
      <c r="D798" s="200" t="s">
        <v>1891</v>
      </c>
      <c r="E798" s="10">
        <v>24537</v>
      </c>
      <c r="F798" s="201">
        <v>-8.9</v>
      </c>
      <c r="G798" s="201">
        <v>9.1</v>
      </c>
    </row>
    <row r="799" spans="4:7">
      <c r="D799" s="200" t="s">
        <v>1962</v>
      </c>
      <c r="E799" s="10">
        <v>24783</v>
      </c>
      <c r="F799" s="201">
        <v>-8.9</v>
      </c>
      <c r="G799" s="201">
        <v>9</v>
      </c>
    </row>
    <row r="800" spans="4:7">
      <c r="D800" s="200" t="s">
        <v>1963</v>
      </c>
      <c r="E800" s="10">
        <v>24784</v>
      </c>
      <c r="F800" s="201">
        <v>-8.9</v>
      </c>
      <c r="G800" s="201">
        <v>9</v>
      </c>
    </row>
    <row r="801" spans="4:7">
      <c r="D801" s="200" t="s">
        <v>1964</v>
      </c>
      <c r="E801" s="10">
        <v>24787</v>
      </c>
      <c r="F801" s="201">
        <v>-8.9</v>
      </c>
      <c r="G801" s="201">
        <v>9</v>
      </c>
    </row>
    <row r="802" spans="4:7">
      <c r="D802" s="200" t="s">
        <v>1965</v>
      </c>
      <c r="E802" s="10">
        <v>24797</v>
      </c>
      <c r="F802" s="201">
        <v>-8.9</v>
      </c>
      <c r="G802" s="201">
        <v>9.1</v>
      </c>
    </row>
    <row r="803" spans="4:7">
      <c r="D803" s="200" t="s">
        <v>1966</v>
      </c>
      <c r="E803" s="10">
        <v>24803</v>
      </c>
      <c r="F803" s="201">
        <v>-8.9</v>
      </c>
      <c r="G803" s="201">
        <v>9</v>
      </c>
    </row>
    <row r="804" spans="4:7">
      <c r="D804" s="200" t="s">
        <v>1967</v>
      </c>
      <c r="E804" s="10">
        <v>24809</v>
      </c>
      <c r="F804" s="201">
        <v>-8.9</v>
      </c>
      <c r="G804" s="201">
        <v>9</v>
      </c>
    </row>
    <row r="805" spans="4:7">
      <c r="D805" s="200" t="s">
        <v>1968</v>
      </c>
      <c r="E805" s="10">
        <v>24816</v>
      </c>
      <c r="F805" s="201">
        <v>-8.9</v>
      </c>
      <c r="G805" s="201">
        <v>8.9</v>
      </c>
    </row>
    <row r="806" spans="4:7">
      <c r="D806" s="200" t="s">
        <v>1969</v>
      </c>
      <c r="E806" s="10">
        <v>24855</v>
      </c>
      <c r="F806" s="201">
        <v>-8.9</v>
      </c>
      <c r="G806" s="201">
        <v>9</v>
      </c>
    </row>
    <row r="807" spans="4:7">
      <c r="D807" s="200" t="s">
        <v>1970</v>
      </c>
      <c r="E807" s="10">
        <v>24861</v>
      </c>
      <c r="F807" s="201">
        <v>-8.9</v>
      </c>
      <c r="G807" s="201">
        <v>9</v>
      </c>
    </row>
    <row r="808" spans="4:7">
      <c r="D808" s="200" t="s">
        <v>1971</v>
      </c>
      <c r="E808" s="10">
        <v>24899</v>
      </c>
      <c r="F808" s="201">
        <v>-8.9</v>
      </c>
      <c r="G808" s="201">
        <v>9</v>
      </c>
    </row>
    <row r="809" spans="4:7">
      <c r="D809" s="200" t="s">
        <v>1972</v>
      </c>
      <c r="E809" s="10">
        <v>24980</v>
      </c>
      <c r="F809" s="201">
        <v>-8.9</v>
      </c>
      <c r="G809" s="201">
        <v>8.8000000000000007</v>
      </c>
    </row>
    <row r="810" spans="4:7">
      <c r="D810" s="200" t="s">
        <v>1973</v>
      </c>
      <c r="E810" s="10">
        <v>24992</v>
      </c>
      <c r="F810" s="201">
        <v>-8.9</v>
      </c>
      <c r="G810" s="201">
        <v>8.9</v>
      </c>
    </row>
    <row r="811" spans="4:7">
      <c r="D811" s="200" t="s">
        <v>1974</v>
      </c>
      <c r="E811" s="10">
        <v>24994</v>
      </c>
      <c r="F811" s="201">
        <v>-8.9</v>
      </c>
      <c r="G811" s="201">
        <v>8.8000000000000007</v>
      </c>
    </row>
    <row r="812" spans="4:7">
      <c r="D812" s="200" t="s">
        <v>1975</v>
      </c>
      <c r="E812" s="10">
        <v>25785</v>
      </c>
      <c r="F812" s="201">
        <v>-8.9</v>
      </c>
      <c r="G812" s="201">
        <v>9.1</v>
      </c>
    </row>
    <row r="813" spans="4:7">
      <c r="D813" s="200" t="s">
        <v>1976</v>
      </c>
      <c r="E813" s="10">
        <v>25850</v>
      </c>
      <c r="F813" s="201">
        <v>-8.9</v>
      </c>
      <c r="G813" s="201">
        <v>8.9</v>
      </c>
    </row>
    <row r="814" spans="4:7">
      <c r="D814" s="200" t="s">
        <v>1977</v>
      </c>
      <c r="E814" s="10">
        <v>25860</v>
      </c>
      <c r="F814" s="201">
        <v>-8.9</v>
      </c>
      <c r="G814" s="201">
        <v>9</v>
      </c>
    </row>
    <row r="815" spans="4:7">
      <c r="D815" s="200" t="s">
        <v>1978</v>
      </c>
      <c r="E815" s="10">
        <v>25876</v>
      </c>
      <c r="F815" s="201">
        <v>-8.9</v>
      </c>
      <c r="G815" s="201">
        <v>8.9</v>
      </c>
    </row>
    <row r="816" spans="4:7">
      <c r="D816" s="200" t="s">
        <v>1979</v>
      </c>
      <c r="E816" s="10">
        <v>25879</v>
      </c>
      <c r="F816" s="201">
        <v>-8.9</v>
      </c>
      <c r="G816" s="201">
        <v>9.1</v>
      </c>
    </row>
    <row r="817" spans="4:7">
      <c r="D817" s="200" t="s">
        <v>1980</v>
      </c>
      <c r="E817" s="10">
        <v>25885</v>
      </c>
      <c r="F817" s="201">
        <v>-8.9</v>
      </c>
      <c r="G817" s="201">
        <v>8.9</v>
      </c>
    </row>
    <row r="818" spans="4:7">
      <c r="D818" s="200" t="s">
        <v>1981</v>
      </c>
      <c r="E818" s="10">
        <v>26316</v>
      </c>
      <c r="F818" s="201">
        <v>-8.9</v>
      </c>
      <c r="G818" s="201">
        <v>9.5</v>
      </c>
    </row>
    <row r="819" spans="4:7">
      <c r="D819" s="200" t="s">
        <v>1982</v>
      </c>
      <c r="E819" s="10">
        <v>26629</v>
      </c>
      <c r="F819" s="201">
        <v>-8.9</v>
      </c>
      <c r="G819" s="201">
        <v>9.6</v>
      </c>
    </row>
    <row r="820" spans="4:7">
      <c r="D820" s="200" t="s">
        <v>1983</v>
      </c>
      <c r="E820" s="10">
        <v>26639</v>
      </c>
      <c r="F820" s="201">
        <v>-8.9</v>
      </c>
      <c r="G820" s="201">
        <v>9.5</v>
      </c>
    </row>
    <row r="821" spans="4:7">
      <c r="D821" s="200" t="s">
        <v>1984</v>
      </c>
      <c r="E821" s="10">
        <v>26721</v>
      </c>
      <c r="F821" s="201">
        <v>-8.9</v>
      </c>
      <c r="G821" s="201">
        <v>9.6999999999999993</v>
      </c>
    </row>
    <row r="822" spans="4:7">
      <c r="D822" s="200" t="s">
        <v>1985</v>
      </c>
      <c r="E822" s="10">
        <v>27749</v>
      </c>
      <c r="F822" s="201">
        <v>-8.9</v>
      </c>
      <c r="G822" s="201">
        <v>10</v>
      </c>
    </row>
    <row r="823" spans="4:7">
      <c r="D823" s="200" t="s">
        <v>1837</v>
      </c>
      <c r="E823" s="10">
        <v>28239</v>
      </c>
      <c r="F823" s="201">
        <v>-8.9</v>
      </c>
      <c r="G823" s="201">
        <v>9.9</v>
      </c>
    </row>
    <row r="824" spans="4:7">
      <c r="D824" s="200" t="s">
        <v>1650</v>
      </c>
      <c r="E824" s="10">
        <v>42287</v>
      </c>
      <c r="F824" s="201">
        <v>-8.9</v>
      </c>
      <c r="G824" s="201">
        <v>9.6999999999999993</v>
      </c>
    </row>
    <row r="825" spans="4:7">
      <c r="D825" s="200" t="s">
        <v>1986</v>
      </c>
      <c r="E825" s="10">
        <v>48249</v>
      </c>
      <c r="F825" s="201">
        <v>-8.9</v>
      </c>
      <c r="G825" s="201">
        <v>10.199999999999999</v>
      </c>
    </row>
    <row r="826" spans="4:7">
      <c r="D826" s="200" t="s">
        <v>1987</v>
      </c>
      <c r="E826" s="10">
        <v>48455</v>
      </c>
      <c r="F826" s="201">
        <v>-8.9</v>
      </c>
      <c r="G826" s="201">
        <v>10</v>
      </c>
    </row>
    <row r="827" spans="4:7">
      <c r="D827" s="200" t="s">
        <v>1796</v>
      </c>
      <c r="E827" s="10">
        <v>48485</v>
      </c>
      <c r="F827" s="201">
        <v>-8.9</v>
      </c>
      <c r="G827" s="201">
        <v>10.199999999999999</v>
      </c>
    </row>
    <row r="828" spans="4:7">
      <c r="D828" s="200" t="s">
        <v>1988</v>
      </c>
      <c r="E828" s="10">
        <v>48653</v>
      </c>
      <c r="F828" s="201">
        <v>-8.9</v>
      </c>
      <c r="G828" s="201">
        <v>10</v>
      </c>
    </row>
    <row r="829" spans="4:7">
      <c r="D829" s="200" t="s">
        <v>1873</v>
      </c>
      <c r="E829" s="10">
        <v>49808</v>
      </c>
      <c r="F829" s="201">
        <v>-8.9</v>
      </c>
      <c r="G829" s="201">
        <v>10.1</v>
      </c>
    </row>
    <row r="830" spans="4:7" ht="30">
      <c r="D830" s="200" t="s">
        <v>1989</v>
      </c>
      <c r="E830" s="10">
        <v>49828</v>
      </c>
      <c r="F830" s="201">
        <v>-8.9</v>
      </c>
      <c r="G830" s="201">
        <v>10.1</v>
      </c>
    </row>
    <row r="831" spans="4:7">
      <c r="D831" s="200" t="s">
        <v>1733</v>
      </c>
      <c r="E831" s="10">
        <v>51427</v>
      </c>
      <c r="F831" s="201">
        <v>-8.9</v>
      </c>
      <c r="G831" s="201">
        <v>10.6</v>
      </c>
    </row>
    <row r="832" spans="4:7">
      <c r="D832" s="200" t="s">
        <v>1990</v>
      </c>
      <c r="E832" s="10">
        <v>52396</v>
      </c>
      <c r="F832" s="201">
        <v>-8.9</v>
      </c>
      <c r="G832" s="201">
        <v>10.1</v>
      </c>
    </row>
    <row r="833" spans="4:7">
      <c r="D833" s="200" t="s">
        <v>1623</v>
      </c>
      <c r="E833" s="10">
        <v>53125</v>
      </c>
      <c r="F833" s="201">
        <v>-8.9</v>
      </c>
      <c r="G833" s="201">
        <v>10.3</v>
      </c>
    </row>
    <row r="834" spans="4:7">
      <c r="D834" s="200" t="s">
        <v>1991</v>
      </c>
      <c r="E834" s="10">
        <v>53347</v>
      </c>
      <c r="F834" s="201">
        <v>-8.9</v>
      </c>
      <c r="G834" s="201">
        <v>10.3</v>
      </c>
    </row>
    <row r="835" spans="4:7">
      <c r="D835" s="200" t="s">
        <v>1992</v>
      </c>
      <c r="E835" s="10">
        <v>53545</v>
      </c>
      <c r="F835" s="201">
        <v>-8.9</v>
      </c>
      <c r="G835" s="201">
        <v>10.5</v>
      </c>
    </row>
    <row r="836" spans="4:7">
      <c r="D836" s="200" t="s">
        <v>1993</v>
      </c>
      <c r="E836" s="10">
        <v>53859</v>
      </c>
      <c r="F836" s="201">
        <v>-8.9</v>
      </c>
      <c r="G836" s="201">
        <v>10.8</v>
      </c>
    </row>
    <row r="837" spans="4:7">
      <c r="D837" s="200" t="s">
        <v>1851</v>
      </c>
      <c r="E837" s="10">
        <v>55118</v>
      </c>
      <c r="F837" s="201">
        <v>-8.9</v>
      </c>
      <c r="G837" s="201">
        <v>11.4</v>
      </c>
    </row>
    <row r="838" spans="4:7">
      <c r="D838" s="200" t="s">
        <v>1994</v>
      </c>
      <c r="E838" s="10">
        <v>64283</v>
      </c>
      <c r="F838" s="201">
        <v>-8.9</v>
      </c>
      <c r="G838" s="201">
        <v>11.4</v>
      </c>
    </row>
    <row r="839" spans="4:7">
      <c r="D839" s="200" t="s">
        <v>1707</v>
      </c>
      <c r="E839" s="10">
        <v>20148</v>
      </c>
      <c r="F839" s="201">
        <v>-9</v>
      </c>
      <c r="G839" s="201">
        <v>9.9</v>
      </c>
    </row>
    <row r="840" spans="4:7">
      <c r="D840" s="200" t="s">
        <v>1707</v>
      </c>
      <c r="E840" s="10">
        <v>20357</v>
      </c>
      <c r="F840" s="201">
        <v>-9</v>
      </c>
      <c r="G840" s="201">
        <v>9.9</v>
      </c>
    </row>
    <row r="841" spans="4:7">
      <c r="D841" s="200" t="s">
        <v>1707</v>
      </c>
      <c r="E841" s="10">
        <v>20359</v>
      </c>
      <c r="F841" s="201">
        <v>-9</v>
      </c>
      <c r="G841" s="201">
        <v>10</v>
      </c>
    </row>
    <row r="842" spans="4:7">
      <c r="D842" s="200" t="s">
        <v>1995</v>
      </c>
      <c r="E842" s="10">
        <v>21765</v>
      </c>
      <c r="F842" s="201">
        <v>-9</v>
      </c>
      <c r="G842" s="201">
        <v>9.6</v>
      </c>
    </row>
    <row r="843" spans="4:7">
      <c r="D843" s="200" t="s">
        <v>1996</v>
      </c>
      <c r="E843" s="10">
        <v>24254</v>
      </c>
      <c r="F843" s="201">
        <v>-9</v>
      </c>
      <c r="G843" s="201">
        <v>8.9</v>
      </c>
    </row>
    <row r="844" spans="4:7">
      <c r="D844" s="200" t="s">
        <v>1997</v>
      </c>
      <c r="E844" s="10">
        <v>24259</v>
      </c>
      <c r="F844" s="201">
        <v>-9</v>
      </c>
      <c r="G844" s="201">
        <v>9</v>
      </c>
    </row>
    <row r="845" spans="4:7">
      <c r="D845" s="200" t="s">
        <v>1998</v>
      </c>
      <c r="E845" s="10">
        <v>24582</v>
      </c>
      <c r="F845" s="201">
        <v>-9</v>
      </c>
      <c r="G845" s="201">
        <v>9</v>
      </c>
    </row>
    <row r="846" spans="4:7">
      <c r="D846" s="200" t="s">
        <v>1999</v>
      </c>
      <c r="E846" s="10">
        <v>24622</v>
      </c>
      <c r="F846" s="201">
        <v>-9</v>
      </c>
      <c r="G846" s="201">
        <v>9</v>
      </c>
    </row>
    <row r="847" spans="4:7">
      <c r="D847" s="200" t="s">
        <v>2000</v>
      </c>
      <c r="E847" s="10">
        <v>24644</v>
      </c>
      <c r="F847" s="201">
        <v>-9</v>
      </c>
      <c r="G847" s="201">
        <v>9</v>
      </c>
    </row>
    <row r="848" spans="4:7">
      <c r="D848" s="200" t="s">
        <v>2001</v>
      </c>
      <c r="E848" s="10">
        <v>24782</v>
      </c>
      <c r="F848" s="201">
        <v>-9</v>
      </c>
      <c r="G848" s="201">
        <v>9</v>
      </c>
    </row>
    <row r="849" spans="4:7">
      <c r="D849" s="200" t="s">
        <v>2002</v>
      </c>
      <c r="E849" s="10">
        <v>24790</v>
      </c>
      <c r="F849" s="201">
        <v>-9</v>
      </c>
      <c r="G849" s="201">
        <v>9</v>
      </c>
    </row>
    <row r="850" spans="4:7">
      <c r="D850" s="200" t="s">
        <v>2003</v>
      </c>
      <c r="E850" s="10">
        <v>24791</v>
      </c>
      <c r="F850" s="201">
        <v>-9</v>
      </c>
      <c r="G850" s="201">
        <v>9</v>
      </c>
    </row>
    <row r="851" spans="4:7">
      <c r="D851" s="200" t="s">
        <v>2004</v>
      </c>
      <c r="E851" s="10">
        <v>24794</v>
      </c>
      <c r="F851" s="201">
        <v>-9</v>
      </c>
      <c r="G851" s="201">
        <v>9</v>
      </c>
    </row>
    <row r="852" spans="4:7" ht="30">
      <c r="D852" s="200" t="s">
        <v>2005</v>
      </c>
      <c r="E852" s="10">
        <v>24799</v>
      </c>
      <c r="F852" s="201">
        <v>-9</v>
      </c>
      <c r="G852" s="201">
        <v>9.1</v>
      </c>
    </row>
    <row r="853" spans="4:7">
      <c r="D853" s="200" t="s">
        <v>2006</v>
      </c>
      <c r="E853" s="10">
        <v>24800</v>
      </c>
      <c r="F853" s="201">
        <v>-9</v>
      </c>
      <c r="G853" s="201">
        <v>9</v>
      </c>
    </row>
    <row r="854" spans="4:7">
      <c r="D854" s="200" t="s">
        <v>2007</v>
      </c>
      <c r="E854" s="10">
        <v>24806</v>
      </c>
      <c r="F854" s="201">
        <v>-9</v>
      </c>
      <c r="G854" s="201">
        <v>9</v>
      </c>
    </row>
    <row r="855" spans="4:7">
      <c r="D855" s="200" t="s">
        <v>2008</v>
      </c>
      <c r="E855" s="10">
        <v>24811</v>
      </c>
      <c r="F855" s="201">
        <v>-9</v>
      </c>
      <c r="G855" s="201">
        <v>9</v>
      </c>
    </row>
    <row r="856" spans="4:7">
      <c r="D856" s="200" t="s">
        <v>2009</v>
      </c>
      <c r="E856" s="10">
        <v>24817</v>
      </c>
      <c r="F856" s="201">
        <v>-9</v>
      </c>
      <c r="G856" s="201">
        <v>9</v>
      </c>
    </row>
    <row r="857" spans="4:7" ht="30">
      <c r="D857" s="200" t="s">
        <v>2010</v>
      </c>
      <c r="E857" s="10">
        <v>24852</v>
      </c>
      <c r="F857" s="201">
        <v>-9</v>
      </c>
      <c r="G857" s="201">
        <v>9</v>
      </c>
    </row>
    <row r="858" spans="4:7">
      <c r="D858" s="200" t="s">
        <v>2011</v>
      </c>
      <c r="E858" s="10">
        <v>24866</v>
      </c>
      <c r="F858" s="201">
        <v>-9</v>
      </c>
      <c r="G858" s="201">
        <v>9</v>
      </c>
    </row>
    <row r="859" spans="4:7">
      <c r="D859" s="200" t="s">
        <v>2012</v>
      </c>
      <c r="E859" s="10">
        <v>24869</v>
      </c>
      <c r="F859" s="201">
        <v>-9</v>
      </c>
      <c r="G859" s="201">
        <v>9.1</v>
      </c>
    </row>
    <row r="860" spans="4:7">
      <c r="D860" s="200" t="s">
        <v>2013</v>
      </c>
      <c r="E860" s="10">
        <v>24882</v>
      </c>
      <c r="F860" s="201">
        <v>-9</v>
      </c>
      <c r="G860" s="201">
        <v>9.1</v>
      </c>
    </row>
    <row r="861" spans="4:7">
      <c r="D861" s="200" t="s">
        <v>2014</v>
      </c>
      <c r="E861" s="10">
        <v>24887</v>
      </c>
      <c r="F861" s="201">
        <v>-9</v>
      </c>
      <c r="G861" s="201">
        <v>9</v>
      </c>
    </row>
    <row r="862" spans="4:7">
      <c r="D862" s="200" t="s">
        <v>2015</v>
      </c>
      <c r="E862" s="10">
        <v>24896</v>
      </c>
      <c r="F862" s="201">
        <v>-9</v>
      </c>
      <c r="G862" s="201">
        <v>9</v>
      </c>
    </row>
    <row r="863" spans="4:7">
      <c r="D863" s="200" t="s">
        <v>2016</v>
      </c>
      <c r="E863" s="10">
        <v>25709</v>
      </c>
      <c r="F863" s="201">
        <v>-9</v>
      </c>
      <c r="G863" s="201">
        <v>9.4</v>
      </c>
    </row>
    <row r="864" spans="4:7">
      <c r="D864" s="200" t="s">
        <v>2017</v>
      </c>
      <c r="E864" s="10">
        <v>25718</v>
      </c>
      <c r="F864" s="201">
        <v>-9</v>
      </c>
      <c r="G864" s="201">
        <v>9.4</v>
      </c>
    </row>
    <row r="865" spans="4:7">
      <c r="D865" s="200" t="s">
        <v>2018</v>
      </c>
      <c r="E865" s="10">
        <v>25767</v>
      </c>
      <c r="F865" s="201">
        <v>-9</v>
      </c>
      <c r="G865" s="201">
        <v>8.8000000000000007</v>
      </c>
    </row>
    <row r="866" spans="4:7">
      <c r="D866" s="200" t="s">
        <v>2019</v>
      </c>
      <c r="E866" s="10">
        <v>25821</v>
      </c>
      <c r="F866" s="201">
        <v>-9</v>
      </c>
      <c r="G866" s="201">
        <v>9</v>
      </c>
    </row>
    <row r="867" spans="4:7">
      <c r="D867" s="200" t="s">
        <v>2020</v>
      </c>
      <c r="E867" s="10">
        <v>25842</v>
      </c>
      <c r="F867" s="201">
        <v>-9</v>
      </c>
      <c r="G867" s="201">
        <v>8.9</v>
      </c>
    </row>
    <row r="868" spans="4:7">
      <c r="D868" s="200" t="s">
        <v>2021</v>
      </c>
      <c r="E868" s="10">
        <v>25855</v>
      </c>
      <c r="F868" s="201">
        <v>-9</v>
      </c>
      <c r="G868" s="201">
        <v>8.9</v>
      </c>
    </row>
    <row r="869" spans="4:7">
      <c r="D869" s="200" t="s">
        <v>2022</v>
      </c>
      <c r="E869" s="10">
        <v>25862</v>
      </c>
      <c r="F869" s="201">
        <v>-9</v>
      </c>
      <c r="G869" s="201">
        <v>8.8000000000000007</v>
      </c>
    </row>
    <row r="870" spans="4:7">
      <c r="D870" s="200" t="s">
        <v>2023</v>
      </c>
      <c r="E870" s="10">
        <v>25866</v>
      </c>
      <c r="F870" s="201">
        <v>-9</v>
      </c>
      <c r="G870" s="201">
        <v>9</v>
      </c>
    </row>
    <row r="871" spans="4:7">
      <c r="D871" s="200" t="s">
        <v>2024</v>
      </c>
      <c r="E871" s="10">
        <v>25873</v>
      </c>
      <c r="F871" s="201">
        <v>-9</v>
      </c>
      <c r="G871" s="201">
        <v>8.9</v>
      </c>
    </row>
    <row r="872" spans="4:7">
      <c r="D872" s="200" t="s">
        <v>2025</v>
      </c>
      <c r="E872" s="10">
        <v>25884</v>
      </c>
      <c r="F872" s="201">
        <v>-9</v>
      </c>
      <c r="G872" s="201">
        <v>8.9</v>
      </c>
    </row>
    <row r="873" spans="4:7">
      <c r="D873" s="200" t="s">
        <v>2026</v>
      </c>
      <c r="E873" s="10">
        <v>25887</v>
      </c>
      <c r="F873" s="201">
        <v>-9</v>
      </c>
      <c r="G873" s="201">
        <v>9</v>
      </c>
    </row>
    <row r="874" spans="4:7">
      <c r="D874" s="200" t="s">
        <v>2027</v>
      </c>
      <c r="E874" s="10">
        <v>25926</v>
      </c>
      <c r="F874" s="201">
        <v>-9</v>
      </c>
      <c r="G874" s="201">
        <v>8.8000000000000007</v>
      </c>
    </row>
    <row r="875" spans="4:7">
      <c r="D875" s="200" t="s">
        <v>1921</v>
      </c>
      <c r="E875" s="10">
        <v>26129</v>
      </c>
      <c r="F875" s="201">
        <v>-9</v>
      </c>
      <c r="G875" s="201">
        <v>9.6999999999999993</v>
      </c>
    </row>
    <row r="876" spans="4:7">
      <c r="D876" s="200" t="s">
        <v>2028</v>
      </c>
      <c r="E876" s="10">
        <v>26345</v>
      </c>
      <c r="F876" s="201">
        <v>-9</v>
      </c>
      <c r="G876" s="201">
        <v>9.6</v>
      </c>
    </row>
    <row r="877" spans="4:7">
      <c r="D877" s="200" t="s">
        <v>2029</v>
      </c>
      <c r="E877" s="10">
        <v>26349</v>
      </c>
      <c r="F877" s="201">
        <v>-9</v>
      </c>
      <c r="G877" s="201">
        <v>9.6999999999999993</v>
      </c>
    </row>
    <row r="878" spans="4:7">
      <c r="D878" s="200" t="s">
        <v>2030</v>
      </c>
      <c r="E878" s="10">
        <v>26624</v>
      </c>
      <c r="F878" s="201">
        <v>-9</v>
      </c>
      <c r="G878" s="201">
        <v>9.6999999999999993</v>
      </c>
    </row>
    <row r="879" spans="4:7">
      <c r="D879" s="200" t="s">
        <v>1836</v>
      </c>
      <c r="E879" s="10">
        <v>26936</v>
      </c>
      <c r="F879" s="201">
        <v>-9</v>
      </c>
      <c r="G879" s="201">
        <v>9.6999999999999993</v>
      </c>
    </row>
    <row r="880" spans="4:7">
      <c r="D880" s="200" t="s">
        <v>1985</v>
      </c>
      <c r="E880" s="10">
        <v>27753</v>
      </c>
      <c r="F880" s="201">
        <v>-9</v>
      </c>
      <c r="G880" s="201">
        <v>9.9</v>
      </c>
    </row>
    <row r="881" spans="4:7">
      <c r="D881" s="200" t="s">
        <v>1837</v>
      </c>
      <c r="E881" s="10">
        <v>28215</v>
      </c>
      <c r="F881" s="201">
        <v>-9</v>
      </c>
      <c r="G881" s="201">
        <v>9.9</v>
      </c>
    </row>
    <row r="882" spans="4:7">
      <c r="D882" s="200" t="s">
        <v>1837</v>
      </c>
      <c r="E882" s="10">
        <v>28217</v>
      </c>
      <c r="F882" s="201">
        <v>-9</v>
      </c>
      <c r="G882" s="201">
        <v>9.9</v>
      </c>
    </row>
    <row r="883" spans="4:7">
      <c r="D883" s="200" t="s">
        <v>1837</v>
      </c>
      <c r="E883" s="10">
        <v>28237</v>
      </c>
      <c r="F883" s="201">
        <v>-9</v>
      </c>
      <c r="G883" s="201">
        <v>9.6999999999999993</v>
      </c>
    </row>
    <row r="884" spans="4:7">
      <c r="D884" s="200" t="s">
        <v>1837</v>
      </c>
      <c r="E884" s="10">
        <v>28277</v>
      </c>
      <c r="F884" s="201">
        <v>-9</v>
      </c>
      <c r="G884" s="201">
        <v>9.9</v>
      </c>
    </row>
    <row r="885" spans="4:7">
      <c r="D885" s="200" t="s">
        <v>1837</v>
      </c>
      <c r="E885" s="10">
        <v>28719</v>
      </c>
      <c r="F885" s="201">
        <v>-9</v>
      </c>
      <c r="G885" s="201">
        <v>9.6999999999999993</v>
      </c>
    </row>
    <row r="886" spans="4:7">
      <c r="D886" s="200" t="s">
        <v>1837</v>
      </c>
      <c r="E886" s="10">
        <v>28755</v>
      </c>
      <c r="F886" s="201">
        <v>-9</v>
      </c>
      <c r="G886" s="201">
        <v>9.6999999999999993</v>
      </c>
    </row>
    <row r="887" spans="4:7">
      <c r="D887" s="200" t="s">
        <v>1837</v>
      </c>
      <c r="E887" s="10">
        <v>28757</v>
      </c>
      <c r="F887" s="201">
        <v>-9</v>
      </c>
      <c r="G887" s="201">
        <v>9.6999999999999993</v>
      </c>
    </row>
    <row r="888" spans="4:7">
      <c r="D888" s="200" t="s">
        <v>1837</v>
      </c>
      <c r="E888" s="10">
        <v>28759</v>
      </c>
      <c r="F888" s="201">
        <v>-9</v>
      </c>
      <c r="G888" s="201">
        <v>9.8000000000000007</v>
      </c>
    </row>
    <row r="889" spans="4:7">
      <c r="D889" s="200" t="s">
        <v>1650</v>
      </c>
      <c r="E889" s="10">
        <v>42349</v>
      </c>
      <c r="F889" s="201">
        <v>-9</v>
      </c>
      <c r="G889" s="201">
        <v>9.6999999999999993</v>
      </c>
    </row>
    <row r="890" spans="4:7">
      <c r="D890" s="200" t="s">
        <v>1928</v>
      </c>
      <c r="E890" s="10">
        <v>42859</v>
      </c>
      <c r="F890" s="201">
        <v>-9</v>
      </c>
      <c r="G890" s="201">
        <v>10.1</v>
      </c>
    </row>
    <row r="891" spans="4:7">
      <c r="D891" s="200" t="s">
        <v>1629</v>
      </c>
      <c r="E891" s="10">
        <v>44289</v>
      </c>
      <c r="F891" s="201">
        <v>-9</v>
      </c>
      <c r="G891" s="201">
        <v>10.199999999999999</v>
      </c>
    </row>
    <row r="892" spans="4:7">
      <c r="D892" s="200" t="s">
        <v>2031</v>
      </c>
      <c r="E892" s="10">
        <v>44532</v>
      </c>
      <c r="F892" s="201">
        <v>-9</v>
      </c>
      <c r="G892" s="201">
        <v>10.6</v>
      </c>
    </row>
    <row r="893" spans="4:7">
      <c r="D893" s="200" t="s">
        <v>2031</v>
      </c>
      <c r="E893" s="10">
        <v>44534</v>
      </c>
      <c r="F893" s="201">
        <v>-9</v>
      </c>
      <c r="G893" s="201">
        <v>10.4</v>
      </c>
    </row>
    <row r="894" spans="4:7">
      <c r="D894" s="200" t="s">
        <v>2031</v>
      </c>
      <c r="E894" s="10">
        <v>44536</v>
      </c>
      <c r="F894" s="201">
        <v>-9</v>
      </c>
      <c r="G894" s="201">
        <v>10.4</v>
      </c>
    </row>
    <row r="895" spans="4:7">
      <c r="D895" s="200" t="s">
        <v>2032</v>
      </c>
      <c r="E895" s="10">
        <v>48499</v>
      </c>
      <c r="F895" s="201">
        <v>-9</v>
      </c>
      <c r="G895" s="201">
        <v>10.1</v>
      </c>
    </row>
    <row r="896" spans="4:7">
      <c r="D896" s="200" t="s">
        <v>2033</v>
      </c>
      <c r="E896" s="10">
        <v>48527</v>
      </c>
      <c r="F896" s="201">
        <v>-9</v>
      </c>
      <c r="G896" s="201">
        <v>10.1</v>
      </c>
    </row>
    <row r="897" spans="4:7">
      <c r="D897" s="200" t="s">
        <v>2033</v>
      </c>
      <c r="E897" s="10">
        <v>48529</v>
      </c>
      <c r="F897" s="201">
        <v>-9</v>
      </c>
      <c r="G897" s="201">
        <v>10.1</v>
      </c>
    </row>
    <row r="898" spans="4:7">
      <c r="D898" s="200" t="s">
        <v>2033</v>
      </c>
      <c r="E898" s="10">
        <v>48531</v>
      </c>
      <c r="F898" s="201">
        <v>-9</v>
      </c>
      <c r="G898" s="201">
        <v>10.1</v>
      </c>
    </row>
    <row r="899" spans="4:7">
      <c r="D899" s="200" t="s">
        <v>2034</v>
      </c>
      <c r="E899" s="10">
        <v>48683</v>
      </c>
      <c r="F899" s="201">
        <v>-9</v>
      </c>
      <c r="G899" s="201">
        <v>10</v>
      </c>
    </row>
    <row r="900" spans="4:7">
      <c r="D900" s="200" t="s">
        <v>2035</v>
      </c>
      <c r="E900" s="10">
        <v>48739</v>
      </c>
      <c r="F900" s="201">
        <v>-9</v>
      </c>
      <c r="G900" s="201">
        <v>10</v>
      </c>
    </row>
    <row r="901" spans="4:7">
      <c r="D901" s="200" t="s">
        <v>1806</v>
      </c>
      <c r="E901" s="10">
        <v>49084</v>
      </c>
      <c r="F901" s="201">
        <v>-9</v>
      </c>
      <c r="G901" s="201">
        <v>10.4</v>
      </c>
    </row>
    <row r="902" spans="4:7">
      <c r="D902" s="200" t="s">
        <v>2036</v>
      </c>
      <c r="E902" s="10">
        <v>49744</v>
      </c>
      <c r="F902" s="201">
        <v>-9</v>
      </c>
      <c r="G902" s="201">
        <v>10.1</v>
      </c>
    </row>
    <row r="903" spans="4:7">
      <c r="D903" s="200" t="s">
        <v>2037</v>
      </c>
      <c r="E903" s="10">
        <v>49779</v>
      </c>
      <c r="F903" s="201">
        <v>-9</v>
      </c>
      <c r="G903" s="201">
        <v>9.9</v>
      </c>
    </row>
    <row r="904" spans="4:7">
      <c r="D904" s="200" t="s">
        <v>2038</v>
      </c>
      <c r="E904" s="10">
        <v>49835</v>
      </c>
      <c r="F904" s="201">
        <v>-9</v>
      </c>
      <c r="G904" s="201">
        <v>10.1</v>
      </c>
    </row>
    <row r="905" spans="4:7">
      <c r="D905" s="200" t="s">
        <v>2039</v>
      </c>
      <c r="E905" s="10">
        <v>49843</v>
      </c>
      <c r="F905" s="201">
        <v>-9</v>
      </c>
      <c r="G905" s="201">
        <v>10</v>
      </c>
    </row>
    <row r="906" spans="4:7">
      <c r="D906" s="200" t="s">
        <v>2040</v>
      </c>
      <c r="E906" s="10">
        <v>49846</v>
      </c>
      <c r="F906" s="201">
        <v>-9</v>
      </c>
      <c r="G906" s="201">
        <v>10.1</v>
      </c>
    </row>
    <row r="907" spans="4:7">
      <c r="D907" s="200" t="s">
        <v>2041</v>
      </c>
      <c r="E907" s="10">
        <v>49849</v>
      </c>
      <c r="F907" s="201">
        <v>-9</v>
      </c>
      <c r="G907" s="201">
        <v>10</v>
      </c>
    </row>
    <row r="908" spans="4:7">
      <c r="D908" s="200" t="s">
        <v>2042</v>
      </c>
      <c r="E908" s="10">
        <v>53340</v>
      </c>
      <c r="F908" s="201">
        <v>-9</v>
      </c>
      <c r="G908" s="201">
        <v>10.3</v>
      </c>
    </row>
    <row r="909" spans="4:7">
      <c r="D909" s="200" t="s">
        <v>2043</v>
      </c>
      <c r="E909" s="10">
        <v>53424</v>
      </c>
      <c r="F909" s="201">
        <v>-9</v>
      </c>
      <c r="G909" s="201">
        <v>10.4</v>
      </c>
    </row>
    <row r="910" spans="4:7">
      <c r="D910" s="200" t="s">
        <v>2044</v>
      </c>
      <c r="E910" s="10">
        <v>53619</v>
      </c>
      <c r="F910" s="201">
        <v>-9</v>
      </c>
      <c r="G910" s="201">
        <v>10.199999999999999</v>
      </c>
    </row>
    <row r="911" spans="4:7">
      <c r="D911" s="200" t="s">
        <v>2045</v>
      </c>
      <c r="E911" s="10">
        <v>53721</v>
      </c>
      <c r="F911" s="201">
        <v>-9</v>
      </c>
      <c r="G911" s="201">
        <v>10.5</v>
      </c>
    </row>
    <row r="912" spans="4:7">
      <c r="D912" s="200" t="s">
        <v>2046</v>
      </c>
      <c r="E912" s="10">
        <v>53783</v>
      </c>
      <c r="F912" s="201">
        <v>-9</v>
      </c>
      <c r="G912" s="201">
        <v>10.6</v>
      </c>
    </row>
    <row r="913" spans="4:7">
      <c r="D913" s="200" t="s">
        <v>2047</v>
      </c>
      <c r="E913" s="10">
        <v>53797</v>
      </c>
      <c r="F913" s="201">
        <v>-9</v>
      </c>
      <c r="G913" s="201">
        <v>10.6</v>
      </c>
    </row>
    <row r="914" spans="4:7">
      <c r="D914" s="200" t="s">
        <v>1952</v>
      </c>
      <c r="E914" s="10">
        <v>54292</v>
      </c>
      <c r="F914" s="201">
        <v>-9</v>
      </c>
      <c r="G914" s="201">
        <v>10.6</v>
      </c>
    </row>
    <row r="915" spans="4:7">
      <c r="D915" s="200" t="s">
        <v>2048</v>
      </c>
      <c r="E915" s="10">
        <v>54455</v>
      </c>
      <c r="F915" s="201">
        <v>-9</v>
      </c>
      <c r="G915" s="201">
        <v>10.3</v>
      </c>
    </row>
    <row r="916" spans="4:7">
      <c r="D916" s="200" t="s">
        <v>1851</v>
      </c>
      <c r="E916" s="10">
        <v>55131</v>
      </c>
      <c r="F916" s="201">
        <v>-9</v>
      </c>
      <c r="G916" s="201">
        <v>11.3</v>
      </c>
    </row>
    <row r="917" spans="4:7">
      <c r="D917" s="200" t="s">
        <v>2049</v>
      </c>
      <c r="E917" s="10">
        <v>56130</v>
      </c>
      <c r="F917" s="201">
        <v>-9</v>
      </c>
      <c r="G917" s="201">
        <v>10.4</v>
      </c>
    </row>
    <row r="918" spans="4:7">
      <c r="D918" s="200" t="s">
        <v>2050</v>
      </c>
      <c r="E918" s="10">
        <v>56191</v>
      </c>
      <c r="F918" s="201">
        <v>-9</v>
      </c>
      <c r="G918" s="201">
        <v>10.4</v>
      </c>
    </row>
    <row r="919" spans="4:7">
      <c r="D919" s="200" t="s">
        <v>2051</v>
      </c>
      <c r="E919" s="10">
        <v>56218</v>
      </c>
      <c r="F919" s="201">
        <v>-9</v>
      </c>
      <c r="G919" s="201">
        <v>10.7</v>
      </c>
    </row>
    <row r="920" spans="4:7">
      <c r="D920" s="200" t="s">
        <v>2052</v>
      </c>
      <c r="E920" s="10">
        <v>56220</v>
      </c>
      <c r="F920" s="201">
        <v>-9</v>
      </c>
      <c r="G920" s="201">
        <v>10.4</v>
      </c>
    </row>
    <row r="921" spans="4:7">
      <c r="D921" s="200" t="s">
        <v>1706</v>
      </c>
      <c r="E921" s="10">
        <v>56567</v>
      </c>
      <c r="F921" s="201">
        <v>-9</v>
      </c>
      <c r="G921" s="201">
        <v>10.5</v>
      </c>
    </row>
    <row r="922" spans="4:7">
      <c r="D922" s="200" t="s">
        <v>1735</v>
      </c>
      <c r="E922" s="10">
        <v>58119</v>
      </c>
      <c r="F922" s="201">
        <v>-9</v>
      </c>
      <c r="G922" s="201">
        <v>10.1</v>
      </c>
    </row>
    <row r="923" spans="4:7">
      <c r="D923" s="200" t="s">
        <v>2053</v>
      </c>
      <c r="E923" s="10">
        <v>58285</v>
      </c>
      <c r="F923" s="201">
        <v>-9</v>
      </c>
      <c r="G923" s="201">
        <v>9.9</v>
      </c>
    </row>
    <row r="924" spans="4:7">
      <c r="D924" s="200" t="s">
        <v>2054</v>
      </c>
      <c r="E924" s="10">
        <v>59063</v>
      </c>
      <c r="F924" s="201">
        <v>-9</v>
      </c>
      <c r="G924" s="201">
        <v>10.8</v>
      </c>
    </row>
    <row r="925" spans="4:7">
      <c r="D925" s="200" t="s">
        <v>2054</v>
      </c>
      <c r="E925" s="10">
        <v>59065</v>
      </c>
      <c r="F925" s="201">
        <v>-9</v>
      </c>
      <c r="G925" s="201">
        <v>10.8</v>
      </c>
    </row>
    <row r="926" spans="4:7">
      <c r="D926" s="200" t="s">
        <v>2055</v>
      </c>
      <c r="E926" s="10">
        <v>59348</v>
      </c>
      <c r="F926" s="201">
        <v>-9</v>
      </c>
      <c r="G926" s="201">
        <v>10.3</v>
      </c>
    </row>
    <row r="927" spans="4:7">
      <c r="D927" s="200" t="s">
        <v>2056</v>
      </c>
      <c r="E927" s="10">
        <v>59399</v>
      </c>
      <c r="F927" s="201">
        <v>-9</v>
      </c>
      <c r="G927" s="201">
        <v>10.3</v>
      </c>
    </row>
    <row r="928" spans="4:7">
      <c r="D928" s="200" t="s">
        <v>2057</v>
      </c>
      <c r="E928" s="10">
        <v>60308</v>
      </c>
      <c r="F928" s="201">
        <v>-9</v>
      </c>
      <c r="G928" s="201">
        <v>11.4</v>
      </c>
    </row>
    <row r="929" spans="4:7">
      <c r="D929" s="200" t="s">
        <v>1786</v>
      </c>
      <c r="E929" s="10">
        <v>65189</v>
      </c>
      <c r="F929" s="201">
        <v>-9</v>
      </c>
      <c r="G929" s="201">
        <v>11.1</v>
      </c>
    </row>
    <row r="930" spans="4:7">
      <c r="D930" s="200" t="s">
        <v>1814</v>
      </c>
      <c r="E930" s="10">
        <v>66121</v>
      </c>
      <c r="F930" s="201">
        <v>-9</v>
      </c>
      <c r="G930" s="201">
        <v>10.6</v>
      </c>
    </row>
    <row r="931" spans="4:7">
      <c r="D931" s="200" t="s">
        <v>2058</v>
      </c>
      <c r="E931" s="10">
        <v>66663</v>
      </c>
      <c r="F931" s="201">
        <v>-9</v>
      </c>
      <c r="G931" s="201">
        <v>10.4</v>
      </c>
    </row>
    <row r="932" spans="4:7">
      <c r="D932" s="200" t="s">
        <v>1707</v>
      </c>
      <c r="E932" s="10">
        <v>20099</v>
      </c>
      <c r="F932" s="201">
        <v>-9.1</v>
      </c>
      <c r="G932" s="201">
        <v>9.9</v>
      </c>
    </row>
    <row r="933" spans="4:7">
      <c r="D933" s="200" t="s">
        <v>1707</v>
      </c>
      <c r="E933" s="10">
        <v>20354</v>
      </c>
      <c r="F933" s="201">
        <v>-9.1</v>
      </c>
      <c r="G933" s="201">
        <v>9.9</v>
      </c>
    </row>
    <row r="934" spans="4:7">
      <c r="D934" s="200" t="s">
        <v>2059</v>
      </c>
      <c r="E934" s="10">
        <v>21729</v>
      </c>
      <c r="F934" s="201">
        <v>-9.1</v>
      </c>
      <c r="G934" s="201">
        <v>9.4</v>
      </c>
    </row>
    <row r="935" spans="4:7">
      <c r="D935" s="200" t="s">
        <v>2060</v>
      </c>
      <c r="E935" s="10">
        <v>21732</v>
      </c>
      <c r="F935" s="201">
        <v>-9.1</v>
      </c>
      <c r="G935" s="201">
        <v>9.4</v>
      </c>
    </row>
    <row r="936" spans="4:7">
      <c r="D936" s="200" t="s">
        <v>1796</v>
      </c>
      <c r="E936" s="10">
        <v>21763</v>
      </c>
      <c r="F936" s="201">
        <v>-9.1</v>
      </c>
      <c r="G936" s="201">
        <v>9.5</v>
      </c>
    </row>
    <row r="937" spans="4:7">
      <c r="D937" s="200" t="s">
        <v>2061</v>
      </c>
      <c r="E937" s="10">
        <v>21782</v>
      </c>
      <c r="F937" s="201">
        <v>-9.1</v>
      </c>
      <c r="G937" s="201">
        <v>9.5</v>
      </c>
    </row>
    <row r="938" spans="4:7">
      <c r="D938" s="200" t="s">
        <v>1707</v>
      </c>
      <c r="E938" s="10">
        <v>22087</v>
      </c>
      <c r="F938" s="201">
        <v>-9.1</v>
      </c>
      <c r="G938" s="201">
        <v>9.9</v>
      </c>
    </row>
    <row r="939" spans="4:7">
      <c r="D939" s="200" t="s">
        <v>1707</v>
      </c>
      <c r="E939" s="10">
        <v>22305</v>
      </c>
      <c r="F939" s="201">
        <v>-9.1</v>
      </c>
      <c r="G939" s="201">
        <v>9.9</v>
      </c>
    </row>
    <row r="940" spans="4:7">
      <c r="D940" s="200" t="s">
        <v>2062</v>
      </c>
      <c r="E940" s="10">
        <v>23570</v>
      </c>
      <c r="F940" s="201">
        <v>-9.1</v>
      </c>
      <c r="G940" s="201">
        <v>9.1999999999999993</v>
      </c>
    </row>
    <row r="941" spans="4:7">
      <c r="D941" s="200" t="s">
        <v>2063</v>
      </c>
      <c r="E941" s="10">
        <v>24211</v>
      </c>
      <c r="F941" s="201">
        <v>-9.1</v>
      </c>
      <c r="G941" s="201">
        <v>8.9</v>
      </c>
    </row>
    <row r="942" spans="4:7">
      <c r="D942" s="200" t="s">
        <v>2064</v>
      </c>
      <c r="E942" s="10">
        <v>24238</v>
      </c>
      <c r="F942" s="201">
        <v>-9.1</v>
      </c>
      <c r="G942" s="201">
        <v>8.8000000000000007</v>
      </c>
    </row>
    <row r="943" spans="4:7">
      <c r="D943" s="200" t="s">
        <v>2065</v>
      </c>
      <c r="E943" s="10">
        <v>24241</v>
      </c>
      <c r="F943" s="201">
        <v>-9.1</v>
      </c>
      <c r="G943" s="201">
        <v>8.8000000000000007</v>
      </c>
    </row>
    <row r="944" spans="4:7">
      <c r="D944" s="200" t="s">
        <v>2066</v>
      </c>
      <c r="E944" s="10">
        <v>24245</v>
      </c>
      <c r="F944" s="201">
        <v>-9.1</v>
      </c>
      <c r="G944" s="201">
        <v>8.9</v>
      </c>
    </row>
    <row r="945" spans="4:7">
      <c r="D945" s="200" t="s">
        <v>1891</v>
      </c>
      <c r="E945" s="10">
        <v>24536</v>
      </c>
      <c r="F945" s="201">
        <v>-9.1</v>
      </c>
      <c r="G945" s="201">
        <v>9</v>
      </c>
    </row>
    <row r="946" spans="4:7">
      <c r="D946" s="200" t="s">
        <v>2067</v>
      </c>
      <c r="E946" s="10">
        <v>24625</v>
      </c>
      <c r="F946" s="201">
        <v>-9.1</v>
      </c>
      <c r="G946" s="201">
        <v>8.9</v>
      </c>
    </row>
    <row r="947" spans="4:7">
      <c r="D947" s="200" t="s">
        <v>2068</v>
      </c>
      <c r="E947" s="10">
        <v>24631</v>
      </c>
      <c r="F947" s="201">
        <v>-9.1</v>
      </c>
      <c r="G947" s="201">
        <v>8.9</v>
      </c>
    </row>
    <row r="948" spans="4:7">
      <c r="D948" s="200" t="s">
        <v>2069</v>
      </c>
      <c r="E948" s="10">
        <v>24637</v>
      </c>
      <c r="F948" s="201">
        <v>-9.1</v>
      </c>
      <c r="G948" s="201">
        <v>8.8000000000000007</v>
      </c>
    </row>
    <row r="949" spans="4:7">
      <c r="D949" s="200" t="s">
        <v>2070</v>
      </c>
      <c r="E949" s="10">
        <v>24802</v>
      </c>
      <c r="F949" s="201">
        <v>-9.1</v>
      </c>
      <c r="G949" s="201">
        <v>9</v>
      </c>
    </row>
    <row r="950" spans="4:7">
      <c r="D950" s="200" t="s">
        <v>2071</v>
      </c>
      <c r="E950" s="10">
        <v>24819</v>
      </c>
      <c r="F950" s="201">
        <v>-9.1</v>
      </c>
      <c r="G950" s="201">
        <v>8.9</v>
      </c>
    </row>
    <row r="951" spans="4:7">
      <c r="D951" s="200" t="s">
        <v>2072</v>
      </c>
      <c r="E951" s="10">
        <v>24848</v>
      </c>
      <c r="F951" s="201">
        <v>-9.1</v>
      </c>
      <c r="G951" s="201">
        <v>9</v>
      </c>
    </row>
    <row r="952" spans="4:7">
      <c r="D952" s="200" t="s">
        <v>2073</v>
      </c>
      <c r="E952" s="10">
        <v>24863</v>
      </c>
      <c r="F952" s="201">
        <v>-9.1</v>
      </c>
      <c r="G952" s="201">
        <v>9.1</v>
      </c>
    </row>
    <row r="953" spans="4:7">
      <c r="D953" s="200" t="s">
        <v>2074</v>
      </c>
      <c r="E953" s="10">
        <v>24870</v>
      </c>
      <c r="F953" s="201">
        <v>-9.1</v>
      </c>
      <c r="G953" s="201">
        <v>9</v>
      </c>
    </row>
    <row r="954" spans="4:7">
      <c r="D954" s="200" t="s">
        <v>2075</v>
      </c>
      <c r="E954" s="10">
        <v>24876</v>
      </c>
      <c r="F954" s="201">
        <v>-9.1</v>
      </c>
      <c r="G954" s="201">
        <v>9.1</v>
      </c>
    </row>
    <row r="955" spans="4:7">
      <c r="D955" s="200" t="s">
        <v>2076</v>
      </c>
      <c r="E955" s="10">
        <v>24884</v>
      </c>
      <c r="F955" s="201">
        <v>-9.1</v>
      </c>
      <c r="G955" s="201">
        <v>9</v>
      </c>
    </row>
    <row r="956" spans="4:7">
      <c r="D956" s="200" t="s">
        <v>2077</v>
      </c>
      <c r="E956" s="10">
        <v>24969</v>
      </c>
      <c r="F956" s="201">
        <v>-9.1</v>
      </c>
      <c r="G956" s="201">
        <v>8.8000000000000007</v>
      </c>
    </row>
    <row r="957" spans="4:7">
      <c r="D957" s="200" t="s">
        <v>2078</v>
      </c>
      <c r="E957" s="10">
        <v>25348</v>
      </c>
      <c r="F957" s="201">
        <v>-9.1</v>
      </c>
      <c r="G957" s="201">
        <v>9.4</v>
      </c>
    </row>
    <row r="958" spans="4:7">
      <c r="D958" s="200" t="s">
        <v>2079</v>
      </c>
      <c r="E958" s="10">
        <v>25557</v>
      </c>
      <c r="F958" s="201">
        <v>-9.1</v>
      </c>
      <c r="G958" s="201">
        <v>9</v>
      </c>
    </row>
    <row r="959" spans="4:7">
      <c r="D959" s="200" t="s">
        <v>2080</v>
      </c>
      <c r="E959" s="10">
        <v>25572</v>
      </c>
      <c r="F959" s="201">
        <v>-9.1</v>
      </c>
      <c r="G959" s="201">
        <v>9.4</v>
      </c>
    </row>
    <row r="960" spans="4:7">
      <c r="D960" s="200" t="s">
        <v>2081</v>
      </c>
      <c r="E960" s="10">
        <v>25576</v>
      </c>
      <c r="F960" s="201">
        <v>-9.1</v>
      </c>
      <c r="G960" s="201">
        <v>9.4</v>
      </c>
    </row>
    <row r="961" spans="4:7">
      <c r="D961" s="200" t="s">
        <v>2082</v>
      </c>
      <c r="E961" s="10">
        <v>25585</v>
      </c>
      <c r="F961" s="201">
        <v>-9.1</v>
      </c>
      <c r="G961" s="201">
        <v>9</v>
      </c>
    </row>
    <row r="962" spans="4:7">
      <c r="D962" s="200" t="s">
        <v>2083</v>
      </c>
      <c r="E962" s="10">
        <v>25599</v>
      </c>
      <c r="F962" s="201">
        <v>-9.1</v>
      </c>
      <c r="G962" s="201">
        <v>9.4</v>
      </c>
    </row>
    <row r="963" spans="4:7" ht="45">
      <c r="D963" s="200" t="s">
        <v>2084</v>
      </c>
      <c r="E963" s="10">
        <v>25693</v>
      </c>
      <c r="F963" s="201">
        <v>-9.1</v>
      </c>
      <c r="G963" s="201">
        <v>9.3000000000000007</v>
      </c>
    </row>
    <row r="964" spans="4:7">
      <c r="D964" s="200" t="s">
        <v>2085</v>
      </c>
      <c r="E964" s="10">
        <v>25704</v>
      </c>
      <c r="F964" s="201">
        <v>-9.1</v>
      </c>
      <c r="G964" s="201">
        <v>9.3000000000000007</v>
      </c>
    </row>
    <row r="965" spans="4:7">
      <c r="D965" s="200" t="s">
        <v>2086</v>
      </c>
      <c r="E965" s="10">
        <v>25719</v>
      </c>
      <c r="F965" s="201">
        <v>-9.1</v>
      </c>
      <c r="G965" s="201">
        <v>9.3000000000000007</v>
      </c>
    </row>
    <row r="966" spans="4:7">
      <c r="D966" s="200" t="s">
        <v>2087</v>
      </c>
      <c r="E966" s="10">
        <v>25727</v>
      </c>
      <c r="F966" s="201">
        <v>-9.1</v>
      </c>
      <c r="G966" s="201">
        <v>9.1999999999999993</v>
      </c>
    </row>
    <row r="967" spans="4:7">
      <c r="D967" s="200" t="s">
        <v>2088</v>
      </c>
      <c r="E967" s="10">
        <v>25797</v>
      </c>
      <c r="F967" s="201">
        <v>-9.1</v>
      </c>
      <c r="G967" s="201">
        <v>9.1999999999999993</v>
      </c>
    </row>
    <row r="968" spans="4:7">
      <c r="D968" s="200" t="s">
        <v>2089</v>
      </c>
      <c r="E968" s="10">
        <v>25853</v>
      </c>
      <c r="F968" s="201">
        <v>-9.1</v>
      </c>
      <c r="G968" s="201">
        <v>8.9</v>
      </c>
    </row>
    <row r="969" spans="4:7">
      <c r="D969" s="200" t="s">
        <v>2090</v>
      </c>
      <c r="E969" s="10">
        <v>25858</v>
      </c>
      <c r="F969" s="201">
        <v>-9.1</v>
      </c>
      <c r="G969" s="201">
        <v>8.9</v>
      </c>
    </row>
    <row r="970" spans="4:7">
      <c r="D970" s="200" t="s">
        <v>2091</v>
      </c>
      <c r="E970" s="10">
        <v>25864</v>
      </c>
      <c r="F970" s="201">
        <v>-9.1</v>
      </c>
      <c r="G970" s="201">
        <v>8.8000000000000007</v>
      </c>
    </row>
    <row r="971" spans="4:7">
      <c r="D971" s="200" t="s">
        <v>2092</v>
      </c>
      <c r="E971" s="10">
        <v>25920</v>
      </c>
      <c r="F971" s="201">
        <v>-9.1</v>
      </c>
      <c r="G971" s="201">
        <v>8.9</v>
      </c>
    </row>
    <row r="972" spans="4:7">
      <c r="D972" s="200" t="s">
        <v>2093</v>
      </c>
      <c r="E972" s="10">
        <v>25923</v>
      </c>
      <c r="F972" s="201">
        <v>-9.1</v>
      </c>
      <c r="G972" s="201">
        <v>8.8000000000000007</v>
      </c>
    </row>
    <row r="973" spans="4:7">
      <c r="D973" s="200" t="s">
        <v>1921</v>
      </c>
      <c r="E973" s="10">
        <v>26131</v>
      </c>
      <c r="F973" s="201">
        <v>-9.1</v>
      </c>
      <c r="G973" s="201">
        <v>9.6999999999999993</v>
      </c>
    </row>
    <row r="974" spans="4:7">
      <c r="D974" s="200" t="s">
        <v>2094</v>
      </c>
      <c r="E974" s="10">
        <v>26632</v>
      </c>
      <c r="F974" s="201">
        <v>-9.1</v>
      </c>
      <c r="G974" s="201">
        <v>9.6</v>
      </c>
    </row>
    <row r="975" spans="4:7">
      <c r="D975" s="200" t="s">
        <v>1984</v>
      </c>
      <c r="E975" s="10">
        <v>26723</v>
      </c>
      <c r="F975" s="201">
        <v>-9.1</v>
      </c>
      <c r="G975" s="201">
        <v>9.6999999999999993</v>
      </c>
    </row>
    <row r="976" spans="4:7">
      <c r="D976" s="200" t="s">
        <v>2095</v>
      </c>
      <c r="E976" s="10">
        <v>26802</v>
      </c>
      <c r="F976" s="201">
        <v>-9.1</v>
      </c>
      <c r="G976" s="201">
        <v>9.6999999999999993</v>
      </c>
    </row>
    <row r="977" spans="4:7">
      <c r="D977" s="200" t="s">
        <v>2096</v>
      </c>
      <c r="E977" s="10">
        <v>26826</v>
      </c>
      <c r="F977" s="201">
        <v>-9.1</v>
      </c>
      <c r="G977" s="201">
        <v>9.8000000000000007</v>
      </c>
    </row>
    <row r="978" spans="4:7">
      <c r="D978" s="200" t="s">
        <v>2097</v>
      </c>
      <c r="E978" s="10">
        <v>26919</v>
      </c>
      <c r="F978" s="201">
        <v>-9.1</v>
      </c>
      <c r="G978" s="201">
        <v>9.6999999999999993</v>
      </c>
    </row>
    <row r="979" spans="4:7">
      <c r="D979" s="200" t="s">
        <v>1836</v>
      </c>
      <c r="E979" s="10">
        <v>26935</v>
      </c>
      <c r="F979" s="201">
        <v>-9.1</v>
      </c>
      <c r="G979" s="201">
        <v>9.6999999999999993</v>
      </c>
    </row>
    <row r="980" spans="4:7">
      <c r="D980" s="200" t="s">
        <v>2098</v>
      </c>
      <c r="E980" s="10">
        <v>27639</v>
      </c>
      <c r="F980" s="201">
        <v>-9.1</v>
      </c>
      <c r="G980" s="201">
        <v>9.6</v>
      </c>
    </row>
    <row r="981" spans="4:7">
      <c r="D981" s="200" t="s">
        <v>1837</v>
      </c>
      <c r="E981" s="10">
        <v>28201</v>
      </c>
      <c r="F981" s="201">
        <v>-9.1</v>
      </c>
      <c r="G981" s="201">
        <v>9.8000000000000007</v>
      </c>
    </row>
    <row r="982" spans="4:7">
      <c r="D982" s="200" t="s">
        <v>1837</v>
      </c>
      <c r="E982" s="10">
        <v>28213</v>
      </c>
      <c r="F982" s="201">
        <v>-9.1</v>
      </c>
      <c r="G982" s="201">
        <v>9.6999999999999993</v>
      </c>
    </row>
    <row r="983" spans="4:7">
      <c r="D983" s="200" t="s">
        <v>1837</v>
      </c>
      <c r="E983" s="10">
        <v>28259</v>
      </c>
      <c r="F983" s="201">
        <v>-9.1</v>
      </c>
      <c r="G983" s="201">
        <v>9.8000000000000007</v>
      </c>
    </row>
    <row r="984" spans="4:7">
      <c r="D984" s="200" t="s">
        <v>1837</v>
      </c>
      <c r="E984" s="10">
        <v>28279</v>
      </c>
      <c r="F984" s="201">
        <v>-9.1</v>
      </c>
      <c r="G984" s="201">
        <v>9.8000000000000007</v>
      </c>
    </row>
    <row r="985" spans="4:7">
      <c r="D985" s="200" t="s">
        <v>1837</v>
      </c>
      <c r="E985" s="10">
        <v>28307</v>
      </c>
      <c r="F985" s="201">
        <v>-9.1</v>
      </c>
      <c r="G985" s="201">
        <v>9.8000000000000007</v>
      </c>
    </row>
    <row r="986" spans="4:7">
      <c r="D986" s="200" t="s">
        <v>1837</v>
      </c>
      <c r="E986" s="10">
        <v>28359</v>
      </c>
      <c r="F986" s="201">
        <v>-9.1</v>
      </c>
      <c r="G986" s="201">
        <v>9.6999999999999993</v>
      </c>
    </row>
    <row r="987" spans="4:7">
      <c r="D987" s="200" t="s">
        <v>1837</v>
      </c>
      <c r="E987" s="10">
        <v>28717</v>
      </c>
      <c r="F987" s="201">
        <v>-9.1</v>
      </c>
      <c r="G987" s="201">
        <v>9.6</v>
      </c>
    </row>
    <row r="988" spans="4:7">
      <c r="D988" s="200" t="s">
        <v>1837</v>
      </c>
      <c r="E988" s="10">
        <v>28779</v>
      </c>
      <c r="F988" s="201">
        <v>-9.1</v>
      </c>
      <c r="G988" s="201">
        <v>9.6</v>
      </c>
    </row>
    <row r="989" spans="4:7">
      <c r="D989" s="200" t="s">
        <v>2099</v>
      </c>
      <c r="E989" s="10">
        <v>42929</v>
      </c>
      <c r="F989" s="201">
        <v>-9.1</v>
      </c>
      <c r="G989" s="201">
        <v>10.1</v>
      </c>
    </row>
    <row r="990" spans="4:7">
      <c r="D990" s="200" t="s">
        <v>1629</v>
      </c>
      <c r="E990" s="10">
        <v>44265</v>
      </c>
      <c r="F990" s="201">
        <v>-9.1</v>
      </c>
      <c r="G990" s="201">
        <v>9.9</v>
      </c>
    </row>
    <row r="991" spans="4:7">
      <c r="D991" s="200" t="s">
        <v>1629</v>
      </c>
      <c r="E991" s="10">
        <v>44267</v>
      </c>
      <c r="F991" s="201">
        <v>-9.1</v>
      </c>
      <c r="G991" s="201">
        <v>10.1</v>
      </c>
    </row>
    <row r="992" spans="4:7">
      <c r="D992" s="200" t="s">
        <v>1629</v>
      </c>
      <c r="E992" s="10">
        <v>44319</v>
      </c>
      <c r="F992" s="201">
        <v>-9.1</v>
      </c>
      <c r="G992" s="201">
        <v>10.5</v>
      </c>
    </row>
    <row r="993" spans="4:7">
      <c r="D993" s="200" t="s">
        <v>1629</v>
      </c>
      <c r="E993" s="10">
        <v>44329</v>
      </c>
      <c r="F993" s="201">
        <v>-9.1</v>
      </c>
      <c r="G993" s="201">
        <v>10.4</v>
      </c>
    </row>
    <row r="994" spans="4:7">
      <c r="D994" s="200" t="s">
        <v>2100</v>
      </c>
      <c r="E994" s="10">
        <v>48268</v>
      </c>
      <c r="F994" s="201">
        <v>-9.1</v>
      </c>
      <c r="G994" s="201">
        <v>10.199999999999999</v>
      </c>
    </row>
    <row r="995" spans="4:7">
      <c r="D995" s="200" t="s">
        <v>2101</v>
      </c>
      <c r="E995" s="10">
        <v>48291</v>
      </c>
      <c r="F995" s="201">
        <v>-9.1</v>
      </c>
      <c r="G995" s="201">
        <v>10.199999999999999</v>
      </c>
    </row>
    <row r="996" spans="4:7">
      <c r="D996" s="200" t="s">
        <v>2102</v>
      </c>
      <c r="E996" s="10">
        <v>48356</v>
      </c>
      <c r="F996" s="201">
        <v>-9.1</v>
      </c>
      <c r="G996" s="201">
        <v>10.199999999999999</v>
      </c>
    </row>
    <row r="997" spans="4:7">
      <c r="D997" s="200" t="s">
        <v>2103</v>
      </c>
      <c r="E997" s="10">
        <v>48366</v>
      </c>
      <c r="F997" s="201">
        <v>-9.1</v>
      </c>
      <c r="G997" s="201">
        <v>10</v>
      </c>
    </row>
    <row r="998" spans="4:7">
      <c r="D998" s="200" t="s">
        <v>2104</v>
      </c>
      <c r="E998" s="10">
        <v>48465</v>
      </c>
      <c r="F998" s="201">
        <v>-9.1</v>
      </c>
      <c r="G998" s="201">
        <v>10.1</v>
      </c>
    </row>
    <row r="999" spans="4:7">
      <c r="D999" s="200" t="s">
        <v>2105</v>
      </c>
      <c r="E999" s="10">
        <v>48477</v>
      </c>
      <c r="F999" s="201">
        <v>-9.1</v>
      </c>
      <c r="G999" s="201">
        <v>10.1</v>
      </c>
    </row>
    <row r="1000" spans="4:7">
      <c r="D1000" s="200" t="s">
        <v>2106</v>
      </c>
      <c r="E1000" s="10">
        <v>48480</v>
      </c>
      <c r="F1000" s="201">
        <v>-9.1</v>
      </c>
      <c r="G1000" s="201">
        <v>10.1</v>
      </c>
    </row>
    <row r="1001" spans="4:7">
      <c r="D1001" s="200" t="s">
        <v>2107</v>
      </c>
      <c r="E1001" s="10">
        <v>48493</v>
      </c>
      <c r="F1001" s="201">
        <v>-9.1</v>
      </c>
      <c r="G1001" s="201">
        <v>10.1</v>
      </c>
    </row>
    <row r="1002" spans="4:7">
      <c r="D1002" s="200" t="s">
        <v>2108</v>
      </c>
      <c r="E1002" s="10">
        <v>48565</v>
      </c>
      <c r="F1002" s="201">
        <v>-9.1</v>
      </c>
      <c r="G1002" s="201">
        <v>10</v>
      </c>
    </row>
    <row r="1003" spans="4:7">
      <c r="D1003" s="200" t="s">
        <v>2109</v>
      </c>
      <c r="E1003" s="10">
        <v>48607</v>
      </c>
      <c r="F1003" s="201">
        <v>-9.1</v>
      </c>
      <c r="G1003" s="201">
        <v>10.1</v>
      </c>
    </row>
    <row r="1004" spans="4:7">
      <c r="D1004" s="200" t="s">
        <v>2110</v>
      </c>
      <c r="E1004" s="10">
        <v>48619</v>
      </c>
      <c r="F1004" s="201">
        <v>-9.1</v>
      </c>
      <c r="G1004" s="201">
        <v>10</v>
      </c>
    </row>
    <row r="1005" spans="4:7">
      <c r="D1005" s="200" t="s">
        <v>2111</v>
      </c>
      <c r="E1005" s="10">
        <v>48624</v>
      </c>
      <c r="F1005" s="201">
        <v>-9.1</v>
      </c>
      <c r="G1005" s="201">
        <v>9.9</v>
      </c>
    </row>
    <row r="1006" spans="4:7">
      <c r="D1006" s="200" t="s">
        <v>2112</v>
      </c>
      <c r="E1006" s="10">
        <v>48629</v>
      </c>
      <c r="F1006" s="201">
        <v>-9.1</v>
      </c>
      <c r="G1006" s="201">
        <v>10</v>
      </c>
    </row>
    <row r="1007" spans="4:7">
      <c r="D1007" s="200" t="s">
        <v>2113</v>
      </c>
      <c r="E1007" s="10">
        <v>48720</v>
      </c>
      <c r="F1007" s="201">
        <v>-9.1</v>
      </c>
      <c r="G1007" s="201">
        <v>9.9</v>
      </c>
    </row>
    <row r="1008" spans="4:7">
      <c r="D1008" s="200" t="s">
        <v>1806</v>
      </c>
      <c r="E1008" s="10">
        <v>49088</v>
      </c>
      <c r="F1008" s="201">
        <v>-9.1</v>
      </c>
      <c r="G1008" s="201">
        <v>10.3</v>
      </c>
    </row>
    <row r="1009" spans="4:7">
      <c r="D1009" s="200" t="s">
        <v>2114</v>
      </c>
      <c r="E1009" s="10">
        <v>49477</v>
      </c>
      <c r="F1009" s="201">
        <v>-9.1</v>
      </c>
      <c r="G1009" s="201">
        <v>10.1</v>
      </c>
    </row>
    <row r="1010" spans="4:7">
      <c r="D1010" s="200" t="s">
        <v>2114</v>
      </c>
      <c r="E1010" s="10">
        <v>49479</v>
      </c>
      <c r="F1010" s="201">
        <v>-9.1</v>
      </c>
      <c r="G1010" s="201">
        <v>10.1</v>
      </c>
    </row>
    <row r="1011" spans="4:7">
      <c r="D1011" s="200" t="s">
        <v>2115</v>
      </c>
      <c r="E1011" s="10">
        <v>49624</v>
      </c>
      <c r="F1011" s="201">
        <v>-9.1</v>
      </c>
      <c r="G1011" s="201">
        <v>10</v>
      </c>
    </row>
    <row r="1012" spans="4:7">
      <c r="D1012" s="200" t="s">
        <v>2116</v>
      </c>
      <c r="E1012" s="10">
        <v>49661</v>
      </c>
      <c r="F1012" s="201">
        <v>-9.1</v>
      </c>
      <c r="G1012" s="201">
        <v>9.8000000000000007</v>
      </c>
    </row>
    <row r="1013" spans="4:7">
      <c r="D1013" s="200" t="s">
        <v>2117</v>
      </c>
      <c r="E1013" s="10">
        <v>49740</v>
      </c>
      <c r="F1013" s="201">
        <v>-9.1</v>
      </c>
      <c r="G1013" s="201">
        <v>10.1</v>
      </c>
    </row>
    <row r="1014" spans="4:7">
      <c r="D1014" s="200" t="s">
        <v>2118</v>
      </c>
      <c r="E1014" s="10">
        <v>49762</v>
      </c>
      <c r="F1014" s="201">
        <v>-9.1</v>
      </c>
      <c r="G1014" s="201">
        <v>9.9</v>
      </c>
    </row>
    <row r="1015" spans="4:7">
      <c r="D1015" s="200" t="s">
        <v>2119</v>
      </c>
      <c r="E1015" s="10">
        <v>49767</v>
      </c>
      <c r="F1015" s="201">
        <v>-9.1</v>
      </c>
      <c r="G1015" s="201">
        <v>10.1</v>
      </c>
    </row>
    <row r="1016" spans="4:7">
      <c r="D1016" s="200" t="s">
        <v>1873</v>
      </c>
      <c r="E1016" s="10">
        <v>49811</v>
      </c>
      <c r="F1016" s="201">
        <v>-9.1</v>
      </c>
      <c r="G1016" s="201">
        <v>9.9</v>
      </c>
    </row>
    <row r="1017" spans="4:7">
      <c r="D1017" s="200" t="s">
        <v>2120</v>
      </c>
      <c r="E1017" s="10">
        <v>49838</v>
      </c>
      <c r="F1017" s="201">
        <v>-9.1</v>
      </c>
      <c r="G1017" s="201">
        <v>10</v>
      </c>
    </row>
    <row r="1018" spans="4:7">
      <c r="D1018" s="200" t="s">
        <v>2121</v>
      </c>
      <c r="E1018" s="10">
        <v>49844</v>
      </c>
      <c r="F1018" s="201">
        <v>-9.1</v>
      </c>
      <c r="G1018" s="201">
        <v>10.1</v>
      </c>
    </row>
    <row r="1019" spans="4:7">
      <c r="D1019" s="200" t="s">
        <v>2122</v>
      </c>
      <c r="E1019" s="10">
        <v>49847</v>
      </c>
      <c r="F1019" s="201">
        <v>-9.1</v>
      </c>
      <c r="G1019" s="201">
        <v>10</v>
      </c>
    </row>
    <row r="1020" spans="4:7">
      <c r="D1020" s="200" t="s">
        <v>2123</v>
      </c>
      <c r="E1020" s="10">
        <v>51519</v>
      </c>
      <c r="F1020" s="201">
        <v>-9.1</v>
      </c>
      <c r="G1020" s="201">
        <v>10.199999999999999</v>
      </c>
    </row>
    <row r="1021" spans="4:7">
      <c r="D1021" s="200" t="s">
        <v>2124</v>
      </c>
      <c r="E1021" s="10">
        <v>51570</v>
      </c>
      <c r="F1021" s="201">
        <v>-9.1</v>
      </c>
      <c r="G1021" s="201">
        <v>10.4</v>
      </c>
    </row>
    <row r="1022" spans="4:7">
      <c r="D1022" s="200" t="s">
        <v>2125</v>
      </c>
      <c r="E1022" s="10">
        <v>52385</v>
      </c>
      <c r="F1022" s="201">
        <v>-9.1</v>
      </c>
      <c r="G1022" s="201">
        <v>9.9</v>
      </c>
    </row>
    <row r="1023" spans="4:7">
      <c r="D1023" s="200" t="s">
        <v>1623</v>
      </c>
      <c r="E1023" s="10">
        <v>53177</v>
      </c>
      <c r="F1023" s="201">
        <v>-9.1</v>
      </c>
      <c r="G1023" s="201">
        <v>10.3</v>
      </c>
    </row>
    <row r="1024" spans="4:7">
      <c r="D1024" s="200" t="s">
        <v>2126</v>
      </c>
      <c r="E1024" s="10">
        <v>53489</v>
      </c>
      <c r="F1024" s="201">
        <v>-9.1</v>
      </c>
      <c r="G1024" s="201">
        <v>10.199999999999999</v>
      </c>
    </row>
    <row r="1025" spans="4:7">
      <c r="D1025" s="200" t="s">
        <v>2127</v>
      </c>
      <c r="E1025" s="10">
        <v>53557</v>
      </c>
      <c r="F1025" s="201">
        <v>-9.1</v>
      </c>
      <c r="G1025" s="201">
        <v>10.3</v>
      </c>
    </row>
    <row r="1026" spans="4:7">
      <c r="D1026" s="200" t="s">
        <v>2128</v>
      </c>
      <c r="E1026" s="10">
        <v>53572</v>
      </c>
      <c r="F1026" s="201">
        <v>-9.1</v>
      </c>
      <c r="G1026" s="201">
        <v>10.3</v>
      </c>
    </row>
    <row r="1027" spans="4:7">
      <c r="D1027" s="200" t="s">
        <v>2129</v>
      </c>
      <c r="E1027" s="10">
        <v>53639</v>
      </c>
      <c r="F1027" s="201">
        <v>-9.1</v>
      </c>
      <c r="G1027" s="201">
        <v>10.3</v>
      </c>
    </row>
    <row r="1028" spans="4:7">
      <c r="D1028" s="200" t="s">
        <v>1734</v>
      </c>
      <c r="E1028" s="10">
        <v>53842</v>
      </c>
      <c r="F1028" s="201">
        <v>-9.1</v>
      </c>
      <c r="G1028" s="201">
        <v>10.6</v>
      </c>
    </row>
    <row r="1029" spans="4:7">
      <c r="D1029" s="200" t="s">
        <v>2130</v>
      </c>
      <c r="E1029" s="10">
        <v>54344</v>
      </c>
      <c r="F1029" s="201">
        <v>-9.1</v>
      </c>
      <c r="G1029" s="201">
        <v>10.3</v>
      </c>
    </row>
    <row r="1030" spans="4:7">
      <c r="D1030" s="200" t="s">
        <v>2131</v>
      </c>
      <c r="E1030" s="10">
        <v>54441</v>
      </c>
      <c r="F1030" s="201">
        <v>-9.1</v>
      </c>
      <c r="G1030" s="201">
        <v>10.3</v>
      </c>
    </row>
    <row r="1031" spans="4:7">
      <c r="D1031" s="200" t="s">
        <v>2132</v>
      </c>
      <c r="E1031" s="10">
        <v>54669</v>
      </c>
      <c r="F1031" s="201">
        <v>-9.1</v>
      </c>
      <c r="G1031" s="201">
        <v>10.3</v>
      </c>
    </row>
    <row r="1032" spans="4:7">
      <c r="D1032" s="200" t="s">
        <v>1851</v>
      </c>
      <c r="E1032" s="10">
        <v>55122</v>
      </c>
      <c r="F1032" s="201">
        <v>-9.1</v>
      </c>
      <c r="G1032" s="201">
        <v>11.1</v>
      </c>
    </row>
    <row r="1033" spans="4:7">
      <c r="D1033" s="200" t="s">
        <v>1705</v>
      </c>
      <c r="E1033" s="10">
        <v>56072</v>
      </c>
      <c r="F1033" s="201">
        <v>-9.1</v>
      </c>
      <c r="G1033" s="201">
        <v>10.3</v>
      </c>
    </row>
    <row r="1034" spans="4:7">
      <c r="D1034" s="200" t="s">
        <v>2133</v>
      </c>
      <c r="E1034" s="10">
        <v>56112</v>
      </c>
      <c r="F1034" s="201">
        <v>-9.1</v>
      </c>
      <c r="G1034" s="201">
        <v>10.5</v>
      </c>
    </row>
    <row r="1035" spans="4:7">
      <c r="D1035" s="200" t="s">
        <v>2134</v>
      </c>
      <c r="E1035" s="10">
        <v>56132</v>
      </c>
      <c r="F1035" s="201">
        <v>-9.1</v>
      </c>
      <c r="G1035" s="201">
        <v>10.5</v>
      </c>
    </row>
    <row r="1036" spans="4:7">
      <c r="D1036" s="200" t="s">
        <v>2135</v>
      </c>
      <c r="E1036" s="10">
        <v>56589</v>
      </c>
      <c r="F1036" s="201">
        <v>-9.1</v>
      </c>
      <c r="G1036" s="201">
        <v>10.5</v>
      </c>
    </row>
    <row r="1037" spans="4:7">
      <c r="D1037" s="200" t="s">
        <v>2136</v>
      </c>
      <c r="E1037" s="10">
        <v>56637</v>
      </c>
      <c r="F1037" s="201">
        <v>-9.1</v>
      </c>
      <c r="G1037" s="201">
        <v>10.6</v>
      </c>
    </row>
    <row r="1038" spans="4:7">
      <c r="D1038" s="200" t="s">
        <v>2137</v>
      </c>
      <c r="E1038" s="10">
        <v>56648</v>
      </c>
      <c r="F1038" s="201">
        <v>-9.1</v>
      </c>
      <c r="G1038" s="201">
        <v>10.4</v>
      </c>
    </row>
    <row r="1039" spans="4:7">
      <c r="D1039" s="200" t="s">
        <v>2138</v>
      </c>
      <c r="E1039" s="10">
        <v>58313</v>
      </c>
      <c r="F1039" s="201">
        <v>-9.1</v>
      </c>
      <c r="G1039" s="201">
        <v>9.9</v>
      </c>
    </row>
    <row r="1040" spans="4:7">
      <c r="D1040" s="200" t="s">
        <v>2139</v>
      </c>
      <c r="E1040" s="10">
        <v>58642</v>
      </c>
      <c r="F1040" s="201">
        <v>-9.1</v>
      </c>
      <c r="G1040" s="201">
        <v>10</v>
      </c>
    </row>
    <row r="1041" spans="4:7">
      <c r="D1041" s="200" t="s">
        <v>2054</v>
      </c>
      <c r="E1041" s="10">
        <v>59067</v>
      </c>
      <c r="F1041" s="201">
        <v>-9.1</v>
      </c>
      <c r="G1041" s="201">
        <v>10.7</v>
      </c>
    </row>
    <row r="1042" spans="4:7">
      <c r="D1042" s="200" t="s">
        <v>2140</v>
      </c>
      <c r="E1042" s="10">
        <v>59174</v>
      </c>
      <c r="F1042" s="201">
        <v>-9.1</v>
      </c>
      <c r="G1042" s="201">
        <v>10.6</v>
      </c>
    </row>
    <row r="1043" spans="4:7">
      <c r="D1043" s="200" t="s">
        <v>2141</v>
      </c>
      <c r="E1043" s="10">
        <v>59368</v>
      </c>
      <c r="F1043" s="201">
        <v>-9.1</v>
      </c>
      <c r="G1043" s="201">
        <v>10.4</v>
      </c>
    </row>
    <row r="1044" spans="4:7">
      <c r="D1044" s="200" t="s">
        <v>2142</v>
      </c>
      <c r="E1044" s="10">
        <v>59379</v>
      </c>
      <c r="F1044" s="201">
        <v>-9.1</v>
      </c>
      <c r="G1044" s="201">
        <v>10.3</v>
      </c>
    </row>
    <row r="1045" spans="4:7">
      <c r="D1045" s="200" t="s">
        <v>2143</v>
      </c>
      <c r="E1045" s="10">
        <v>59425</v>
      </c>
      <c r="F1045" s="201">
        <v>-9.1</v>
      </c>
      <c r="G1045" s="201">
        <v>10.7</v>
      </c>
    </row>
    <row r="1046" spans="4:7">
      <c r="D1046" s="200" t="s">
        <v>1771</v>
      </c>
      <c r="E1046" s="10">
        <v>60322</v>
      </c>
      <c r="F1046" s="201">
        <v>-9.1</v>
      </c>
      <c r="G1046" s="201">
        <v>11.3</v>
      </c>
    </row>
    <row r="1047" spans="4:7">
      <c r="D1047" s="200" t="s">
        <v>1771</v>
      </c>
      <c r="E1047" s="10">
        <v>60325</v>
      </c>
      <c r="F1047" s="201">
        <v>-9.1</v>
      </c>
      <c r="G1047" s="201">
        <v>11.3</v>
      </c>
    </row>
    <row r="1048" spans="4:7">
      <c r="D1048" s="200" t="s">
        <v>1771</v>
      </c>
      <c r="E1048" s="10">
        <v>60327</v>
      </c>
      <c r="F1048" s="201">
        <v>-9.1</v>
      </c>
      <c r="G1048" s="201">
        <v>11.3</v>
      </c>
    </row>
    <row r="1049" spans="4:7">
      <c r="D1049" s="200" t="s">
        <v>1771</v>
      </c>
      <c r="E1049" s="10">
        <v>60487</v>
      </c>
      <c r="F1049" s="201">
        <v>-9.1</v>
      </c>
      <c r="G1049" s="201">
        <v>11.3</v>
      </c>
    </row>
    <row r="1050" spans="4:7">
      <c r="D1050" s="200" t="s">
        <v>1786</v>
      </c>
      <c r="E1050" s="10">
        <v>65203</v>
      </c>
      <c r="F1050" s="201">
        <v>-9.1</v>
      </c>
      <c r="G1050" s="201">
        <v>11.1</v>
      </c>
    </row>
    <row r="1051" spans="4:7">
      <c r="D1051" s="200" t="s">
        <v>2144</v>
      </c>
      <c r="E1051" s="10">
        <v>66333</v>
      </c>
      <c r="F1051" s="201">
        <v>-9.1</v>
      </c>
      <c r="G1051" s="201">
        <v>10.5</v>
      </c>
    </row>
    <row r="1052" spans="4:7">
      <c r="D1052" s="200" t="s">
        <v>2145</v>
      </c>
      <c r="E1052" s="10">
        <v>66763</v>
      </c>
      <c r="F1052" s="201">
        <v>-9.1</v>
      </c>
      <c r="G1052" s="201">
        <v>10.4</v>
      </c>
    </row>
    <row r="1053" spans="4:7">
      <c r="D1053" s="200" t="s">
        <v>2146</v>
      </c>
      <c r="E1053" s="10">
        <v>66806</v>
      </c>
      <c r="F1053" s="201">
        <v>-9.1</v>
      </c>
      <c r="G1053" s="201">
        <v>10.5</v>
      </c>
    </row>
    <row r="1054" spans="4:7">
      <c r="D1054" s="200" t="s">
        <v>2147</v>
      </c>
      <c r="E1054" s="10">
        <v>78462</v>
      </c>
      <c r="F1054" s="201">
        <v>-9.1</v>
      </c>
      <c r="G1054" s="201">
        <v>10.4</v>
      </c>
    </row>
    <row r="1055" spans="4:7">
      <c r="D1055" s="200" t="s">
        <v>1707</v>
      </c>
      <c r="E1055" s="10">
        <v>20144</v>
      </c>
      <c r="F1055" s="201">
        <v>-9.1999999999999993</v>
      </c>
      <c r="G1055" s="201">
        <v>9.8000000000000007</v>
      </c>
    </row>
    <row r="1056" spans="4:7">
      <c r="D1056" s="200" t="s">
        <v>1707</v>
      </c>
      <c r="E1056" s="10">
        <v>20146</v>
      </c>
      <c r="F1056" s="201">
        <v>-9.1999999999999993</v>
      </c>
      <c r="G1056" s="201">
        <v>9.8000000000000007</v>
      </c>
    </row>
    <row r="1057" spans="4:7">
      <c r="D1057" s="200" t="s">
        <v>1707</v>
      </c>
      <c r="E1057" s="10">
        <v>20149</v>
      </c>
      <c r="F1057" s="201">
        <v>-9.1999999999999993</v>
      </c>
      <c r="G1057" s="201">
        <v>9.8000000000000007</v>
      </c>
    </row>
    <row r="1058" spans="4:7">
      <c r="D1058" s="200" t="s">
        <v>1707</v>
      </c>
      <c r="E1058" s="10">
        <v>20249</v>
      </c>
      <c r="F1058" s="201">
        <v>-9.1999999999999993</v>
      </c>
      <c r="G1058" s="201">
        <v>9.9</v>
      </c>
    </row>
    <row r="1059" spans="4:7">
      <c r="D1059" s="200" t="s">
        <v>1707</v>
      </c>
      <c r="E1059" s="10">
        <v>20251</v>
      </c>
      <c r="F1059" s="201">
        <v>-9.1999999999999993</v>
      </c>
      <c r="G1059" s="201">
        <v>9.8000000000000007</v>
      </c>
    </row>
    <row r="1060" spans="4:7">
      <c r="D1060" s="200" t="s">
        <v>1707</v>
      </c>
      <c r="E1060" s="10">
        <v>20253</v>
      </c>
      <c r="F1060" s="201">
        <v>-9.1999999999999993</v>
      </c>
      <c r="G1060" s="201">
        <v>9.8000000000000007</v>
      </c>
    </row>
    <row r="1061" spans="4:7">
      <c r="D1061" s="200" t="s">
        <v>1707</v>
      </c>
      <c r="E1061" s="10">
        <v>20255</v>
      </c>
      <c r="F1061" s="201">
        <v>-9.1999999999999993</v>
      </c>
      <c r="G1061" s="201">
        <v>9.8000000000000007</v>
      </c>
    </row>
    <row r="1062" spans="4:7">
      <c r="D1062" s="200" t="s">
        <v>1707</v>
      </c>
      <c r="E1062" s="10">
        <v>20257</v>
      </c>
      <c r="F1062" s="201">
        <v>-9.1999999999999993</v>
      </c>
      <c r="G1062" s="201">
        <v>9.8000000000000007</v>
      </c>
    </row>
    <row r="1063" spans="4:7">
      <c r="D1063" s="200" t="s">
        <v>1707</v>
      </c>
      <c r="E1063" s="10">
        <v>20259</v>
      </c>
      <c r="F1063" s="201">
        <v>-9.1999999999999993</v>
      </c>
      <c r="G1063" s="201">
        <v>9.8000000000000007</v>
      </c>
    </row>
    <row r="1064" spans="4:7">
      <c r="D1064" s="200" t="s">
        <v>1707</v>
      </c>
      <c r="E1064" s="10">
        <v>20535</v>
      </c>
      <c r="F1064" s="201">
        <v>-9.1999999999999993</v>
      </c>
      <c r="G1064" s="201">
        <v>9.8000000000000007</v>
      </c>
    </row>
    <row r="1065" spans="4:7">
      <c r="D1065" s="200" t="s">
        <v>2148</v>
      </c>
      <c r="E1065" s="10">
        <v>21737</v>
      </c>
      <c r="F1065" s="201">
        <v>-9.1999999999999993</v>
      </c>
      <c r="G1065" s="201">
        <v>9.4</v>
      </c>
    </row>
    <row r="1066" spans="4:7">
      <c r="D1066" s="200" t="s">
        <v>2149</v>
      </c>
      <c r="E1066" s="10">
        <v>21781</v>
      </c>
      <c r="F1066" s="201">
        <v>-9.1999999999999993</v>
      </c>
      <c r="G1066" s="201">
        <v>9.5</v>
      </c>
    </row>
    <row r="1067" spans="4:7">
      <c r="D1067" s="200" t="s">
        <v>2150</v>
      </c>
      <c r="E1067" s="10">
        <v>21784</v>
      </c>
      <c r="F1067" s="201">
        <v>-9.1999999999999993</v>
      </c>
      <c r="G1067" s="201">
        <v>9.5</v>
      </c>
    </row>
    <row r="1068" spans="4:7">
      <c r="D1068" s="200" t="s">
        <v>1707</v>
      </c>
      <c r="E1068" s="10">
        <v>22049</v>
      </c>
      <c r="F1068" s="201">
        <v>-9.1999999999999993</v>
      </c>
      <c r="G1068" s="201">
        <v>9.8000000000000007</v>
      </c>
    </row>
    <row r="1069" spans="4:7">
      <c r="D1069" s="200" t="s">
        <v>1707</v>
      </c>
      <c r="E1069" s="10">
        <v>22081</v>
      </c>
      <c r="F1069" s="201">
        <v>-9.1999999999999993</v>
      </c>
      <c r="G1069" s="201">
        <v>9.8000000000000007</v>
      </c>
    </row>
    <row r="1070" spans="4:7">
      <c r="D1070" s="200" t="s">
        <v>1707</v>
      </c>
      <c r="E1070" s="10">
        <v>22089</v>
      </c>
      <c r="F1070" s="201">
        <v>-9.1999999999999993</v>
      </c>
      <c r="G1070" s="201">
        <v>9.9</v>
      </c>
    </row>
    <row r="1071" spans="4:7">
      <c r="D1071" s="200" t="s">
        <v>1707</v>
      </c>
      <c r="E1071" s="10">
        <v>22111</v>
      </c>
      <c r="F1071" s="201">
        <v>-9.1999999999999993</v>
      </c>
      <c r="G1071" s="201">
        <v>9.8000000000000007</v>
      </c>
    </row>
    <row r="1072" spans="4:7">
      <c r="D1072" s="200" t="s">
        <v>1707</v>
      </c>
      <c r="E1072" s="10">
        <v>22299</v>
      </c>
      <c r="F1072" s="201">
        <v>-9.1999999999999993</v>
      </c>
      <c r="G1072" s="201">
        <v>9.9</v>
      </c>
    </row>
    <row r="1073" spans="4:7">
      <c r="D1073" s="200" t="s">
        <v>1707</v>
      </c>
      <c r="E1073" s="10">
        <v>22301</v>
      </c>
      <c r="F1073" s="201">
        <v>-9.1999999999999993</v>
      </c>
      <c r="G1073" s="201">
        <v>9.9</v>
      </c>
    </row>
    <row r="1074" spans="4:7">
      <c r="D1074" s="200" t="s">
        <v>1707</v>
      </c>
      <c r="E1074" s="10">
        <v>22523</v>
      </c>
      <c r="F1074" s="201">
        <v>-9.1999999999999993</v>
      </c>
      <c r="G1074" s="201">
        <v>9.8000000000000007</v>
      </c>
    </row>
    <row r="1075" spans="4:7">
      <c r="D1075" s="200" t="s">
        <v>1707</v>
      </c>
      <c r="E1075" s="10">
        <v>22607</v>
      </c>
      <c r="F1075" s="201">
        <v>-9.1999999999999993</v>
      </c>
      <c r="G1075" s="201">
        <v>9.6999999999999993</v>
      </c>
    </row>
    <row r="1076" spans="4:7">
      <c r="D1076" s="200" t="s">
        <v>1707</v>
      </c>
      <c r="E1076" s="10">
        <v>22609</v>
      </c>
      <c r="F1076" s="201">
        <v>-9.1999999999999993</v>
      </c>
      <c r="G1076" s="201">
        <v>9.6</v>
      </c>
    </row>
    <row r="1077" spans="4:7">
      <c r="D1077" s="200" t="s">
        <v>1707</v>
      </c>
      <c r="E1077" s="10">
        <v>22761</v>
      </c>
      <c r="F1077" s="201">
        <v>-9.1999999999999993</v>
      </c>
      <c r="G1077" s="201">
        <v>9.6999999999999993</v>
      </c>
    </row>
    <row r="1078" spans="4:7">
      <c r="D1078" s="200" t="s">
        <v>1707</v>
      </c>
      <c r="E1078" s="10">
        <v>22769</v>
      </c>
      <c r="F1078" s="201">
        <v>-9.1999999999999993</v>
      </c>
      <c r="G1078" s="201">
        <v>9.8000000000000007</v>
      </c>
    </row>
    <row r="1079" spans="4:7">
      <c r="D1079" s="200" t="s">
        <v>2151</v>
      </c>
      <c r="E1079" s="10">
        <v>24250</v>
      </c>
      <c r="F1079" s="201">
        <v>-9.1999999999999993</v>
      </c>
      <c r="G1079" s="201">
        <v>8.8000000000000007</v>
      </c>
    </row>
    <row r="1080" spans="4:7">
      <c r="D1080" s="200" t="s">
        <v>1891</v>
      </c>
      <c r="E1080" s="10">
        <v>24539</v>
      </c>
      <c r="F1080" s="201">
        <v>-9.1999999999999993</v>
      </c>
      <c r="G1080" s="201">
        <v>9.1999999999999993</v>
      </c>
    </row>
    <row r="1081" spans="4:7">
      <c r="D1081" s="200" t="s">
        <v>2152</v>
      </c>
      <c r="E1081" s="10">
        <v>24589</v>
      </c>
      <c r="F1081" s="201">
        <v>-9.1999999999999993</v>
      </c>
      <c r="G1081" s="201">
        <v>8.9</v>
      </c>
    </row>
    <row r="1082" spans="4:7">
      <c r="D1082" s="200" t="s">
        <v>2153</v>
      </c>
      <c r="E1082" s="10">
        <v>24601</v>
      </c>
      <c r="F1082" s="201">
        <v>-9.1999999999999993</v>
      </c>
      <c r="G1082" s="201">
        <v>8.8000000000000007</v>
      </c>
    </row>
    <row r="1083" spans="4:7">
      <c r="D1083" s="200" t="s">
        <v>2154</v>
      </c>
      <c r="E1083" s="10">
        <v>24646</v>
      </c>
      <c r="F1083" s="201">
        <v>-9.1999999999999993</v>
      </c>
      <c r="G1083" s="201">
        <v>8.9</v>
      </c>
    </row>
    <row r="1084" spans="4:7">
      <c r="D1084" s="200" t="s">
        <v>2155</v>
      </c>
      <c r="E1084" s="10">
        <v>24793</v>
      </c>
      <c r="F1084" s="201">
        <v>-9.1999999999999993</v>
      </c>
      <c r="G1084" s="201">
        <v>8.9</v>
      </c>
    </row>
    <row r="1085" spans="4:7">
      <c r="D1085" s="200" t="s">
        <v>2156</v>
      </c>
      <c r="E1085" s="10">
        <v>24867</v>
      </c>
      <c r="F1085" s="201">
        <v>-9.1999999999999993</v>
      </c>
      <c r="G1085" s="201">
        <v>9</v>
      </c>
    </row>
    <row r="1086" spans="4:7">
      <c r="D1086" s="200" t="s">
        <v>2157</v>
      </c>
      <c r="E1086" s="10">
        <v>24872</v>
      </c>
      <c r="F1086" s="201">
        <v>-9.1999999999999993</v>
      </c>
      <c r="G1086" s="201">
        <v>9</v>
      </c>
    </row>
    <row r="1087" spans="4:7">
      <c r="D1087" s="200" t="s">
        <v>2158</v>
      </c>
      <c r="E1087" s="10">
        <v>24878</v>
      </c>
      <c r="F1087" s="201">
        <v>-9.1999999999999993</v>
      </c>
      <c r="G1087" s="201">
        <v>9</v>
      </c>
    </row>
    <row r="1088" spans="4:7">
      <c r="D1088" s="200" t="s">
        <v>2159</v>
      </c>
      <c r="E1088" s="10">
        <v>25376</v>
      </c>
      <c r="F1088" s="201">
        <v>-9.1999999999999993</v>
      </c>
      <c r="G1088" s="201">
        <v>9.3000000000000007</v>
      </c>
    </row>
    <row r="1089" spans="4:7">
      <c r="D1089" s="200" t="s">
        <v>2160</v>
      </c>
      <c r="E1089" s="10">
        <v>25573</v>
      </c>
      <c r="F1089" s="201">
        <v>-9.1999999999999993</v>
      </c>
      <c r="G1089" s="201">
        <v>9.3000000000000007</v>
      </c>
    </row>
    <row r="1090" spans="4:7">
      <c r="D1090" s="200" t="s">
        <v>2161</v>
      </c>
      <c r="E1090" s="10">
        <v>25712</v>
      </c>
      <c r="F1090" s="201">
        <v>-9.1999999999999993</v>
      </c>
      <c r="G1090" s="201">
        <v>9.1</v>
      </c>
    </row>
    <row r="1091" spans="4:7">
      <c r="D1091" s="200" t="s">
        <v>2162</v>
      </c>
      <c r="E1091" s="10">
        <v>25770</v>
      </c>
      <c r="F1091" s="201">
        <v>-9.1999999999999993</v>
      </c>
      <c r="G1091" s="201">
        <v>9.1999999999999993</v>
      </c>
    </row>
    <row r="1092" spans="4:7">
      <c r="D1092" s="200" t="s">
        <v>2163</v>
      </c>
      <c r="E1092" s="10">
        <v>25917</v>
      </c>
      <c r="F1092" s="201">
        <v>-9.1999999999999993</v>
      </c>
      <c r="G1092" s="201">
        <v>8.8000000000000007</v>
      </c>
    </row>
    <row r="1093" spans="4:7">
      <c r="D1093" s="200" t="s">
        <v>2164</v>
      </c>
      <c r="E1093" s="10">
        <v>27612</v>
      </c>
      <c r="F1093" s="201">
        <v>-9.1999999999999993</v>
      </c>
      <c r="G1093" s="201">
        <v>9.6999999999999993</v>
      </c>
    </row>
    <row r="1094" spans="4:7">
      <c r="D1094" s="200" t="s">
        <v>2165</v>
      </c>
      <c r="E1094" s="10">
        <v>28844</v>
      </c>
      <c r="F1094" s="201">
        <v>-9.1999999999999993</v>
      </c>
      <c r="G1094" s="201">
        <v>9.6</v>
      </c>
    </row>
    <row r="1095" spans="4:7">
      <c r="D1095" s="200" t="s">
        <v>1650</v>
      </c>
      <c r="E1095" s="10">
        <v>42279</v>
      </c>
      <c r="F1095" s="201">
        <v>-9.1999999999999993</v>
      </c>
      <c r="G1095" s="201">
        <v>9.6</v>
      </c>
    </row>
    <row r="1096" spans="4:7">
      <c r="D1096" s="200" t="s">
        <v>1664</v>
      </c>
      <c r="E1096" s="10">
        <v>48157</v>
      </c>
      <c r="F1096" s="201">
        <v>-9.1999999999999993</v>
      </c>
      <c r="G1096" s="201">
        <v>10.199999999999999</v>
      </c>
    </row>
    <row r="1097" spans="4:7">
      <c r="D1097" s="200" t="s">
        <v>1664</v>
      </c>
      <c r="E1097" s="10">
        <v>48159</v>
      </c>
      <c r="F1097" s="201">
        <v>-9.1999999999999993</v>
      </c>
      <c r="G1097" s="201">
        <v>10.1</v>
      </c>
    </row>
    <row r="1098" spans="4:7">
      <c r="D1098" s="200" t="s">
        <v>1664</v>
      </c>
      <c r="E1098" s="10">
        <v>48161</v>
      </c>
      <c r="F1098" s="201">
        <v>-9.1999999999999993</v>
      </c>
      <c r="G1098" s="201">
        <v>10.1</v>
      </c>
    </row>
    <row r="1099" spans="4:7">
      <c r="D1099" s="200" t="s">
        <v>2166</v>
      </c>
      <c r="E1099" s="10">
        <v>48301</v>
      </c>
      <c r="F1099" s="201">
        <v>-9.1999999999999993</v>
      </c>
      <c r="G1099" s="201">
        <v>10</v>
      </c>
    </row>
    <row r="1100" spans="4:7">
      <c r="D1100" s="200" t="s">
        <v>2167</v>
      </c>
      <c r="E1100" s="10">
        <v>48329</v>
      </c>
      <c r="F1100" s="201">
        <v>-9.1999999999999993</v>
      </c>
      <c r="G1100" s="201">
        <v>10.1</v>
      </c>
    </row>
    <row r="1101" spans="4:7">
      <c r="D1101" s="200" t="s">
        <v>2168</v>
      </c>
      <c r="E1101" s="10">
        <v>48341</v>
      </c>
      <c r="F1101" s="201">
        <v>-9.1999999999999993</v>
      </c>
      <c r="G1101" s="201">
        <v>10</v>
      </c>
    </row>
    <row r="1102" spans="4:7">
      <c r="D1102" s="200" t="s">
        <v>2169</v>
      </c>
      <c r="E1102" s="10">
        <v>48488</v>
      </c>
      <c r="F1102" s="201">
        <v>-9.1999999999999993</v>
      </c>
      <c r="G1102" s="201">
        <v>10.1</v>
      </c>
    </row>
    <row r="1103" spans="4:7">
      <c r="D1103" s="200" t="s">
        <v>2170</v>
      </c>
      <c r="E1103" s="10">
        <v>48496</v>
      </c>
      <c r="F1103" s="201">
        <v>-9.1999999999999993</v>
      </c>
      <c r="G1103" s="201">
        <v>10.1</v>
      </c>
    </row>
    <row r="1104" spans="4:7">
      <c r="D1104" s="200" t="s">
        <v>2171</v>
      </c>
      <c r="E1104" s="10">
        <v>49509</v>
      </c>
      <c r="F1104" s="201">
        <v>-9.1999999999999993</v>
      </c>
      <c r="G1104" s="201">
        <v>10.1</v>
      </c>
    </row>
    <row r="1105" spans="4:7">
      <c r="D1105" s="200" t="s">
        <v>2172</v>
      </c>
      <c r="E1105" s="10">
        <v>49584</v>
      </c>
      <c r="F1105" s="201">
        <v>-9.1999999999999993</v>
      </c>
      <c r="G1105" s="201">
        <v>10</v>
      </c>
    </row>
    <row r="1106" spans="4:7">
      <c r="D1106" s="200" t="s">
        <v>2173</v>
      </c>
      <c r="E1106" s="10">
        <v>49599</v>
      </c>
      <c r="F1106" s="201">
        <v>-9.1999999999999993</v>
      </c>
      <c r="G1106" s="201">
        <v>10</v>
      </c>
    </row>
    <row r="1107" spans="4:7">
      <c r="D1107" s="200" t="s">
        <v>2174</v>
      </c>
      <c r="E1107" s="10">
        <v>49770</v>
      </c>
      <c r="F1107" s="201">
        <v>-9.1999999999999993</v>
      </c>
      <c r="G1107" s="201">
        <v>10</v>
      </c>
    </row>
    <row r="1108" spans="4:7">
      <c r="D1108" s="200" t="s">
        <v>2175</v>
      </c>
      <c r="E1108" s="10">
        <v>49774</v>
      </c>
      <c r="F1108" s="201">
        <v>-9.1999999999999993</v>
      </c>
      <c r="G1108" s="201">
        <v>10</v>
      </c>
    </row>
    <row r="1109" spans="4:7">
      <c r="D1109" s="200" t="s">
        <v>2176</v>
      </c>
      <c r="E1109" s="10">
        <v>49777</v>
      </c>
      <c r="F1109" s="201">
        <v>-9.1999999999999993</v>
      </c>
      <c r="G1109" s="201">
        <v>9.9</v>
      </c>
    </row>
    <row r="1110" spans="4:7">
      <c r="D1110" s="200" t="s">
        <v>2177</v>
      </c>
      <c r="E1110" s="10">
        <v>53343</v>
      </c>
      <c r="F1110" s="201">
        <v>-9.1999999999999993</v>
      </c>
      <c r="G1110" s="201">
        <v>10.1</v>
      </c>
    </row>
    <row r="1111" spans="4:7">
      <c r="D1111" s="200" t="s">
        <v>2178</v>
      </c>
      <c r="E1111" s="10">
        <v>53501</v>
      </c>
      <c r="F1111" s="201">
        <v>-9.1999999999999993</v>
      </c>
      <c r="G1111" s="201">
        <v>10.1</v>
      </c>
    </row>
    <row r="1112" spans="4:7">
      <c r="D1112" s="200" t="s">
        <v>2179</v>
      </c>
      <c r="E1112" s="10">
        <v>53507</v>
      </c>
      <c r="F1112" s="201">
        <v>-9.1999999999999993</v>
      </c>
      <c r="G1112" s="201">
        <v>10.199999999999999</v>
      </c>
    </row>
    <row r="1113" spans="4:7">
      <c r="D1113" s="200" t="s">
        <v>2180</v>
      </c>
      <c r="E1113" s="10">
        <v>53508</v>
      </c>
      <c r="F1113" s="201">
        <v>-9.1999999999999993</v>
      </c>
      <c r="G1113" s="201">
        <v>10.1</v>
      </c>
    </row>
    <row r="1114" spans="4:7">
      <c r="D1114" s="200" t="s">
        <v>2181</v>
      </c>
      <c r="E1114" s="10">
        <v>53773</v>
      </c>
      <c r="F1114" s="201">
        <v>-9.1999999999999993</v>
      </c>
      <c r="G1114" s="201">
        <v>10.199999999999999</v>
      </c>
    </row>
    <row r="1115" spans="4:7">
      <c r="D1115" s="200" t="s">
        <v>2182</v>
      </c>
      <c r="E1115" s="10">
        <v>53819</v>
      </c>
      <c r="F1115" s="201">
        <v>-9.1999999999999993</v>
      </c>
      <c r="G1115" s="201">
        <v>10.3</v>
      </c>
    </row>
    <row r="1116" spans="4:7">
      <c r="D1116" s="200" t="s">
        <v>1952</v>
      </c>
      <c r="E1116" s="10">
        <v>54294</v>
      </c>
      <c r="F1116" s="201">
        <v>-9.1999999999999993</v>
      </c>
      <c r="G1116" s="201">
        <v>10.3</v>
      </c>
    </row>
    <row r="1117" spans="4:7">
      <c r="D1117" s="200" t="s">
        <v>2183</v>
      </c>
      <c r="E1117" s="10">
        <v>54338</v>
      </c>
      <c r="F1117" s="201">
        <v>-9.1999999999999993</v>
      </c>
      <c r="G1117" s="201">
        <v>10.3</v>
      </c>
    </row>
    <row r="1118" spans="4:7">
      <c r="D1118" s="200" t="s">
        <v>2184</v>
      </c>
      <c r="E1118" s="10">
        <v>54457</v>
      </c>
      <c r="F1118" s="201">
        <v>-9.1999999999999993</v>
      </c>
      <c r="G1118" s="201">
        <v>10</v>
      </c>
    </row>
    <row r="1119" spans="4:7">
      <c r="D1119" s="200" t="s">
        <v>2185</v>
      </c>
      <c r="E1119" s="10">
        <v>54470</v>
      </c>
      <c r="F1119" s="201">
        <v>-9.1999999999999993</v>
      </c>
      <c r="G1119" s="201">
        <v>10.4</v>
      </c>
    </row>
    <row r="1120" spans="4:7">
      <c r="D1120" s="200" t="s">
        <v>2186</v>
      </c>
      <c r="E1120" s="10">
        <v>54498</v>
      </c>
      <c r="F1120" s="201">
        <v>-9.1999999999999993</v>
      </c>
      <c r="G1120" s="201">
        <v>10.4</v>
      </c>
    </row>
    <row r="1121" spans="4:7">
      <c r="D1121" s="200" t="s">
        <v>2187</v>
      </c>
      <c r="E1121" s="10">
        <v>54666</v>
      </c>
      <c r="F1121" s="201">
        <v>-9.1999999999999993</v>
      </c>
      <c r="G1121" s="201">
        <v>10.3</v>
      </c>
    </row>
    <row r="1122" spans="4:7">
      <c r="D1122" s="200" t="s">
        <v>2188</v>
      </c>
      <c r="E1122" s="10">
        <v>54668</v>
      </c>
      <c r="F1122" s="201">
        <v>-9.1999999999999993</v>
      </c>
      <c r="G1122" s="201">
        <v>10.199999999999999</v>
      </c>
    </row>
    <row r="1123" spans="4:7">
      <c r="D1123" s="200" t="s">
        <v>2189</v>
      </c>
      <c r="E1123" s="10">
        <v>56179</v>
      </c>
      <c r="F1123" s="201">
        <v>-9.1999999999999993</v>
      </c>
      <c r="G1123" s="201">
        <v>10.3</v>
      </c>
    </row>
    <row r="1124" spans="4:7">
      <c r="D1124" s="200" t="s">
        <v>2190</v>
      </c>
      <c r="E1124" s="10">
        <v>56322</v>
      </c>
      <c r="F1124" s="201">
        <v>-9.1999999999999993</v>
      </c>
      <c r="G1124" s="201">
        <v>10.199999999999999</v>
      </c>
    </row>
    <row r="1125" spans="4:7">
      <c r="D1125" s="200" t="s">
        <v>2191</v>
      </c>
      <c r="E1125" s="10">
        <v>56330</v>
      </c>
      <c r="F1125" s="201">
        <v>-9.1999999999999993</v>
      </c>
      <c r="G1125" s="201">
        <v>10.199999999999999</v>
      </c>
    </row>
    <row r="1126" spans="4:7">
      <c r="D1126" s="200" t="s">
        <v>2192</v>
      </c>
      <c r="E1126" s="10">
        <v>56333</v>
      </c>
      <c r="F1126" s="201">
        <v>-9.1999999999999993</v>
      </c>
      <c r="G1126" s="201">
        <v>10.199999999999999</v>
      </c>
    </row>
    <row r="1127" spans="4:7">
      <c r="D1127" s="200" t="s">
        <v>1706</v>
      </c>
      <c r="E1127" s="10">
        <v>56566</v>
      </c>
      <c r="F1127" s="201">
        <v>-9.1999999999999993</v>
      </c>
      <c r="G1127" s="201">
        <v>10.7</v>
      </c>
    </row>
    <row r="1128" spans="4:7">
      <c r="D1128" s="200" t="s">
        <v>2193</v>
      </c>
      <c r="E1128" s="10">
        <v>56588</v>
      </c>
      <c r="F1128" s="201">
        <v>-9.1999999999999993</v>
      </c>
      <c r="G1128" s="201">
        <v>10.4</v>
      </c>
    </row>
    <row r="1129" spans="4:7">
      <c r="D1129" s="200" t="s">
        <v>2194</v>
      </c>
      <c r="E1129" s="10">
        <v>56630</v>
      </c>
      <c r="F1129" s="201">
        <v>-9.1999999999999993</v>
      </c>
      <c r="G1129" s="201">
        <v>10.5</v>
      </c>
    </row>
    <row r="1130" spans="4:7">
      <c r="D1130" s="200" t="s">
        <v>2195</v>
      </c>
      <c r="E1130" s="10">
        <v>56841</v>
      </c>
      <c r="F1130" s="201">
        <v>-9.1999999999999993</v>
      </c>
      <c r="G1130" s="201">
        <v>10.4</v>
      </c>
    </row>
    <row r="1131" spans="4:7">
      <c r="D1131" s="200" t="s">
        <v>2196</v>
      </c>
      <c r="E1131" s="10">
        <v>57577</v>
      </c>
      <c r="F1131" s="201">
        <v>-9.1999999999999993</v>
      </c>
      <c r="G1131" s="201">
        <v>10.199999999999999</v>
      </c>
    </row>
    <row r="1132" spans="4:7">
      <c r="D1132" s="200" t="s">
        <v>2197</v>
      </c>
      <c r="E1132" s="10">
        <v>57641</v>
      </c>
      <c r="F1132" s="201">
        <v>-9.1999999999999993</v>
      </c>
      <c r="G1132" s="201">
        <v>10.3</v>
      </c>
    </row>
    <row r="1133" spans="4:7">
      <c r="D1133" s="200" t="s">
        <v>1735</v>
      </c>
      <c r="E1133" s="10">
        <v>58091</v>
      </c>
      <c r="F1133" s="201">
        <v>-9.1999999999999993</v>
      </c>
      <c r="G1133" s="201">
        <v>9.8000000000000007</v>
      </c>
    </row>
    <row r="1134" spans="4:7">
      <c r="D1134" s="200" t="s">
        <v>2198</v>
      </c>
      <c r="E1134" s="10">
        <v>58239</v>
      </c>
      <c r="F1134" s="201">
        <v>-9.1999999999999993</v>
      </c>
      <c r="G1134" s="201">
        <v>10.199999999999999</v>
      </c>
    </row>
    <row r="1135" spans="4:7">
      <c r="D1135" s="200" t="s">
        <v>1771</v>
      </c>
      <c r="E1135" s="10">
        <v>60311</v>
      </c>
      <c r="F1135" s="201">
        <v>-9.1999999999999993</v>
      </c>
      <c r="G1135" s="201">
        <v>11.2</v>
      </c>
    </row>
    <row r="1136" spans="4:7">
      <c r="D1136" s="200" t="s">
        <v>1771</v>
      </c>
      <c r="E1136" s="10">
        <v>60316</v>
      </c>
      <c r="F1136" s="201">
        <v>-9.1999999999999993</v>
      </c>
      <c r="G1136" s="201">
        <v>11.3</v>
      </c>
    </row>
    <row r="1137" spans="4:7">
      <c r="D1137" s="200" t="s">
        <v>1771</v>
      </c>
      <c r="E1137" s="10">
        <v>60320</v>
      </c>
      <c r="F1137" s="201">
        <v>-9.1999999999999993</v>
      </c>
      <c r="G1137" s="201">
        <v>11.2</v>
      </c>
    </row>
    <row r="1138" spans="4:7">
      <c r="D1138" s="200" t="s">
        <v>1771</v>
      </c>
      <c r="E1138" s="10">
        <v>60326</v>
      </c>
      <c r="F1138" s="201">
        <v>-9.1999999999999993</v>
      </c>
      <c r="G1138" s="201">
        <v>11.1</v>
      </c>
    </row>
    <row r="1139" spans="4:7">
      <c r="D1139" s="200" t="s">
        <v>1771</v>
      </c>
      <c r="E1139" s="10">
        <v>60486</v>
      </c>
      <c r="F1139" s="201">
        <v>-9.1999999999999993</v>
      </c>
      <c r="G1139" s="201">
        <v>11.2</v>
      </c>
    </row>
    <row r="1140" spans="4:7">
      <c r="D1140" s="200" t="s">
        <v>1771</v>
      </c>
      <c r="E1140" s="10">
        <v>60594</v>
      </c>
      <c r="F1140" s="201">
        <v>-9.1999999999999993</v>
      </c>
      <c r="G1140" s="201">
        <v>11.2</v>
      </c>
    </row>
    <row r="1141" spans="4:7">
      <c r="D1141" s="200" t="s">
        <v>1771</v>
      </c>
      <c r="E1141" s="10">
        <v>60596</v>
      </c>
      <c r="F1141" s="201">
        <v>-9.1999999999999993</v>
      </c>
      <c r="G1141" s="201">
        <v>11.3</v>
      </c>
    </row>
    <row r="1142" spans="4:7">
      <c r="D1142" s="200" t="s">
        <v>1814</v>
      </c>
      <c r="E1142" s="10">
        <v>66113</v>
      </c>
      <c r="F1142" s="201">
        <v>-9.1999999999999993</v>
      </c>
      <c r="G1142" s="201">
        <v>10.4</v>
      </c>
    </row>
    <row r="1143" spans="4:7">
      <c r="D1143" s="200" t="s">
        <v>1814</v>
      </c>
      <c r="E1143" s="10">
        <v>66117</v>
      </c>
      <c r="F1143" s="201">
        <v>-9.1999999999999993</v>
      </c>
      <c r="G1143" s="201">
        <v>10.4</v>
      </c>
    </row>
    <row r="1144" spans="4:7">
      <c r="D1144" s="200" t="s">
        <v>2199</v>
      </c>
      <c r="E1144" s="10">
        <v>66482</v>
      </c>
      <c r="F1144" s="201">
        <v>-9.1999999999999993</v>
      </c>
      <c r="G1144" s="201">
        <v>10.6</v>
      </c>
    </row>
    <row r="1145" spans="4:7">
      <c r="D1145" s="200" t="s">
        <v>2147</v>
      </c>
      <c r="E1145" s="10">
        <v>78467</v>
      </c>
      <c r="F1145" s="201">
        <v>-9.1999999999999993</v>
      </c>
      <c r="G1145" s="201">
        <v>10.4</v>
      </c>
    </row>
    <row r="1146" spans="4:7">
      <c r="D1146" s="200" t="s">
        <v>2200</v>
      </c>
      <c r="E1146" s="10">
        <v>18609</v>
      </c>
      <c r="F1146" s="201">
        <v>-9.3000000000000007</v>
      </c>
      <c r="G1146" s="201">
        <v>8.9</v>
      </c>
    </row>
    <row r="1147" spans="4:7">
      <c r="D1147" s="200" t="s">
        <v>1707</v>
      </c>
      <c r="E1147" s="10">
        <v>20097</v>
      </c>
      <c r="F1147" s="201">
        <v>-9.3000000000000007</v>
      </c>
      <c r="G1147" s="201">
        <v>9.8000000000000007</v>
      </c>
    </row>
    <row r="1148" spans="4:7">
      <c r="D1148" s="200" t="s">
        <v>1707</v>
      </c>
      <c r="E1148" s="10">
        <v>20457</v>
      </c>
      <c r="F1148" s="201">
        <v>-9.3000000000000007</v>
      </c>
      <c r="G1148" s="201">
        <v>9.8000000000000007</v>
      </c>
    </row>
    <row r="1149" spans="4:7">
      <c r="D1149" s="200" t="s">
        <v>1707</v>
      </c>
      <c r="E1149" s="10">
        <v>21079</v>
      </c>
      <c r="F1149" s="201">
        <v>-9.3000000000000007</v>
      </c>
      <c r="G1149" s="201">
        <v>9.8000000000000007</v>
      </c>
    </row>
    <row r="1150" spans="4:7">
      <c r="D1150" s="200" t="s">
        <v>2201</v>
      </c>
      <c r="E1150" s="10">
        <v>21734</v>
      </c>
      <c r="F1150" s="201">
        <v>-9.3000000000000007</v>
      </c>
      <c r="G1150" s="201">
        <v>9.4</v>
      </c>
    </row>
    <row r="1151" spans="4:7">
      <c r="D1151" s="200" t="s">
        <v>2202</v>
      </c>
      <c r="E1151" s="10">
        <v>21775</v>
      </c>
      <c r="F1151" s="201">
        <v>-9.3000000000000007</v>
      </c>
      <c r="G1151" s="201">
        <v>9.5</v>
      </c>
    </row>
    <row r="1152" spans="4:7">
      <c r="D1152" s="200" t="s">
        <v>2203</v>
      </c>
      <c r="E1152" s="10">
        <v>21776</v>
      </c>
      <c r="F1152" s="201">
        <v>-9.3000000000000007</v>
      </c>
      <c r="G1152" s="201">
        <v>9.5</v>
      </c>
    </row>
    <row r="1153" spans="4:7">
      <c r="D1153" s="200" t="s">
        <v>1707</v>
      </c>
      <c r="E1153" s="10">
        <v>22045</v>
      </c>
      <c r="F1153" s="201">
        <v>-9.3000000000000007</v>
      </c>
      <c r="G1153" s="201">
        <v>9.8000000000000007</v>
      </c>
    </row>
    <row r="1154" spans="4:7">
      <c r="D1154" s="200" t="s">
        <v>1707</v>
      </c>
      <c r="E1154" s="10">
        <v>22047</v>
      </c>
      <c r="F1154" s="201">
        <v>-9.3000000000000007</v>
      </c>
      <c r="G1154" s="201">
        <v>9.8000000000000007</v>
      </c>
    </row>
    <row r="1155" spans="4:7">
      <c r="D1155" s="200" t="s">
        <v>1707</v>
      </c>
      <c r="E1155" s="10">
        <v>22083</v>
      </c>
      <c r="F1155" s="201">
        <v>-9.3000000000000007</v>
      </c>
      <c r="G1155" s="201">
        <v>9.8000000000000007</v>
      </c>
    </row>
    <row r="1156" spans="4:7">
      <c r="D1156" s="200" t="s">
        <v>1707</v>
      </c>
      <c r="E1156" s="10">
        <v>22119</v>
      </c>
      <c r="F1156" s="201">
        <v>-9.3000000000000007</v>
      </c>
      <c r="G1156" s="201">
        <v>9.8000000000000007</v>
      </c>
    </row>
    <row r="1157" spans="4:7">
      <c r="D1157" s="200" t="s">
        <v>1707</v>
      </c>
      <c r="E1157" s="10">
        <v>22175</v>
      </c>
      <c r="F1157" s="201">
        <v>-9.3000000000000007</v>
      </c>
      <c r="G1157" s="201">
        <v>9.6999999999999993</v>
      </c>
    </row>
    <row r="1158" spans="4:7">
      <c r="D1158" s="200" t="s">
        <v>1707</v>
      </c>
      <c r="E1158" s="10">
        <v>22177</v>
      </c>
      <c r="F1158" s="201">
        <v>-9.3000000000000007</v>
      </c>
      <c r="G1158" s="201">
        <v>9.8000000000000007</v>
      </c>
    </row>
    <row r="1159" spans="4:7">
      <c r="D1159" s="200" t="s">
        <v>1707</v>
      </c>
      <c r="E1159" s="10">
        <v>22297</v>
      </c>
      <c r="F1159" s="201">
        <v>-9.3000000000000007</v>
      </c>
      <c r="G1159" s="201">
        <v>9.8000000000000007</v>
      </c>
    </row>
    <row r="1160" spans="4:7">
      <c r="D1160" s="200" t="s">
        <v>1707</v>
      </c>
      <c r="E1160" s="10">
        <v>22307</v>
      </c>
      <c r="F1160" s="201">
        <v>-9.3000000000000007</v>
      </c>
      <c r="G1160" s="201">
        <v>9.8000000000000007</v>
      </c>
    </row>
    <row r="1161" spans="4:7">
      <c r="D1161" s="200" t="s">
        <v>1707</v>
      </c>
      <c r="E1161" s="10">
        <v>22309</v>
      </c>
      <c r="F1161" s="201">
        <v>-9.3000000000000007</v>
      </c>
      <c r="G1161" s="201">
        <v>9.6999999999999993</v>
      </c>
    </row>
    <row r="1162" spans="4:7">
      <c r="D1162" s="200" t="s">
        <v>1707</v>
      </c>
      <c r="E1162" s="10">
        <v>22339</v>
      </c>
      <c r="F1162" s="201">
        <v>-9.3000000000000007</v>
      </c>
      <c r="G1162" s="201">
        <v>9.6999999999999993</v>
      </c>
    </row>
    <row r="1163" spans="4:7">
      <c r="D1163" s="200" t="s">
        <v>1707</v>
      </c>
      <c r="E1163" s="10">
        <v>22415</v>
      </c>
      <c r="F1163" s="201">
        <v>-9.3000000000000007</v>
      </c>
      <c r="G1163" s="201">
        <v>9.6999999999999993</v>
      </c>
    </row>
    <row r="1164" spans="4:7">
      <c r="D1164" s="200" t="s">
        <v>1707</v>
      </c>
      <c r="E1164" s="10">
        <v>22455</v>
      </c>
      <c r="F1164" s="201">
        <v>-9.3000000000000007</v>
      </c>
      <c r="G1164" s="201">
        <v>9.6999999999999993</v>
      </c>
    </row>
    <row r="1165" spans="4:7">
      <c r="D1165" s="200" t="s">
        <v>1707</v>
      </c>
      <c r="E1165" s="10">
        <v>22527</v>
      </c>
      <c r="F1165" s="201">
        <v>-9.3000000000000007</v>
      </c>
      <c r="G1165" s="201">
        <v>9.6</v>
      </c>
    </row>
    <row r="1166" spans="4:7">
      <c r="D1166" s="200" t="s">
        <v>1707</v>
      </c>
      <c r="E1166" s="10">
        <v>22529</v>
      </c>
      <c r="F1166" s="201">
        <v>-9.3000000000000007</v>
      </c>
      <c r="G1166" s="201">
        <v>9.6999999999999993</v>
      </c>
    </row>
    <row r="1167" spans="4:7">
      <c r="D1167" s="200" t="s">
        <v>1707</v>
      </c>
      <c r="E1167" s="10">
        <v>22547</v>
      </c>
      <c r="F1167" s="201">
        <v>-9.3000000000000007</v>
      </c>
      <c r="G1167" s="201">
        <v>9.6</v>
      </c>
    </row>
    <row r="1168" spans="4:7">
      <c r="D1168" s="200" t="s">
        <v>1707</v>
      </c>
      <c r="E1168" s="10">
        <v>22559</v>
      </c>
      <c r="F1168" s="201">
        <v>-9.3000000000000007</v>
      </c>
      <c r="G1168" s="201">
        <v>9.4</v>
      </c>
    </row>
    <row r="1169" spans="4:7">
      <c r="D1169" s="200" t="s">
        <v>1707</v>
      </c>
      <c r="E1169" s="10">
        <v>22605</v>
      </c>
      <c r="F1169" s="201">
        <v>-9.3000000000000007</v>
      </c>
      <c r="G1169" s="201">
        <v>9.5</v>
      </c>
    </row>
    <row r="1170" spans="4:7">
      <c r="D1170" s="200" t="s">
        <v>1707</v>
      </c>
      <c r="E1170" s="10">
        <v>22763</v>
      </c>
      <c r="F1170" s="201">
        <v>-9.3000000000000007</v>
      </c>
      <c r="G1170" s="201">
        <v>9.5</v>
      </c>
    </row>
    <row r="1171" spans="4:7">
      <c r="D1171" s="200" t="s">
        <v>1707</v>
      </c>
      <c r="E1171" s="10">
        <v>22765</v>
      </c>
      <c r="F1171" s="201">
        <v>-9.3000000000000007</v>
      </c>
      <c r="G1171" s="201">
        <v>9.5</v>
      </c>
    </row>
    <row r="1172" spans="4:7">
      <c r="D1172" s="200" t="s">
        <v>1707</v>
      </c>
      <c r="E1172" s="10">
        <v>22767</v>
      </c>
      <c r="F1172" s="201">
        <v>-9.3000000000000007</v>
      </c>
      <c r="G1172" s="201">
        <v>9.6999999999999993</v>
      </c>
    </row>
    <row r="1173" spans="4:7">
      <c r="D1173" s="200" t="s">
        <v>2204</v>
      </c>
      <c r="E1173" s="10">
        <v>23626</v>
      </c>
      <c r="F1173" s="201">
        <v>-9.3000000000000007</v>
      </c>
      <c r="G1173" s="201">
        <v>9.1999999999999993</v>
      </c>
    </row>
    <row r="1174" spans="4:7">
      <c r="D1174" s="200" t="s">
        <v>2205</v>
      </c>
      <c r="E1174" s="10">
        <v>24306</v>
      </c>
      <c r="F1174" s="201">
        <v>-9.3000000000000007</v>
      </c>
      <c r="G1174" s="201">
        <v>8.9</v>
      </c>
    </row>
    <row r="1175" spans="4:7">
      <c r="D1175" s="200" t="s">
        <v>2206</v>
      </c>
      <c r="E1175" s="10">
        <v>24329</v>
      </c>
      <c r="F1175" s="201">
        <v>-9.3000000000000007</v>
      </c>
      <c r="G1175" s="201">
        <v>8.8000000000000007</v>
      </c>
    </row>
    <row r="1176" spans="4:7">
      <c r="D1176" s="200" t="s">
        <v>2207</v>
      </c>
      <c r="E1176" s="10">
        <v>24594</v>
      </c>
      <c r="F1176" s="201">
        <v>-9.3000000000000007</v>
      </c>
      <c r="G1176" s="201">
        <v>8.9</v>
      </c>
    </row>
    <row r="1177" spans="4:7">
      <c r="D1177" s="200" t="s">
        <v>2208</v>
      </c>
      <c r="E1177" s="10">
        <v>24613</v>
      </c>
      <c r="F1177" s="201">
        <v>-9.3000000000000007</v>
      </c>
      <c r="G1177" s="201">
        <v>9</v>
      </c>
    </row>
    <row r="1178" spans="4:7">
      <c r="D1178" s="200" t="s">
        <v>2209</v>
      </c>
      <c r="E1178" s="10">
        <v>24620</v>
      </c>
      <c r="F1178" s="201">
        <v>-9.3000000000000007</v>
      </c>
      <c r="G1178" s="201">
        <v>9</v>
      </c>
    </row>
    <row r="1179" spans="4:7">
      <c r="D1179" s="200" t="s">
        <v>2210</v>
      </c>
      <c r="E1179" s="10">
        <v>24647</v>
      </c>
      <c r="F1179" s="201">
        <v>-9.3000000000000007</v>
      </c>
      <c r="G1179" s="201">
        <v>9</v>
      </c>
    </row>
    <row r="1180" spans="4:7">
      <c r="D1180" s="200" t="s">
        <v>2211</v>
      </c>
      <c r="E1180" s="10">
        <v>25377</v>
      </c>
      <c r="F1180" s="201">
        <v>-9.3000000000000007</v>
      </c>
      <c r="G1180" s="201">
        <v>9.3000000000000007</v>
      </c>
    </row>
    <row r="1181" spans="4:7">
      <c r="D1181" s="200" t="s">
        <v>2212</v>
      </c>
      <c r="E1181" s="10">
        <v>25436</v>
      </c>
      <c r="F1181" s="201">
        <v>-9.3000000000000007</v>
      </c>
      <c r="G1181" s="201">
        <v>9.6</v>
      </c>
    </row>
    <row r="1182" spans="4:7">
      <c r="D1182" s="200" t="s">
        <v>2213</v>
      </c>
      <c r="E1182" s="10">
        <v>25554</v>
      </c>
      <c r="F1182" s="201">
        <v>-9.3000000000000007</v>
      </c>
      <c r="G1182" s="201">
        <v>9.3000000000000007</v>
      </c>
    </row>
    <row r="1183" spans="4:7">
      <c r="D1183" s="200" t="s">
        <v>2214</v>
      </c>
      <c r="E1183" s="10">
        <v>25569</v>
      </c>
      <c r="F1183" s="201">
        <v>-9.3000000000000007</v>
      </c>
      <c r="G1183" s="201">
        <v>9.3000000000000007</v>
      </c>
    </row>
    <row r="1184" spans="4:7">
      <c r="D1184" s="200" t="s">
        <v>2215</v>
      </c>
      <c r="E1184" s="10">
        <v>25575</v>
      </c>
      <c r="F1184" s="201">
        <v>-9.3000000000000007</v>
      </c>
      <c r="G1184" s="201">
        <v>9</v>
      </c>
    </row>
    <row r="1185" spans="4:7">
      <c r="D1185" s="200" t="s">
        <v>2216</v>
      </c>
      <c r="E1185" s="10">
        <v>25596</v>
      </c>
      <c r="F1185" s="201">
        <v>-9.3000000000000007</v>
      </c>
      <c r="G1185" s="201">
        <v>9.1999999999999993</v>
      </c>
    </row>
    <row r="1186" spans="4:7">
      <c r="D1186" s="200" t="s">
        <v>2217</v>
      </c>
      <c r="E1186" s="10">
        <v>25721</v>
      </c>
      <c r="F1186" s="201">
        <v>-9.3000000000000007</v>
      </c>
      <c r="G1186" s="201">
        <v>9.1999999999999993</v>
      </c>
    </row>
    <row r="1187" spans="4:7">
      <c r="D1187" s="200" t="s">
        <v>2218</v>
      </c>
      <c r="E1187" s="10">
        <v>25725</v>
      </c>
      <c r="F1187" s="201">
        <v>-9.3000000000000007</v>
      </c>
      <c r="G1187" s="201">
        <v>9.1</v>
      </c>
    </row>
    <row r="1188" spans="4:7">
      <c r="D1188" s="200" t="s">
        <v>2219</v>
      </c>
      <c r="E1188" s="10">
        <v>25729</v>
      </c>
      <c r="F1188" s="201">
        <v>-9.3000000000000007</v>
      </c>
      <c r="G1188" s="201">
        <v>9.1999999999999993</v>
      </c>
    </row>
    <row r="1189" spans="4:7">
      <c r="D1189" s="200" t="s">
        <v>1921</v>
      </c>
      <c r="E1189" s="10">
        <v>26135</v>
      </c>
      <c r="F1189" s="201">
        <v>-9.3000000000000007</v>
      </c>
      <c r="G1189" s="201">
        <v>9.6</v>
      </c>
    </row>
    <row r="1190" spans="4:7">
      <c r="D1190" s="200" t="s">
        <v>2220</v>
      </c>
      <c r="E1190" s="10">
        <v>26670</v>
      </c>
      <c r="F1190" s="201">
        <v>-9.3000000000000007</v>
      </c>
      <c r="G1190" s="201">
        <v>9.6</v>
      </c>
    </row>
    <row r="1191" spans="4:7">
      <c r="D1191" s="200" t="s">
        <v>2221</v>
      </c>
      <c r="E1191" s="10">
        <v>26689</v>
      </c>
      <c r="F1191" s="201">
        <v>-9.3000000000000007</v>
      </c>
      <c r="G1191" s="201">
        <v>9.6</v>
      </c>
    </row>
    <row r="1192" spans="4:7">
      <c r="D1192" s="200" t="s">
        <v>1984</v>
      </c>
      <c r="E1192" s="10">
        <v>26725</v>
      </c>
      <c r="F1192" s="201">
        <v>-9.3000000000000007</v>
      </c>
      <c r="G1192" s="201">
        <v>9.6</v>
      </c>
    </row>
    <row r="1193" spans="4:7">
      <c r="D1193" s="200" t="s">
        <v>2222</v>
      </c>
      <c r="E1193" s="10">
        <v>26759</v>
      </c>
      <c r="F1193" s="201">
        <v>-9.3000000000000007</v>
      </c>
      <c r="G1193" s="201">
        <v>9.6</v>
      </c>
    </row>
    <row r="1194" spans="4:7">
      <c r="D1194" s="200" t="s">
        <v>2223</v>
      </c>
      <c r="E1194" s="10">
        <v>26810</v>
      </c>
      <c r="F1194" s="201">
        <v>-9.3000000000000007</v>
      </c>
      <c r="G1194" s="201">
        <v>9.6</v>
      </c>
    </row>
    <row r="1195" spans="4:7">
      <c r="D1195" s="200" t="s">
        <v>2224</v>
      </c>
      <c r="E1195" s="10">
        <v>26817</v>
      </c>
      <c r="F1195" s="201">
        <v>-9.3000000000000007</v>
      </c>
      <c r="G1195" s="201">
        <v>9.6</v>
      </c>
    </row>
    <row r="1196" spans="4:7">
      <c r="D1196" s="200" t="s">
        <v>2225</v>
      </c>
      <c r="E1196" s="10">
        <v>26831</v>
      </c>
      <c r="F1196" s="201">
        <v>-9.3000000000000007</v>
      </c>
      <c r="G1196" s="201">
        <v>9.6999999999999993</v>
      </c>
    </row>
    <row r="1197" spans="4:7">
      <c r="D1197" s="200" t="s">
        <v>2226</v>
      </c>
      <c r="E1197" s="10">
        <v>26835</v>
      </c>
      <c r="F1197" s="201">
        <v>-9.3000000000000007</v>
      </c>
      <c r="G1197" s="201">
        <v>9.5</v>
      </c>
    </row>
    <row r="1198" spans="4:7">
      <c r="D1198" s="200" t="s">
        <v>2227</v>
      </c>
      <c r="E1198" s="10">
        <v>26844</v>
      </c>
      <c r="F1198" s="201">
        <v>-9.3000000000000007</v>
      </c>
      <c r="G1198" s="201">
        <v>9.6999999999999993</v>
      </c>
    </row>
    <row r="1199" spans="4:7">
      <c r="D1199" s="200" t="s">
        <v>2228</v>
      </c>
      <c r="E1199" s="10">
        <v>26845</v>
      </c>
      <c r="F1199" s="201">
        <v>-9.3000000000000007</v>
      </c>
      <c r="G1199" s="201">
        <v>9.6</v>
      </c>
    </row>
    <row r="1200" spans="4:7">
      <c r="D1200" s="200" t="s">
        <v>2229</v>
      </c>
      <c r="E1200" s="10">
        <v>26847</v>
      </c>
      <c r="F1200" s="201">
        <v>-9.3000000000000007</v>
      </c>
      <c r="G1200" s="201">
        <v>9.6</v>
      </c>
    </row>
    <row r="1201" spans="4:7">
      <c r="D1201" s="200" t="s">
        <v>2230</v>
      </c>
      <c r="E1201" s="10">
        <v>26849</v>
      </c>
      <c r="F1201" s="201">
        <v>-9.3000000000000007</v>
      </c>
      <c r="G1201" s="201">
        <v>9.6</v>
      </c>
    </row>
    <row r="1202" spans="4:7">
      <c r="D1202" s="200" t="s">
        <v>2231</v>
      </c>
      <c r="E1202" s="10">
        <v>26871</v>
      </c>
      <c r="F1202" s="201">
        <v>-9.3000000000000007</v>
      </c>
      <c r="G1202" s="201">
        <v>9.6999999999999993</v>
      </c>
    </row>
    <row r="1203" spans="4:7">
      <c r="D1203" s="200" t="s">
        <v>2232</v>
      </c>
      <c r="E1203" s="10">
        <v>26892</v>
      </c>
      <c r="F1203" s="201">
        <v>-9.3000000000000007</v>
      </c>
      <c r="G1203" s="201">
        <v>9.8000000000000007</v>
      </c>
    </row>
    <row r="1204" spans="4:7">
      <c r="D1204" s="200" t="s">
        <v>2233</v>
      </c>
      <c r="E1204" s="10">
        <v>26899</v>
      </c>
      <c r="F1204" s="201">
        <v>-9.3000000000000007</v>
      </c>
      <c r="G1204" s="201">
        <v>9.6999999999999993</v>
      </c>
    </row>
    <row r="1205" spans="4:7">
      <c r="D1205" s="200" t="s">
        <v>2234</v>
      </c>
      <c r="E1205" s="10">
        <v>26906</v>
      </c>
      <c r="F1205" s="201">
        <v>-9.3000000000000007</v>
      </c>
      <c r="G1205" s="201">
        <v>9.8000000000000007</v>
      </c>
    </row>
    <row r="1206" spans="4:7">
      <c r="D1206" s="200" t="s">
        <v>2235</v>
      </c>
      <c r="E1206" s="10">
        <v>26907</v>
      </c>
      <c r="F1206" s="201">
        <v>-9.3000000000000007</v>
      </c>
      <c r="G1206" s="201">
        <v>9.8000000000000007</v>
      </c>
    </row>
    <row r="1207" spans="4:7">
      <c r="D1207" s="200" t="s">
        <v>2236</v>
      </c>
      <c r="E1207" s="10">
        <v>26939</v>
      </c>
      <c r="F1207" s="201">
        <v>-9.3000000000000007</v>
      </c>
      <c r="G1207" s="201">
        <v>9.6999999999999993</v>
      </c>
    </row>
    <row r="1208" spans="4:7">
      <c r="D1208" s="200" t="s">
        <v>2237</v>
      </c>
      <c r="E1208" s="10">
        <v>27607</v>
      </c>
      <c r="F1208" s="201">
        <v>-9.3000000000000007</v>
      </c>
      <c r="G1208" s="201">
        <v>9.5</v>
      </c>
    </row>
    <row r="1209" spans="4:7">
      <c r="D1209" s="200" t="s">
        <v>2238</v>
      </c>
      <c r="E1209" s="10">
        <v>27619</v>
      </c>
      <c r="F1209" s="201">
        <v>-9.3000000000000007</v>
      </c>
      <c r="G1209" s="201">
        <v>9.6</v>
      </c>
    </row>
    <row r="1210" spans="4:7">
      <c r="D1210" s="200" t="s">
        <v>1985</v>
      </c>
      <c r="E1210" s="10">
        <v>27751</v>
      </c>
      <c r="F1210" s="201">
        <v>-9.3000000000000007</v>
      </c>
      <c r="G1210" s="201">
        <v>9.6</v>
      </c>
    </row>
    <row r="1211" spans="4:7">
      <c r="D1211" s="200" t="s">
        <v>1985</v>
      </c>
      <c r="E1211" s="10">
        <v>27755</v>
      </c>
      <c r="F1211" s="201">
        <v>-9.3000000000000007</v>
      </c>
      <c r="G1211" s="201">
        <v>9.6</v>
      </c>
    </row>
    <row r="1212" spans="4:7">
      <c r="D1212" s="200" t="s">
        <v>1837</v>
      </c>
      <c r="E1212" s="10">
        <v>28197</v>
      </c>
      <c r="F1212" s="201">
        <v>-9.3000000000000007</v>
      </c>
      <c r="G1212" s="201">
        <v>9.6</v>
      </c>
    </row>
    <row r="1213" spans="4:7">
      <c r="D1213" s="200" t="s">
        <v>1837</v>
      </c>
      <c r="E1213" s="10">
        <v>28777</v>
      </c>
      <c r="F1213" s="201">
        <v>-9.3000000000000007</v>
      </c>
      <c r="G1213" s="201">
        <v>9.6</v>
      </c>
    </row>
    <row r="1214" spans="4:7">
      <c r="D1214" s="200" t="s">
        <v>2239</v>
      </c>
      <c r="E1214" s="10">
        <v>28816</v>
      </c>
      <c r="F1214" s="201">
        <v>-9.3000000000000007</v>
      </c>
      <c r="G1214" s="201">
        <v>9.6</v>
      </c>
    </row>
    <row r="1215" spans="4:7">
      <c r="D1215" s="200" t="s">
        <v>1664</v>
      </c>
      <c r="E1215" s="10">
        <v>48163</v>
      </c>
      <c r="F1215" s="201">
        <v>-9.3000000000000007</v>
      </c>
      <c r="G1215" s="201">
        <v>10.199999999999999</v>
      </c>
    </row>
    <row r="1216" spans="4:7">
      <c r="D1216" s="200" t="s">
        <v>1664</v>
      </c>
      <c r="E1216" s="10">
        <v>48165</v>
      </c>
      <c r="F1216" s="201">
        <v>-9.3000000000000007</v>
      </c>
      <c r="G1216" s="201">
        <v>10.199999999999999</v>
      </c>
    </row>
    <row r="1217" spans="4:7">
      <c r="D1217" s="200" t="s">
        <v>1664</v>
      </c>
      <c r="E1217" s="10">
        <v>48167</v>
      </c>
      <c r="F1217" s="201">
        <v>-9.3000000000000007</v>
      </c>
      <c r="G1217" s="201">
        <v>10.199999999999999</v>
      </c>
    </row>
    <row r="1218" spans="4:7">
      <c r="D1218" s="200" t="s">
        <v>2240</v>
      </c>
      <c r="E1218" s="10">
        <v>48308</v>
      </c>
      <c r="F1218" s="201">
        <v>-9.3000000000000007</v>
      </c>
      <c r="G1218" s="201">
        <v>10.199999999999999</v>
      </c>
    </row>
    <row r="1219" spans="4:7">
      <c r="D1219" s="200" t="s">
        <v>2241</v>
      </c>
      <c r="E1219" s="10">
        <v>48346</v>
      </c>
      <c r="F1219" s="201">
        <v>-9.3000000000000007</v>
      </c>
      <c r="G1219" s="201">
        <v>10.199999999999999</v>
      </c>
    </row>
    <row r="1220" spans="4:7">
      <c r="D1220" s="200" t="s">
        <v>2242</v>
      </c>
      <c r="E1220" s="10">
        <v>48369</v>
      </c>
      <c r="F1220" s="201">
        <v>-9.3000000000000007</v>
      </c>
      <c r="G1220" s="201">
        <v>10.199999999999999</v>
      </c>
    </row>
    <row r="1221" spans="4:7">
      <c r="D1221" s="200" t="s">
        <v>2243</v>
      </c>
      <c r="E1221" s="10">
        <v>48612</v>
      </c>
      <c r="F1221" s="201">
        <v>-9.3000000000000007</v>
      </c>
      <c r="G1221" s="201">
        <v>9.8000000000000007</v>
      </c>
    </row>
    <row r="1222" spans="4:7">
      <c r="D1222" s="200" t="s">
        <v>2244</v>
      </c>
      <c r="E1222" s="10">
        <v>48727</v>
      </c>
      <c r="F1222" s="201">
        <v>-9.3000000000000007</v>
      </c>
      <c r="G1222" s="201">
        <v>9.8000000000000007</v>
      </c>
    </row>
    <row r="1223" spans="4:7">
      <c r="D1223" s="200" t="s">
        <v>2245</v>
      </c>
      <c r="E1223" s="10">
        <v>49497</v>
      </c>
      <c r="F1223" s="201">
        <v>-9.3000000000000007</v>
      </c>
      <c r="G1223" s="201">
        <v>10</v>
      </c>
    </row>
    <row r="1224" spans="4:7">
      <c r="D1224" s="200" t="s">
        <v>2246</v>
      </c>
      <c r="E1224" s="10">
        <v>49525</v>
      </c>
      <c r="F1224" s="201">
        <v>-9.3000000000000007</v>
      </c>
      <c r="G1224" s="201">
        <v>10.1</v>
      </c>
    </row>
    <row r="1225" spans="4:7">
      <c r="D1225" s="200" t="s">
        <v>2247</v>
      </c>
      <c r="E1225" s="10">
        <v>49549</v>
      </c>
      <c r="F1225" s="201">
        <v>-9.3000000000000007</v>
      </c>
      <c r="G1225" s="201">
        <v>10.199999999999999</v>
      </c>
    </row>
    <row r="1226" spans="4:7">
      <c r="D1226" s="200" t="s">
        <v>2248</v>
      </c>
      <c r="E1226" s="10">
        <v>49586</v>
      </c>
      <c r="F1226" s="201">
        <v>-9.3000000000000007</v>
      </c>
      <c r="G1226" s="201">
        <v>10</v>
      </c>
    </row>
    <row r="1227" spans="4:7">
      <c r="D1227" s="200" t="s">
        <v>2249</v>
      </c>
      <c r="E1227" s="10">
        <v>49626</v>
      </c>
      <c r="F1227" s="201">
        <v>-9.3000000000000007</v>
      </c>
      <c r="G1227" s="201">
        <v>9.9</v>
      </c>
    </row>
    <row r="1228" spans="4:7">
      <c r="D1228" s="200" t="s">
        <v>2250</v>
      </c>
      <c r="E1228" s="10">
        <v>49637</v>
      </c>
      <c r="F1228" s="201">
        <v>-9.3000000000000007</v>
      </c>
      <c r="G1228" s="201">
        <v>10</v>
      </c>
    </row>
    <row r="1229" spans="4:7">
      <c r="D1229" s="200" t="s">
        <v>2251</v>
      </c>
      <c r="E1229" s="10">
        <v>49638</v>
      </c>
      <c r="F1229" s="201">
        <v>-9.3000000000000007</v>
      </c>
      <c r="G1229" s="201">
        <v>10</v>
      </c>
    </row>
    <row r="1230" spans="4:7">
      <c r="D1230" s="200" t="s">
        <v>2252</v>
      </c>
      <c r="E1230" s="10">
        <v>49699</v>
      </c>
      <c r="F1230" s="201">
        <v>-9.3000000000000007</v>
      </c>
      <c r="G1230" s="201">
        <v>9.8000000000000007</v>
      </c>
    </row>
    <row r="1231" spans="4:7">
      <c r="D1231" s="200" t="s">
        <v>2253</v>
      </c>
      <c r="E1231" s="10">
        <v>49751</v>
      </c>
      <c r="F1231" s="201">
        <v>-9.3000000000000007</v>
      </c>
      <c r="G1231" s="201">
        <v>9.8000000000000007</v>
      </c>
    </row>
    <row r="1232" spans="4:7">
      <c r="D1232" s="200" t="s">
        <v>2254</v>
      </c>
      <c r="E1232" s="10">
        <v>49757</v>
      </c>
      <c r="F1232" s="201">
        <v>-9.3000000000000007</v>
      </c>
      <c r="G1232" s="201">
        <v>9.8000000000000007</v>
      </c>
    </row>
    <row r="1233" spans="4:7" ht="30">
      <c r="D1233" s="200" t="s">
        <v>2255</v>
      </c>
      <c r="E1233" s="10">
        <v>49832</v>
      </c>
      <c r="F1233" s="201">
        <v>-9.3000000000000007</v>
      </c>
      <c r="G1233" s="201">
        <v>10</v>
      </c>
    </row>
    <row r="1234" spans="4:7">
      <c r="D1234" s="200" t="s">
        <v>1733</v>
      </c>
      <c r="E1234" s="10">
        <v>51429</v>
      </c>
      <c r="F1234" s="201">
        <v>-9.3000000000000007</v>
      </c>
      <c r="G1234" s="201">
        <v>10.1</v>
      </c>
    </row>
    <row r="1235" spans="4:7">
      <c r="D1235" s="200" t="s">
        <v>2256</v>
      </c>
      <c r="E1235" s="10">
        <v>51491</v>
      </c>
      <c r="F1235" s="201">
        <v>-9.3000000000000007</v>
      </c>
      <c r="G1235" s="201">
        <v>10.199999999999999</v>
      </c>
    </row>
    <row r="1236" spans="4:7">
      <c r="D1236" s="200" t="s">
        <v>2257</v>
      </c>
      <c r="E1236" s="10">
        <v>51515</v>
      </c>
      <c r="F1236" s="201">
        <v>-9.3000000000000007</v>
      </c>
      <c r="G1236" s="201">
        <v>10.1</v>
      </c>
    </row>
    <row r="1237" spans="4:7">
      <c r="D1237" s="200" t="s">
        <v>2258</v>
      </c>
      <c r="E1237" s="10">
        <v>51766</v>
      </c>
      <c r="F1237" s="201">
        <v>-9.3000000000000007</v>
      </c>
      <c r="G1237" s="201">
        <v>10.199999999999999</v>
      </c>
    </row>
    <row r="1238" spans="4:7">
      <c r="D1238" s="200" t="s">
        <v>2259</v>
      </c>
      <c r="E1238" s="10">
        <v>51789</v>
      </c>
      <c r="F1238" s="201">
        <v>-9.3000000000000007</v>
      </c>
      <c r="G1238" s="201">
        <v>9.9</v>
      </c>
    </row>
    <row r="1239" spans="4:7">
      <c r="D1239" s="200" t="s">
        <v>2260</v>
      </c>
      <c r="E1239" s="10">
        <v>53498</v>
      </c>
      <c r="F1239" s="201">
        <v>-9.3000000000000007</v>
      </c>
      <c r="G1239" s="201">
        <v>10.1</v>
      </c>
    </row>
    <row r="1240" spans="4:7">
      <c r="D1240" s="200" t="s">
        <v>2261</v>
      </c>
      <c r="E1240" s="10">
        <v>53567</v>
      </c>
      <c r="F1240" s="201">
        <v>-9.3000000000000007</v>
      </c>
      <c r="G1240" s="201">
        <v>9.9</v>
      </c>
    </row>
    <row r="1241" spans="4:7">
      <c r="D1241" s="200" t="s">
        <v>2262</v>
      </c>
      <c r="E1241" s="10">
        <v>53577</v>
      </c>
      <c r="F1241" s="201">
        <v>-9.3000000000000007</v>
      </c>
      <c r="G1241" s="201">
        <v>10.1</v>
      </c>
    </row>
    <row r="1242" spans="4:7">
      <c r="D1242" s="200" t="s">
        <v>2263</v>
      </c>
      <c r="E1242" s="10">
        <v>53579</v>
      </c>
      <c r="F1242" s="201">
        <v>-9.3000000000000007</v>
      </c>
      <c r="G1242" s="201">
        <v>10.1</v>
      </c>
    </row>
    <row r="1243" spans="4:7">
      <c r="D1243" s="200" t="s">
        <v>2264</v>
      </c>
      <c r="E1243" s="10">
        <v>53809</v>
      </c>
      <c r="F1243" s="201">
        <v>-9.3000000000000007</v>
      </c>
      <c r="G1243" s="201">
        <v>10.199999999999999</v>
      </c>
    </row>
    <row r="1244" spans="4:7">
      <c r="D1244" s="200" t="s">
        <v>2265</v>
      </c>
      <c r="E1244" s="10">
        <v>53894</v>
      </c>
      <c r="F1244" s="201">
        <v>-9.3000000000000007</v>
      </c>
      <c r="G1244" s="201">
        <v>9.8000000000000007</v>
      </c>
    </row>
    <row r="1245" spans="4:7">
      <c r="D1245" s="200" t="s">
        <v>1952</v>
      </c>
      <c r="E1245" s="10">
        <v>54295</v>
      </c>
      <c r="F1245" s="201">
        <v>-9.3000000000000007</v>
      </c>
      <c r="G1245" s="201">
        <v>10.199999999999999</v>
      </c>
    </row>
    <row r="1246" spans="4:7">
      <c r="D1246" s="200" t="s">
        <v>2266</v>
      </c>
      <c r="E1246" s="10">
        <v>54316</v>
      </c>
      <c r="F1246" s="201">
        <v>-9.3000000000000007</v>
      </c>
      <c r="G1246" s="201">
        <v>10.1</v>
      </c>
    </row>
    <row r="1247" spans="4:7">
      <c r="D1247" s="200" t="s">
        <v>2267</v>
      </c>
      <c r="E1247" s="10">
        <v>54318</v>
      </c>
      <c r="F1247" s="201">
        <v>-9.3000000000000007</v>
      </c>
      <c r="G1247" s="201">
        <v>10.199999999999999</v>
      </c>
    </row>
    <row r="1248" spans="4:7">
      <c r="D1248" s="200" t="s">
        <v>2268</v>
      </c>
      <c r="E1248" s="10">
        <v>54329</v>
      </c>
      <c r="F1248" s="201">
        <v>-9.3000000000000007</v>
      </c>
      <c r="G1248" s="201">
        <v>9.8000000000000007</v>
      </c>
    </row>
    <row r="1249" spans="4:7">
      <c r="D1249" s="200" t="s">
        <v>2269</v>
      </c>
      <c r="E1249" s="10">
        <v>54331</v>
      </c>
      <c r="F1249" s="201">
        <v>-9.3000000000000007</v>
      </c>
      <c r="G1249" s="201">
        <v>9.8000000000000007</v>
      </c>
    </row>
    <row r="1250" spans="4:7">
      <c r="D1250" s="200" t="s">
        <v>2270</v>
      </c>
      <c r="E1250" s="10">
        <v>54341</v>
      </c>
      <c r="F1250" s="201">
        <v>-9.3000000000000007</v>
      </c>
      <c r="G1250" s="201">
        <v>10.199999999999999</v>
      </c>
    </row>
    <row r="1251" spans="4:7">
      <c r="D1251" s="200" t="s">
        <v>2271</v>
      </c>
      <c r="E1251" s="10">
        <v>54346</v>
      </c>
      <c r="F1251" s="201">
        <v>-9.3000000000000007</v>
      </c>
      <c r="G1251" s="201">
        <v>10.199999999999999</v>
      </c>
    </row>
    <row r="1252" spans="4:7">
      <c r="D1252" s="200" t="s">
        <v>2272</v>
      </c>
      <c r="E1252" s="10">
        <v>54456</v>
      </c>
      <c r="F1252" s="201">
        <v>-9.3000000000000007</v>
      </c>
      <c r="G1252" s="201">
        <v>9.9</v>
      </c>
    </row>
    <row r="1253" spans="4:7">
      <c r="D1253" s="200" t="s">
        <v>2273</v>
      </c>
      <c r="E1253" s="10">
        <v>54484</v>
      </c>
      <c r="F1253" s="201">
        <v>-9.3000000000000007</v>
      </c>
      <c r="G1253" s="201">
        <v>10.199999999999999</v>
      </c>
    </row>
    <row r="1254" spans="4:7">
      <c r="D1254" s="200" t="s">
        <v>2274</v>
      </c>
      <c r="E1254" s="10">
        <v>54486</v>
      </c>
      <c r="F1254" s="201">
        <v>-9.3000000000000007</v>
      </c>
      <c r="G1254" s="201">
        <v>10.199999999999999</v>
      </c>
    </row>
    <row r="1255" spans="4:7">
      <c r="D1255" s="200" t="s">
        <v>2275</v>
      </c>
      <c r="E1255" s="10">
        <v>54492</v>
      </c>
      <c r="F1255" s="201">
        <v>-9.3000000000000007</v>
      </c>
      <c r="G1255" s="201">
        <v>10.3</v>
      </c>
    </row>
    <row r="1256" spans="4:7">
      <c r="D1256" s="200" t="s">
        <v>2276</v>
      </c>
      <c r="E1256" s="10">
        <v>54516</v>
      </c>
      <c r="F1256" s="201">
        <v>-9.3000000000000007</v>
      </c>
      <c r="G1256" s="201">
        <v>10.199999999999999</v>
      </c>
    </row>
    <row r="1257" spans="4:7">
      <c r="D1257" s="200" t="s">
        <v>2277</v>
      </c>
      <c r="E1257" s="10">
        <v>54523</v>
      </c>
      <c r="F1257" s="201">
        <v>-9.3000000000000007</v>
      </c>
      <c r="G1257" s="201">
        <v>10.1</v>
      </c>
    </row>
    <row r="1258" spans="4:7">
      <c r="D1258" s="200" t="s">
        <v>2278</v>
      </c>
      <c r="E1258" s="10">
        <v>54528</v>
      </c>
      <c r="F1258" s="201">
        <v>-9.3000000000000007</v>
      </c>
      <c r="G1258" s="201">
        <v>10.199999999999999</v>
      </c>
    </row>
    <row r="1259" spans="4:7">
      <c r="D1259" s="200" t="s">
        <v>2279</v>
      </c>
      <c r="E1259" s="10">
        <v>54539</v>
      </c>
      <c r="F1259" s="201">
        <v>-9.3000000000000007</v>
      </c>
      <c r="G1259" s="201">
        <v>10.1</v>
      </c>
    </row>
    <row r="1260" spans="4:7">
      <c r="D1260" s="200" t="s">
        <v>2280</v>
      </c>
      <c r="E1260" s="10">
        <v>55545</v>
      </c>
      <c r="F1260" s="201">
        <v>-9.3000000000000007</v>
      </c>
      <c r="G1260" s="201">
        <v>11</v>
      </c>
    </row>
    <row r="1261" spans="4:7">
      <c r="D1261" s="200" t="s">
        <v>1705</v>
      </c>
      <c r="E1261" s="10">
        <v>56076</v>
      </c>
      <c r="F1261" s="201">
        <v>-9.3000000000000007</v>
      </c>
      <c r="G1261" s="201">
        <v>10</v>
      </c>
    </row>
    <row r="1262" spans="4:7">
      <c r="D1262" s="200" t="s">
        <v>1705</v>
      </c>
      <c r="E1262" s="10">
        <v>56077</v>
      </c>
      <c r="F1262" s="201">
        <v>-9.3000000000000007</v>
      </c>
      <c r="G1262" s="201">
        <v>10.1</v>
      </c>
    </row>
    <row r="1263" spans="4:7">
      <c r="D1263" s="200" t="s">
        <v>2281</v>
      </c>
      <c r="E1263" s="10">
        <v>56170</v>
      </c>
      <c r="F1263" s="201">
        <v>-9.3000000000000007</v>
      </c>
      <c r="G1263" s="201">
        <v>10.1</v>
      </c>
    </row>
    <row r="1264" spans="4:7">
      <c r="D1264" s="200" t="s">
        <v>2282</v>
      </c>
      <c r="E1264" s="10">
        <v>56269</v>
      </c>
      <c r="F1264" s="201">
        <v>-9.3000000000000007</v>
      </c>
      <c r="G1264" s="201">
        <v>10</v>
      </c>
    </row>
    <row r="1265" spans="4:7">
      <c r="D1265" s="200" t="s">
        <v>2283</v>
      </c>
      <c r="E1265" s="10">
        <v>56321</v>
      </c>
      <c r="F1265" s="201">
        <v>-9.3000000000000007</v>
      </c>
      <c r="G1265" s="201">
        <v>10.1</v>
      </c>
    </row>
    <row r="1266" spans="4:7">
      <c r="D1266" s="200" t="s">
        <v>2284</v>
      </c>
      <c r="E1266" s="10">
        <v>56377</v>
      </c>
      <c r="F1266" s="201">
        <v>-9.3000000000000007</v>
      </c>
      <c r="G1266" s="201">
        <v>10.3</v>
      </c>
    </row>
    <row r="1267" spans="4:7">
      <c r="D1267" s="200" t="s">
        <v>2285</v>
      </c>
      <c r="E1267" s="10">
        <v>56379</v>
      </c>
      <c r="F1267" s="201">
        <v>-9.3000000000000007</v>
      </c>
      <c r="G1267" s="201">
        <v>10.3</v>
      </c>
    </row>
    <row r="1268" spans="4:7">
      <c r="D1268" s="200" t="s">
        <v>2286</v>
      </c>
      <c r="E1268" s="10">
        <v>56626</v>
      </c>
      <c r="F1268" s="201">
        <v>-9.3000000000000007</v>
      </c>
      <c r="G1268" s="201">
        <v>10.3</v>
      </c>
    </row>
    <row r="1269" spans="4:7">
      <c r="D1269" s="200" t="s">
        <v>2287</v>
      </c>
      <c r="E1269" s="10">
        <v>56656</v>
      </c>
      <c r="F1269" s="201">
        <v>-9.3000000000000007</v>
      </c>
      <c r="G1269" s="201">
        <v>10.1</v>
      </c>
    </row>
    <row r="1270" spans="4:7">
      <c r="D1270" s="200" t="s">
        <v>2288</v>
      </c>
      <c r="E1270" s="10">
        <v>56659</v>
      </c>
      <c r="F1270" s="201">
        <v>-9.3000000000000007</v>
      </c>
      <c r="G1270" s="201">
        <v>10.1</v>
      </c>
    </row>
    <row r="1271" spans="4:7">
      <c r="D1271" s="200" t="s">
        <v>2289</v>
      </c>
      <c r="E1271" s="10">
        <v>56812</v>
      </c>
      <c r="F1271" s="201">
        <v>-9.3000000000000007</v>
      </c>
      <c r="G1271" s="201">
        <v>10.4</v>
      </c>
    </row>
    <row r="1272" spans="4:7">
      <c r="D1272" s="200" t="s">
        <v>2290</v>
      </c>
      <c r="E1272" s="10">
        <v>56814</v>
      </c>
      <c r="F1272" s="201">
        <v>-9.3000000000000007</v>
      </c>
      <c r="G1272" s="201">
        <v>10.4</v>
      </c>
    </row>
    <row r="1273" spans="4:7">
      <c r="D1273" s="200" t="s">
        <v>2291</v>
      </c>
      <c r="E1273" s="10">
        <v>56820</v>
      </c>
      <c r="F1273" s="201">
        <v>-9.3000000000000007</v>
      </c>
      <c r="G1273" s="201">
        <v>10</v>
      </c>
    </row>
    <row r="1274" spans="4:7">
      <c r="D1274" s="200" t="s">
        <v>2292</v>
      </c>
      <c r="E1274" s="10">
        <v>56821</v>
      </c>
      <c r="F1274" s="201">
        <v>-9.3000000000000007</v>
      </c>
      <c r="G1274" s="201">
        <v>10.4</v>
      </c>
    </row>
    <row r="1275" spans="4:7">
      <c r="D1275" s="200" t="s">
        <v>2293</v>
      </c>
      <c r="E1275" s="10">
        <v>57076</v>
      </c>
      <c r="F1275" s="201">
        <v>-9.3000000000000007</v>
      </c>
      <c r="G1275" s="201">
        <v>10</v>
      </c>
    </row>
    <row r="1276" spans="4:7">
      <c r="D1276" s="200" t="s">
        <v>2294</v>
      </c>
      <c r="E1276" s="10">
        <v>57537</v>
      </c>
      <c r="F1276" s="201">
        <v>-9.3000000000000007</v>
      </c>
      <c r="G1276" s="201">
        <v>10.1</v>
      </c>
    </row>
    <row r="1277" spans="4:7">
      <c r="D1277" s="200" t="s">
        <v>2295</v>
      </c>
      <c r="E1277" s="10">
        <v>57539</v>
      </c>
      <c r="F1277" s="201">
        <v>-9.3000000000000007</v>
      </c>
      <c r="G1277" s="201">
        <v>10</v>
      </c>
    </row>
    <row r="1278" spans="4:7">
      <c r="D1278" s="200" t="s">
        <v>2296</v>
      </c>
      <c r="E1278" s="10">
        <v>57584</v>
      </c>
      <c r="F1278" s="201">
        <v>-9.3000000000000007</v>
      </c>
      <c r="G1278" s="201">
        <v>10.1</v>
      </c>
    </row>
    <row r="1279" spans="4:7">
      <c r="D1279" s="200" t="s">
        <v>2297</v>
      </c>
      <c r="E1279" s="10">
        <v>57589</v>
      </c>
      <c r="F1279" s="201">
        <v>-9.3000000000000007</v>
      </c>
      <c r="G1279" s="201">
        <v>10</v>
      </c>
    </row>
    <row r="1280" spans="4:7">
      <c r="D1280" s="200" t="s">
        <v>2298</v>
      </c>
      <c r="E1280" s="10">
        <v>57638</v>
      </c>
      <c r="F1280" s="201">
        <v>-9.3000000000000007</v>
      </c>
      <c r="G1280" s="201">
        <v>10.1</v>
      </c>
    </row>
    <row r="1281" spans="4:7">
      <c r="D1281" s="200" t="s">
        <v>2139</v>
      </c>
      <c r="E1281" s="10">
        <v>58640</v>
      </c>
      <c r="F1281" s="201">
        <v>-9.3000000000000007</v>
      </c>
      <c r="G1281" s="201">
        <v>10</v>
      </c>
    </row>
    <row r="1282" spans="4:7">
      <c r="D1282" s="200" t="s">
        <v>2299</v>
      </c>
      <c r="E1282" s="10">
        <v>58706</v>
      </c>
      <c r="F1282" s="201">
        <v>-9.3000000000000007</v>
      </c>
      <c r="G1282" s="201">
        <v>10.199999999999999</v>
      </c>
    </row>
    <row r="1283" spans="4:7">
      <c r="D1283" s="200" t="s">
        <v>2299</v>
      </c>
      <c r="E1283" s="10">
        <v>58708</v>
      </c>
      <c r="F1283" s="201">
        <v>-9.3000000000000007</v>
      </c>
      <c r="G1283" s="201">
        <v>10.1</v>
      </c>
    </row>
    <row r="1284" spans="4:7">
      <c r="D1284" s="200" t="s">
        <v>2300</v>
      </c>
      <c r="E1284" s="10">
        <v>58762</v>
      </c>
      <c r="F1284" s="201">
        <v>-9.3000000000000007</v>
      </c>
      <c r="G1284" s="201">
        <v>9.6999999999999993</v>
      </c>
    </row>
    <row r="1285" spans="4:7">
      <c r="D1285" s="200" t="s">
        <v>2301</v>
      </c>
      <c r="E1285" s="10">
        <v>59192</v>
      </c>
      <c r="F1285" s="201">
        <v>-9.3000000000000007</v>
      </c>
      <c r="G1285" s="201">
        <v>10.4</v>
      </c>
    </row>
    <row r="1286" spans="4:7">
      <c r="D1286" s="200" t="s">
        <v>2302</v>
      </c>
      <c r="E1286" s="10">
        <v>59439</v>
      </c>
      <c r="F1286" s="201">
        <v>-9.3000000000000007</v>
      </c>
      <c r="G1286" s="201">
        <v>10</v>
      </c>
    </row>
    <row r="1287" spans="4:7">
      <c r="D1287" s="200" t="s">
        <v>2303</v>
      </c>
      <c r="E1287" s="10">
        <v>59555</v>
      </c>
      <c r="F1287" s="201">
        <v>-9.3000000000000007</v>
      </c>
      <c r="G1287" s="201">
        <v>10.6</v>
      </c>
    </row>
    <row r="1288" spans="4:7">
      <c r="D1288" s="200" t="s">
        <v>1771</v>
      </c>
      <c r="E1288" s="10">
        <v>60314</v>
      </c>
      <c r="F1288" s="201">
        <v>-9.3000000000000007</v>
      </c>
      <c r="G1288" s="201">
        <v>11.2</v>
      </c>
    </row>
    <row r="1289" spans="4:7">
      <c r="D1289" s="200" t="s">
        <v>1771</v>
      </c>
      <c r="E1289" s="10">
        <v>60385</v>
      </c>
      <c r="F1289" s="201">
        <v>-9.3000000000000007</v>
      </c>
      <c r="G1289" s="201">
        <v>11.1</v>
      </c>
    </row>
    <row r="1290" spans="4:7">
      <c r="D1290" s="200" t="s">
        <v>1771</v>
      </c>
      <c r="E1290" s="10">
        <v>60489</v>
      </c>
      <c r="F1290" s="201">
        <v>-9.3000000000000007</v>
      </c>
      <c r="G1290" s="201">
        <v>11.1</v>
      </c>
    </row>
    <row r="1291" spans="4:7">
      <c r="D1291" s="200" t="s">
        <v>1786</v>
      </c>
      <c r="E1291" s="10">
        <v>65187</v>
      </c>
      <c r="F1291" s="201">
        <v>-9.3000000000000007</v>
      </c>
      <c r="G1291" s="201">
        <v>10.9</v>
      </c>
    </row>
    <row r="1292" spans="4:7">
      <c r="D1292" s="200" t="s">
        <v>2304</v>
      </c>
      <c r="E1292" s="10">
        <v>65428</v>
      </c>
      <c r="F1292" s="201">
        <v>-9.3000000000000007</v>
      </c>
      <c r="G1292" s="201">
        <v>11</v>
      </c>
    </row>
    <row r="1293" spans="4:7">
      <c r="D1293" s="200" t="s">
        <v>2305</v>
      </c>
      <c r="E1293" s="10">
        <v>65549</v>
      </c>
      <c r="F1293" s="201">
        <v>-9.3000000000000007</v>
      </c>
      <c r="G1293" s="201">
        <v>10.6</v>
      </c>
    </row>
    <row r="1294" spans="4:7">
      <c r="D1294" s="200" t="s">
        <v>1771</v>
      </c>
      <c r="E1294" s="10">
        <v>65929</v>
      </c>
      <c r="F1294" s="201">
        <v>-9.3000000000000007</v>
      </c>
      <c r="G1294" s="201">
        <v>11.1</v>
      </c>
    </row>
    <row r="1295" spans="4:7">
      <c r="D1295" s="200" t="s">
        <v>1771</v>
      </c>
      <c r="E1295" s="10">
        <v>65933</v>
      </c>
      <c r="F1295" s="201">
        <v>-9.3000000000000007</v>
      </c>
      <c r="G1295" s="201">
        <v>11.1</v>
      </c>
    </row>
    <row r="1296" spans="4:7">
      <c r="D1296" s="200" t="s">
        <v>1814</v>
      </c>
      <c r="E1296" s="10">
        <v>66123</v>
      </c>
      <c r="F1296" s="201">
        <v>-9.3000000000000007</v>
      </c>
      <c r="G1296" s="201">
        <v>10.4</v>
      </c>
    </row>
    <row r="1297" spans="4:7">
      <c r="D1297" s="200" t="s">
        <v>2306</v>
      </c>
      <c r="E1297" s="10">
        <v>66424</v>
      </c>
      <c r="F1297" s="201">
        <v>-9.3000000000000007</v>
      </c>
      <c r="G1297" s="201">
        <v>10.3</v>
      </c>
    </row>
    <row r="1298" spans="4:7">
      <c r="D1298" s="200" t="s">
        <v>2307</v>
      </c>
      <c r="E1298" s="10">
        <v>70173</v>
      </c>
      <c r="F1298" s="201">
        <v>-9.3000000000000007</v>
      </c>
      <c r="G1298" s="201">
        <v>11.5</v>
      </c>
    </row>
    <row r="1299" spans="4:7">
      <c r="D1299" s="200" t="s">
        <v>2307</v>
      </c>
      <c r="E1299" s="10">
        <v>70174</v>
      </c>
      <c r="F1299" s="201">
        <v>-9.3000000000000007</v>
      </c>
      <c r="G1299" s="201">
        <v>11.5</v>
      </c>
    </row>
    <row r="1300" spans="4:7">
      <c r="D1300" s="200" t="s">
        <v>2307</v>
      </c>
      <c r="E1300" s="10">
        <v>70176</v>
      </c>
      <c r="F1300" s="201">
        <v>-9.3000000000000007</v>
      </c>
      <c r="G1300" s="201">
        <v>11.4</v>
      </c>
    </row>
    <row r="1301" spans="4:7">
      <c r="D1301" s="200" t="s">
        <v>2308</v>
      </c>
      <c r="E1301" s="10">
        <v>76133</v>
      </c>
      <c r="F1301" s="201">
        <v>-9.3000000000000007</v>
      </c>
      <c r="G1301" s="201">
        <v>11.6</v>
      </c>
    </row>
    <row r="1302" spans="4:7">
      <c r="D1302" s="200" t="s">
        <v>2309</v>
      </c>
      <c r="E1302" s="10">
        <v>77855</v>
      </c>
      <c r="F1302" s="201">
        <v>-9.3000000000000007</v>
      </c>
      <c r="G1302" s="201">
        <v>11</v>
      </c>
    </row>
    <row r="1303" spans="4:7">
      <c r="D1303" s="200" t="s">
        <v>2310</v>
      </c>
      <c r="E1303" s="10">
        <v>78351</v>
      </c>
      <c r="F1303" s="201">
        <v>-9.3000000000000007</v>
      </c>
      <c r="G1303" s="201">
        <v>10</v>
      </c>
    </row>
    <row r="1304" spans="4:7">
      <c r="D1304" s="200" t="s">
        <v>2311</v>
      </c>
      <c r="E1304" s="10">
        <v>78354</v>
      </c>
      <c r="F1304" s="201">
        <v>-9.3000000000000007</v>
      </c>
      <c r="G1304" s="201">
        <v>10.1</v>
      </c>
    </row>
    <row r="1305" spans="4:7">
      <c r="D1305" s="200" t="s">
        <v>2312</v>
      </c>
      <c r="E1305" s="10">
        <v>78479</v>
      </c>
      <c r="F1305" s="201">
        <v>-9.3000000000000007</v>
      </c>
      <c r="G1305" s="201">
        <v>10.1</v>
      </c>
    </row>
    <row r="1306" spans="4:7">
      <c r="D1306" s="200" t="s">
        <v>2313</v>
      </c>
      <c r="E1306" s="10">
        <v>88046</v>
      </c>
      <c r="F1306" s="201">
        <v>-9.3000000000000007</v>
      </c>
      <c r="G1306" s="201">
        <v>10.199999999999999</v>
      </c>
    </row>
    <row r="1307" spans="4:7">
      <c r="D1307" s="200" t="s">
        <v>2314</v>
      </c>
      <c r="E1307" s="10">
        <v>18586</v>
      </c>
      <c r="F1307" s="201">
        <v>-9.4</v>
      </c>
      <c r="G1307" s="201">
        <v>8.8000000000000007</v>
      </c>
    </row>
    <row r="1308" spans="4:7">
      <c r="D1308" s="200" t="s">
        <v>1707</v>
      </c>
      <c r="E1308" s="10">
        <v>20537</v>
      </c>
      <c r="F1308" s="201">
        <v>-9.4</v>
      </c>
      <c r="G1308" s="201">
        <v>9.6999999999999993</v>
      </c>
    </row>
    <row r="1309" spans="4:7">
      <c r="D1309" s="200" t="s">
        <v>1707</v>
      </c>
      <c r="E1309" s="10">
        <v>21073</v>
      </c>
      <c r="F1309" s="201">
        <v>-9.4</v>
      </c>
      <c r="G1309" s="201">
        <v>9.6999999999999993</v>
      </c>
    </row>
    <row r="1310" spans="4:7">
      <c r="D1310" s="200" t="s">
        <v>1707</v>
      </c>
      <c r="E1310" s="10">
        <v>22085</v>
      </c>
      <c r="F1310" s="201">
        <v>-9.4</v>
      </c>
      <c r="G1310" s="201">
        <v>9.6999999999999993</v>
      </c>
    </row>
    <row r="1311" spans="4:7">
      <c r="D1311" s="200" t="s">
        <v>1707</v>
      </c>
      <c r="E1311" s="10">
        <v>22457</v>
      </c>
      <c r="F1311" s="201">
        <v>-9.4</v>
      </c>
      <c r="G1311" s="201">
        <v>9.6</v>
      </c>
    </row>
    <row r="1312" spans="4:7">
      <c r="D1312" s="200" t="s">
        <v>1707</v>
      </c>
      <c r="E1312" s="10">
        <v>22525</v>
      </c>
      <c r="F1312" s="201">
        <v>-9.4</v>
      </c>
      <c r="G1312" s="201">
        <v>9.6</v>
      </c>
    </row>
    <row r="1313" spans="4:7">
      <c r="D1313" s="200" t="s">
        <v>1707</v>
      </c>
      <c r="E1313" s="10">
        <v>22549</v>
      </c>
      <c r="F1313" s="201">
        <v>-9.4</v>
      </c>
      <c r="G1313" s="201">
        <v>9.5</v>
      </c>
    </row>
    <row r="1314" spans="4:7">
      <c r="D1314" s="200" t="s">
        <v>2315</v>
      </c>
      <c r="E1314" s="10">
        <v>22850</v>
      </c>
      <c r="F1314" s="201">
        <v>-9.4</v>
      </c>
      <c r="G1314" s="201">
        <v>9.6</v>
      </c>
    </row>
    <row r="1315" spans="4:7">
      <c r="D1315" s="200" t="s">
        <v>2316</v>
      </c>
      <c r="E1315" s="10">
        <v>23942</v>
      </c>
      <c r="F1315" s="201">
        <v>-9.4</v>
      </c>
      <c r="G1315" s="201">
        <v>9.1</v>
      </c>
    </row>
    <row r="1316" spans="4:7">
      <c r="D1316" s="200" t="s">
        <v>2317</v>
      </c>
      <c r="E1316" s="10">
        <v>25584</v>
      </c>
      <c r="F1316" s="201">
        <v>-9.4</v>
      </c>
      <c r="G1316" s="201">
        <v>9.1</v>
      </c>
    </row>
    <row r="1317" spans="4:7">
      <c r="D1317" s="200" t="s">
        <v>2318</v>
      </c>
      <c r="E1317" s="10">
        <v>25587</v>
      </c>
      <c r="F1317" s="201">
        <v>-9.4</v>
      </c>
      <c r="G1317" s="201">
        <v>9.1999999999999993</v>
      </c>
    </row>
    <row r="1318" spans="4:7">
      <c r="D1318" s="200" t="s">
        <v>2319</v>
      </c>
      <c r="E1318" s="10">
        <v>25588</v>
      </c>
      <c r="F1318" s="201">
        <v>-9.4</v>
      </c>
      <c r="G1318" s="201">
        <v>9.1999999999999993</v>
      </c>
    </row>
    <row r="1319" spans="4:7">
      <c r="D1319" s="200" t="s">
        <v>2320</v>
      </c>
      <c r="E1319" s="10">
        <v>25590</v>
      </c>
      <c r="F1319" s="201">
        <v>-9.4</v>
      </c>
      <c r="G1319" s="201">
        <v>9.1</v>
      </c>
    </row>
    <row r="1320" spans="4:7">
      <c r="D1320" s="200" t="s">
        <v>2321</v>
      </c>
      <c r="E1320" s="10">
        <v>25594</v>
      </c>
      <c r="F1320" s="201">
        <v>-9.4</v>
      </c>
      <c r="G1320" s="201">
        <v>9.1999999999999993</v>
      </c>
    </row>
    <row r="1321" spans="4:7">
      <c r="D1321" s="200" t="s">
        <v>2322</v>
      </c>
      <c r="E1321" s="10">
        <v>25597</v>
      </c>
      <c r="F1321" s="201">
        <v>-9.4</v>
      </c>
      <c r="G1321" s="201">
        <v>9.1999999999999993</v>
      </c>
    </row>
    <row r="1322" spans="4:7">
      <c r="D1322" s="200" t="s">
        <v>2323</v>
      </c>
      <c r="E1322" s="10">
        <v>26180</v>
      </c>
      <c r="F1322" s="201">
        <v>-9.4</v>
      </c>
      <c r="G1322" s="201">
        <v>9.6</v>
      </c>
    </row>
    <row r="1323" spans="4:7">
      <c r="D1323" s="200" t="s">
        <v>2324</v>
      </c>
      <c r="E1323" s="10">
        <v>26676</v>
      </c>
      <c r="F1323" s="201">
        <v>-9.4</v>
      </c>
      <c r="G1323" s="201">
        <v>9.6</v>
      </c>
    </row>
    <row r="1324" spans="4:7">
      <c r="D1324" s="200" t="s">
        <v>2325</v>
      </c>
      <c r="E1324" s="10">
        <v>26842</v>
      </c>
      <c r="F1324" s="201">
        <v>-9.4</v>
      </c>
      <c r="G1324" s="201">
        <v>9.6</v>
      </c>
    </row>
    <row r="1325" spans="4:7">
      <c r="D1325" s="200" t="s">
        <v>2326</v>
      </c>
      <c r="E1325" s="10">
        <v>26901</v>
      </c>
      <c r="F1325" s="201">
        <v>-9.4</v>
      </c>
      <c r="G1325" s="201">
        <v>9.6999999999999993</v>
      </c>
    </row>
    <row r="1326" spans="4:7">
      <c r="D1326" s="200" t="s">
        <v>2327</v>
      </c>
      <c r="E1326" s="10">
        <v>26909</v>
      </c>
      <c r="F1326" s="201">
        <v>-9.4</v>
      </c>
      <c r="G1326" s="201">
        <v>9.6999999999999993</v>
      </c>
    </row>
    <row r="1327" spans="4:7">
      <c r="D1327" s="200" t="s">
        <v>2328</v>
      </c>
      <c r="E1327" s="10">
        <v>26931</v>
      </c>
      <c r="F1327" s="201">
        <v>-9.4</v>
      </c>
      <c r="G1327" s="201">
        <v>9.6</v>
      </c>
    </row>
    <row r="1328" spans="4:7">
      <c r="D1328" s="200" t="s">
        <v>2329</v>
      </c>
      <c r="E1328" s="10">
        <v>27616</v>
      </c>
      <c r="F1328" s="201">
        <v>-9.4</v>
      </c>
      <c r="G1328" s="201">
        <v>9.5</v>
      </c>
    </row>
    <row r="1329" spans="4:7">
      <c r="D1329" s="200" t="s">
        <v>1735</v>
      </c>
      <c r="E1329" s="10">
        <v>27628</v>
      </c>
      <c r="F1329" s="201">
        <v>-9.4</v>
      </c>
      <c r="G1329" s="201">
        <v>9.6</v>
      </c>
    </row>
    <row r="1330" spans="4:7">
      <c r="D1330" s="200" t="s">
        <v>2330</v>
      </c>
      <c r="E1330" s="10">
        <v>27721</v>
      </c>
      <c r="F1330" s="201">
        <v>-9.4</v>
      </c>
      <c r="G1330" s="201">
        <v>9.5</v>
      </c>
    </row>
    <row r="1331" spans="4:7">
      <c r="D1331" s="200" t="s">
        <v>2331</v>
      </c>
      <c r="E1331" s="10">
        <v>27777</v>
      </c>
      <c r="F1331" s="201">
        <v>-9.4</v>
      </c>
      <c r="G1331" s="201">
        <v>9.4</v>
      </c>
    </row>
    <row r="1332" spans="4:7">
      <c r="D1332" s="200" t="s">
        <v>2332</v>
      </c>
      <c r="E1332" s="10">
        <v>27804</v>
      </c>
      <c r="F1332" s="201">
        <v>-9.4</v>
      </c>
      <c r="G1332" s="201">
        <v>9.6</v>
      </c>
    </row>
    <row r="1333" spans="4:7">
      <c r="D1333" s="200" t="s">
        <v>1837</v>
      </c>
      <c r="E1333" s="10">
        <v>28219</v>
      </c>
      <c r="F1333" s="201">
        <v>-9.4</v>
      </c>
      <c r="G1333" s="201">
        <v>9.6</v>
      </c>
    </row>
    <row r="1334" spans="4:7">
      <c r="D1334" s="200" t="s">
        <v>1837</v>
      </c>
      <c r="E1334" s="10">
        <v>28357</v>
      </c>
      <c r="F1334" s="201">
        <v>-9.4</v>
      </c>
      <c r="G1334" s="201">
        <v>9.6</v>
      </c>
    </row>
    <row r="1335" spans="4:7">
      <c r="D1335" s="200" t="s">
        <v>2333</v>
      </c>
      <c r="E1335" s="10">
        <v>28790</v>
      </c>
      <c r="F1335" s="201">
        <v>-9.4</v>
      </c>
      <c r="G1335" s="201">
        <v>9.5</v>
      </c>
    </row>
    <row r="1336" spans="4:7">
      <c r="D1336" s="200" t="s">
        <v>1928</v>
      </c>
      <c r="E1336" s="10">
        <v>42897</v>
      </c>
      <c r="F1336" s="201">
        <v>-9.4</v>
      </c>
      <c r="G1336" s="201">
        <v>9.3000000000000007</v>
      </c>
    </row>
    <row r="1337" spans="4:7">
      <c r="D1337" s="200" t="s">
        <v>2334</v>
      </c>
      <c r="E1337" s="10">
        <v>49593</v>
      </c>
      <c r="F1337" s="201">
        <v>-9.4</v>
      </c>
      <c r="G1337" s="201">
        <v>9.9</v>
      </c>
    </row>
    <row r="1338" spans="4:7">
      <c r="D1338" s="200" t="s">
        <v>2335</v>
      </c>
      <c r="E1338" s="10">
        <v>49610</v>
      </c>
      <c r="F1338" s="201">
        <v>-9.4</v>
      </c>
      <c r="G1338" s="201">
        <v>9.9</v>
      </c>
    </row>
    <row r="1339" spans="4:7">
      <c r="D1339" s="200" t="s">
        <v>2336</v>
      </c>
      <c r="E1339" s="10">
        <v>49632</v>
      </c>
      <c r="F1339" s="201">
        <v>-9.4</v>
      </c>
      <c r="G1339" s="201">
        <v>9.9</v>
      </c>
    </row>
    <row r="1340" spans="4:7" ht="45">
      <c r="D1340" s="200" t="s">
        <v>2337</v>
      </c>
      <c r="E1340" s="10">
        <v>53547</v>
      </c>
      <c r="F1340" s="201">
        <v>-9.4</v>
      </c>
      <c r="G1340" s="201">
        <v>10</v>
      </c>
    </row>
    <row r="1341" spans="4:7">
      <c r="D1341" s="200" t="s">
        <v>2338</v>
      </c>
      <c r="E1341" s="10">
        <v>53578</v>
      </c>
      <c r="F1341" s="201">
        <v>-9.4</v>
      </c>
      <c r="G1341" s="201">
        <v>9.8000000000000007</v>
      </c>
    </row>
    <row r="1342" spans="4:7">
      <c r="D1342" s="200" t="s">
        <v>2339</v>
      </c>
      <c r="E1342" s="10">
        <v>53804</v>
      </c>
      <c r="F1342" s="201">
        <v>-9.4</v>
      </c>
      <c r="G1342" s="201">
        <v>10.1</v>
      </c>
    </row>
    <row r="1343" spans="4:7">
      <c r="D1343" s="200" t="s">
        <v>1952</v>
      </c>
      <c r="E1343" s="10">
        <v>54293</v>
      </c>
      <c r="F1343" s="201">
        <v>-9.4</v>
      </c>
      <c r="G1343" s="201">
        <v>9.8000000000000007</v>
      </c>
    </row>
    <row r="1344" spans="4:7">
      <c r="D1344" s="200" t="s">
        <v>2340</v>
      </c>
      <c r="E1344" s="10">
        <v>54308</v>
      </c>
      <c r="F1344" s="201">
        <v>-9.4</v>
      </c>
      <c r="G1344" s="201">
        <v>10.1</v>
      </c>
    </row>
    <row r="1345" spans="4:7">
      <c r="D1345" s="200" t="s">
        <v>2341</v>
      </c>
      <c r="E1345" s="10">
        <v>54310</v>
      </c>
      <c r="F1345" s="201">
        <v>-9.4</v>
      </c>
      <c r="G1345" s="201">
        <v>10.1</v>
      </c>
    </row>
    <row r="1346" spans="4:7">
      <c r="D1346" s="200" t="s">
        <v>2342</v>
      </c>
      <c r="E1346" s="10">
        <v>54311</v>
      </c>
      <c r="F1346" s="201">
        <v>-9.4</v>
      </c>
      <c r="G1346" s="201">
        <v>9.8000000000000007</v>
      </c>
    </row>
    <row r="1347" spans="4:7">
      <c r="D1347" s="200" t="s">
        <v>2343</v>
      </c>
      <c r="E1347" s="10">
        <v>54320</v>
      </c>
      <c r="F1347" s="201">
        <v>-9.4</v>
      </c>
      <c r="G1347" s="201">
        <v>9.9</v>
      </c>
    </row>
    <row r="1348" spans="4:7">
      <c r="D1348" s="200" t="s">
        <v>2344</v>
      </c>
      <c r="E1348" s="10">
        <v>54524</v>
      </c>
      <c r="F1348" s="201">
        <v>-9.4</v>
      </c>
      <c r="G1348" s="201">
        <v>10.1</v>
      </c>
    </row>
    <row r="1349" spans="4:7">
      <c r="D1349" s="200" t="s">
        <v>2345</v>
      </c>
      <c r="E1349" s="10">
        <v>56305</v>
      </c>
      <c r="F1349" s="201">
        <v>-9.4</v>
      </c>
      <c r="G1349" s="201">
        <v>10</v>
      </c>
    </row>
    <row r="1350" spans="4:7">
      <c r="D1350" s="200" t="s">
        <v>2346</v>
      </c>
      <c r="E1350" s="10">
        <v>56316</v>
      </c>
      <c r="F1350" s="201">
        <v>-9.4</v>
      </c>
      <c r="G1350" s="201">
        <v>10</v>
      </c>
    </row>
    <row r="1351" spans="4:7">
      <c r="D1351" s="200" t="s">
        <v>2347</v>
      </c>
      <c r="E1351" s="10">
        <v>56332</v>
      </c>
      <c r="F1351" s="201">
        <v>-9.4</v>
      </c>
      <c r="G1351" s="201">
        <v>10.1</v>
      </c>
    </row>
    <row r="1352" spans="4:7">
      <c r="D1352" s="200" t="s">
        <v>2348</v>
      </c>
      <c r="E1352" s="10">
        <v>56642</v>
      </c>
      <c r="F1352" s="201">
        <v>-9.4</v>
      </c>
      <c r="G1352" s="201">
        <v>10.3</v>
      </c>
    </row>
    <row r="1353" spans="4:7">
      <c r="D1353" s="200" t="s">
        <v>2349</v>
      </c>
      <c r="E1353" s="10">
        <v>56862</v>
      </c>
      <c r="F1353" s="201">
        <v>-9.4</v>
      </c>
      <c r="G1353" s="201">
        <v>10.4</v>
      </c>
    </row>
    <row r="1354" spans="4:7">
      <c r="D1354" s="200" t="s">
        <v>2350</v>
      </c>
      <c r="E1354" s="10">
        <v>57555</v>
      </c>
      <c r="F1354" s="201">
        <v>-9.4</v>
      </c>
      <c r="G1354" s="201">
        <v>9.9</v>
      </c>
    </row>
    <row r="1355" spans="4:7">
      <c r="D1355" s="200" t="s">
        <v>2351</v>
      </c>
      <c r="E1355" s="10">
        <v>57635</v>
      </c>
      <c r="F1355" s="201">
        <v>-9.4</v>
      </c>
      <c r="G1355" s="201">
        <v>9.8000000000000007</v>
      </c>
    </row>
    <row r="1356" spans="4:7">
      <c r="D1356" s="200" t="s">
        <v>2352</v>
      </c>
      <c r="E1356" s="10">
        <v>59394</v>
      </c>
      <c r="F1356" s="201">
        <v>-9.4</v>
      </c>
      <c r="G1356" s="201">
        <v>10.3</v>
      </c>
    </row>
    <row r="1357" spans="4:7">
      <c r="D1357" s="200" t="s">
        <v>2143</v>
      </c>
      <c r="E1357" s="10">
        <v>59423</v>
      </c>
      <c r="F1357" s="201">
        <v>-9.4</v>
      </c>
      <c r="G1357" s="201">
        <v>10.199999999999999</v>
      </c>
    </row>
    <row r="1358" spans="4:7">
      <c r="D1358" s="200" t="s">
        <v>2353</v>
      </c>
      <c r="E1358" s="10">
        <v>59494</v>
      </c>
      <c r="F1358" s="201">
        <v>-9.4</v>
      </c>
      <c r="G1358" s="201">
        <v>10.3</v>
      </c>
    </row>
    <row r="1359" spans="4:7">
      <c r="D1359" s="200" t="s">
        <v>2354</v>
      </c>
      <c r="E1359" s="10">
        <v>63450</v>
      </c>
      <c r="F1359" s="201">
        <v>-9.4</v>
      </c>
      <c r="G1359" s="201">
        <v>11.3</v>
      </c>
    </row>
    <row r="1360" spans="4:7">
      <c r="D1360" s="200" t="s">
        <v>1814</v>
      </c>
      <c r="E1360" s="10">
        <v>66128</v>
      </c>
      <c r="F1360" s="201">
        <v>-9.4</v>
      </c>
      <c r="G1360" s="201">
        <v>10.3</v>
      </c>
    </row>
    <row r="1361" spans="4:7">
      <c r="D1361" s="200" t="s">
        <v>2355</v>
      </c>
      <c r="E1361" s="10">
        <v>66346</v>
      </c>
      <c r="F1361" s="201">
        <v>-9.4</v>
      </c>
      <c r="G1361" s="201">
        <v>10.199999999999999</v>
      </c>
    </row>
    <row r="1362" spans="4:7">
      <c r="D1362" s="200" t="s">
        <v>2356</v>
      </c>
      <c r="E1362" s="10">
        <v>66773</v>
      </c>
      <c r="F1362" s="201">
        <v>-9.4</v>
      </c>
      <c r="G1362" s="201">
        <v>10.3</v>
      </c>
    </row>
    <row r="1363" spans="4:7">
      <c r="D1363" s="200" t="s">
        <v>2357</v>
      </c>
      <c r="E1363" s="10">
        <v>66809</v>
      </c>
      <c r="F1363" s="201">
        <v>-9.4</v>
      </c>
      <c r="G1363" s="201">
        <v>10.1</v>
      </c>
    </row>
    <row r="1364" spans="4:7">
      <c r="D1364" s="200" t="s">
        <v>2358</v>
      </c>
      <c r="E1364" s="10">
        <v>77694</v>
      </c>
      <c r="F1364" s="201">
        <v>-9.4</v>
      </c>
      <c r="G1364" s="201">
        <v>11</v>
      </c>
    </row>
    <row r="1365" spans="4:7">
      <c r="D1365" s="200" t="s">
        <v>2359</v>
      </c>
      <c r="E1365" s="10">
        <v>77731</v>
      </c>
      <c r="F1365" s="201">
        <v>-9.4</v>
      </c>
      <c r="G1365" s="201">
        <v>11</v>
      </c>
    </row>
    <row r="1366" spans="4:7">
      <c r="D1366" s="200" t="s">
        <v>2360</v>
      </c>
      <c r="E1366" s="10">
        <v>77871</v>
      </c>
      <c r="F1366" s="201">
        <v>-9.4</v>
      </c>
      <c r="G1366" s="201">
        <v>10.9</v>
      </c>
    </row>
    <row r="1367" spans="4:7">
      <c r="D1367" s="200" t="s">
        <v>2147</v>
      </c>
      <c r="E1367" s="10">
        <v>78464</v>
      </c>
      <c r="F1367" s="201">
        <v>-9.4</v>
      </c>
      <c r="G1367" s="201">
        <v>10.1</v>
      </c>
    </row>
    <row r="1368" spans="4:7">
      <c r="D1368" s="200" t="s">
        <v>2361</v>
      </c>
      <c r="E1368" s="10">
        <v>88677</v>
      </c>
      <c r="F1368" s="201">
        <v>-9.4</v>
      </c>
      <c r="G1368" s="201">
        <v>9.9</v>
      </c>
    </row>
    <row r="1369" spans="4:7">
      <c r="D1369" s="200" t="s">
        <v>2362</v>
      </c>
      <c r="E1369" s="10">
        <v>88682</v>
      </c>
      <c r="F1369" s="201">
        <v>-9.4</v>
      </c>
      <c r="G1369" s="201">
        <v>9.9</v>
      </c>
    </row>
    <row r="1370" spans="4:7">
      <c r="D1370" s="200" t="s">
        <v>2363</v>
      </c>
      <c r="E1370" s="10">
        <v>18225</v>
      </c>
      <c r="F1370" s="201">
        <v>-9.5</v>
      </c>
      <c r="G1370" s="201">
        <v>9.3000000000000007</v>
      </c>
    </row>
    <row r="1371" spans="4:7">
      <c r="D1371" s="200" t="s">
        <v>2364</v>
      </c>
      <c r="E1371" s="10">
        <v>18546</v>
      </c>
      <c r="F1371" s="201">
        <v>-9.5</v>
      </c>
      <c r="G1371" s="201">
        <v>8.5</v>
      </c>
    </row>
    <row r="1372" spans="4:7">
      <c r="D1372" s="200" t="s">
        <v>2365</v>
      </c>
      <c r="E1372" s="10">
        <v>18569</v>
      </c>
      <c r="F1372" s="201">
        <v>-9.5</v>
      </c>
      <c r="G1372" s="201">
        <v>8.9</v>
      </c>
    </row>
    <row r="1373" spans="4:7">
      <c r="D1373" s="200" t="s">
        <v>2366</v>
      </c>
      <c r="E1373" s="10">
        <v>21614</v>
      </c>
      <c r="F1373" s="201">
        <v>-9.5</v>
      </c>
      <c r="G1373" s="201">
        <v>9.3000000000000007</v>
      </c>
    </row>
    <row r="1374" spans="4:7">
      <c r="D1374" s="200" t="s">
        <v>2367</v>
      </c>
      <c r="E1374" s="10">
        <v>21772</v>
      </c>
      <c r="F1374" s="201">
        <v>-9.5</v>
      </c>
      <c r="G1374" s="201">
        <v>9.5</v>
      </c>
    </row>
    <row r="1375" spans="4:7">
      <c r="D1375" s="200" t="s">
        <v>2368</v>
      </c>
      <c r="E1375" s="10">
        <v>21787</v>
      </c>
      <c r="F1375" s="201">
        <v>-9.5</v>
      </c>
      <c r="G1375" s="201">
        <v>9.4</v>
      </c>
    </row>
    <row r="1376" spans="4:7">
      <c r="D1376" s="200" t="s">
        <v>1707</v>
      </c>
      <c r="E1376" s="10">
        <v>22043</v>
      </c>
      <c r="F1376" s="201">
        <v>-9.5</v>
      </c>
      <c r="G1376" s="201">
        <v>9.6999999999999993</v>
      </c>
    </row>
    <row r="1377" spans="4:7">
      <c r="D1377" s="200" t="s">
        <v>1707</v>
      </c>
      <c r="E1377" s="10">
        <v>22159</v>
      </c>
      <c r="F1377" s="201">
        <v>-9.5</v>
      </c>
      <c r="G1377" s="201">
        <v>9.6</v>
      </c>
    </row>
    <row r="1378" spans="4:7">
      <c r="D1378" s="200" t="s">
        <v>1707</v>
      </c>
      <c r="E1378" s="10">
        <v>22179</v>
      </c>
      <c r="F1378" s="201">
        <v>-9.5</v>
      </c>
      <c r="G1378" s="201">
        <v>9.6999999999999993</v>
      </c>
    </row>
    <row r="1379" spans="4:7">
      <c r="D1379" s="200" t="s">
        <v>1707</v>
      </c>
      <c r="E1379" s="10">
        <v>22335</v>
      </c>
      <c r="F1379" s="201">
        <v>-9.5</v>
      </c>
      <c r="G1379" s="201">
        <v>9.6</v>
      </c>
    </row>
    <row r="1380" spans="4:7">
      <c r="D1380" s="200" t="s">
        <v>1707</v>
      </c>
      <c r="E1380" s="10">
        <v>22391</v>
      </c>
      <c r="F1380" s="201">
        <v>-9.5</v>
      </c>
      <c r="G1380" s="201">
        <v>9.6</v>
      </c>
    </row>
    <row r="1381" spans="4:7">
      <c r="D1381" s="200" t="s">
        <v>1707</v>
      </c>
      <c r="E1381" s="10">
        <v>22393</v>
      </c>
      <c r="F1381" s="201">
        <v>-9.5</v>
      </c>
      <c r="G1381" s="201">
        <v>9.6</v>
      </c>
    </row>
    <row r="1382" spans="4:7">
      <c r="D1382" s="200" t="s">
        <v>1707</v>
      </c>
      <c r="E1382" s="10">
        <v>22399</v>
      </c>
      <c r="F1382" s="201">
        <v>-9.5</v>
      </c>
      <c r="G1382" s="201">
        <v>9.6</v>
      </c>
    </row>
    <row r="1383" spans="4:7">
      <c r="D1383" s="200" t="s">
        <v>1707</v>
      </c>
      <c r="E1383" s="10">
        <v>22453</v>
      </c>
      <c r="F1383" s="201">
        <v>-9.5</v>
      </c>
      <c r="G1383" s="201">
        <v>9.6</v>
      </c>
    </row>
    <row r="1384" spans="4:7">
      <c r="D1384" s="200" t="s">
        <v>2369</v>
      </c>
      <c r="E1384" s="10">
        <v>23717</v>
      </c>
      <c r="F1384" s="201">
        <v>-9.5</v>
      </c>
      <c r="G1384" s="201">
        <v>8.9</v>
      </c>
    </row>
    <row r="1385" spans="4:7">
      <c r="D1385" s="200" t="s">
        <v>2370</v>
      </c>
      <c r="E1385" s="10">
        <v>24326</v>
      </c>
      <c r="F1385" s="201">
        <v>-9.5</v>
      </c>
      <c r="G1385" s="201">
        <v>9</v>
      </c>
    </row>
    <row r="1386" spans="4:7">
      <c r="D1386" s="200" t="s">
        <v>2371</v>
      </c>
      <c r="E1386" s="10">
        <v>25371</v>
      </c>
      <c r="F1386" s="201">
        <v>-9.5</v>
      </c>
      <c r="G1386" s="201">
        <v>9.3000000000000007</v>
      </c>
    </row>
    <row r="1387" spans="4:7">
      <c r="D1387" s="200" t="s">
        <v>2372</v>
      </c>
      <c r="E1387" s="10">
        <v>25421</v>
      </c>
      <c r="F1387" s="201">
        <v>-9.5</v>
      </c>
      <c r="G1387" s="201">
        <v>9.3000000000000007</v>
      </c>
    </row>
    <row r="1388" spans="4:7">
      <c r="D1388" s="200" t="s">
        <v>2373</v>
      </c>
      <c r="E1388" s="10">
        <v>25578</v>
      </c>
      <c r="F1388" s="201">
        <v>-9.5</v>
      </c>
      <c r="G1388" s="201">
        <v>9.3000000000000007</v>
      </c>
    </row>
    <row r="1389" spans="4:7">
      <c r="D1389" s="200" t="s">
        <v>2374</v>
      </c>
      <c r="E1389" s="10">
        <v>25591</v>
      </c>
      <c r="F1389" s="201">
        <v>-9.5</v>
      </c>
      <c r="G1389" s="201">
        <v>9.1</v>
      </c>
    </row>
    <row r="1390" spans="4:7">
      <c r="D1390" s="200" t="s">
        <v>1921</v>
      </c>
      <c r="E1390" s="10">
        <v>26125</v>
      </c>
      <c r="F1390" s="201">
        <v>-9.5</v>
      </c>
      <c r="G1390" s="201">
        <v>9.5</v>
      </c>
    </row>
    <row r="1391" spans="4:7">
      <c r="D1391" s="200" t="s">
        <v>2375</v>
      </c>
      <c r="E1391" s="10">
        <v>26160</v>
      </c>
      <c r="F1391" s="201">
        <v>-9.5</v>
      </c>
      <c r="G1391" s="201">
        <v>9.6</v>
      </c>
    </row>
    <row r="1392" spans="4:7">
      <c r="D1392" s="200" t="s">
        <v>2376</v>
      </c>
      <c r="E1392" s="10">
        <v>26169</v>
      </c>
      <c r="F1392" s="201">
        <v>-9.5</v>
      </c>
      <c r="G1392" s="201">
        <v>9.6</v>
      </c>
    </row>
    <row r="1393" spans="4:7">
      <c r="D1393" s="200" t="s">
        <v>2377</v>
      </c>
      <c r="E1393" s="10">
        <v>26188</v>
      </c>
      <c r="F1393" s="201">
        <v>-9.5</v>
      </c>
      <c r="G1393" s="201">
        <v>9.6</v>
      </c>
    </row>
    <row r="1394" spans="4:7">
      <c r="D1394" s="200" t="s">
        <v>2378</v>
      </c>
      <c r="E1394" s="10">
        <v>26655</v>
      </c>
      <c r="F1394" s="201">
        <v>-9.5</v>
      </c>
      <c r="G1394" s="201">
        <v>9.6</v>
      </c>
    </row>
    <row r="1395" spans="4:7">
      <c r="D1395" s="200" t="s">
        <v>2379</v>
      </c>
      <c r="E1395" s="10">
        <v>26683</v>
      </c>
      <c r="F1395" s="201">
        <v>-9.5</v>
      </c>
      <c r="G1395" s="201">
        <v>9.6</v>
      </c>
    </row>
    <row r="1396" spans="4:7">
      <c r="D1396" s="200" t="s">
        <v>2380</v>
      </c>
      <c r="E1396" s="10">
        <v>26903</v>
      </c>
      <c r="F1396" s="201">
        <v>-9.5</v>
      </c>
      <c r="G1396" s="201">
        <v>9.6999999999999993</v>
      </c>
    </row>
    <row r="1397" spans="4:7">
      <c r="D1397" s="200" t="s">
        <v>2381</v>
      </c>
      <c r="E1397" s="10">
        <v>27339</v>
      </c>
      <c r="F1397" s="201">
        <v>-9.5</v>
      </c>
      <c r="G1397" s="201">
        <v>9.6</v>
      </c>
    </row>
    <row r="1398" spans="4:7">
      <c r="D1398" s="200" t="s">
        <v>2382</v>
      </c>
      <c r="E1398" s="10">
        <v>27798</v>
      </c>
      <c r="F1398" s="201">
        <v>-9.5</v>
      </c>
      <c r="G1398" s="201">
        <v>9.6</v>
      </c>
    </row>
    <row r="1399" spans="4:7">
      <c r="D1399" s="200" t="s">
        <v>2383</v>
      </c>
      <c r="E1399" s="10">
        <v>27809</v>
      </c>
      <c r="F1399" s="201">
        <v>-9.5</v>
      </c>
      <c r="G1399" s="201">
        <v>9.6</v>
      </c>
    </row>
    <row r="1400" spans="4:7">
      <c r="D1400" s="200" t="s">
        <v>1837</v>
      </c>
      <c r="E1400" s="10">
        <v>28355</v>
      </c>
      <c r="F1400" s="201">
        <v>-9.5</v>
      </c>
      <c r="G1400" s="201">
        <v>9.6</v>
      </c>
    </row>
    <row r="1401" spans="4:7">
      <c r="D1401" s="200" t="s">
        <v>2384</v>
      </c>
      <c r="E1401" s="10">
        <v>28865</v>
      </c>
      <c r="F1401" s="201">
        <v>-9.5</v>
      </c>
      <c r="G1401" s="201">
        <v>9.6</v>
      </c>
    </row>
    <row r="1402" spans="4:7">
      <c r="D1402" s="200" t="s">
        <v>2385</v>
      </c>
      <c r="E1402" s="10">
        <v>33332</v>
      </c>
      <c r="F1402" s="201">
        <v>-9.5</v>
      </c>
      <c r="G1402" s="201">
        <v>10.6</v>
      </c>
    </row>
    <row r="1403" spans="4:7">
      <c r="D1403" s="200" t="s">
        <v>1926</v>
      </c>
      <c r="E1403" s="10">
        <v>33607</v>
      </c>
      <c r="F1403" s="201">
        <v>-9.5</v>
      </c>
      <c r="G1403" s="201">
        <v>10.5</v>
      </c>
    </row>
    <row r="1404" spans="4:7">
      <c r="D1404" s="200" t="s">
        <v>1926</v>
      </c>
      <c r="E1404" s="10">
        <v>33615</v>
      </c>
      <c r="F1404" s="201">
        <v>-9.5</v>
      </c>
      <c r="G1404" s="201">
        <v>10.4</v>
      </c>
    </row>
    <row r="1405" spans="4:7">
      <c r="D1405" s="200" t="s">
        <v>2386</v>
      </c>
      <c r="E1405" s="10">
        <v>48317</v>
      </c>
      <c r="F1405" s="201">
        <v>-9.5</v>
      </c>
      <c r="G1405" s="201">
        <v>10.199999999999999</v>
      </c>
    </row>
    <row r="1406" spans="4:7">
      <c r="D1406" s="200" t="s">
        <v>2387</v>
      </c>
      <c r="E1406" s="10">
        <v>48351</v>
      </c>
      <c r="F1406" s="201">
        <v>-9.5</v>
      </c>
      <c r="G1406" s="201">
        <v>10.1</v>
      </c>
    </row>
    <row r="1407" spans="4:7">
      <c r="D1407" s="200" t="s">
        <v>1806</v>
      </c>
      <c r="E1407" s="10">
        <v>49080</v>
      </c>
      <c r="F1407" s="201">
        <v>-9.5</v>
      </c>
      <c r="G1407" s="201">
        <v>10.1</v>
      </c>
    </row>
    <row r="1408" spans="4:7">
      <c r="D1408" s="200" t="s">
        <v>2388</v>
      </c>
      <c r="E1408" s="10">
        <v>49219</v>
      </c>
      <c r="F1408" s="201">
        <v>-9.5</v>
      </c>
      <c r="G1408" s="201">
        <v>10.1</v>
      </c>
    </row>
    <row r="1409" spans="4:7">
      <c r="D1409" s="200" t="s">
        <v>2389</v>
      </c>
      <c r="E1409" s="10">
        <v>49413</v>
      </c>
      <c r="F1409" s="201">
        <v>-9.5</v>
      </c>
      <c r="G1409" s="201">
        <v>9.9</v>
      </c>
    </row>
    <row r="1410" spans="4:7">
      <c r="D1410" s="200" t="s">
        <v>2390</v>
      </c>
      <c r="E1410" s="10">
        <v>49536</v>
      </c>
      <c r="F1410" s="201">
        <v>-9.5</v>
      </c>
      <c r="G1410" s="201">
        <v>10.1</v>
      </c>
    </row>
    <row r="1411" spans="4:7">
      <c r="D1411" s="200" t="s">
        <v>2391</v>
      </c>
      <c r="E1411" s="10">
        <v>49594</v>
      </c>
      <c r="F1411" s="201">
        <v>-9.5</v>
      </c>
      <c r="G1411" s="201">
        <v>9.9</v>
      </c>
    </row>
    <row r="1412" spans="4:7">
      <c r="D1412" s="200" t="s">
        <v>2392</v>
      </c>
      <c r="E1412" s="10">
        <v>49596</v>
      </c>
      <c r="F1412" s="201">
        <v>-9.5</v>
      </c>
      <c r="G1412" s="201">
        <v>9.9</v>
      </c>
    </row>
    <row r="1413" spans="4:7">
      <c r="D1413" s="200" t="s">
        <v>2393</v>
      </c>
      <c r="E1413" s="10">
        <v>49597</v>
      </c>
      <c r="F1413" s="201">
        <v>-9.5</v>
      </c>
      <c r="G1413" s="201">
        <v>9.9</v>
      </c>
    </row>
    <row r="1414" spans="4:7">
      <c r="D1414" s="200" t="s">
        <v>2394</v>
      </c>
      <c r="E1414" s="10">
        <v>49635</v>
      </c>
      <c r="F1414" s="201">
        <v>-9.5</v>
      </c>
      <c r="G1414" s="201">
        <v>9.9</v>
      </c>
    </row>
    <row r="1415" spans="4:7">
      <c r="D1415" s="200" t="s">
        <v>2395</v>
      </c>
      <c r="E1415" s="10">
        <v>49681</v>
      </c>
      <c r="F1415" s="201">
        <v>-9.5</v>
      </c>
      <c r="G1415" s="201">
        <v>9.6</v>
      </c>
    </row>
    <row r="1416" spans="4:7">
      <c r="D1416" s="200" t="s">
        <v>2396</v>
      </c>
      <c r="E1416" s="10">
        <v>49688</v>
      </c>
      <c r="F1416" s="201">
        <v>-9.5</v>
      </c>
      <c r="G1416" s="201">
        <v>9.8000000000000007</v>
      </c>
    </row>
    <row r="1417" spans="4:7">
      <c r="D1417" s="200" t="s">
        <v>2397</v>
      </c>
      <c r="E1417" s="10">
        <v>51674</v>
      </c>
      <c r="F1417" s="201">
        <v>-9.5</v>
      </c>
      <c r="G1417" s="201">
        <v>10</v>
      </c>
    </row>
    <row r="1418" spans="4:7">
      <c r="D1418" s="200" t="s">
        <v>2398</v>
      </c>
      <c r="E1418" s="10">
        <v>52393</v>
      </c>
      <c r="F1418" s="201">
        <v>-9.5</v>
      </c>
      <c r="G1418" s="201">
        <v>9.3000000000000007</v>
      </c>
    </row>
    <row r="1419" spans="4:7">
      <c r="D1419" s="200" t="s">
        <v>2399</v>
      </c>
      <c r="E1419" s="10">
        <v>53604</v>
      </c>
      <c r="F1419" s="201">
        <v>-9.5</v>
      </c>
      <c r="G1419" s="201">
        <v>9.8000000000000007</v>
      </c>
    </row>
    <row r="1420" spans="4:7">
      <c r="D1420" s="200" t="s">
        <v>1952</v>
      </c>
      <c r="E1420" s="10">
        <v>54296</v>
      </c>
      <c r="F1420" s="201">
        <v>-9.5</v>
      </c>
      <c r="G1420" s="201">
        <v>10.1</v>
      </c>
    </row>
    <row r="1421" spans="4:7">
      <c r="D1421" s="200" t="s">
        <v>2400</v>
      </c>
      <c r="E1421" s="10">
        <v>54306</v>
      </c>
      <c r="F1421" s="201">
        <v>-9.5</v>
      </c>
      <c r="G1421" s="201">
        <v>9.9</v>
      </c>
    </row>
    <row r="1422" spans="4:7">
      <c r="D1422" s="200" t="s">
        <v>2401</v>
      </c>
      <c r="E1422" s="10">
        <v>54340</v>
      </c>
      <c r="F1422" s="201">
        <v>-9.5</v>
      </c>
      <c r="G1422" s="201">
        <v>10</v>
      </c>
    </row>
    <row r="1423" spans="4:7">
      <c r="D1423" s="200" t="s">
        <v>2402</v>
      </c>
      <c r="E1423" s="10">
        <v>54343</v>
      </c>
      <c r="F1423" s="201">
        <v>-9.5</v>
      </c>
      <c r="G1423" s="201">
        <v>10.1</v>
      </c>
    </row>
    <row r="1424" spans="4:7">
      <c r="D1424" s="200" t="s">
        <v>2403</v>
      </c>
      <c r="E1424" s="10">
        <v>54347</v>
      </c>
      <c r="F1424" s="201">
        <v>-9.5</v>
      </c>
      <c r="G1424" s="201">
        <v>9.9</v>
      </c>
    </row>
    <row r="1425" spans="4:7">
      <c r="D1425" s="200" t="s">
        <v>2404</v>
      </c>
      <c r="E1425" s="10">
        <v>54453</v>
      </c>
      <c r="F1425" s="201">
        <v>-9.5</v>
      </c>
      <c r="G1425" s="201">
        <v>9.6999999999999993</v>
      </c>
    </row>
    <row r="1426" spans="4:7">
      <c r="D1426" s="200" t="s">
        <v>2405</v>
      </c>
      <c r="E1426" s="10">
        <v>54459</v>
      </c>
      <c r="F1426" s="201">
        <v>-9.5</v>
      </c>
      <c r="G1426" s="201">
        <v>9.8000000000000007</v>
      </c>
    </row>
    <row r="1427" spans="4:7">
      <c r="D1427" s="200" t="s">
        <v>1851</v>
      </c>
      <c r="E1427" s="10">
        <v>55120</v>
      </c>
      <c r="F1427" s="201">
        <v>-9.5</v>
      </c>
      <c r="G1427" s="201">
        <v>11</v>
      </c>
    </row>
    <row r="1428" spans="4:7">
      <c r="D1428" s="200" t="s">
        <v>1851</v>
      </c>
      <c r="E1428" s="10">
        <v>55124</v>
      </c>
      <c r="F1428" s="201">
        <v>-9.5</v>
      </c>
      <c r="G1428" s="201">
        <v>10.8</v>
      </c>
    </row>
    <row r="1429" spans="4:7">
      <c r="D1429" s="200" t="s">
        <v>1851</v>
      </c>
      <c r="E1429" s="10">
        <v>55130</v>
      </c>
      <c r="F1429" s="201">
        <v>-9.5</v>
      </c>
      <c r="G1429" s="201">
        <v>10.9</v>
      </c>
    </row>
    <row r="1430" spans="4:7">
      <c r="D1430" s="200" t="s">
        <v>2406</v>
      </c>
      <c r="E1430" s="10">
        <v>55218</v>
      </c>
      <c r="F1430" s="201">
        <v>-9.5</v>
      </c>
      <c r="G1430" s="201">
        <v>10.8</v>
      </c>
    </row>
    <row r="1431" spans="4:7">
      <c r="D1431" s="200" t="s">
        <v>2407</v>
      </c>
      <c r="E1431" s="10">
        <v>55424</v>
      </c>
      <c r="F1431" s="201">
        <v>-9.5</v>
      </c>
      <c r="G1431" s="201">
        <v>10.4</v>
      </c>
    </row>
    <row r="1432" spans="4:7">
      <c r="D1432" s="200" t="s">
        <v>2408</v>
      </c>
      <c r="E1432" s="10">
        <v>56203</v>
      </c>
      <c r="F1432" s="201">
        <v>-9.5</v>
      </c>
      <c r="G1432" s="201">
        <v>10.1</v>
      </c>
    </row>
    <row r="1433" spans="4:7">
      <c r="D1433" s="200" t="s">
        <v>2409</v>
      </c>
      <c r="E1433" s="10">
        <v>56242</v>
      </c>
      <c r="F1433" s="201">
        <v>-9.5</v>
      </c>
      <c r="G1433" s="201">
        <v>9.9</v>
      </c>
    </row>
    <row r="1434" spans="4:7">
      <c r="D1434" s="200" t="s">
        <v>2410</v>
      </c>
      <c r="E1434" s="10">
        <v>56254</v>
      </c>
      <c r="F1434" s="201">
        <v>-9.5</v>
      </c>
      <c r="G1434" s="201">
        <v>9.9</v>
      </c>
    </row>
    <row r="1435" spans="4:7">
      <c r="D1435" s="200" t="s">
        <v>2411</v>
      </c>
      <c r="E1435" s="10">
        <v>56271</v>
      </c>
      <c r="F1435" s="201">
        <v>-9.5</v>
      </c>
      <c r="G1435" s="201">
        <v>9.6999999999999993</v>
      </c>
    </row>
    <row r="1436" spans="4:7">
      <c r="D1436" s="200" t="s">
        <v>2412</v>
      </c>
      <c r="E1436" s="10">
        <v>56593</v>
      </c>
      <c r="F1436" s="201">
        <v>-9.5</v>
      </c>
      <c r="G1436" s="201">
        <v>9.6999999999999993</v>
      </c>
    </row>
    <row r="1437" spans="4:7">
      <c r="D1437" s="200" t="s">
        <v>2413</v>
      </c>
      <c r="E1437" s="10">
        <v>56599</v>
      </c>
      <c r="F1437" s="201">
        <v>-9.5</v>
      </c>
      <c r="G1437" s="201">
        <v>10.1</v>
      </c>
    </row>
    <row r="1438" spans="4:7">
      <c r="D1438" s="200" t="s">
        <v>2414</v>
      </c>
      <c r="E1438" s="10">
        <v>56645</v>
      </c>
      <c r="F1438" s="201">
        <v>-9.5</v>
      </c>
      <c r="G1438" s="201">
        <v>10.1</v>
      </c>
    </row>
    <row r="1439" spans="4:7">
      <c r="D1439" s="200" t="s">
        <v>2415</v>
      </c>
      <c r="E1439" s="10">
        <v>56743</v>
      </c>
      <c r="F1439" s="201">
        <v>-9.5</v>
      </c>
      <c r="G1439" s="201">
        <v>10</v>
      </c>
    </row>
    <row r="1440" spans="4:7">
      <c r="D1440" s="200" t="s">
        <v>2416</v>
      </c>
      <c r="E1440" s="10">
        <v>56751</v>
      </c>
      <c r="F1440" s="201">
        <v>-9.5</v>
      </c>
      <c r="G1440" s="201">
        <v>10</v>
      </c>
    </row>
    <row r="1441" spans="4:7">
      <c r="D1441" s="200" t="s">
        <v>2417</v>
      </c>
      <c r="E1441" s="10">
        <v>56753</v>
      </c>
      <c r="F1441" s="201">
        <v>-9.5</v>
      </c>
      <c r="G1441" s="201">
        <v>10</v>
      </c>
    </row>
    <row r="1442" spans="4:7">
      <c r="D1442" s="200" t="s">
        <v>2418</v>
      </c>
      <c r="E1442" s="10">
        <v>57612</v>
      </c>
      <c r="F1442" s="201">
        <v>-9.5</v>
      </c>
      <c r="G1442" s="201">
        <v>9.9</v>
      </c>
    </row>
    <row r="1443" spans="4:7">
      <c r="D1443" s="200" t="s">
        <v>2139</v>
      </c>
      <c r="E1443" s="10">
        <v>58636</v>
      </c>
      <c r="F1443" s="201">
        <v>-9.5</v>
      </c>
      <c r="G1443" s="201">
        <v>9.6999999999999993</v>
      </c>
    </row>
    <row r="1444" spans="4:7">
      <c r="D1444" s="200" t="s">
        <v>2139</v>
      </c>
      <c r="E1444" s="10">
        <v>58638</v>
      </c>
      <c r="F1444" s="201">
        <v>-9.5</v>
      </c>
      <c r="G1444" s="201">
        <v>9.5</v>
      </c>
    </row>
    <row r="1445" spans="4:7">
      <c r="D1445" s="200" t="s">
        <v>2299</v>
      </c>
      <c r="E1445" s="10">
        <v>58710</v>
      </c>
      <c r="F1445" s="201">
        <v>-9.5</v>
      </c>
      <c r="G1445" s="201">
        <v>9.9</v>
      </c>
    </row>
    <row r="1446" spans="4:7">
      <c r="D1446" s="200" t="s">
        <v>2054</v>
      </c>
      <c r="E1446" s="10">
        <v>59075</v>
      </c>
      <c r="F1446" s="201">
        <v>-9.5</v>
      </c>
      <c r="G1446" s="201">
        <v>10.199999999999999</v>
      </c>
    </row>
    <row r="1447" spans="4:7">
      <c r="D1447" s="200" t="s">
        <v>2419</v>
      </c>
      <c r="E1447" s="10">
        <v>59457</v>
      </c>
      <c r="F1447" s="201">
        <v>-9.5</v>
      </c>
      <c r="G1447" s="201">
        <v>10.3</v>
      </c>
    </row>
    <row r="1448" spans="4:7">
      <c r="D1448" s="200" t="s">
        <v>2303</v>
      </c>
      <c r="E1448" s="10">
        <v>59557</v>
      </c>
      <c r="F1448" s="201">
        <v>-9.5</v>
      </c>
      <c r="G1448" s="201">
        <v>10.3</v>
      </c>
    </row>
    <row r="1449" spans="4:7">
      <c r="D1449" s="200" t="s">
        <v>1771</v>
      </c>
      <c r="E1449" s="10">
        <v>60488</v>
      </c>
      <c r="F1449" s="201">
        <v>-9.5</v>
      </c>
      <c r="G1449" s="201">
        <v>11</v>
      </c>
    </row>
    <row r="1450" spans="4:7">
      <c r="D1450" s="200" t="s">
        <v>1771</v>
      </c>
      <c r="E1450" s="10">
        <v>60549</v>
      </c>
      <c r="F1450" s="201">
        <v>-9.5</v>
      </c>
      <c r="G1450" s="201">
        <v>11</v>
      </c>
    </row>
    <row r="1451" spans="4:7">
      <c r="D1451" s="200" t="s">
        <v>2420</v>
      </c>
      <c r="E1451" s="10">
        <v>63067</v>
      </c>
      <c r="F1451" s="201">
        <v>-9.5</v>
      </c>
      <c r="G1451" s="201">
        <v>11.2</v>
      </c>
    </row>
    <row r="1452" spans="4:7">
      <c r="D1452" s="200" t="s">
        <v>1994</v>
      </c>
      <c r="E1452" s="10">
        <v>64293</v>
      </c>
      <c r="F1452" s="201">
        <v>-9.5</v>
      </c>
      <c r="G1452" s="201">
        <v>11.1</v>
      </c>
    </row>
    <row r="1453" spans="4:7">
      <c r="D1453" s="200" t="s">
        <v>1786</v>
      </c>
      <c r="E1453" s="10">
        <v>65191</v>
      </c>
      <c r="F1453" s="201">
        <v>-9.5</v>
      </c>
      <c r="G1453" s="201">
        <v>10.5</v>
      </c>
    </row>
    <row r="1454" spans="4:7">
      <c r="D1454" s="200" t="s">
        <v>1786</v>
      </c>
      <c r="E1454" s="10">
        <v>65197</v>
      </c>
      <c r="F1454" s="201">
        <v>-9.5</v>
      </c>
      <c r="G1454" s="201">
        <v>10.6</v>
      </c>
    </row>
    <row r="1455" spans="4:7">
      <c r="D1455" s="200" t="s">
        <v>2421</v>
      </c>
      <c r="E1455" s="10">
        <v>65451</v>
      </c>
      <c r="F1455" s="201">
        <v>-9.5</v>
      </c>
      <c r="G1455" s="201">
        <v>11</v>
      </c>
    </row>
    <row r="1456" spans="4:7">
      <c r="D1456" s="200" t="s">
        <v>2422</v>
      </c>
      <c r="E1456" s="10">
        <v>65824</v>
      </c>
      <c r="F1456" s="201">
        <v>-9.5</v>
      </c>
      <c r="G1456" s="201">
        <v>10.7</v>
      </c>
    </row>
    <row r="1457" spans="4:7">
      <c r="D1457" s="200" t="s">
        <v>2423</v>
      </c>
      <c r="E1457" s="10">
        <v>65830</v>
      </c>
      <c r="F1457" s="201">
        <v>-9.5</v>
      </c>
      <c r="G1457" s="201">
        <v>10.9</v>
      </c>
    </row>
    <row r="1458" spans="4:7">
      <c r="D1458" s="200" t="s">
        <v>1771</v>
      </c>
      <c r="E1458" s="10">
        <v>65934</v>
      </c>
      <c r="F1458" s="201">
        <v>-9.5</v>
      </c>
      <c r="G1458" s="201">
        <v>11</v>
      </c>
    </row>
    <row r="1459" spans="4:7">
      <c r="D1459" s="200" t="s">
        <v>1771</v>
      </c>
      <c r="E1459" s="10">
        <v>65936</v>
      </c>
      <c r="F1459" s="201">
        <v>-9.5</v>
      </c>
      <c r="G1459" s="201">
        <v>10.9</v>
      </c>
    </row>
    <row r="1460" spans="4:7">
      <c r="D1460" s="200" t="s">
        <v>1814</v>
      </c>
      <c r="E1460" s="10">
        <v>66125</v>
      </c>
      <c r="F1460" s="201">
        <v>-9.5</v>
      </c>
      <c r="G1460" s="201">
        <v>10.199999999999999</v>
      </c>
    </row>
    <row r="1461" spans="4:7">
      <c r="D1461" s="200" t="s">
        <v>1814</v>
      </c>
      <c r="E1461" s="10">
        <v>66133</v>
      </c>
      <c r="F1461" s="201">
        <v>-9.5</v>
      </c>
      <c r="G1461" s="201">
        <v>10.199999999999999</v>
      </c>
    </row>
    <row r="1462" spans="4:7">
      <c r="D1462" s="200" t="s">
        <v>2424</v>
      </c>
      <c r="E1462" s="10">
        <v>66280</v>
      </c>
      <c r="F1462" s="201">
        <v>-9.5</v>
      </c>
      <c r="G1462" s="201">
        <v>10.199999999999999</v>
      </c>
    </row>
    <row r="1463" spans="4:7">
      <c r="D1463" s="200" t="s">
        <v>2425</v>
      </c>
      <c r="E1463" s="10">
        <v>66292</v>
      </c>
      <c r="F1463" s="201">
        <v>-9.5</v>
      </c>
      <c r="G1463" s="201">
        <v>10.199999999999999</v>
      </c>
    </row>
    <row r="1464" spans="4:7">
      <c r="D1464" s="200" t="s">
        <v>2426</v>
      </c>
      <c r="E1464" s="10">
        <v>66352</v>
      </c>
      <c r="F1464" s="201">
        <v>-9.5</v>
      </c>
      <c r="G1464" s="201">
        <v>10.199999999999999</v>
      </c>
    </row>
    <row r="1465" spans="4:7">
      <c r="D1465" s="200" t="s">
        <v>2427</v>
      </c>
      <c r="E1465" s="10">
        <v>66359</v>
      </c>
      <c r="F1465" s="201">
        <v>-9.5</v>
      </c>
      <c r="G1465" s="201">
        <v>10.199999999999999</v>
      </c>
    </row>
    <row r="1466" spans="4:7">
      <c r="D1466" s="200" t="s">
        <v>2428</v>
      </c>
      <c r="E1466" s="10">
        <v>66440</v>
      </c>
      <c r="F1466" s="201">
        <v>-9.5</v>
      </c>
      <c r="G1466" s="201">
        <v>10.3</v>
      </c>
    </row>
    <row r="1467" spans="4:7">
      <c r="D1467" s="200" t="s">
        <v>2429</v>
      </c>
      <c r="E1467" s="10">
        <v>66693</v>
      </c>
      <c r="F1467" s="201">
        <v>-9.5</v>
      </c>
      <c r="G1467" s="201">
        <v>9.9</v>
      </c>
    </row>
    <row r="1468" spans="4:7">
      <c r="D1468" s="200" t="s">
        <v>2430</v>
      </c>
      <c r="E1468" s="10">
        <v>66793</v>
      </c>
      <c r="F1468" s="201">
        <v>-9.5</v>
      </c>
      <c r="G1468" s="201">
        <v>10.1</v>
      </c>
    </row>
    <row r="1469" spans="4:7">
      <c r="D1469" s="200" t="s">
        <v>2431</v>
      </c>
      <c r="E1469" s="10">
        <v>66822</v>
      </c>
      <c r="F1469" s="201">
        <v>-9.5</v>
      </c>
      <c r="G1469" s="201">
        <v>10.1</v>
      </c>
    </row>
    <row r="1470" spans="4:7">
      <c r="D1470" s="200" t="s">
        <v>2432</v>
      </c>
      <c r="E1470" s="10">
        <v>66892</v>
      </c>
      <c r="F1470" s="201">
        <v>-9.5</v>
      </c>
      <c r="G1470" s="201">
        <v>10.199999999999999</v>
      </c>
    </row>
    <row r="1471" spans="4:7">
      <c r="D1471" s="200" t="s">
        <v>2307</v>
      </c>
      <c r="E1471" s="10">
        <v>70178</v>
      </c>
      <c r="F1471" s="201">
        <v>-9.5</v>
      </c>
      <c r="G1471" s="201">
        <v>11.3</v>
      </c>
    </row>
    <row r="1472" spans="4:7">
      <c r="D1472" s="200" t="s">
        <v>2308</v>
      </c>
      <c r="E1472" s="10">
        <v>76135</v>
      </c>
      <c r="F1472" s="201">
        <v>-9.5</v>
      </c>
      <c r="G1472" s="201">
        <v>11.5</v>
      </c>
    </row>
    <row r="1473" spans="4:7">
      <c r="D1473" s="200" t="s">
        <v>2308</v>
      </c>
      <c r="E1473" s="10">
        <v>76137</v>
      </c>
      <c r="F1473" s="201">
        <v>-9.5</v>
      </c>
      <c r="G1473" s="201">
        <v>11.3</v>
      </c>
    </row>
    <row r="1474" spans="4:7">
      <c r="D1474" s="200" t="s">
        <v>2308</v>
      </c>
      <c r="E1474" s="10">
        <v>76185</v>
      </c>
      <c r="F1474" s="201">
        <v>-9.5</v>
      </c>
      <c r="G1474" s="201">
        <v>11.5</v>
      </c>
    </row>
    <row r="1475" spans="4:7">
      <c r="D1475" s="200" t="s">
        <v>1957</v>
      </c>
      <c r="E1475" s="10">
        <v>77652</v>
      </c>
      <c r="F1475" s="201">
        <v>-9.5</v>
      </c>
      <c r="G1475" s="201">
        <v>10.9</v>
      </c>
    </row>
    <row r="1476" spans="4:7">
      <c r="D1476" s="200" t="s">
        <v>1957</v>
      </c>
      <c r="E1476" s="10">
        <v>77654</v>
      </c>
      <c r="F1476" s="201">
        <v>-9.5</v>
      </c>
      <c r="G1476" s="201">
        <v>10.7</v>
      </c>
    </row>
    <row r="1477" spans="4:7">
      <c r="D1477" s="200" t="s">
        <v>2433</v>
      </c>
      <c r="E1477" s="10">
        <v>77743</v>
      </c>
      <c r="F1477" s="201">
        <v>-9.5</v>
      </c>
      <c r="G1477" s="201">
        <v>10.9</v>
      </c>
    </row>
    <row r="1478" spans="4:7">
      <c r="D1478" s="200" t="s">
        <v>2434</v>
      </c>
      <c r="E1478" s="10">
        <v>77746</v>
      </c>
      <c r="F1478" s="201">
        <v>-9.5</v>
      </c>
      <c r="G1478" s="201">
        <v>10.8</v>
      </c>
    </row>
    <row r="1479" spans="4:7">
      <c r="D1479" s="200" t="s">
        <v>2435</v>
      </c>
      <c r="E1479" s="10">
        <v>77767</v>
      </c>
      <c r="F1479" s="201">
        <v>-9.5</v>
      </c>
      <c r="G1479" s="201">
        <v>11</v>
      </c>
    </row>
    <row r="1480" spans="4:7">
      <c r="D1480" s="200" t="s">
        <v>2436</v>
      </c>
      <c r="E1480" s="10">
        <v>77933</v>
      </c>
      <c r="F1480" s="201">
        <v>-9.5</v>
      </c>
      <c r="G1480" s="201">
        <v>11</v>
      </c>
    </row>
    <row r="1481" spans="4:7">
      <c r="D1481" s="200" t="s">
        <v>2437</v>
      </c>
      <c r="E1481" s="10">
        <v>77974</v>
      </c>
      <c r="F1481" s="201">
        <v>-9.5</v>
      </c>
      <c r="G1481" s="201">
        <v>10.9</v>
      </c>
    </row>
    <row r="1482" spans="4:7">
      <c r="D1482" s="200" t="s">
        <v>2438</v>
      </c>
      <c r="E1482" s="10">
        <v>78239</v>
      </c>
      <c r="F1482" s="201">
        <v>-9.5</v>
      </c>
      <c r="G1482" s="201">
        <v>10</v>
      </c>
    </row>
    <row r="1483" spans="4:7">
      <c r="D1483" s="200" t="s">
        <v>2439</v>
      </c>
      <c r="E1483" s="10">
        <v>79114</v>
      </c>
      <c r="F1483" s="201">
        <v>-9.5</v>
      </c>
      <c r="G1483" s="201">
        <v>11.6</v>
      </c>
    </row>
    <row r="1484" spans="4:7">
      <c r="D1484" s="200" t="s">
        <v>2440</v>
      </c>
      <c r="E1484" s="10">
        <v>88690</v>
      </c>
      <c r="F1484" s="201">
        <v>-9.5</v>
      </c>
      <c r="G1484" s="201">
        <v>9.9</v>
      </c>
    </row>
    <row r="1485" spans="4:7">
      <c r="D1485" s="200" t="s">
        <v>2441</v>
      </c>
      <c r="E1485" s="10">
        <v>88697</v>
      </c>
      <c r="F1485" s="201">
        <v>-9.5</v>
      </c>
      <c r="G1485" s="201">
        <v>9.9</v>
      </c>
    </row>
    <row r="1486" spans="4:7">
      <c r="D1486" s="200" t="s">
        <v>2442</v>
      </c>
      <c r="E1486" s="10">
        <v>88719</v>
      </c>
      <c r="F1486" s="201">
        <v>-9.5</v>
      </c>
      <c r="G1486" s="201">
        <v>9.8000000000000007</v>
      </c>
    </row>
    <row r="1487" spans="4:7">
      <c r="D1487" s="200" t="s">
        <v>2443</v>
      </c>
      <c r="E1487" s="10">
        <v>18528</v>
      </c>
      <c r="F1487" s="201">
        <v>-9.6</v>
      </c>
      <c r="G1487" s="201">
        <v>8.8000000000000007</v>
      </c>
    </row>
    <row r="1488" spans="4:7">
      <c r="D1488" s="200" t="s">
        <v>1707</v>
      </c>
      <c r="E1488" s="10">
        <v>21149</v>
      </c>
      <c r="F1488" s="201">
        <v>-9.6</v>
      </c>
      <c r="G1488" s="201">
        <v>9.3000000000000007</v>
      </c>
    </row>
    <row r="1489" spans="4:7">
      <c r="D1489" s="200" t="s">
        <v>2444</v>
      </c>
      <c r="E1489" s="10">
        <v>21712</v>
      </c>
      <c r="F1489" s="201">
        <v>-9.6</v>
      </c>
      <c r="G1489" s="201">
        <v>9.4</v>
      </c>
    </row>
    <row r="1490" spans="4:7">
      <c r="D1490" s="200" t="s">
        <v>2445</v>
      </c>
      <c r="E1490" s="10">
        <v>21745</v>
      </c>
      <c r="F1490" s="201">
        <v>-9.6</v>
      </c>
      <c r="G1490" s="201">
        <v>9.4</v>
      </c>
    </row>
    <row r="1491" spans="4:7">
      <c r="D1491" s="200" t="s">
        <v>2446</v>
      </c>
      <c r="E1491" s="10">
        <v>21756</v>
      </c>
      <c r="F1491" s="201">
        <v>-9.6</v>
      </c>
      <c r="G1491" s="201">
        <v>9.4</v>
      </c>
    </row>
    <row r="1492" spans="4:7">
      <c r="D1492" s="200" t="s">
        <v>2447</v>
      </c>
      <c r="E1492" s="10">
        <v>22113</v>
      </c>
      <c r="F1492" s="201">
        <v>-9.6</v>
      </c>
      <c r="G1492" s="201">
        <v>9.6</v>
      </c>
    </row>
    <row r="1493" spans="4:7">
      <c r="D1493" s="200" t="s">
        <v>1707</v>
      </c>
      <c r="E1493" s="10">
        <v>22147</v>
      </c>
      <c r="F1493" s="201">
        <v>-9.6</v>
      </c>
      <c r="G1493" s="201">
        <v>9.6</v>
      </c>
    </row>
    <row r="1494" spans="4:7">
      <c r="D1494" s="200" t="s">
        <v>1707</v>
      </c>
      <c r="E1494" s="10">
        <v>22149</v>
      </c>
      <c r="F1494" s="201">
        <v>-9.6</v>
      </c>
      <c r="G1494" s="201">
        <v>9.6</v>
      </c>
    </row>
    <row r="1495" spans="4:7">
      <c r="D1495" s="200" t="s">
        <v>1707</v>
      </c>
      <c r="E1495" s="10">
        <v>22419</v>
      </c>
      <c r="F1495" s="201">
        <v>-9.6</v>
      </c>
      <c r="G1495" s="201">
        <v>9.4</v>
      </c>
    </row>
    <row r="1496" spans="4:7">
      <c r="D1496" s="200" t="s">
        <v>2062</v>
      </c>
      <c r="E1496" s="10">
        <v>23552</v>
      </c>
      <c r="F1496" s="201">
        <v>-9.6</v>
      </c>
      <c r="G1496" s="201">
        <v>10.3</v>
      </c>
    </row>
    <row r="1497" spans="4:7">
      <c r="D1497" s="200" t="s">
        <v>2448</v>
      </c>
      <c r="E1497" s="10">
        <v>23714</v>
      </c>
      <c r="F1497" s="201">
        <v>-9.6</v>
      </c>
      <c r="G1497" s="201">
        <v>8.8000000000000007</v>
      </c>
    </row>
    <row r="1498" spans="4:7">
      <c r="D1498" s="200" t="s">
        <v>2449</v>
      </c>
      <c r="E1498" s="10">
        <v>23948</v>
      </c>
      <c r="F1498" s="201">
        <v>-9.6</v>
      </c>
      <c r="G1498" s="201">
        <v>9.1</v>
      </c>
    </row>
    <row r="1499" spans="4:7">
      <c r="D1499" s="200" t="s">
        <v>2450</v>
      </c>
      <c r="E1499" s="10">
        <v>23999</v>
      </c>
      <c r="F1499" s="201">
        <v>-9.6</v>
      </c>
      <c r="G1499" s="201">
        <v>9.3000000000000007</v>
      </c>
    </row>
    <row r="1500" spans="4:7">
      <c r="D1500" s="200" t="s">
        <v>2451</v>
      </c>
      <c r="E1500" s="10">
        <v>24576</v>
      </c>
      <c r="F1500" s="201">
        <v>-9.6</v>
      </c>
      <c r="G1500" s="201">
        <v>9.1999999999999993</v>
      </c>
    </row>
    <row r="1501" spans="4:7">
      <c r="D1501" s="200" t="s">
        <v>2452</v>
      </c>
      <c r="E1501" s="10">
        <v>24616</v>
      </c>
      <c r="F1501" s="201">
        <v>-9.6</v>
      </c>
      <c r="G1501" s="201">
        <v>9.1</v>
      </c>
    </row>
    <row r="1502" spans="4:7">
      <c r="D1502" s="200" t="s">
        <v>2453</v>
      </c>
      <c r="E1502" s="10">
        <v>24619</v>
      </c>
      <c r="F1502" s="201">
        <v>-9.6</v>
      </c>
      <c r="G1502" s="201">
        <v>8.9</v>
      </c>
    </row>
    <row r="1503" spans="4:7">
      <c r="D1503" s="200" t="s">
        <v>2454</v>
      </c>
      <c r="E1503" s="10">
        <v>24634</v>
      </c>
      <c r="F1503" s="201">
        <v>-9.6</v>
      </c>
      <c r="G1503" s="201">
        <v>9.1</v>
      </c>
    </row>
    <row r="1504" spans="4:7">
      <c r="D1504" s="200" t="s">
        <v>2455</v>
      </c>
      <c r="E1504" s="10">
        <v>24649</v>
      </c>
      <c r="F1504" s="201">
        <v>-9.6</v>
      </c>
      <c r="G1504" s="201">
        <v>9</v>
      </c>
    </row>
    <row r="1505" spans="4:7">
      <c r="D1505" s="200" t="s">
        <v>2456</v>
      </c>
      <c r="E1505" s="10">
        <v>25548</v>
      </c>
      <c r="F1505" s="201">
        <v>-9.6</v>
      </c>
      <c r="G1505" s="201">
        <v>9.1</v>
      </c>
    </row>
    <row r="1506" spans="4:7">
      <c r="D1506" s="200" t="s">
        <v>2457</v>
      </c>
      <c r="E1506" s="10">
        <v>25551</v>
      </c>
      <c r="F1506" s="201">
        <v>-9.6</v>
      </c>
      <c r="G1506" s="201">
        <v>9.1</v>
      </c>
    </row>
    <row r="1507" spans="4:7">
      <c r="D1507" s="200" t="s">
        <v>2458</v>
      </c>
      <c r="E1507" s="10">
        <v>25560</v>
      </c>
      <c r="F1507" s="201">
        <v>-9.6</v>
      </c>
      <c r="G1507" s="201">
        <v>9.1</v>
      </c>
    </row>
    <row r="1508" spans="4:7">
      <c r="D1508" s="200" t="s">
        <v>2459</v>
      </c>
      <c r="E1508" s="10">
        <v>25566</v>
      </c>
      <c r="F1508" s="201">
        <v>-9.6</v>
      </c>
      <c r="G1508" s="201">
        <v>9.1999999999999993</v>
      </c>
    </row>
    <row r="1509" spans="4:7">
      <c r="D1509" s="200" t="s">
        <v>1830</v>
      </c>
      <c r="E1509" s="10">
        <v>25581</v>
      </c>
      <c r="F1509" s="201">
        <v>-9.6</v>
      </c>
      <c r="G1509" s="201">
        <v>8.9</v>
      </c>
    </row>
    <row r="1510" spans="4:7">
      <c r="D1510" s="200" t="s">
        <v>2460</v>
      </c>
      <c r="E1510" s="10">
        <v>25582</v>
      </c>
      <c r="F1510" s="201">
        <v>-9.6</v>
      </c>
      <c r="G1510" s="201">
        <v>9.1</v>
      </c>
    </row>
    <row r="1511" spans="4:7">
      <c r="D1511" s="200" t="s">
        <v>2461</v>
      </c>
      <c r="E1511" s="10">
        <v>25593</v>
      </c>
      <c r="F1511" s="201">
        <v>-9.6</v>
      </c>
      <c r="G1511" s="201">
        <v>9</v>
      </c>
    </row>
    <row r="1512" spans="4:7">
      <c r="D1512" s="200" t="s">
        <v>2462</v>
      </c>
      <c r="E1512" s="10">
        <v>26197</v>
      </c>
      <c r="F1512" s="201">
        <v>-9.6</v>
      </c>
      <c r="G1512" s="201">
        <v>9.4</v>
      </c>
    </row>
    <row r="1513" spans="4:7">
      <c r="D1513" s="200" t="s">
        <v>2463</v>
      </c>
      <c r="E1513" s="10">
        <v>26203</v>
      </c>
      <c r="F1513" s="201">
        <v>-9.6</v>
      </c>
      <c r="G1513" s="201">
        <v>9.5</v>
      </c>
    </row>
    <row r="1514" spans="4:7">
      <c r="D1514" s="200" t="s">
        <v>2464</v>
      </c>
      <c r="E1514" s="10">
        <v>26209</v>
      </c>
      <c r="F1514" s="201">
        <v>-9.6</v>
      </c>
      <c r="G1514" s="201">
        <v>9.5</v>
      </c>
    </row>
    <row r="1515" spans="4:7">
      <c r="D1515" s="200" t="s">
        <v>2465</v>
      </c>
      <c r="E1515" s="10">
        <v>26215</v>
      </c>
      <c r="F1515" s="201">
        <v>-9.6</v>
      </c>
      <c r="G1515" s="201">
        <v>9.5</v>
      </c>
    </row>
    <row r="1516" spans="4:7">
      <c r="D1516" s="200" t="s">
        <v>2466</v>
      </c>
      <c r="E1516" s="10">
        <v>26219</v>
      </c>
      <c r="F1516" s="201">
        <v>-9.6</v>
      </c>
      <c r="G1516" s="201">
        <v>9.6</v>
      </c>
    </row>
    <row r="1517" spans="4:7">
      <c r="D1517" s="200" t="s">
        <v>2467</v>
      </c>
      <c r="E1517" s="10">
        <v>26897</v>
      </c>
      <c r="F1517" s="201">
        <v>-9.6</v>
      </c>
      <c r="G1517" s="201">
        <v>9.6</v>
      </c>
    </row>
    <row r="1518" spans="4:7">
      <c r="D1518" s="200" t="s">
        <v>2468</v>
      </c>
      <c r="E1518" s="10">
        <v>26904</v>
      </c>
      <c r="F1518" s="201">
        <v>-9.6</v>
      </c>
      <c r="G1518" s="201">
        <v>9.6</v>
      </c>
    </row>
    <row r="1519" spans="4:7">
      <c r="D1519" s="200" t="s">
        <v>2469</v>
      </c>
      <c r="E1519" s="10">
        <v>27243</v>
      </c>
      <c r="F1519" s="201">
        <v>-9.6</v>
      </c>
      <c r="G1519" s="201">
        <v>9.5</v>
      </c>
    </row>
    <row r="1520" spans="4:7">
      <c r="D1520" s="200" t="s">
        <v>2470</v>
      </c>
      <c r="E1520" s="10">
        <v>27321</v>
      </c>
      <c r="F1520" s="201">
        <v>-9.6</v>
      </c>
      <c r="G1520" s="201">
        <v>9.6</v>
      </c>
    </row>
    <row r="1521" spans="4:7">
      <c r="D1521" s="200" t="s">
        <v>2471</v>
      </c>
      <c r="E1521" s="10">
        <v>27327</v>
      </c>
      <c r="F1521" s="201">
        <v>-9.6</v>
      </c>
      <c r="G1521" s="201">
        <v>9.6999999999999993</v>
      </c>
    </row>
    <row r="1522" spans="4:7">
      <c r="D1522" s="200" t="s">
        <v>2237</v>
      </c>
      <c r="E1522" s="10">
        <v>27624</v>
      </c>
      <c r="F1522" s="201">
        <v>-9.6</v>
      </c>
      <c r="G1522" s="201">
        <v>9.5</v>
      </c>
    </row>
    <row r="1523" spans="4:7">
      <c r="D1523" s="200" t="s">
        <v>2472</v>
      </c>
      <c r="E1523" s="10">
        <v>27726</v>
      </c>
      <c r="F1523" s="201">
        <v>-9.6</v>
      </c>
      <c r="G1523" s="201">
        <v>9.5</v>
      </c>
    </row>
    <row r="1524" spans="4:7">
      <c r="D1524" s="200" t="s">
        <v>2473</v>
      </c>
      <c r="E1524" s="10">
        <v>27793</v>
      </c>
      <c r="F1524" s="201">
        <v>-9.6</v>
      </c>
      <c r="G1524" s="201">
        <v>9.5</v>
      </c>
    </row>
    <row r="1525" spans="4:7">
      <c r="D1525" s="200" t="s">
        <v>2474</v>
      </c>
      <c r="E1525" s="10">
        <v>27801</v>
      </c>
      <c r="F1525" s="201">
        <v>-9.6</v>
      </c>
      <c r="G1525" s="201">
        <v>9.4</v>
      </c>
    </row>
    <row r="1526" spans="4:7">
      <c r="D1526" s="200" t="s">
        <v>2475</v>
      </c>
      <c r="E1526" s="10">
        <v>28876</v>
      </c>
      <c r="F1526" s="201">
        <v>-9.6</v>
      </c>
      <c r="G1526" s="201">
        <v>9.5</v>
      </c>
    </row>
    <row r="1527" spans="4:7">
      <c r="D1527" s="200" t="s">
        <v>2476</v>
      </c>
      <c r="E1527" s="10">
        <v>28879</v>
      </c>
      <c r="F1527" s="201">
        <v>-9.6</v>
      </c>
      <c r="G1527" s="201">
        <v>9.5</v>
      </c>
    </row>
    <row r="1528" spans="4:7">
      <c r="D1528" s="200" t="s">
        <v>2477</v>
      </c>
      <c r="E1528" s="10">
        <v>33098</v>
      </c>
      <c r="F1528" s="201">
        <v>-9.6</v>
      </c>
      <c r="G1528" s="201">
        <v>10.1</v>
      </c>
    </row>
    <row r="1529" spans="4:7">
      <c r="D1529" s="200" t="s">
        <v>2477</v>
      </c>
      <c r="E1529" s="10">
        <v>33102</v>
      </c>
      <c r="F1529" s="201">
        <v>-9.6</v>
      </c>
      <c r="G1529" s="201">
        <v>10.3</v>
      </c>
    </row>
    <row r="1530" spans="4:7">
      <c r="D1530" s="200" t="s">
        <v>2478</v>
      </c>
      <c r="E1530" s="10">
        <v>33378</v>
      </c>
      <c r="F1530" s="201">
        <v>-9.6</v>
      </c>
      <c r="G1530" s="201">
        <v>10.4</v>
      </c>
    </row>
    <row r="1531" spans="4:7">
      <c r="D1531" s="200" t="s">
        <v>1926</v>
      </c>
      <c r="E1531" s="10">
        <v>33609</v>
      </c>
      <c r="F1531" s="201">
        <v>-9.6</v>
      </c>
      <c r="G1531" s="201">
        <v>10.3</v>
      </c>
    </row>
    <row r="1532" spans="4:7">
      <c r="D1532" s="200" t="s">
        <v>1926</v>
      </c>
      <c r="E1532" s="10">
        <v>33617</v>
      </c>
      <c r="F1532" s="201">
        <v>-9.6</v>
      </c>
      <c r="G1532" s="201">
        <v>10</v>
      </c>
    </row>
    <row r="1533" spans="4:7">
      <c r="D1533" s="200" t="s">
        <v>1806</v>
      </c>
      <c r="E1533" s="10">
        <v>49078</v>
      </c>
      <c r="F1533" s="201">
        <v>-9.6</v>
      </c>
      <c r="G1533" s="201">
        <v>10</v>
      </c>
    </row>
    <row r="1534" spans="4:7">
      <c r="D1534" s="200" t="s">
        <v>2479</v>
      </c>
      <c r="E1534" s="10">
        <v>49134</v>
      </c>
      <c r="F1534" s="201">
        <v>-9.6</v>
      </c>
      <c r="G1534" s="201">
        <v>9.9</v>
      </c>
    </row>
    <row r="1535" spans="4:7">
      <c r="D1535" s="200" t="s">
        <v>2480</v>
      </c>
      <c r="E1535" s="10">
        <v>49163</v>
      </c>
      <c r="F1535" s="201">
        <v>-9.6</v>
      </c>
      <c r="G1535" s="201">
        <v>9.9</v>
      </c>
    </row>
    <row r="1536" spans="4:7">
      <c r="D1536" s="200" t="s">
        <v>2481</v>
      </c>
      <c r="E1536" s="10">
        <v>49179</v>
      </c>
      <c r="F1536" s="201">
        <v>-9.6</v>
      </c>
      <c r="G1536" s="201">
        <v>9.9</v>
      </c>
    </row>
    <row r="1537" spans="4:7">
      <c r="D1537" s="200" t="s">
        <v>2482</v>
      </c>
      <c r="E1537" s="10">
        <v>49393</v>
      </c>
      <c r="F1537" s="201">
        <v>-9.6</v>
      </c>
      <c r="G1537" s="201">
        <v>9.8000000000000007</v>
      </c>
    </row>
    <row r="1538" spans="4:7">
      <c r="D1538" s="200" t="s">
        <v>2483</v>
      </c>
      <c r="E1538" s="10">
        <v>49429</v>
      </c>
      <c r="F1538" s="201">
        <v>-9.6</v>
      </c>
      <c r="G1538" s="201">
        <v>9.6</v>
      </c>
    </row>
    <row r="1539" spans="4:7">
      <c r="D1539" s="200" t="s">
        <v>2484</v>
      </c>
      <c r="E1539" s="10">
        <v>49451</v>
      </c>
      <c r="F1539" s="201">
        <v>-9.6</v>
      </c>
      <c r="G1539" s="201">
        <v>9.8000000000000007</v>
      </c>
    </row>
    <row r="1540" spans="4:7">
      <c r="D1540" s="200" t="s">
        <v>2485</v>
      </c>
      <c r="E1540" s="10">
        <v>49456</v>
      </c>
      <c r="F1540" s="201">
        <v>-9.6</v>
      </c>
      <c r="G1540" s="201">
        <v>9.8000000000000007</v>
      </c>
    </row>
    <row r="1541" spans="4:7">
      <c r="D1541" s="200" t="s">
        <v>2486</v>
      </c>
      <c r="E1541" s="10">
        <v>49492</v>
      </c>
      <c r="F1541" s="201">
        <v>-9.6</v>
      </c>
      <c r="G1541" s="201">
        <v>9.9</v>
      </c>
    </row>
    <row r="1542" spans="4:7">
      <c r="D1542" s="200" t="s">
        <v>2487</v>
      </c>
      <c r="E1542" s="10">
        <v>49504</v>
      </c>
      <c r="F1542" s="201">
        <v>-9.6</v>
      </c>
      <c r="G1542" s="201">
        <v>10</v>
      </c>
    </row>
    <row r="1543" spans="4:7">
      <c r="D1543" s="200" t="s">
        <v>2488</v>
      </c>
      <c r="E1543" s="10">
        <v>49565</v>
      </c>
      <c r="F1543" s="201">
        <v>-9.6</v>
      </c>
      <c r="G1543" s="201">
        <v>10</v>
      </c>
    </row>
    <row r="1544" spans="4:7">
      <c r="D1544" s="200" t="s">
        <v>2489</v>
      </c>
      <c r="E1544" s="10">
        <v>49577</v>
      </c>
      <c r="F1544" s="201">
        <v>-9.6</v>
      </c>
      <c r="G1544" s="201">
        <v>9.8000000000000007</v>
      </c>
    </row>
    <row r="1545" spans="4:7">
      <c r="D1545" s="200" t="s">
        <v>2490</v>
      </c>
      <c r="E1545" s="10">
        <v>49692</v>
      </c>
      <c r="F1545" s="201">
        <v>-9.6</v>
      </c>
      <c r="G1545" s="201">
        <v>9.6999999999999993</v>
      </c>
    </row>
    <row r="1546" spans="4:7">
      <c r="D1546" s="200" t="s">
        <v>2491</v>
      </c>
      <c r="E1546" s="10">
        <v>49696</v>
      </c>
      <c r="F1546" s="201">
        <v>-9.6</v>
      </c>
      <c r="G1546" s="201">
        <v>9.6999999999999993</v>
      </c>
    </row>
    <row r="1547" spans="4:7">
      <c r="D1547" s="200" t="s">
        <v>2492</v>
      </c>
      <c r="E1547" s="10">
        <v>51588</v>
      </c>
      <c r="F1547" s="201">
        <v>-9.6</v>
      </c>
      <c r="G1547" s="201">
        <v>9.6999999999999993</v>
      </c>
    </row>
    <row r="1548" spans="4:7">
      <c r="D1548" s="200" t="s">
        <v>2493</v>
      </c>
      <c r="E1548" s="10">
        <v>51643</v>
      </c>
      <c r="F1548" s="201">
        <v>-9.6</v>
      </c>
      <c r="G1548" s="201">
        <v>9.9</v>
      </c>
    </row>
    <row r="1549" spans="4:7">
      <c r="D1549" s="200" t="s">
        <v>2493</v>
      </c>
      <c r="E1549" s="10">
        <v>51645</v>
      </c>
      <c r="F1549" s="201">
        <v>-9.6</v>
      </c>
      <c r="G1549" s="201">
        <v>9.8000000000000007</v>
      </c>
    </row>
    <row r="1550" spans="4:7">
      <c r="D1550" s="200" t="s">
        <v>2494</v>
      </c>
      <c r="E1550" s="10">
        <v>53474</v>
      </c>
      <c r="F1550" s="201">
        <v>-9.6</v>
      </c>
      <c r="G1550" s="201">
        <v>9.6999999999999993</v>
      </c>
    </row>
    <row r="1551" spans="4:7">
      <c r="D1551" s="200" t="s">
        <v>2495</v>
      </c>
      <c r="E1551" s="10">
        <v>54332</v>
      </c>
      <c r="F1551" s="201">
        <v>-9.6</v>
      </c>
      <c r="G1551" s="201">
        <v>9.6999999999999993</v>
      </c>
    </row>
    <row r="1552" spans="4:7">
      <c r="D1552" s="200" t="s">
        <v>2496</v>
      </c>
      <c r="E1552" s="10">
        <v>54349</v>
      </c>
      <c r="F1552" s="201">
        <v>-9.6</v>
      </c>
      <c r="G1552" s="201">
        <v>9.6999999999999993</v>
      </c>
    </row>
    <row r="1553" spans="4:7">
      <c r="D1553" s="200" t="s">
        <v>2497</v>
      </c>
      <c r="E1553" s="10">
        <v>54518</v>
      </c>
      <c r="F1553" s="201">
        <v>-9.6</v>
      </c>
      <c r="G1553" s="201">
        <v>9.8000000000000007</v>
      </c>
    </row>
    <row r="1554" spans="4:7">
      <c r="D1554" s="200" t="s">
        <v>2498</v>
      </c>
      <c r="E1554" s="10">
        <v>54646</v>
      </c>
      <c r="F1554" s="201">
        <v>-9.6</v>
      </c>
      <c r="G1554" s="201">
        <v>9.6999999999999993</v>
      </c>
    </row>
    <row r="1555" spans="4:7">
      <c r="D1555" s="200" t="s">
        <v>2499</v>
      </c>
      <c r="E1555" s="10">
        <v>54664</v>
      </c>
      <c r="F1555" s="201">
        <v>-9.6</v>
      </c>
      <c r="G1555" s="201">
        <v>9.6</v>
      </c>
    </row>
    <row r="1556" spans="4:7">
      <c r="D1556" s="200" t="s">
        <v>2500</v>
      </c>
      <c r="E1556" s="10">
        <v>54675</v>
      </c>
      <c r="F1556" s="201">
        <v>-9.6</v>
      </c>
      <c r="G1556" s="201">
        <v>9.6999999999999993</v>
      </c>
    </row>
    <row r="1557" spans="4:7">
      <c r="D1557" s="200" t="s">
        <v>1851</v>
      </c>
      <c r="E1557" s="10">
        <v>55128</v>
      </c>
      <c r="F1557" s="201">
        <v>-9.6</v>
      </c>
      <c r="G1557" s="201">
        <v>10.8</v>
      </c>
    </row>
    <row r="1558" spans="4:7">
      <c r="D1558" s="200" t="s">
        <v>1786</v>
      </c>
      <c r="E1558" s="10">
        <v>55246</v>
      </c>
      <c r="F1558" s="201">
        <v>-9.6</v>
      </c>
      <c r="G1558" s="201">
        <v>10.8</v>
      </c>
    </row>
    <row r="1559" spans="4:7">
      <c r="D1559" s="200" t="s">
        <v>2501</v>
      </c>
      <c r="E1559" s="10">
        <v>55252</v>
      </c>
      <c r="F1559" s="201">
        <v>-9.6</v>
      </c>
      <c r="G1559" s="201">
        <v>10.9</v>
      </c>
    </row>
    <row r="1560" spans="4:7">
      <c r="D1560" s="200" t="s">
        <v>2502</v>
      </c>
      <c r="E1560" s="10">
        <v>56133</v>
      </c>
      <c r="F1560" s="201">
        <v>-9.6</v>
      </c>
      <c r="G1560" s="201">
        <v>9.9</v>
      </c>
    </row>
    <row r="1561" spans="4:7">
      <c r="D1561" s="200" t="s">
        <v>2503</v>
      </c>
      <c r="E1561" s="10">
        <v>56276</v>
      </c>
      <c r="F1561" s="201">
        <v>-9.6</v>
      </c>
      <c r="G1561" s="201">
        <v>9.8000000000000007</v>
      </c>
    </row>
    <row r="1562" spans="4:7">
      <c r="D1562" s="200" t="s">
        <v>2504</v>
      </c>
      <c r="E1562" s="10">
        <v>56295</v>
      </c>
      <c r="F1562" s="201">
        <v>-9.6</v>
      </c>
      <c r="G1562" s="201">
        <v>9.9</v>
      </c>
    </row>
    <row r="1563" spans="4:7">
      <c r="D1563" s="200" t="s">
        <v>2505</v>
      </c>
      <c r="E1563" s="10">
        <v>56299</v>
      </c>
      <c r="F1563" s="201">
        <v>-9.6</v>
      </c>
      <c r="G1563" s="201">
        <v>10.1</v>
      </c>
    </row>
    <row r="1564" spans="4:7">
      <c r="D1564" s="200" t="s">
        <v>2506</v>
      </c>
      <c r="E1564" s="10">
        <v>56736</v>
      </c>
      <c r="F1564" s="201">
        <v>-9.6</v>
      </c>
      <c r="G1564" s="201">
        <v>10.1</v>
      </c>
    </row>
    <row r="1565" spans="4:7">
      <c r="D1565" s="200" t="s">
        <v>2507</v>
      </c>
      <c r="E1565" s="10">
        <v>56754</v>
      </c>
      <c r="F1565" s="201">
        <v>-9.6</v>
      </c>
      <c r="G1565" s="201">
        <v>9.8000000000000007</v>
      </c>
    </row>
    <row r="1566" spans="4:7">
      <c r="D1566" s="200" t="s">
        <v>2508</v>
      </c>
      <c r="E1566" s="10">
        <v>56859</v>
      </c>
      <c r="F1566" s="201">
        <v>-9.6</v>
      </c>
      <c r="G1566" s="201">
        <v>9.9</v>
      </c>
    </row>
    <row r="1567" spans="4:7">
      <c r="D1567" s="200" t="s">
        <v>2293</v>
      </c>
      <c r="E1567" s="10">
        <v>57080</v>
      </c>
      <c r="F1567" s="201">
        <v>-9.6</v>
      </c>
      <c r="G1567" s="201">
        <v>9.6999999999999993</v>
      </c>
    </row>
    <row r="1568" spans="4:7">
      <c r="D1568" s="200" t="s">
        <v>2509</v>
      </c>
      <c r="E1568" s="10">
        <v>57610</v>
      </c>
      <c r="F1568" s="201">
        <v>-9.6</v>
      </c>
      <c r="G1568" s="201">
        <v>9.9</v>
      </c>
    </row>
    <row r="1569" spans="4:7">
      <c r="D1569" s="200" t="s">
        <v>2510</v>
      </c>
      <c r="E1569" s="10">
        <v>57632</v>
      </c>
      <c r="F1569" s="201">
        <v>-9.6</v>
      </c>
      <c r="G1569" s="201">
        <v>9.8000000000000007</v>
      </c>
    </row>
    <row r="1570" spans="4:7">
      <c r="D1570" s="200" t="s">
        <v>2511</v>
      </c>
      <c r="E1570" s="10">
        <v>57636</v>
      </c>
      <c r="F1570" s="201">
        <v>-9.6</v>
      </c>
      <c r="G1570" s="201">
        <v>9.8000000000000007</v>
      </c>
    </row>
    <row r="1571" spans="4:7">
      <c r="D1571" s="200" t="s">
        <v>2512</v>
      </c>
      <c r="E1571" s="10">
        <v>58739</v>
      </c>
      <c r="F1571" s="201">
        <v>-9.6</v>
      </c>
      <c r="G1571" s="201">
        <v>10.1</v>
      </c>
    </row>
    <row r="1572" spans="4:7">
      <c r="D1572" s="200" t="s">
        <v>2513</v>
      </c>
      <c r="E1572" s="10">
        <v>58791</v>
      </c>
      <c r="F1572" s="201">
        <v>-9.6</v>
      </c>
      <c r="G1572" s="201">
        <v>9.5</v>
      </c>
    </row>
    <row r="1573" spans="4:7">
      <c r="D1573" s="200" t="s">
        <v>2054</v>
      </c>
      <c r="E1573" s="10">
        <v>59069</v>
      </c>
      <c r="F1573" s="201">
        <v>-9.6</v>
      </c>
      <c r="G1573" s="201">
        <v>10.199999999999999</v>
      </c>
    </row>
    <row r="1574" spans="4:7">
      <c r="D1574" s="200" t="s">
        <v>2054</v>
      </c>
      <c r="E1574" s="10">
        <v>59073</v>
      </c>
      <c r="F1574" s="201">
        <v>-9.6</v>
      </c>
      <c r="G1574" s="201">
        <v>10.199999999999999</v>
      </c>
    </row>
    <row r="1575" spans="4:7">
      <c r="D1575" s="200" t="s">
        <v>2054</v>
      </c>
      <c r="E1575" s="10">
        <v>59077</v>
      </c>
      <c r="F1575" s="201">
        <v>-9.6</v>
      </c>
      <c r="G1575" s="201">
        <v>10.3</v>
      </c>
    </row>
    <row r="1576" spans="4:7">
      <c r="D1576" s="200" t="s">
        <v>2514</v>
      </c>
      <c r="E1576" s="10">
        <v>59199</v>
      </c>
      <c r="F1576" s="201">
        <v>-9.6</v>
      </c>
      <c r="G1576" s="201">
        <v>10.3</v>
      </c>
    </row>
    <row r="1577" spans="4:7">
      <c r="D1577" s="200" t="s">
        <v>2370</v>
      </c>
      <c r="E1577" s="10">
        <v>59387</v>
      </c>
      <c r="F1577" s="201">
        <v>-9.6</v>
      </c>
      <c r="G1577" s="201">
        <v>10.199999999999999</v>
      </c>
    </row>
    <row r="1578" spans="4:7">
      <c r="D1578" s="200" t="s">
        <v>2143</v>
      </c>
      <c r="E1578" s="10">
        <v>59427</v>
      </c>
      <c r="F1578" s="201">
        <v>-9.6</v>
      </c>
      <c r="G1578" s="201">
        <v>10.1</v>
      </c>
    </row>
    <row r="1579" spans="4:7">
      <c r="D1579" s="200" t="s">
        <v>2515</v>
      </c>
      <c r="E1579" s="10">
        <v>59755</v>
      </c>
      <c r="F1579" s="201">
        <v>-9.6</v>
      </c>
      <c r="G1579" s="201">
        <v>9.9</v>
      </c>
    </row>
    <row r="1580" spans="4:7">
      <c r="D1580" s="200" t="s">
        <v>2515</v>
      </c>
      <c r="E1580" s="10">
        <v>59821</v>
      </c>
      <c r="F1580" s="201">
        <v>-9.6</v>
      </c>
      <c r="G1580" s="201">
        <v>9.8000000000000007</v>
      </c>
    </row>
    <row r="1581" spans="4:7">
      <c r="D1581" s="200" t="s">
        <v>1771</v>
      </c>
      <c r="E1581" s="10">
        <v>60386</v>
      </c>
      <c r="F1581" s="201">
        <v>-9.6</v>
      </c>
      <c r="G1581" s="201">
        <v>11.1</v>
      </c>
    </row>
    <row r="1582" spans="4:7">
      <c r="D1582" s="200" t="s">
        <v>1771</v>
      </c>
      <c r="E1582" s="10">
        <v>60431</v>
      </c>
      <c r="F1582" s="201">
        <v>-9.6</v>
      </c>
      <c r="G1582" s="201">
        <v>11</v>
      </c>
    </row>
    <row r="1583" spans="4:7">
      <c r="D1583" s="200" t="s">
        <v>1771</v>
      </c>
      <c r="E1583" s="10">
        <v>60439</v>
      </c>
      <c r="F1583" s="201">
        <v>-9.6</v>
      </c>
      <c r="G1583" s="201">
        <v>10.8</v>
      </c>
    </row>
    <row r="1584" spans="4:7">
      <c r="D1584" s="200" t="s">
        <v>2420</v>
      </c>
      <c r="E1584" s="10">
        <v>63065</v>
      </c>
      <c r="F1584" s="201">
        <v>-9.6</v>
      </c>
      <c r="G1584" s="201">
        <v>11.1</v>
      </c>
    </row>
    <row r="1585" spans="4:7">
      <c r="D1585" s="200" t="s">
        <v>2516</v>
      </c>
      <c r="E1585" s="10">
        <v>65582</v>
      </c>
      <c r="F1585" s="201">
        <v>-9.6</v>
      </c>
      <c r="G1585" s="201">
        <v>10.1</v>
      </c>
    </row>
    <row r="1586" spans="4:7">
      <c r="D1586" s="200" t="s">
        <v>2517</v>
      </c>
      <c r="E1586" s="10">
        <v>65626</v>
      </c>
      <c r="F1586" s="201">
        <v>-9.6</v>
      </c>
      <c r="G1586" s="201">
        <v>10.1</v>
      </c>
    </row>
    <row r="1587" spans="4:7">
      <c r="D1587" s="200" t="s">
        <v>2518</v>
      </c>
      <c r="E1587" s="10">
        <v>65843</v>
      </c>
      <c r="F1587" s="201">
        <v>-9.6</v>
      </c>
      <c r="G1587" s="201">
        <v>10.8</v>
      </c>
    </row>
    <row r="1588" spans="4:7">
      <c r="D1588" s="200" t="s">
        <v>1814</v>
      </c>
      <c r="E1588" s="10">
        <v>66127</v>
      </c>
      <c r="F1588" s="201">
        <v>-9.6</v>
      </c>
      <c r="G1588" s="201">
        <v>10.1</v>
      </c>
    </row>
    <row r="1589" spans="4:7">
      <c r="D1589" s="200" t="s">
        <v>1814</v>
      </c>
      <c r="E1589" s="10">
        <v>66130</v>
      </c>
      <c r="F1589" s="201">
        <v>-9.6</v>
      </c>
      <c r="G1589" s="201">
        <v>10.199999999999999</v>
      </c>
    </row>
    <row r="1590" spans="4:7">
      <c r="D1590" s="200" t="s">
        <v>2519</v>
      </c>
      <c r="E1590" s="10">
        <v>66386</v>
      </c>
      <c r="F1590" s="201">
        <v>-9.6</v>
      </c>
      <c r="G1590" s="201">
        <v>10.1</v>
      </c>
    </row>
    <row r="1591" spans="4:7">
      <c r="D1591" s="200" t="s">
        <v>2520</v>
      </c>
      <c r="E1591" s="10">
        <v>66538</v>
      </c>
      <c r="F1591" s="201">
        <v>-9.6</v>
      </c>
      <c r="G1591" s="201">
        <v>10.3</v>
      </c>
    </row>
    <row r="1592" spans="4:7">
      <c r="D1592" s="200" t="s">
        <v>2521</v>
      </c>
      <c r="E1592" s="10">
        <v>66606</v>
      </c>
      <c r="F1592" s="201">
        <v>-9.6</v>
      </c>
      <c r="G1592" s="201">
        <v>10</v>
      </c>
    </row>
    <row r="1593" spans="4:7">
      <c r="D1593" s="200" t="s">
        <v>2522</v>
      </c>
      <c r="E1593" s="10">
        <v>66679</v>
      </c>
      <c r="F1593" s="201">
        <v>-9.6</v>
      </c>
      <c r="G1593" s="201">
        <v>9.9</v>
      </c>
    </row>
    <row r="1594" spans="4:7">
      <c r="D1594" s="200" t="s">
        <v>2523</v>
      </c>
      <c r="E1594" s="10">
        <v>66787</v>
      </c>
      <c r="F1594" s="201">
        <v>-9.6</v>
      </c>
      <c r="G1594" s="201">
        <v>10.199999999999999</v>
      </c>
    </row>
    <row r="1595" spans="4:7">
      <c r="D1595" s="200" t="s">
        <v>2524</v>
      </c>
      <c r="E1595" s="10">
        <v>66839</v>
      </c>
      <c r="F1595" s="201">
        <v>-9.6</v>
      </c>
      <c r="G1595" s="201">
        <v>9.9</v>
      </c>
    </row>
    <row r="1596" spans="4:7">
      <c r="D1596" s="200" t="s">
        <v>2525</v>
      </c>
      <c r="E1596" s="10">
        <v>67757</v>
      </c>
      <c r="F1596" s="201">
        <v>-9.6</v>
      </c>
      <c r="G1596" s="201">
        <v>10.1</v>
      </c>
    </row>
    <row r="1597" spans="4:7">
      <c r="D1597" s="200" t="s">
        <v>2526</v>
      </c>
      <c r="E1597" s="10">
        <v>77749</v>
      </c>
      <c r="F1597" s="201">
        <v>-9.6</v>
      </c>
      <c r="G1597" s="201">
        <v>10.8</v>
      </c>
    </row>
    <row r="1598" spans="4:7">
      <c r="D1598" s="200" t="s">
        <v>2527</v>
      </c>
      <c r="E1598" s="10">
        <v>77799</v>
      </c>
      <c r="F1598" s="201">
        <v>-9.6</v>
      </c>
      <c r="G1598" s="201">
        <v>10.7</v>
      </c>
    </row>
    <row r="1599" spans="4:7">
      <c r="D1599" s="200" t="s">
        <v>2528</v>
      </c>
      <c r="E1599" s="10">
        <v>77815</v>
      </c>
      <c r="F1599" s="201">
        <v>-9.6</v>
      </c>
      <c r="G1599" s="201">
        <v>10.8</v>
      </c>
    </row>
    <row r="1600" spans="4:7">
      <c r="D1600" s="200" t="s">
        <v>2529</v>
      </c>
      <c r="E1600" s="10">
        <v>77866</v>
      </c>
      <c r="F1600" s="201">
        <v>-9.6</v>
      </c>
      <c r="G1600" s="201">
        <v>11</v>
      </c>
    </row>
    <row r="1601" spans="4:7">
      <c r="D1601" s="200" t="s">
        <v>2530</v>
      </c>
      <c r="E1601" s="10">
        <v>77966</v>
      </c>
      <c r="F1601" s="201">
        <v>-9.6</v>
      </c>
      <c r="G1601" s="201">
        <v>10.8</v>
      </c>
    </row>
    <row r="1602" spans="4:7">
      <c r="D1602" s="200" t="s">
        <v>2531</v>
      </c>
      <c r="E1602" s="10">
        <v>77972</v>
      </c>
      <c r="F1602" s="201">
        <v>-9.6</v>
      </c>
      <c r="G1602" s="201">
        <v>10.9</v>
      </c>
    </row>
    <row r="1603" spans="4:7">
      <c r="D1603" s="200" t="s">
        <v>2532</v>
      </c>
      <c r="E1603" s="10">
        <v>77975</v>
      </c>
      <c r="F1603" s="201">
        <v>-9.6</v>
      </c>
      <c r="G1603" s="201">
        <v>10.8</v>
      </c>
    </row>
    <row r="1604" spans="4:7">
      <c r="D1604" s="200" t="s">
        <v>2533</v>
      </c>
      <c r="E1604" s="10">
        <v>77977</v>
      </c>
      <c r="F1604" s="201">
        <v>-9.6</v>
      </c>
      <c r="G1604" s="201">
        <v>10.8</v>
      </c>
    </row>
    <row r="1605" spans="4:7">
      <c r="D1605" s="200" t="s">
        <v>2534</v>
      </c>
      <c r="E1605" s="10">
        <v>78244</v>
      </c>
      <c r="F1605" s="201">
        <v>-9.6</v>
      </c>
      <c r="G1605" s="201">
        <v>9.8000000000000007</v>
      </c>
    </row>
    <row r="1606" spans="4:7">
      <c r="D1606" s="200" t="s">
        <v>2535</v>
      </c>
      <c r="E1606" s="10">
        <v>78315</v>
      </c>
      <c r="F1606" s="201">
        <v>-9.6</v>
      </c>
      <c r="G1606" s="201">
        <v>10</v>
      </c>
    </row>
    <row r="1607" spans="4:7">
      <c r="D1607" s="200" t="s">
        <v>2536</v>
      </c>
      <c r="E1607" s="10">
        <v>78345</v>
      </c>
      <c r="F1607" s="201">
        <v>-9.6</v>
      </c>
      <c r="G1607" s="201">
        <v>10</v>
      </c>
    </row>
    <row r="1608" spans="4:7">
      <c r="D1608" s="200" t="s">
        <v>2439</v>
      </c>
      <c r="E1608" s="10">
        <v>79115</v>
      </c>
      <c r="F1608" s="201">
        <v>-9.6</v>
      </c>
      <c r="G1608" s="201">
        <v>11.6</v>
      </c>
    </row>
    <row r="1609" spans="4:7">
      <c r="D1609" s="200" t="s">
        <v>2537</v>
      </c>
      <c r="E1609" s="10">
        <v>79365</v>
      </c>
      <c r="F1609" s="201">
        <v>-9.6</v>
      </c>
      <c r="G1609" s="201">
        <v>10.9</v>
      </c>
    </row>
    <row r="1610" spans="4:7">
      <c r="D1610" s="200" t="s">
        <v>2538</v>
      </c>
      <c r="E1610" s="10">
        <v>79367</v>
      </c>
      <c r="F1610" s="201">
        <v>-9.6</v>
      </c>
      <c r="G1610" s="201">
        <v>10.9</v>
      </c>
    </row>
    <row r="1611" spans="4:7">
      <c r="D1611" s="200" t="s">
        <v>2539</v>
      </c>
      <c r="E1611" s="10">
        <v>79787</v>
      </c>
      <c r="F1611" s="201">
        <v>-9.6</v>
      </c>
      <c r="G1611" s="201">
        <v>10.199999999999999</v>
      </c>
    </row>
    <row r="1612" spans="4:7">
      <c r="D1612" s="200" t="s">
        <v>2313</v>
      </c>
      <c r="E1612" s="10">
        <v>88045</v>
      </c>
      <c r="F1612" s="201">
        <v>-9.6</v>
      </c>
      <c r="G1612" s="201">
        <v>10</v>
      </c>
    </row>
    <row r="1613" spans="4:7">
      <c r="D1613" s="200" t="s">
        <v>2540</v>
      </c>
      <c r="E1613" s="10">
        <v>88074</v>
      </c>
      <c r="F1613" s="201">
        <v>-9.6</v>
      </c>
      <c r="G1613" s="201">
        <v>9.8000000000000007</v>
      </c>
    </row>
    <row r="1614" spans="4:7">
      <c r="D1614" s="200" t="s">
        <v>2541</v>
      </c>
      <c r="E1614" s="10">
        <v>88090</v>
      </c>
      <c r="F1614" s="201">
        <v>-9.6</v>
      </c>
      <c r="G1614" s="201">
        <v>9.8000000000000007</v>
      </c>
    </row>
    <row r="1615" spans="4:7">
      <c r="D1615" s="200" t="s">
        <v>2542</v>
      </c>
      <c r="E1615" s="10">
        <v>88094</v>
      </c>
      <c r="F1615" s="201">
        <v>-9.6</v>
      </c>
      <c r="G1615" s="201">
        <v>9.8000000000000007</v>
      </c>
    </row>
    <row r="1616" spans="4:7">
      <c r="D1616" s="200" t="s">
        <v>1707</v>
      </c>
      <c r="E1616" s="10">
        <v>20539</v>
      </c>
      <c r="F1616" s="201">
        <v>-9.6999999999999993</v>
      </c>
      <c r="G1616" s="201">
        <v>9.5</v>
      </c>
    </row>
    <row r="1617" spans="4:7">
      <c r="D1617" s="200" t="s">
        <v>1707</v>
      </c>
      <c r="E1617" s="10">
        <v>21075</v>
      </c>
      <c r="F1617" s="201">
        <v>-9.6999999999999993</v>
      </c>
      <c r="G1617" s="201">
        <v>9.3000000000000007</v>
      </c>
    </row>
    <row r="1618" spans="4:7">
      <c r="D1618" s="200" t="s">
        <v>2543</v>
      </c>
      <c r="E1618" s="10">
        <v>21680</v>
      </c>
      <c r="F1618" s="201">
        <v>-9.6999999999999993</v>
      </c>
      <c r="G1618" s="201">
        <v>9.3000000000000007</v>
      </c>
    </row>
    <row r="1619" spans="4:7">
      <c r="D1619" s="200" t="s">
        <v>2543</v>
      </c>
      <c r="E1619" s="10">
        <v>21683</v>
      </c>
      <c r="F1619" s="201">
        <v>-9.6999999999999993</v>
      </c>
      <c r="G1619" s="201">
        <v>9.3000000000000007</v>
      </c>
    </row>
    <row r="1620" spans="4:7">
      <c r="D1620" s="200" t="s">
        <v>2544</v>
      </c>
      <c r="E1620" s="10">
        <v>21710</v>
      </c>
      <c r="F1620" s="201">
        <v>-9.6999999999999993</v>
      </c>
      <c r="G1620" s="201">
        <v>9.4</v>
      </c>
    </row>
    <row r="1621" spans="4:7">
      <c r="D1621" s="200" t="s">
        <v>2545</v>
      </c>
      <c r="E1621" s="10">
        <v>21739</v>
      </c>
      <c r="F1621" s="201">
        <v>-9.6999999999999993</v>
      </c>
      <c r="G1621" s="201">
        <v>9.1</v>
      </c>
    </row>
    <row r="1622" spans="4:7">
      <c r="D1622" s="200" t="s">
        <v>2546</v>
      </c>
      <c r="E1622" s="10">
        <v>21755</v>
      </c>
      <c r="F1622" s="201">
        <v>-9.6999999999999993</v>
      </c>
      <c r="G1622" s="201">
        <v>9.3000000000000007</v>
      </c>
    </row>
    <row r="1623" spans="4:7">
      <c r="D1623" s="200" t="s">
        <v>2547</v>
      </c>
      <c r="E1623" s="10">
        <v>21769</v>
      </c>
      <c r="F1623" s="201">
        <v>-9.6999999999999993</v>
      </c>
      <c r="G1623" s="201">
        <v>9.1999999999999993</v>
      </c>
    </row>
    <row r="1624" spans="4:7">
      <c r="D1624" s="200" t="s">
        <v>2548</v>
      </c>
      <c r="E1624" s="10">
        <v>21770</v>
      </c>
      <c r="F1624" s="201">
        <v>-9.6999999999999993</v>
      </c>
      <c r="G1624" s="201">
        <v>9.4</v>
      </c>
    </row>
    <row r="1625" spans="4:7">
      <c r="D1625" s="200" t="s">
        <v>1707</v>
      </c>
      <c r="E1625" s="10">
        <v>22143</v>
      </c>
      <c r="F1625" s="201">
        <v>-9.6999999999999993</v>
      </c>
      <c r="G1625" s="201">
        <v>9.5</v>
      </c>
    </row>
    <row r="1626" spans="4:7">
      <c r="D1626" s="200" t="s">
        <v>1707</v>
      </c>
      <c r="E1626" s="10">
        <v>22303</v>
      </c>
      <c r="F1626" s="201">
        <v>-9.6999999999999993</v>
      </c>
      <c r="G1626" s="201">
        <v>9.5</v>
      </c>
    </row>
    <row r="1627" spans="4:7">
      <c r="D1627" s="200" t="s">
        <v>1707</v>
      </c>
      <c r="E1627" s="10">
        <v>22337</v>
      </c>
      <c r="F1627" s="201">
        <v>-9.6999999999999993</v>
      </c>
      <c r="G1627" s="201">
        <v>9.4</v>
      </c>
    </row>
    <row r="1628" spans="4:7">
      <c r="D1628" s="200" t="s">
        <v>1707</v>
      </c>
      <c r="E1628" s="10">
        <v>22417</v>
      </c>
      <c r="F1628" s="201">
        <v>-9.6999999999999993</v>
      </c>
      <c r="G1628" s="201">
        <v>9.4</v>
      </c>
    </row>
    <row r="1629" spans="4:7">
      <c r="D1629" s="200" t="s">
        <v>1707</v>
      </c>
      <c r="E1629" s="10">
        <v>22459</v>
      </c>
      <c r="F1629" s="201">
        <v>-9.6999999999999993</v>
      </c>
      <c r="G1629" s="201">
        <v>9.4</v>
      </c>
    </row>
    <row r="1630" spans="4:7">
      <c r="D1630" s="200" t="s">
        <v>1707</v>
      </c>
      <c r="E1630" s="10">
        <v>22587</v>
      </c>
      <c r="F1630" s="201">
        <v>-9.6999999999999993</v>
      </c>
      <c r="G1630" s="201">
        <v>9.1</v>
      </c>
    </row>
    <row r="1631" spans="4:7">
      <c r="D1631" s="200" t="s">
        <v>2549</v>
      </c>
      <c r="E1631" s="10">
        <v>22880</v>
      </c>
      <c r="F1631" s="201">
        <v>-9.6999999999999993</v>
      </c>
      <c r="G1631" s="201">
        <v>9.4</v>
      </c>
    </row>
    <row r="1632" spans="4:7">
      <c r="D1632" s="200" t="s">
        <v>2550</v>
      </c>
      <c r="E1632" s="10">
        <v>23684</v>
      </c>
      <c r="F1632" s="201">
        <v>-9.6999999999999993</v>
      </c>
      <c r="G1632" s="201">
        <v>9.1</v>
      </c>
    </row>
    <row r="1633" spans="4:7">
      <c r="D1633" s="200" t="s">
        <v>2551</v>
      </c>
      <c r="E1633" s="10">
        <v>23689</v>
      </c>
      <c r="F1633" s="201">
        <v>-9.6999999999999993</v>
      </c>
      <c r="G1633" s="201">
        <v>9</v>
      </c>
    </row>
    <row r="1634" spans="4:7">
      <c r="D1634" s="200" t="s">
        <v>2552</v>
      </c>
      <c r="E1634" s="10">
        <v>23744</v>
      </c>
      <c r="F1634" s="201">
        <v>-9.6999999999999993</v>
      </c>
      <c r="G1634" s="201">
        <v>8.6</v>
      </c>
    </row>
    <row r="1635" spans="4:7">
      <c r="D1635" s="200" t="s">
        <v>2553</v>
      </c>
      <c r="E1635" s="10">
        <v>23946</v>
      </c>
      <c r="F1635" s="201">
        <v>-9.6999999999999993</v>
      </c>
      <c r="G1635" s="201">
        <v>9.1999999999999993</v>
      </c>
    </row>
    <row r="1636" spans="4:7">
      <c r="D1636" s="200" t="s">
        <v>2554</v>
      </c>
      <c r="E1636" s="10">
        <v>24623</v>
      </c>
      <c r="F1636" s="201">
        <v>-9.6999999999999993</v>
      </c>
      <c r="G1636" s="201">
        <v>9</v>
      </c>
    </row>
    <row r="1637" spans="4:7">
      <c r="D1637" s="200" t="s">
        <v>2555</v>
      </c>
      <c r="E1637" s="10">
        <v>24626</v>
      </c>
      <c r="F1637" s="201">
        <v>-9.6999999999999993</v>
      </c>
      <c r="G1637" s="201">
        <v>9</v>
      </c>
    </row>
    <row r="1638" spans="4:7" ht="30">
      <c r="D1638" s="200" t="s">
        <v>2556</v>
      </c>
      <c r="E1638" s="10">
        <v>25361</v>
      </c>
      <c r="F1638" s="201">
        <v>-9.6999999999999993</v>
      </c>
      <c r="G1638" s="201">
        <v>9.3000000000000007</v>
      </c>
    </row>
    <row r="1639" spans="4:7">
      <c r="D1639" s="200" t="s">
        <v>2557</v>
      </c>
      <c r="E1639" s="10">
        <v>25379</v>
      </c>
      <c r="F1639" s="201">
        <v>-9.6999999999999993</v>
      </c>
      <c r="G1639" s="201">
        <v>9.3000000000000007</v>
      </c>
    </row>
    <row r="1640" spans="4:7">
      <c r="D1640" s="200" t="s">
        <v>2558</v>
      </c>
      <c r="E1640" s="10">
        <v>25524</v>
      </c>
      <c r="F1640" s="201">
        <v>-9.6999999999999993</v>
      </c>
      <c r="G1640" s="201">
        <v>9.1</v>
      </c>
    </row>
    <row r="1641" spans="4:7">
      <c r="D1641" s="200" t="s">
        <v>2559</v>
      </c>
      <c r="E1641" s="10">
        <v>25579</v>
      </c>
      <c r="F1641" s="201">
        <v>-9.6999999999999993</v>
      </c>
      <c r="G1641" s="201">
        <v>9.1</v>
      </c>
    </row>
    <row r="1642" spans="4:7">
      <c r="D1642" s="200" t="s">
        <v>2560</v>
      </c>
      <c r="E1642" s="10">
        <v>27211</v>
      </c>
      <c r="F1642" s="201">
        <v>-9.6999999999999993</v>
      </c>
      <c r="G1642" s="201">
        <v>9.6</v>
      </c>
    </row>
    <row r="1643" spans="4:7">
      <c r="D1643" s="200" t="s">
        <v>2561</v>
      </c>
      <c r="E1643" s="10">
        <v>27239</v>
      </c>
      <c r="F1643" s="201">
        <v>-9.6999999999999993</v>
      </c>
      <c r="G1643" s="201">
        <v>9.6</v>
      </c>
    </row>
    <row r="1644" spans="4:7">
      <c r="D1644" s="200" t="s">
        <v>2562</v>
      </c>
      <c r="E1644" s="10">
        <v>27432</v>
      </c>
      <c r="F1644" s="201">
        <v>-9.6999999999999993</v>
      </c>
      <c r="G1644" s="201">
        <v>9.3000000000000007</v>
      </c>
    </row>
    <row r="1645" spans="4:7">
      <c r="D1645" s="200" t="s">
        <v>2563</v>
      </c>
      <c r="E1645" s="10">
        <v>27711</v>
      </c>
      <c r="F1645" s="201">
        <v>-9.6999999999999993</v>
      </c>
      <c r="G1645" s="201">
        <v>9.3000000000000007</v>
      </c>
    </row>
    <row r="1646" spans="4:7">
      <c r="D1646" s="200" t="s">
        <v>2564</v>
      </c>
      <c r="E1646" s="10">
        <v>27729</v>
      </c>
      <c r="F1646" s="201">
        <v>-9.6999999999999993</v>
      </c>
      <c r="G1646" s="201">
        <v>9.3000000000000007</v>
      </c>
    </row>
    <row r="1647" spans="4:7">
      <c r="D1647" s="200" t="s">
        <v>2565</v>
      </c>
      <c r="E1647" s="10">
        <v>28832</v>
      </c>
      <c r="F1647" s="201">
        <v>-9.6999999999999993</v>
      </c>
      <c r="G1647" s="201">
        <v>9.5</v>
      </c>
    </row>
    <row r="1648" spans="4:7">
      <c r="D1648" s="200" t="s">
        <v>2566</v>
      </c>
      <c r="E1648" s="10">
        <v>28857</v>
      </c>
      <c r="F1648" s="201">
        <v>-9.6999999999999993</v>
      </c>
      <c r="G1648" s="201">
        <v>9.5</v>
      </c>
    </row>
    <row r="1649" spans="4:7">
      <c r="D1649" s="200" t="s">
        <v>2567</v>
      </c>
      <c r="E1649" s="10">
        <v>28870</v>
      </c>
      <c r="F1649" s="201">
        <v>-9.6999999999999993</v>
      </c>
      <c r="G1649" s="201">
        <v>9.5</v>
      </c>
    </row>
    <row r="1650" spans="4:7">
      <c r="D1650" s="200" t="s">
        <v>2568</v>
      </c>
      <c r="E1650" s="10">
        <v>32756</v>
      </c>
      <c r="F1650" s="201">
        <v>-9.6999999999999993</v>
      </c>
      <c r="G1650" s="201">
        <v>10.199999999999999</v>
      </c>
    </row>
    <row r="1651" spans="4:7">
      <c r="D1651" s="200" t="s">
        <v>2385</v>
      </c>
      <c r="E1651" s="10">
        <v>33330</v>
      </c>
      <c r="F1651" s="201">
        <v>-9.6999999999999993</v>
      </c>
      <c r="G1651" s="201">
        <v>10.3</v>
      </c>
    </row>
    <row r="1652" spans="4:7">
      <c r="D1652" s="200" t="s">
        <v>2385</v>
      </c>
      <c r="E1652" s="10">
        <v>33334</v>
      </c>
      <c r="F1652" s="201">
        <v>-9.6999999999999993</v>
      </c>
      <c r="G1652" s="201">
        <v>10.3</v>
      </c>
    </row>
    <row r="1653" spans="4:7">
      <c r="D1653" s="200" t="s">
        <v>1926</v>
      </c>
      <c r="E1653" s="10">
        <v>33611</v>
      </c>
      <c r="F1653" s="201">
        <v>-9.6999999999999993</v>
      </c>
      <c r="G1653" s="201">
        <v>10.199999999999999</v>
      </c>
    </row>
    <row r="1654" spans="4:7">
      <c r="D1654" s="200" t="s">
        <v>1926</v>
      </c>
      <c r="E1654" s="10">
        <v>33613</v>
      </c>
      <c r="F1654" s="201">
        <v>-9.6999999999999993</v>
      </c>
      <c r="G1654" s="201">
        <v>10.199999999999999</v>
      </c>
    </row>
    <row r="1655" spans="4:7">
      <c r="D1655" s="200" t="s">
        <v>1926</v>
      </c>
      <c r="E1655" s="10">
        <v>33647</v>
      </c>
      <c r="F1655" s="201">
        <v>-9.6999999999999993</v>
      </c>
      <c r="G1655" s="201">
        <v>10.3</v>
      </c>
    </row>
    <row r="1656" spans="4:7">
      <c r="D1656" s="200" t="s">
        <v>1650</v>
      </c>
      <c r="E1656" s="10">
        <v>42399</v>
      </c>
      <c r="F1656" s="201">
        <v>-9.6999999999999993</v>
      </c>
      <c r="G1656" s="201">
        <v>9.4</v>
      </c>
    </row>
    <row r="1657" spans="4:7">
      <c r="D1657" s="200" t="s">
        <v>2569</v>
      </c>
      <c r="E1657" s="10">
        <v>42499</v>
      </c>
      <c r="F1657" s="201">
        <v>-9.6999999999999993</v>
      </c>
      <c r="G1657" s="201">
        <v>9.4</v>
      </c>
    </row>
    <row r="1658" spans="4:7">
      <c r="D1658" s="200" t="s">
        <v>2570</v>
      </c>
      <c r="E1658" s="10">
        <v>48231</v>
      </c>
      <c r="F1658" s="201">
        <v>-9.6999999999999993</v>
      </c>
      <c r="G1658" s="201">
        <v>10.199999999999999</v>
      </c>
    </row>
    <row r="1659" spans="4:7">
      <c r="D1659" s="200" t="s">
        <v>2571</v>
      </c>
      <c r="E1659" s="10">
        <v>48324</v>
      </c>
      <c r="F1659" s="201">
        <v>-9.6999999999999993</v>
      </c>
      <c r="G1659" s="201">
        <v>10.199999999999999</v>
      </c>
    </row>
    <row r="1660" spans="4:7">
      <c r="D1660" s="200" t="s">
        <v>1806</v>
      </c>
      <c r="E1660" s="10">
        <v>49076</v>
      </c>
      <c r="F1660" s="201">
        <v>-9.6999999999999993</v>
      </c>
      <c r="G1660" s="201">
        <v>9.9</v>
      </c>
    </row>
    <row r="1661" spans="4:7">
      <c r="D1661" s="200" t="s">
        <v>1806</v>
      </c>
      <c r="E1661" s="10">
        <v>49082</v>
      </c>
      <c r="F1661" s="201">
        <v>-9.6999999999999993</v>
      </c>
      <c r="G1661" s="201">
        <v>9.9</v>
      </c>
    </row>
    <row r="1662" spans="4:7">
      <c r="D1662" s="200" t="s">
        <v>2572</v>
      </c>
      <c r="E1662" s="10">
        <v>49170</v>
      </c>
      <c r="F1662" s="201">
        <v>-9.6999999999999993</v>
      </c>
      <c r="G1662" s="201">
        <v>9.8000000000000007</v>
      </c>
    </row>
    <row r="1663" spans="4:7">
      <c r="D1663" s="200" t="s">
        <v>2573</v>
      </c>
      <c r="E1663" s="10">
        <v>49356</v>
      </c>
      <c r="F1663" s="201">
        <v>-9.6999999999999993</v>
      </c>
      <c r="G1663" s="201">
        <v>9.8000000000000007</v>
      </c>
    </row>
    <row r="1664" spans="4:7">
      <c r="D1664" s="200" t="s">
        <v>2574</v>
      </c>
      <c r="E1664" s="10">
        <v>49377</v>
      </c>
      <c r="F1664" s="201">
        <v>-9.6999999999999993</v>
      </c>
      <c r="G1664" s="201">
        <v>9.6999999999999993</v>
      </c>
    </row>
    <row r="1665" spans="4:7">
      <c r="D1665" s="200" t="s">
        <v>2575</v>
      </c>
      <c r="E1665" s="10">
        <v>49401</v>
      </c>
      <c r="F1665" s="201">
        <v>-9.6999999999999993</v>
      </c>
      <c r="G1665" s="201">
        <v>9.6999999999999993</v>
      </c>
    </row>
    <row r="1666" spans="4:7">
      <c r="D1666" s="200" t="s">
        <v>2576</v>
      </c>
      <c r="E1666" s="10">
        <v>49424</v>
      </c>
      <c r="F1666" s="201">
        <v>-9.6999999999999993</v>
      </c>
      <c r="G1666" s="201">
        <v>9.6999999999999993</v>
      </c>
    </row>
    <row r="1667" spans="4:7">
      <c r="D1667" s="200" t="s">
        <v>2577</v>
      </c>
      <c r="E1667" s="10">
        <v>49434</v>
      </c>
      <c r="F1667" s="201">
        <v>-9.6999999999999993</v>
      </c>
      <c r="G1667" s="201">
        <v>9.6999999999999993</v>
      </c>
    </row>
    <row r="1668" spans="4:7">
      <c r="D1668" s="200" t="s">
        <v>1858</v>
      </c>
      <c r="E1668" s="10">
        <v>49439</v>
      </c>
      <c r="F1668" s="201">
        <v>-9.6999999999999993</v>
      </c>
      <c r="G1668" s="201">
        <v>9.8000000000000007</v>
      </c>
    </row>
    <row r="1669" spans="4:7">
      <c r="D1669" s="200" t="s">
        <v>2578</v>
      </c>
      <c r="E1669" s="10">
        <v>49448</v>
      </c>
      <c r="F1669" s="201">
        <v>-9.6999999999999993</v>
      </c>
      <c r="G1669" s="201">
        <v>9.8000000000000007</v>
      </c>
    </row>
    <row r="1670" spans="4:7">
      <c r="D1670" s="200" t="s">
        <v>2579</v>
      </c>
      <c r="E1670" s="10">
        <v>49459</v>
      </c>
      <c r="F1670" s="201">
        <v>-9.6999999999999993</v>
      </c>
      <c r="G1670" s="201">
        <v>9.8000000000000007</v>
      </c>
    </row>
    <row r="1671" spans="4:7">
      <c r="D1671" s="200" t="s">
        <v>2580</v>
      </c>
      <c r="E1671" s="10">
        <v>49545</v>
      </c>
      <c r="F1671" s="201">
        <v>-9.6999999999999993</v>
      </c>
      <c r="G1671" s="201">
        <v>9.6999999999999993</v>
      </c>
    </row>
    <row r="1672" spans="4:7">
      <c r="D1672" s="200" t="s">
        <v>2581</v>
      </c>
      <c r="E1672" s="10">
        <v>49685</v>
      </c>
      <c r="F1672" s="201">
        <v>-9.6999999999999993</v>
      </c>
      <c r="G1672" s="201">
        <v>9.6</v>
      </c>
    </row>
    <row r="1673" spans="4:7">
      <c r="D1673" s="200" t="s">
        <v>2582</v>
      </c>
      <c r="E1673" s="10">
        <v>51597</v>
      </c>
      <c r="F1673" s="201">
        <v>-9.6999999999999993</v>
      </c>
      <c r="G1673" s="201">
        <v>9.8000000000000007</v>
      </c>
    </row>
    <row r="1674" spans="4:7">
      <c r="D1674" s="200" t="s">
        <v>2583</v>
      </c>
      <c r="E1674" s="10">
        <v>54313</v>
      </c>
      <c r="F1674" s="201">
        <v>-9.6999999999999993</v>
      </c>
      <c r="G1674" s="201">
        <v>9.5</v>
      </c>
    </row>
    <row r="1675" spans="4:7">
      <c r="D1675" s="200" t="s">
        <v>2584</v>
      </c>
      <c r="E1675" s="10">
        <v>54634</v>
      </c>
      <c r="F1675" s="201">
        <v>-9.6999999999999993</v>
      </c>
      <c r="G1675" s="201">
        <v>9.6999999999999993</v>
      </c>
    </row>
    <row r="1676" spans="4:7">
      <c r="D1676" s="200" t="s">
        <v>2585</v>
      </c>
      <c r="E1676" s="10">
        <v>54636</v>
      </c>
      <c r="F1676" s="201">
        <v>-9.6999999999999993</v>
      </c>
      <c r="G1676" s="201">
        <v>9.6</v>
      </c>
    </row>
    <row r="1677" spans="4:7">
      <c r="D1677" s="200" t="s">
        <v>2586</v>
      </c>
      <c r="E1677" s="10">
        <v>55411</v>
      </c>
      <c r="F1677" s="201">
        <v>-9.6999999999999993</v>
      </c>
      <c r="G1677" s="201">
        <v>10.7</v>
      </c>
    </row>
    <row r="1678" spans="4:7">
      <c r="D1678" s="200" t="s">
        <v>2587</v>
      </c>
      <c r="E1678" s="10">
        <v>55590</v>
      </c>
      <c r="F1678" s="201">
        <v>-9.6999999999999993</v>
      </c>
      <c r="G1678" s="201">
        <v>10.199999999999999</v>
      </c>
    </row>
    <row r="1679" spans="4:7">
      <c r="D1679" s="200" t="s">
        <v>2588</v>
      </c>
      <c r="E1679" s="10">
        <v>56235</v>
      </c>
      <c r="F1679" s="201">
        <v>-9.6999999999999993</v>
      </c>
      <c r="G1679" s="201">
        <v>9.8000000000000007</v>
      </c>
    </row>
    <row r="1680" spans="4:7">
      <c r="D1680" s="200" t="s">
        <v>2589</v>
      </c>
      <c r="E1680" s="10">
        <v>56253</v>
      </c>
      <c r="F1680" s="201">
        <v>-9.6999999999999993</v>
      </c>
      <c r="G1680" s="201">
        <v>9.8000000000000007</v>
      </c>
    </row>
    <row r="1681" spans="4:7">
      <c r="D1681" s="200" t="s">
        <v>2590</v>
      </c>
      <c r="E1681" s="10">
        <v>56294</v>
      </c>
      <c r="F1681" s="201">
        <v>-9.6999999999999993</v>
      </c>
      <c r="G1681" s="201">
        <v>9.8000000000000007</v>
      </c>
    </row>
    <row r="1682" spans="4:7">
      <c r="D1682" s="200" t="s">
        <v>2591</v>
      </c>
      <c r="E1682" s="10">
        <v>56335</v>
      </c>
      <c r="F1682" s="201">
        <v>-9.6999999999999993</v>
      </c>
      <c r="G1682" s="201">
        <v>9.8000000000000007</v>
      </c>
    </row>
    <row r="1683" spans="4:7">
      <c r="D1683" s="200" t="s">
        <v>2592</v>
      </c>
      <c r="E1683" s="10">
        <v>56337</v>
      </c>
      <c r="F1683" s="201">
        <v>-9.6999999999999993</v>
      </c>
      <c r="G1683" s="201">
        <v>9.8000000000000007</v>
      </c>
    </row>
    <row r="1684" spans="4:7">
      <c r="D1684" s="200" t="s">
        <v>2593</v>
      </c>
      <c r="E1684" s="10">
        <v>56579</v>
      </c>
      <c r="F1684" s="201">
        <v>-9.6999999999999993</v>
      </c>
      <c r="G1684" s="201">
        <v>9.8000000000000007</v>
      </c>
    </row>
    <row r="1685" spans="4:7">
      <c r="D1685" s="200" t="s">
        <v>2594</v>
      </c>
      <c r="E1685" s="10">
        <v>56598</v>
      </c>
      <c r="F1685" s="201">
        <v>-9.6999999999999993</v>
      </c>
      <c r="G1685" s="201">
        <v>9.6999999999999993</v>
      </c>
    </row>
    <row r="1686" spans="4:7">
      <c r="D1686" s="200" t="s">
        <v>2595</v>
      </c>
      <c r="E1686" s="10">
        <v>56856</v>
      </c>
      <c r="F1686" s="201">
        <v>-9.6999999999999993</v>
      </c>
      <c r="G1686" s="201">
        <v>9.8000000000000007</v>
      </c>
    </row>
    <row r="1687" spans="4:7">
      <c r="D1687" s="200" t="s">
        <v>2596</v>
      </c>
      <c r="E1687" s="10">
        <v>57562</v>
      </c>
      <c r="F1687" s="201">
        <v>-9.6999999999999993</v>
      </c>
      <c r="G1687" s="201">
        <v>9.6</v>
      </c>
    </row>
    <row r="1688" spans="4:7">
      <c r="D1688" s="200" t="s">
        <v>2597</v>
      </c>
      <c r="E1688" s="10">
        <v>57581</v>
      </c>
      <c r="F1688" s="201">
        <v>-9.6999999999999993</v>
      </c>
      <c r="G1688" s="201">
        <v>9.8000000000000007</v>
      </c>
    </row>
    <row r="1689" spans="4:7">
      <c r="D1689" s="200" t="s">
        <v>1735</v>
      </c>
      <c r="E1689" s="10">
        <v>58135</v>
      </c>
      <c r="F1689" s="201">
        <v>-9.6999999999999993</v>
      </c>
      <c r="G1689" s="201">
        <v>9.3000000000000007</v>
      </c>
    </row>
    <row r="1690" spans="4:7">
      <c r="D1690" s="200" t="s">
        <v>2598</v>
      </c>
      <c r="E1690" s="10">
        <v>58507</v>
      </c>
      <c r="F1690" s="201">
        <v>-9.6999999999999993</v>
      </c>
      <c r="G1690" s="201">
        <v>9</v>
      </c>
    </row>
    <row r="1691" spans="4:7">
      <c r="D1691" s="200" t="s">
        <v>2599</v>
      </c>
      <c r="E1691" s="10">
        <v>58802</v>
      </c>
      <c r="F1691" s="201">
        <v>-9.6999999999999993</v>
      </c>
      <c r="G1691" s="201">
        <v>9.4</v>
      </c>
    </row>
    <row r="1692" spans="4:7">
      <c r="D1692" s="200" t="s">
        <v>2054</v>
      </c>
      <c r="E1692" s="10">
        <v>59071</v>
      </c>
      <c r="F1692" s="201">
        <v>-9.6999999999999993</v>
      </c>
      <c r="G1692" s="201">
        <v>10.199999999999999</v>
      </c>
    </row>
    <row r="1693" spans="4:7">
      <c r="D1693" s="200" t="s">
        <v>2600</v>
      </c>
      <c r="E1693" s="10">
        <v>59227</v>
      </c>
      <c r="F1693" s="201">
        <v>-9.6999999999999993</v>
      </c>
      <c r="G1693" s="201">
        <v>10.199999999999999</v>
      </c>
    </row>
    <row r="1694" spans="4:7">
      <c r="D1694" s="200" t="s">
        <v>2600</v>
      </c>
      <c r="E1694" s="10">
        <v>59229</v>
      </c>
      <c r="F1694" s="201">
        <v>-9.6999999999999993</v>
      </c>
      <c r="G1694" s="201">
        <v>10.199999999999999</v>
      </c>
    </row>
    <row r="1695" spans="4:7">
      <c r="D1695" s="200" t="s">
        <v>2601</v>
      </c>
      <c r="E1695" s="10">
        <v>59469</v>
      </c>
      <c r="F1695" s="201">
        <v>-9.6999999999999993</v>
      </c>
      <c r="G1695" s="201">
        <v>9.8000000000000007</v>
      </c>
    </row>
    <row r="1696" spans="4:7">
      <c r="D1696" s="200" t="s">
        <v>2602</v>
      </c>
      <c r="E1696" s="10">
        <v>59514</v>
      </c>
      <c r="F1696" s="201">
        <v>-9.6999999999999993</v>
      </c>
      <c r="G1696" s="201">
        <v>10.199999999999999</v>
      </c>
    </row>
    <row r="1697" spans="4:7">
      <c r="D1697" s="200" t="s">
        <v>2515</v>
      </c>
      <c r="E1697" s="10">
        <v>59759</v>
      </c>
      <c r="F1697" s="201">
        <v>-9.6999999999999993</v>
      </c>
      <c r="G1697" s="201">
        <v>9.9</v>
      </c>
    </row>
    <row r="1698" spans="4:7">
      <c r="D1698" s="200" t="s">
        <v>1771</v>
      </c>
      <c r="E1698" s="10">
        <v>60323</v>
      </c>
      <c r="F1698" s="201">
        <v>-9.6999999999999993</v>
      </c>
      <c r="G1698" s="201">
        <v>11</v>
      </c>
    </row>
    <row r="1699" spans="4:7">
      <c r="D1699" s="200" t="s">
        <v>1771</v>
      </c>
      <c r="E1699" s="10">
        <v>60433</v>
      </c>
      <c r="F1699" s="201">
        <v>-9.6999999999999993</v>
      </c>
      <c r="G1699" s="201">
        <v>10.8</v>
      </c>
    </row>
    <row r="1700" spans="4:7">
      <c r="D1700" s="200" t="s">
        <v>2603</v>
      </c>
      <c r="E1700" s="10">
        <v>64521</v>
      </c>
      <c r="F1700" s="201">
        <v>-9.6999999999999993</v>
      </c>
      <c r="G1700" s="201">
        <v>10.9</v>
      </c>
    </row>
    <row r="1701" spans="4:7">
      <c r="D1701" s="200" t="s">
        <v>2604</v>
      </c>
      <c r="E1701" s="10">
        <v>64546</v>
      </c>
      <c r="F1701" s="201">
        <v>-9.6999999999999993</v>
      </c>
      <c r="G1701" s="201">
        <v>10.9</v>
      </c>
    </row>
    <row r="1702" spans="4:7">
      <c r="D1702" s="200" t="s">
        <v>2605</v>
      </c>
      <c r="E1702" s="10">
        <v>64569</v>
      </c>
      <c r="F1702" s="201">
        <v>-9.6999999999999993</v>
      </c>
      <c r="G1702" s="201">
        <v>10.9</v>
      </c>
    </row>
    <row r="1703" spans="4:7">
      <c r="D1703" s="200" t="s">
        <v>2606</v>
      </c>
      <c r="E1703" s="10">
        <v>64572</v>
      </c>
      <c r="F1703" s="201">
        <v>-9.6999999999999993</v>
      </c>
      <c r="G1703" s="201">
        <v>10.9</v>
      </c>
    </row>
    <row r="1704" spans="4:7">
      <c r="D1704" s="200" t="s">
        <v>2607</v>
      </c>
      <c r="E1704" s="10">
        <v>65462</v>
      </c>
      <c r="F1704" s="201">
        <v>-9.6999999999999993</v>
      </c>
      <c r="G1704" s="201">
        <v>10.9</v>
      </c>
    </row>
    <row r="1705" spans="4:7">
      <c r="D1705" s="200" t="s">
        <v>2608</v>
      </c>
      <c r="E1705" s="10">
        <v>65474</v>
      </c>
      <c r="F1705" s="201">
        <v>-9.6999999999999993</v>
      </c>
      <c r="G1705" s="201">
        <v>10.9</v>
      </c>
    </row>
    <row r="1706" spans="4:7">
      <c r="D1706" s="200" t="s">
        <v>2305</v>
      </c>
      <c r="E1706" s="10">
        <v>65556</v>
      </c>
      <c r="F1706" s="201">
        <v>-9.6999999999999993</v>
      </c>
      <c r="G1706" s="201">
        <v>10.1</v>
      </c>
    </row>
    <row r="1707" spans="4:7">
      <c r="D1707" s="200" t="s">
        <v>1771</v>
      </c>
      <c r="E1707" s="10">
        <v>65931</v>
      </c>
      <c r="F1707" s="201">
        <v>-9.6999999999999993</v>
      </c>
      <c r="G1707" s="201">
        <v>10.9</v>
      </c>
    </row>
    <row r="1708" spans="4:7">
      <c r="D1708" s="200" t="s">
        <v>1814</v>
      </c>
      <c r="E1708" s="10">
        <v>66126</v>
      </c>
      <c r="F1708" s="201">
        <v>-9.6999999999999993</v>
      </c>
      <c r="G1708" s="201">
        <v>10.1</v>
      </c>
    </row>
    <row r="1709" spans="4:7">
      <c r="D1709" s="200" t="s">
        <v>2609</v>
      </c>
      <c r="E1709" s="10">
        <v>66265</v>
      </c>
      <c r="F1709" s="201">
        <v>-9.6999999999999993</v>
      </c>
      <c r="G1709" s="201">
        <v>10.1</v>
      </c>
    </row>
    <row r="1710" spans="4:7">
      <c r="D1710" s="200" t="s">
        <v>2610</v>
      </c>
      <c r="E1710" s="10">
        <v>66500</v>
      </c>
      <c r="F1710" s="201">
        <v>-9.6999999999999993</v>
      </c>
      <c r="G1710" s="201">
        <v>10.199999999999999</v>
      </c>
    </row>
    <row r="1711" spans="4:7">
      <c r="D1711" s="200" t="s">
        <v>2611</v>
      </c>
      <c r="E1711" s="10">
        <v>66687</v>
      </c>
      <c r="F1711" s="201">
        <v>-9.6999999999999993</v>
      </c>
      <c r="G1711" s="201">
        <v>9.9</v>
      </c>
    </row>
    <row r="1712" spans="4:7">
      <c r="D1712" s="200" t="s">
        <v>2612</v>
      </c>
      <c r="E1712" s="10">
        <v>66701</v>
      </c>
      <c r="F1712" s="201">
        <v>-9.6999999999999993</v>
      </c>
      <c r="G1712" s="201">
        <v>9.9</v>
      </c>
    </row>
    <row r="1713" spans="4:7">
      <c r="D1713" s="200" t="s">
        <v>2613</v>
      </c>
      <c r="E1713" s="10">
        <v>66706</v>
      </c>
      <c r="F1713" s="201">
        <v>-9.6999999999999993</v>
      </c>
      <c r="G1713" s="201">
        <v>9.6999999999999993</v>
      </c>
    </row>
    <row r="1714" spans="4:7">
      <c r="D1714" s="200" t="s">
        <v>2614</v>
      </c>
      <c r="E1714" s="10">
        <v>66802</v>
      </c>
      <c r="F1714" s="201">
        <v>-9.6999999999999993</v>
      </c>
      <c r="G1714" s="201">
        <v>10</v>
      </c>
    </row>
    <row r="1715" spans="4:7">
      <c r="D1715" s="200" t="s">
        <v>2615</v>
      </c>
      <c r="E1715" s="10">
        <v>66882</v>
      </c>
      <c r="F1715" s="201">
        <v>-9.6999999999999993</v>
      </c>
      <c r="G1715" s="201">
        <v>10</v>
      </c>
    </row>
    <row r="1716" spans="4:7">
      <c r="D1716" s="200" t="s">
        <v>2616</v>
      </c>
      <c r="E1716" s="10">
        <v>66885</v>
      </c>
      <c r="F1716" s="201">
        <v>-9.6999999999999993</v>
      </c>
      <c r="G1716" s="201">
        <v>10</v>
      </c>
    </row>
    <row r="1717" spans="4:7">
      <c r="D1717" s="200" t="s">
        <v>2617</v>
      </c>
      <c r="E1717" s="10">
        <v>66914</v>
      </c>
      <c r="F1717" s="201">
        <v>-9.6999999999999993</v>
      </c>
      <c r="G1717" s="201">
        <v>10</v>
      </c>
    </row>
    <row r="1718" spans="4:7">
      <c r="D1718" s="200" t="s">
        <v>2618</v>
      </c>
      <c r="E1718" s="10">
        <v>67360</v>
      </c>
      <c r="F1718" s="201">
        <v>-9.6999999999999993</v>
      </c>
      <c r="G1718" s="201">
        <v>11.1</v>
      </c>
    </row>
    <row r="1719" spans="4:7">
      <c r="D1719" s="200" t="s">
        <v>2619</v>
      </c>
      <c r="E1719" s="10">
        <v>67433</v>
      </c>
      <c r="F1719" s="201">
        <v>-9.6999999999999993</v>
      </c>
      <c r="G1719" s="201">
        <v>10.9</v>
      </c>
    </row>
    <row r="1720" spans="4:7">
      <c r="D1720" s="200" t="s">
        <v>2620</v>
      </c>
      <c r="E1720" s="10">
        <v>67737</v>
      </c>
      <c r="F1720" s="201">
        <v>-9.6999999999999993</v>
      </c>
      <c r="G1720" s="201">
        <v>10.1</v>
      </c>
    </row>
    <row r="1721" spans="4:7">
      <c r="D1721" s="200" t="s">
        <v>2621</v>
      </c>
      <c r="E1721" s="10">
        <v>76437</v>
      </c>
      <c r="F1721" s="201">
        <v>-9.6999999999999993</v>
      </c>
      <c r="G1721" s="201">
        <v>11.3</v>
      </c>
    </row>
    <row r="1722" spans="4:7">
      <c r="D1722" s="200" t="s">
        <v>2622</v>
      </c>
      <c r="E1722" s="10">
        <v>77704</v>
      </c>
      <c r="F1722" s="201">
        <v>-9.6999999999999993</v>
      </c>
      <c r="G1722" s="201">
        <v>10.7</v>
      </c>
    </row>
    <row r="1723" spans="4:7">
      <c r="D1723" s="200" t="s">
        <v>2623</v>
      </c>
      <c r="E1723" s="10">
        <v>77791</v>
      </c>
      <c r="F1723" s="201">
        <v>-9.6999999999999993</v>
      </c>
      <c r="G1723" s="201">
        <v>10.7</v>
      </c>
    </row>
    <row r="1724" spans="4:7">
      <c r="D1724" s="200" t="s">
        <v>2624</v>
      </c>
      <c r="E1724" s="10">
        <v>77833</v>
      </c>
      <c r="F1724" s="201">
        <v>-9.6999999999999993</v>
      </c>
      <c r="G1724" s="201">
        <v>11</v>
      </c>
    </row>
    <row r="1725" spans="4:7">
      <c r="D1725" s="200" t="s">
        <v>2625</v>
      </c>
      <c r="E1725" s="10">
        <v>77948</v>
      </c>
      <c r="F1725" s="201">
        <v>-9.6999999999999993</v>
      </c>
      <c r="G1725" s="201">
        <v>10.7</v>
      </c>
    </row>
    <row r="1726" spans="4:7">
      <c r="D1726" s="200" t="s">
        <v>2626</v>
      </c>
      <c r="E1726" s="10">
        <v>77963</v>
      </c>
      <c r="F1726" s="201">
        <v>-9.6999999999999993</v>
      </c>
      <c r="G1726" s="201">
        <v>10.8</v>
      </c>
    </row>
    <row r="1727" spans="4:7">
      <c r="D1727" s="200" t="s">
        <v>2627</v>
      </c>
      <c r="E1727" s="10">
        <v>78266</v>
      </c>
      <c r="F1727" s="201">
        <v>-9.6999999999999993</v>
      </c>
      <c r="G1727" s="201">
        <v>9.9</v>
      </c>
    </row>
    <row r="1728" spans="4:7">
      <c r="D1728" s="200" t="s">
        <v>2628</v>
      </c>
      <c r="E1728" s="10">
        <v>78269</v>
      </c>
      <c r="F1728" s="201">
        <v>-9.6999999999999993</v>
      </c>
      <c r="G1728" s="201">
        <v>9.8000000000000007</v>
      </c>
    </row>
    <row r="1729" spans="4:7">
      <c r="D1729" s="200" t="s">
        <v>2629</v>
      </c>
      <c r="E1729" s="10">
        <v>78476</v>
      </c>
      <c r="F1729" s="201">
        <v>-9.6999999999999993</v>
      </c>
      <c r="G1729" s="201">
        <v>9.6</v>
      </c>
    </row>
    <row r="1730" spans="4:7">
      <c r="D1730" s="200" t="s">
        <v>2439</v>
      </c>
      <c r="E1730" s="10">
        <v>79098</v>
      </c>
      <c r="F1730" s="201">
        <v>-9.6999999999999993</v>
      </c>
      <c r="G1730" s="201">
        <v>11.4</v>
      </c>
    </row>
    <row r="1731" spans="4:7">
      <c r="D1731" s="200" t="s">
        <v>2439</v>
      </c>
      <c r="E1731" s="10">
        <v>79106</v>
      </c>
      <c r="F1731" s="201">
        <v>-9.6999999999999993</v>
      </c>
      <c r="G1731" s="201">
        <v>11.4</v>
      </c>
    </row>
    <row r="1732" spans="4:7">
      <c r="D1732" s="200" t="s">
        <v>2439</v>
      </c>
      <c r="E1732" s="10">
        <v>79110</v>
      </c>
      <c r="F1732" s="201">
        <v>-9.6999999999999993</v>
      </c>
      <c r="G1732" s="201">
        <v>11.5</v>
      </c>
    </row>
    <row r="1733" spans="4:7">
      <c r="D1733" s="200" t="s">
        <v>2630</v>
      </c>
      <c r="E1733" s="10">
        <v>79362</v>
      </c>
      <c r="F1733" s="201">
        <v>-9.6999999999999993</v>
      </c>
      <c r="G1733" s="201">
        <v>11</v>
      </c>
    </row>
    <row r="1734" spans="4:7">
      <c r="D1734" s="200" t="s">
        <v>2631</v>
      </c>
      <c r="E1734" s="10">
        <v>79369</v>
      </c>
      <c r="F1734" s="201">
        <v>-9.6999999999999993</v>
      </c>
      <c r="G1734" s="201">
        <v>11</v>
      </c>
    </row>
    <row r="1735" spans="4:7">
      <c r="D1735" s="200" t="s">
        <v>2632</v>
      </c>
      <c r="E1735" s="10">
        <v>79790</v>
      </c>
      <c r="F1735" s="201">
        <v>-9.6999999999999993</v>
      </c>
      <c r="G1735" s="201">
        <v>10.1</v>
      </c>
    </row>
    <row r="1736" spans="4:7">
      <c r="D1736" s="200" t="s">
        <v>2633</v>
      </c>
      <c r="E1736" s="10">
        <v>79804</v>
      </c>
      <c r="F1736" s="201">
        <v>-9.6999999999999993</v>
      </c>
      <c r="G1736" s="201">
        <v>10</v>
      </c>
    </row>
    <row r="1737" spans="4:7">
      <c r="D1737" s="200" t="s">
        <v>2313</v>
      </c>
      <c r="E1737" s="10">
        <v>88048</v>
      </c>
      <c r="F1737" s="201">
        <v>-9.6999999999999993</v>
      </c>
      <c r="G1737" s="201">
        <v>9.8000000000000007</v>
      </c>
    </row>
    <row r="1738" spans="4:7">
      <c r="D1738" s="200" t="s">
        <v>2634</v>
      </c>
      <c r="E1738" s="10">
        <v>88079</v>
      </c>
      <c r="F1738" s="201">
        <v>-9.6999999999999993</v>
      </c>
      <c r="G1738" s="201">
        <v>9.6</v>
      </c>
    </row>
    <row r="1739" spans="4:7">
      <c r="D1739" s="200" t="s">
        <v>2635</v>
      </c>
      <c r="E1739" s="10">
        <v>88085</v>
      </c>
      <c r="F1739" s="201">
        <v>-9.6999999999999993</v>
      </c>
      <c r="G1739" s="201">
        <v>9.6999999999999993</v>
      </c>
    </row>
    <row r="1740" spans="4:7">
      <c r="D1740" s="200" t="s">
        <v>2636</v>
      </c>
      <c r="E1740" s="10">
        <v>88097</v>
      </c>
      <c r="F1740" s="201">
        <v>-9.6999999999999993</v>
      </c>
      <c r="G1740" s="201">
        <v>9.8000000000000007</v>
      </c>
    </row>
    <row r="1741" spans="4:7">
      <c r="D1741" s="200" t="s">
        <v>2637</v>
      </c>
      <c r="E1741" s="10">
        <v>88250</v>
      </c>
      <c r="F1741" s="201">
        <v>-9.6999999999999993</v>
      </c>
      <c r="G1741" s="201">
        <v>10.1</v>
      </c>
    </row>
    <row r="1742" spans="4:7">
      <c r="D1742" s="200" t="s">
        <v>1707</v>
      </c>
      <c r="E1742" s="10">
        <v>21029</v>
      </c>
      <c r="F1742" s="201">
        <v>-9.8000000000000007</v>
      </c>
      <c r="G1742" s="201">
        <v>9.6999999999999993</v>
      </c>
    </row>
    <row r="1743" spans="4:7">
      <c r="D1743" s="200" t="s">
        <v>1707</v>
      </c>
      <c r="E1743" s="10">
        <v>21077</v>
      </c>
      <c r="F1743" s="201">
        <v>-9.8000000000000007</v>
      </c>
      <c r="G1743" s="201">
        <v>9.1999999999999993</v>
      </c>
    </row>
    <row r="1744" spans="4:7">
      <c r="D1744" s="200" t="s">
        <v>1707</v>
      </c>
      <c r="E1744" s="10">
        <v>21107</v>
      </c>
      <c r="F1744" s="201">
        <v>-9.8000000000000007</v>
      </c>
      <c r="G1744" s="201">
        <v>9.5</v>
      </c>
    </row>
    <row r="1745" spans="4:7">
      <c r="D1745" s="200" t="s">
        <v>1707</v>
      </c>
      <c r="E1745" s="10">
        <v>21129</v>
      </c>
      <c r="F1745" s="201">
        <v>-9.8000000000000007</v>
      </c>
      <c r="G1745" s="201">
        <v>9.3000000000000007</v>
      </c>
    </row>
    <row r="1746" spans="4:7">
      <c r="D1746" s="200" t="s">
        <v>1707</v>
      </c>
      <c r="E1746" s="10">
        <v>21147</v>
      </c>
      <c r="F1746" s="201">
        <v>-9.8000000000000007</v>
      </c>
      <c r="G1746" s="201">
        <v>9.3000000000000007</v>
      </c>
    </row>
    <row r="1747" spans="4:7">
      <c r="D1747" s="200" t="s">
        <v>2638</v>
      </c>
      <c r="E1747" s="10">
        <v>21635</v>
      </c>
      <c r="F1747" s="201">
        <v>-9.8000000000000007</v>
      </c>
      <c r="G1747" s="201">
        <v>9.3000000000000007</v>
      </c>
    </row>
    <row r="1748" spans="4:7">
      <c r="D1748" s="200" t="s">
        <v>2639</v>
      </c>
      <c r="E1748" s="10">
        <v>21640</v>
      </c>
      <c r="F1748" s="201">
        <v>-9.8000000000000007</v>
      </c>
      <c r="G1748" s="201">
        <v>9.3000000000000007</v>
      </c>
    </row>
    <row r="1749" spans="4:7">
      <c r="D1749" s="200" t="s">
        <v>2640</v>
      </c>
      <c r="E1749" s="10">
        <v>21647</v>
      </c>
      <c r="F1749" s="201">
        <v>-9.8000000000000007</v>
      </c>
      <c r="G1749" s="201">
        <v>9.1999999999999993</v>
      </c>
    </row>
    <row r="1750" spans="4:7">
      <c r="D1750" s="200" t="s">
        <v>2543</v>
      </c>
      <c r="E1750" s="10">
        <v>21682</v>
      </c>
      <c r="F1750" s="201">
        <v>-9.8000000000000007</v>
      </c>
      <c r="G1750" s="201">
        <v>9.4</v>
      </c>
    </row>
    <row r="1751" spans="4:7">
      <c r="D1751" s="200" t="s">
        <v>2641</v>
      </c>
      <c r="E1751" s="10">
        <v>21698</v>
      </c>
      <c r="F1751" s="201">
        <v>-9.8000000000000007</v>
      </c>
      <c r="G1751" s="201">
        <v>9.1999999999999993</v>
      </c>
    </row>
    <row r="1752" spans="4:7">
      <c r="D1752" s="200" t="s">
        <v>2642</v>
      </c>
      <c r="E1752" s="10">
        <v>21706</v>
      </c>
      <c r="F1752" s="201">
        <v>-9.8000000000000007</v>
      </c>
      <c r="G1752" s="201">
        <v>9.3000000000000007</v>
      </c>
    </row>
    <row r="1753" spans="4:7">
      <c r="D1753" s="200" t="s">
        <v>2643</v>
      </c>
      <c r="E1753" s="10">
        <v>21709</v>
      </c>
      <c r="F1753" s="201">
        <v>-9.8000000000000007</v>
      </c>
      <c r="G1753" s="201">
        <v>9.3000000000000007</v>
      </c>
    </row>
    <row r="1754" spans="4:7">
      <c r="D1754" s="200" t="s">
        <v>2644</v>
      </c>
      <c r="E1754" s="10">
        <v>21714</v>
      </c>
      <c r="F1754" s="201">
        <v>-9.8000000000000007</v>
      </c>
      <c r="G1754" s="201">
        <v>9.3000000000000007</v>
      </c>
    </row>
    <row r="1755" spans="4:7">
      <c r="D1755" s="200" t="s">
        <v>2645</v>
      </c>
      <c r="E1755" s="10">
        <v>21717</v>
      </c>
      <c r="F1755" s="201">
        <v>-9.8000000000000007</v>
      </c>
      <c r="G1755" s="201">
        <v>9.1999999999999993</v>
      </c>
    </row>
    <row r="1756" spans="4:7">
      <c r="D1756" s="200" t="s">
        <v>2646</v>
      </c>
      <c r="E1756" s="10">
        <v>21723</v>
      </c>
      <c r="F1756" s="201">
        <v>-9.8000000000000007</v>
      </c>
      <c r="G1756" s="201">
        <v>9.3000000000000007</v>
      </c>
    </row>
    <row r="1757" spans="4:7">
      <c r="D1757" s="200" t="s">
        <v>2647</v>
      </c>
      <c r="E1757" s="10">
        <v>21727</v>
      </c>
      <c r="F1757" s="201">
        <v>-9.8000000000000007</v>
      </c>
      <c r="G1757" s="201">
        <v>9.3000000000000007</v>
      </c>
    </row>
    <row r="1758" spans="4:7">
      <c r="D1758" s="200" t="s">
        <v>1707</v>
      </c>
      <c r="E1758" s="10">
        <v>22589</v>
      </c>
      <c r="F1758" s="201">
        <v>-9.8000000000000007</v>
      </c>
      <c r="G1758" s="201">
        <v>9.1999999999999993</v>
      </c>
    </row>
    <row r="1759" spans="4:7">
      <c r="D1759" s="200" t="s">
        <v>2648</v>
      </c>
      <c r="E1759" s="10">
        <v>23554</v>
      </c>
      <c r="F1759" s="201">
        <v>-9.8000000000000007</v>
      </c>
      <c r="G1759" s="201">
        <v>9.8000000000000007</v>
      </c>
    </row>
    <row r="1760" spans="4:7">
      <c r="D1760" s="200" t="s">
        <v>2062</v>
      </c>
      <c r="E1760" s="10">
        <v>23558</v>
      </c>
      <c r="F1760" s="201">
        <v>-9.8000000000000007</v>
      </c>
      <c r="G1760" s="201">
        <v>9.9</v>
      </c>
    </row>
    <row r="1761" spans="4:7">
      <c r="D1761" s="200" t="s">
        <v>2649</v>
      </c>
      <c r="E1761" s="10">
        <v>23823</v>
      </c>
      <c r="F1761" s="201">
        <v>-9.8000000000000007</v>
      </c>
      <c r="G1761" s="201">
        <v>8.9</v>
      </c>
    </row>
    <row r="1762" spans="4:7">
      <c r="D1762" s="200" t="s">
        <v>2650</v>
      </c>
      <c r="E1762" s="10">
        <v>23968</v>
      </c>
      <c r="F1762" s="201">
        <v>-9.8000000000000007</v>
      </c>
      <c r="G1762" s="201">
        <v>9.1</v>
      </c>
    </row>
    <row r="1763" spans="4:7">
      <c r="D1763" s="200" t="s">
        <v>2651</v>
      </c>
      <c r="E1763" s="10">
        <v>24598</v>
      </c>
      <c r="F1763" s="201">
        <v>-9.8000000000000007</v>
      </c>
      <c r="G1763" s="201">
        <v>8.9</v>
      </c>
    </row>
    <row r="1764" spans="4:7">
      <c r="D1764" s="200" t="s">
        <v>2652</v>
      </c>
      <c r="E1764" s="10">
        <v>24610</v>
      </c>
      <c r="F1764" s="201">
        <v>-9.8000000000000007</v>
      </c>
      <c r="G1764" s="201">
        <v>8.9</v>
      </c>
    </row>
    <row r="1765" spans="4:7">
      <c r="D1765" s="200" t="s">
        <v>2653</v>
      </c>
      <c r="E1765" s="10">
        <v>24638</v>
      </c>
      <c r="F1765" s="201">
        <v>-9.8000000000000007</v>
      </c>
      <c r="G1765" s="201">
        <v>8.8000000000000007</v>
      </c>
    </row>
    <row r="1766" spans="4:7">
      <c r="D1766" s="200" t="s">
        <v>2654</v>
      </c>
      <c r="E1766" s="10">
        <v>25365</v>
      </c>
      <c r="F1766" s="201">
        <v>-9.8000000000000007</v>
      </c>
      <c r="G1766" s="201">
        <v>9.1999999999999993</v>
      </c>
    </row>
    <row r="1767" spans="4:7">
      <c r="D1767" s="200" t="s">
        <v>2655</v>
      </c>
      <c r="E1767" s="10">
        <v>25482</v>
      </c>
      <c r="F1767" s="201">
        <v>-9.8000000000000007</v>
      </c>
      <c r="G1767" s="201">
        <v>9.1999999999999993</v>
      </c>
    </row>
    <row r="1768" spans="4:7">
      <c r="D1768" s="200" t="s">
        <v>2656</v>
      </c>
      <c r="E1768" s="10">
        <v>25488</v>
      </c>
      <c r="F1768" s="201">
        <v>-9.8000000000000007</v>
      </c>
      <c r="G1768" s="201">
        <v>9.1999999999999993</v>
      </c>
    </row>
    <row r="1769" spans="4:7">
      <c r="D1769" s="200" t="s">
        <v>2657</v>
      </c>
      <c r="E1769" s="10">
        <v>25489</v>
      </c>
      <c r="F1769" s="201">
        <v>-9.8000000000000007</v>
      </c>
      <c r="G1769" s="201">
        <v>9.3000000000000007</v>
      </c>
    </row>
    <row r="1770" spans="4:7">
      <c r="D1770" s="200" t="s">
        <v>2658</v>
      </c>
      <c r="E1770" s="10">
        <v>25492</v>
      </c>
      <c r="F1770" s="201">
        <v>-9.8000000000000007</v>
      </c>
      <c r="G1770" s="201">
        <v>9.1999999999999993</v>
      </c>
    </row>
    <row r="1771" spans="4:7">
      <c r="D1771" s="200" t="s">
        <v>2659</v>
      </c>
      <c r="E1771" s="10">
        <v>25497</v>
      </c>
      <c r="F1771" s="201">
        <v>-9.8000000000000007</v>
      </c>
      <c r="G1771" s="201">
        <v>9.1999999999999993</v>
      </c>
    </row>
    <row r="1772" spans="4:7">
      <c r="D1772" s="200" t="s">
        <v>2660</v>
      </c>
      <c r="E1772" s="10">
        <v>25563</v>
      </c>
      <c r="F1772" s="201">
        <v>-9.8000000000000007</v>
      </c>
      <c r="G1772" s="201">
        <v>9.1999999999999993</v>
      </c>
    </row>
    <row r="1773" spans="4:7">
      <c r="D1773" s="200" t="s">
        <v>2661</v>
      </c>
      <c r="E1773" s="10">
        <v>27248</v>
      </c>
      <c r="F1773" s="201">
        <v>-9.8000000000000007</v>
      </c>
      <c r="G1773" s="201">
        <v>9.6999999999999993</v>
      </c>
    </row>
    <row r="1774" spans="4:7">
      <c r="D1774" s="200" t="s">
        <v>2662</v>
      </c>
      <c r="E1774" s="10">
        <v>27257</v>
      </c>
      <c r="F1774" s="201">
        <v>-9.8000000000000007</v>
      </c>
      <c r="G1774" s="201">
        <v>9.6</v>
      </c>
    </row>
    <row r="1775" spans="4:7">
      <c r="D1775" s="200" t="s">
        <v>2663</v>
      </c>
      <c r="E1775" s="10">
        <v>27259</v>
      </c>
      <c r="F1775" s="201">
        <v>-9.8000000000000007</v>
      </c>
      <c r="G1775" s="201">
        <v>9.9</v>
      </c>
    </row>
    <row r="1776" spans="4:7">
      <c r="D1776" s="200" t="s">
        <v>2068</v>
      </c>
      <c r="E1776" s="10">
        <v>27299</v>
      </c>
      <c r="F1776" s="201">
        <v>-9.8000000000000007</v>
      </c>
      <c r="G1776" s="201">
        <v>9.5</v>
      </c>
    </row>
    <row r="1777" spans="4:7">
      <c r="D1777" s="200" t="s">
        <v>2664</v>
      </c>
      <c r="E1777" s="10">
        <v>27337</v>
      </c>
      <c r="F1777" s="201">
        <v>-9.8000000000000007</v>
      </c>
      <c r="G1777" s="201">
        <v>9.6999999999999993</v>
      </c>
    </row>
    <row r="1778" spans="4:7">
      <c r="D1778" s="200" t="s">
        <v>2665</v>
      </c>
      <c r="E1778" s="10">
        <v>27442</v>
      </c>
      <c r="F1778" s="201">
        <v>-9.8000000000000007</v>
      </c>
      <c r="G1778" s="201">
        <v>9.3000000000000007</v>
      </c>
    </row>
    <row r="1779" spans="4:7">
      <c r="D1779" s="200" t="s">
        <v>2666</v>
      </c>
      <c r="E1779" s="10">
        <v>32351</v>
      </c>
      <c r="F1779" s="201">
        <v>-9.8000000000000007</v>
      </c>
      <c r="G1779" s="201">
        <v>9.9</v>
      </c>
    </row>
    <row r="1780" spans="4:7">
      <c r="D1780" s="200" t="s">
        <v>2667</v>
      </c>
      <c r="E1780" s="10">
        <v>32584</v>
      </c>
      <c r="F1780" s="201">
        <v>-9.8000000000000007</v>
      </c>
      <c r="G1780" s="201">
        <v>10.3</v>
      </c>
    </row>
    <row r="1781" spans="4:7">
      <c r="D1781" s="200" t="s">
        <v>2668</v>
      </c>
      <c r="E1781" s="10">
        <v>42477</v>
      </c>
      <c r="F1781" s="201">
        <v>-9.8000000000000007</v>
      </c>
      <c r="G1781" s="201">
        <v>9.1</v>
      </c>
    </row>
    <row r="1782" spans="4:7">
      <c r="D1782" s="200" t="s">
        <v>1806</v>
      </c>
      <c r="E1782" s="10">
        <v>49086</v>
      </c>
      <c r="F1782" s="201">
        <v>-9.8000000000000007</v>
      </c>
      <c r="G1782" s="201">
        <v>10</v>
      </c>
    </row>
    <row r="1783" spans="4:7">
      <c r="D1783" s="200" t="s">
        <v>1806</v>
      </c>
      <c r="E1783" s="10">
        <v>49090</v>
      </c>
      <c r="F1783" s="201">
        <v>-9.8000000000000007</v>
      </c>
      <c r="G1783" s="201">
        <v>9.8000000000000007</v>
      </c>
    </row>
    <row r="1784" spans="4:7">
      <c r="D1784" s="200" t="s">
        <v>2669</v>
      </c>
      <c r="E1784" s="10">
        <v>49124</v>
      </c>
      <c r="F1784" s="201">
        <v>-9.8000000000000007</v>
      </c>
      <c r="G1784" s="201">
        <v>9.8000000000000007</v>
      </c>
    </row>
    <row r="1785" spans="4:7">
      <c r="D1785" s="200" t="s">
        <v>2670</v>
      </c>
      <c r="E1785" s="10">
        <v>49143</v>
      </c>
      <c r="F1785" s="201">
        <v>-9.8000000000000007</v>
      </c>
      <c r="G1785" s="201">
        <v>9.9</v>
      </c>
    </row>
    <row r="1786" spans="4:7">
      <c r="D1786" s="200" t="s">
        <v>2671</v>
      </c>
      <c r="E1786" s="10">
        <v>49176</v>
      </c>
      <c r="F1786" s="201">
        <v>-9.8000000000000007</v>
      </c>
      <c r="G1786" s="201">
        <v>9.6999999999999993</v>
      </c>
    </row>
    <row r="1787" spans="4:7">
      <c r="D1787" s="200" t="s">
        <v>2672</v>
      </c>
      <c r="E1787" s="10">
        <v>49186</v>
      </c>
      <c r="F1787" s="201">
        <v>-9.8000000000000007</v>
      </c>
      <c r="G1787" s="201">
        <v>9.9</v>
      </c>
    </row>
    <row r="1788" spans="4:7">
      <c r="D1788" s="200" t="s">
        <v>2673</v>
      </c>
      <c r="E1788" s="10">
        <v>49191</v>
      </c>
      <c r="F1788" s="201">
        <v>-9.8000000000000007</v>
      </c>
      <c r="G1788" s="201">
        <v>9.6999999999999993</v>
      </c>
    </row>
    <row r="1789" spans="4:7">
      <c r="D1789" s="200" t="s">
        <v>2674</v>
      </c>
      <c r="E1789" s="10">
        <v>49196</v>
      </c>
      <c r="F1789" s="201">
        <v>-9.8000000000000007</v>
      </c>
      <c r="G1789" s="201">
        <v>10</v>
      </c>
    </row>
    <row r="1790" spans="4:7">
      <c r="D1790" s="200" t="s">
        <v>2675</v>
      </c>
      <c r="E1790" s="10">
        <v>49205</v>
      </c>
      <c r="F1790" s="201">
        <v>-9.8000000000000007</v>
      </c>
      <c r="G1790" s="201">
        <v>9.9</v>
      </c>
    </row>
    <row r="1791" spans="4:7">
      <c r="D1791" s="200" t="s">
        <v>2676</v>
      </c>
      <c r="E1791" s="10">
        <v>49324</v>
      </c>
      <c r="F1791" s="201">
        <v>-9.8000000000000007</v>
      </c>
      <c r="G1791" s="201">
        <v>10</v>
      </c>
    </row>
    <row r="1792" spans="4:7">
      <c r="D1792" s="200" t="s">
        <v>2677</v>
      </c>
      <c r="E1792" s="10">
        <v>49406</v>
      </c>
      <c r="F1792" s="201">
        <v>-9.8000000000000007</v>
      </c>
      <c r="G1792" s="201">
        <v>9.8000000000000007</v>
      </c>
    </row>
    <row r="1793" spans="4:7">
      <c r="D1793" s="200" t="s">
        <v>2678</v>
      </c>
      <c r="E1793" s="10">
        <v>49419</v>
      </c>
      <c r="F1793" s="201">
        <v>-9.8000000000000007</v>
      </c>
      <c r="G1793" s="201">
        <v>9.9</v>
      </c>
    </row>
    <row r="1794" spans="4:7" ht="30">
      <c r="D1794" s="200" t="s">
        <v>2679</v>
      </c>
      <c r="E1794" s="10">
        <v>49453</v>
      </c>
      <c r="F1794" s="201">
        <v>-9.8000000000000007</v>
      </c>
      <c r="G1794" s="201">
        <v>9.6999999999999993</v>
      </c>
    </row>
    <row r="1795" spans="4:7">
      <c r="D1795" s="200" t="s">
        <v>2680</v>
      </c>
      <c r="E1795" s="10">
        <v>49457</v>
      </c>
      <c r="F1795" s="201">
        <v>-9.8000000000000007</v>
      </c>
      <c r="G1795" s="201">
        <v>9.8000000000000007</v>
      </c>
    </row>
    <row r="1796" spans="4:7">
      <c r="D1796" s="200" t="s">
        <v>2681</v>
      </c>
      <c r="E1796" s="10">
        <v>51545</v>
      </c>
      <c r="F1796" s="201">
        <v>-9.8000000000000007</v>
      </c>
      <c r="G1796" s="201">
        <v>9.4</v>
      </c>
    </row>
    <row r="1797" spans="4:7">
      <c r="D1797" s="200" t="s">
        <v>2682</v>
      </c>
      <c r="E1797" s="10">
        <v>51598</v>
      </c>
      <c r="F1797" s="201">
        <v>-9.8000000000000007</v>
      </c>
      <c r="G1797" s="201">
        <v>9.4</v>
      </c>
    </row>
    <row r="1798" spans="4:7" ht="30">
      <c r="D1798" s="200" t="s">
        <v>2683</v>
      </c>
      <c r="E1798" s="10">
        <v>53506</v>
      </c>
      <c r="F1798" s="201">
        <v>-9.8000000000000007</v>
      </c>
      <c r="G1798" s="201">
        <v>9.6999999999999993</v>
      </c>
    </row>
    <row r="1799" spans="4:7">
      <c r="D1799" s="200" t="s">
        <v>2684</v>
      </c>
      <c r="E1799" s="10">
        <v>53560</v>
      </c>
      <c r="F1799" s="201">
        <v>-9.8000000000000007</v>
      </c>
      <c r="G1799" s="201">
        <v>9.4</v>
      </c>
    </row>
    <row r="1800" spans="4:7">
      <c r="D1800" s="200" t="s">
        <v>2685</v>
      </c>
      <c r="E1800" s="10">
        <v>53562</v>
      </c>
      <c r="F1800" s="201">
        <v>-9.8000000000000007</v>
      </c>
      <c r="G1800" s="201">
        <v>9.5</v>
      </c>
    </row>
    <row r="1801" spans="4:7">
      <c r="D1801" s="200" t="s">
        <v>2686</v>
      </c>
      <c r="E1801" s="10">
        <v>54298</v>
      </c>
      <c r="F1801" s="201">
        <v>-9.8000000000000007</v>
      </c>
      <c r="G1801" s="201">
        <v>9.5</v>
      </c>
    </row>
    <row r="1802" spans="4:7">
      <c r="D1802" s="200" t="s">
        <v>2687</v>
      </c>
      <c r="E1802" s="10">
        <v>54309</v>
      </c>
      <c r="F1802" s="201">
        <v>-9.8000000000000007</v>
      </c>
      <c r="G1802" s="201">
        <v>9.4</v>
      </c>
    </row>
    <row r="1803" spans="4:7">
      <c r="D1803" s="200" t="s">
        <v>2688</v>
      </c>
      <c r="E1803" s="10">
        <v>54314</v>
      </c>
      <c r="F1803" s="201">
        <v>-9.8000000000000007</v>
      </c>
      <c r="G1803" s="201">
        <v>9.5</v>
      </c>
    </row>
    <row r="1804" spans="4:7">
      <c r="D1804" s="200" t="s">
        <v>2689</v>
      </c>
      <c r="E1804" s="10">
        <v>54439</v>
      </c>
      <c r="F1804" s="201">
        <v>-9.8000000000000007</v>
      </c>
      <c r="G1804" s="201">
        <v>9.4</v>
      </c>
    </row>
    <row r="1805" spans="4:7">
      <c r="D1805" s="200" t="s">
        <v>2690</v>
      </c>
      <c r="E1805" s="10">
        <v>54450</v>
      </c>
      <c r="F1805" s="201">
        <v>-9.8000000000000007</v>
      </c>
      <c r="G1805" s="201">
        <v>9.5</v>
      </c>
    </row>
    <row r="1806" spans="4:7">
      <c r="D1806" s="200" t="s">
        <v>2691</v>
      </c>
      <c r="E1806" s="10">
        <v>54647</v>
      </c>
      <c r="F1806" s="201">
        <v>-9.8000000000000007</v>
      </c>
      <c r="G1806" s="201">
        <v>9.8000000000000007</v>
      </c>
    </row>
    <row r="1807" spans="4:7">
      <c r="D1807" s="200" t="s">
        <v>2692</v>
      </c>
      <c r="E1807" s="10">
        <v>54657</v>
      </c>
      <c r="F1807" s="201">
        <v>-9.8000000000000007</v>
      </c>
      <c r="G1807" s="201">
        <v>9.6</v>
      </c>
    </row>
    <row r="1808" spans="4:7">
      <c r="D1808" s="200" t="s">
        <v>2693</v>
      </c>
      <c r="E1808" s="10">
        <v>54662</v>
      </c>
      <c r="F1808" s="201">
        <v>-9.8000000000000007</v>
      </c>
      <c r="G1808" s="201">
        <v>9.6</v>
      </c>
    </row>
    <row r="1809" spans="4:7">
      <c r="D1809" s="200" t="s">
        <v>1851</v>
      </c>
      <c r="E1809" s="10">
        <v>55126</v>
      </c>
      <c r="F1809" s="201">
        <v>-9.8000000000000007</v>
      </c>
      <c r="G1809" s="201">
        <v>10.4</v>
      </c>
    </row>
    <row r="1810" spans="4:7">
      <c r="D1810" s="200" t="s">
        <v>2694</v>
      </c>
      <c r="E1810" s="10">
        <v>55257</v>
      </c>
      <c r="F1810" s="201">
        <v>-9.8000000000000007</v>
      </c>
      <c r="G1810" s="201">
        <v>10.7</v>
      </c>
    </row>
    <row r="1811" spans="4:7">
      <c r="D1811" s="200" t="s">
        <v>2695</v>
      </c>
      <c r="E1811" s="10">
        <v>55262</v>
      </c>
      <c r="F1811" s="201">
        <v>-9.8000000000000007</v>
      </c>
      <c r="G1811" s="201">
        <v>10.8</v>
      </c>
    </row>
    <row r="1812" spans="4:7">
      <c r="D1812" s="200" t="s">
        <v>2696</v>
      </c>
      <c r="E1812" s="10">
        <v>55268</v>
      </c>
      <c r="F1812" s="201">
        <v>-9.8000000000000007</v>
      </c>
      <c r="G1812" s="201">
        <v>10.7</v>
      </c>
    </row>
    <row r="1813" spans="4:7">
      <c r="D1813" s="200" t="s">
        <v>2697</v>
      </c>
      <c r="E1813" s="10">
        <v>55294</v>
      </c>
      <c r="F1813" s="201">
        <v>-9.8000000000000007</v>
      </c>
      <c r="G1813" s="201">
        <v>10.8</v>
      </c>
    </row>
    <row r="1814" spans="4:7">
      <c r="D1814" s="200" t="s">
        <v>2698</v>
      </c>
      <c r="E1814" s="10">
        <v>55571</v>
      </c>
      <c r="F1814" s="201">
        <v>-9.8000000000000007</v>
      </c>
      <c r="G1814" s="201">
        <v>9.9</v>
      </c>
    </row>
    <row r="1815" spans="4:7">
      <c r="D1815" s="200" t="s">
        <v>2699</v>
      </c>
      <c r="E1815" s="10">
        <v>55596</v>
      </c>
      <c r="F1815" s="201">
        <v>-9.8000000000000007</v>
      </c>
      <c r="G1815" s="201">
        <v>10</v>
      </c>
    </row>
    <row r="1816" spans="4:7">
      <c r="D1816" s="200" t="s">
        <v>2700</v>
      </c>
      <c r="E1816" s="10">
        <v>56206</v>
      </c>
      <c r="F1816" s="201">
        <v>-9.8000000000000007</v>
      </c>
      <c r="G1816" s="201">
        <v>9.6999999999999993</v>
      </c>
    </row>
    <row r="1817" spans="4:7">
      <c r="D1817" s="200" t="s">
        <v>2701</v>
      </c>
      <c r="E1817" s="10">
        <v>56341</v>
      </c>
      <c r="F1817" s="201">
        <v>-9.8000000000000007</v>
      </c>
      <c r="G1817" s="201">
        <v>9.8000000000000007</v>
      </c>
    </row>
    <row r="1818" spans="4:7">
      <c r="D1818" s="200" t="s">
        <v>2702</v>
      </c>
      <c r="E1818" s="10">
        <v>56355</v>
      </c>
      <c r="F1818" s="201">
        <v>-9.8000000000000007</v>
      </c>
      <c r="G1818" s="201">
        <v>9.6999999999999993</v>
      </c>
    </row>
    <row r="1819" spans="4:7">
      <c r="D1819" s="200" t="s">
        <v>2703</v>
      </c>
      <c r="E1819" s="10">
        <v>56410</v>
      </c>
      <c r="F1819" s="201">
        <v>-9.8000000000000007</v>
      </c>
      <c r="G1819" s="201">
        <v>9.6999999999999993</v>
      </c>
    </row>
    <row r="1820" spans="4:7" ht="30">
      <c r="D1820" s="200" t="s">
        <v>2704</v>
      </c>
      <c r="E1820" s="10">
        <v>56412</v>
      </c>
      <c r="F1820" s="201">
        <v>-9.8000000000000007</v>
      </c>
      <c r="G1820" s="201">
        <v>9.8000000000000007</v>
      </c>
    </row>
    <row r="1821" spans="4:7">
      <c r="D1821" s="200" t="s">
        <v>2705</v>
      </c>
      <c r="E1821" s="10">
        <v>56422</v>
      </c>
      <c r="F1821" s="201">
        <v>-9.8000000000000007</v>
      </c>
      <c r="G1821" s="201">
        <v>9.6999999999999993</v>
      </c>
    </row>
    <row r="1822" spans="4:7">
      <c r="D1822" s="200" t="s">
        <v>2706</v>
      </c>
      <c r="E1822" s="10">
        <v>56424</v>
      </c>
      <c r="F1822" s="201">
        <v>-9.8000000000000007</v>
      </c>
      <c r="G1822" s="201">
        <v>9.8000000000000007</v>
      </c>
    </row>
    <row r="1823" spans="4:7">
      <c r="D1823" s="200" t="s">
        <v>2707</v>
      </c>
      <c r="E1823" s="10">
        <v>56427</v>
      </c>
      <c r="F1823" s="201">
        <v>-9.8000000000000007</v>
      </c>
      <c r="G1823" s="201">
        <v>9.6999999999999993</v>
      </c>
    </row>
    <row r="1824" spans="4:7">
      <c r="D1824" s="200" t="s">
        <v>2708</v>
      </c>
      <c r="E1824" s="10">
        <v>56653</v>
      </c>
      <c r="F1824" s="201">
        <v>-9.8000000000000007</v>
      </c>
      <c r="G1824" s="201">
        <v>9.6</v>
      </c>
    </row>
    <row r="1825" spans="4:7">
      <c r="D1825" s="200" t="s">
        <v>2709</v>
      </c>
      <c r="E1825" s="10">
        <v>56829</v>
      </c>
      <c r="F1825" s="201">
        <v>-9.8000000000000007</v>
      </c>
      <c r="G1825" s="201">
        <v>9.6999999999999993</v>
      </c>
    </row>
    <row r="1826" spans="4:7">
      <c r="D1826" s="200" t="s">
        <v>2520</v>
      </c>
      <c r="E1826" s="10">
        <v>57290</v>
      </c>
      <c r="F1826" s="201">
        <v>-9.8000000000000007</v>
      </c>
      <c r="G1826" s="201">
        <v>9.6</v>
      </c>
    </row>
    <row r="1827" spans="4:7">
      <c r="D1827" s="200" t="s">
        <v>2710</v>
      </c>
      <c r="E1827" s="10">
        <v>57439</v>
      </c>
      <c r="F1827" s="201">
        <v>-9.8000000000000007</v>
      </c>
      <c r="G1827" s="201">
        <v>9.4</v>
      </c>
    </row>
    <row r="1828" spans="4:7">
      <c r="D1828" s="200" t="s">
        <v>2711</v>
      </c>
      <c r="E1828" s="10">
        <v>57548</v>
      </c>
      <c r="F1828" s="201">
        <v>-9.8000000000000007</v>
      </c>
      <c r="G1828" s="201">
        <v>9.4</v>
      </c>
    </row>
    <row r="1829" spans="4:7">
      <c r="D1829" s="200" t="s">
        <v>2712</v>
      </c>
      <c r="E1829" s="10">
        <v>57587</v>
      </c>
      <c r="F1829" s="201">
        <v>-9.8000000000000007</v>
      </c>
      <c r="G1829" s="201">
        <v>9.5</v>
      </c>
    </row>
    <row r="1830" spans="4:7">
      <c r="D1830" s="200" t="s">
        <v>2598</v>
      </c>
      <c r="E1830" s="10">
        <v>58511</v>
      </c>
      <c r="F1830" s="201">
        <v>-9.8000000000000007</v>
      </c>
      <c r="G1830" s="201">
        <v>8.9</v>
      </c>
    </row>
    <row r="1831" spans="4:7">
      <c r="D1831" s="200" t="s">
        <v>2713</v>
      </c>
      <c r="E1831" s="10">
        <v>58730</v>
      </c>
      <c r="F1831" s="201">
        <v>-9.8000000000000007</v>
      </c>
      <c r="G1831" s="201">
        <v>9.6999999999999993</v>
      </c>
    </row>
    <row r="1832" spans="4:7">
      <c r="D1832" s="200" t="s">
        <v>2714</v>
      </c>
      <c r="E1832" s="10">
        <v>59269</v>
      </c>
      <c r="F1832" s="201">
        <v>-9.8000000000000007</v>
      </c>
      <c r="G1832" s="201">
        <v>10.1</v>
      </c>
    </row>
    <row r="1833" spans="4:7">
      <c r="D1833" s="200" t="s">
        <v>2303</v>
      </c>
      <c r="E1833" s="10">
        <v>59558</v>
      </c>
      <c r="F1833" s="201">
        <v>-9.8000000000000007</v>
      </c>
      <c r="G1833" s="201">
        <v>10.199999999999999</v>
      </c>
    </row>
    <row r="1834" spans="4:7">
      <c r="D1834" s="200" t="s">
        <v>1771</v>
      </c>
      <c r="E1834" s="10">
        <v>60389</v>
      </c>
      <c r="F1834" s="201">
        <v>-9.8000000000000007</v>
      </c>
      <c r="G1834" s="201">
        <v>10.7</v>
      </c>
    </row>
    <row r="1835" spans="4:7">
      <c r="D1835" s="200" t="s">
        <v>1771</v>
      </c>
      <c r="E1835" s="10">
        <v>60528</v>
      </c>
      <c r="F1835" s="201">
        <v>-9.8000000000000007</v>
      </c>
      <c r="G1835" s="201">
        <v>10.8</v>
      </c>
    </row>
    <row r="1836" spans="4:7">
      <c r="D1836" s="200" t="s">
        <v>1771</v>
      </c>
      <c r="E1836" s="10">
        <v>60529</v>
      </c>
      <c r="F1836" s="201">
        <v>-9.8000000000000007</v>
      </c>
      <c r="G1836" s="201">
        <v>10.8</v>
      </c>
    </row>
    <row r="1837" spans="4:7">
      <c r="D1837" s="200" t="s">
        <v>2715</v>
      </c>
      <c r="E1837" s="10">
        <v>61348</v>
      </c>
      <c r="F1837" s="201">
        <v>-9.8000000000000007</v>
      </c>
      <c r="G1837" s="201">
        <v>10.4</v>
      </c>
    </row>
    <row r="1838" spans="4:7">
      <c r="D1838" s="200" t="s">
        <v>2716</v>
      </c>
      <c r="E1838" s="10">
        <v>63225</v>
      </c>
      <c r="F1838" s="201">
        <v>-9.8000000000000007</v>
      </c>
      <c r="G1838" s="201">
        <v>10.8</v>
      </c>
    </row>
    <row r="1839" spans="4:7">
      <c r="D1839" s="200" t="s">
        <v>2717</v>
      </c>
      <c r="E1839" s="10">
        <v>63263</v>
      </c>
      <c r="F1839" s="201">
        <v>-9.8000000000000007</v>
      </c>
      <c r="G1839" s="201">
        <v>10.8</v>
      </c>
    </row>
    <row r="1840" spans="4:7">
      <c r="D1840" s="200" t="s">
        <v>2718</v>
      </c>
      <c r="E1840" s="10">
        <v>63329</v>
      </c>
      <c r="F1840" s="201">
        <v>-9.8000000000000007</v>
      </c>
      <c r="G1840" s="201">
        <v>10.8</v>
      </c>
    </row>
    <row r="1841" spans="4:7">
      <c r="D1841" s="200" t="s">
        <v>2719</v>
      </c>
      <c r="E1841" s="10">
        <v>63741</v>
      </c>
      <c r="F1841" s="201">
        <v>-9.8000000000000007</v>
      </c>
      <c r="G1841" s="201">
        <v>11</v>
      </c>
    </row>
    <row r="1842" spans="4:7">
      <c r="D1842" s="200" t="s">
        <v>1994</v>
      </c>
      <c r="E1842" s="10">
        <v>64285</v>
      </c>
      <c r="F1842" s="201">
        <v>-9.8000000000000007</v>
      </c>
      <c r="G1842" s="201">
        <v>10.8</v>
      </c>
    </row>
    <row r="1843" spans="4:7">
      <c r="D1843" s="200" t="s">
        <v>2720</v>
      </c>
      <c r="E1843" s="10">
        <v>64331</v>
      </c>
      <c r="F1843" s="201">
        <v>-9.8000000000000007</v>
      </c>
      <c r="G1843" s="201">
        <v>10.9</v>
      </c>
    </row>
    <row r="1844" spans="4:7">
      <c r="D1844" s="200" t="s">
        <v>2721</v>
      </c>
      <c r="E1844" s="10">
        <v>64390</v>
      </c>
      <c r="F1844" s="201">
        <v>-9.8000000000000007</v>
      </c>
      <c r="G1844" s="201">
        <v>10.8</v>
      </c>
    </row>
    <row r="1845" spans="4:7">
      <c r="D1845" s="200" t="s">
        <v>1786</v>
      </c>
      <c r="E1845" s="10">
        <v>65205</v>
      </c>
      <c r="F1845" s="201">
        <v>-9.8000000000000007</v>
      </c>
      <c r="G1845" s="201">
        <v>10.6</v>
      </c>
    </row>
    <row r="1846" spans="4:7">
      <c r="D1846" s="200" t="s">
        <v>2722</v>
      </c>
      <c r="E1846" s="10">
        <v>65239</v>
      </c>
      <c r="F1846" s="201">
        <v>-9.8000000000000007</v>
      </c>
      <c r="G1846" s="201">
        <v>10.7</v>
      </c>
    </row>
    <row r="1847" spans="4:7">
      <c r="D1847" s="200" t="s">
        <v>2723</v>
      </c>
      <c r="E1847" s="10">
        <v>65396</v>
      </c>
      <c r="F1847" s="201">
        <v>-9.8000000000000007</v>
      </c>
      <c r="G1847" s="201">
        <v>10.7</v>
      </c>
    </row>
    <row r="1848" spans="4:7">
      <c r="D1848" s="200" t="s">
        <v>2724</v>
      </c>
      <c r="E1848" s="10">
        <v>65439</v>
      </c>
      <c r="F1848" s="201">
        <v>-9.8000000000000007</v>
      </c>
      <c r="G1848" s="201">
        <v>10.7</v>
      </c>
    </row>
    <row r="1849" spans="4:7">
      <c r="D1849" s="200" t="s">
        <v>2725</v>
      </c>
      <c r="E1849" s="10">
        <v>65479</v>
      </c>
      <c r="F1849" s="201">
        <v>-9.8000000000000007</v>
      </c>
      <c r="G1849" s="201">
        <v>10.9</v>
      </c>
    </row>
    <row r="1850" spans="4:7">
      <c r="D1850" s="200" t="s">
        <v>2726</v>
      </c>
      <c r="E1850" s="10">
        <v>65623</v>
      </c>
      <c r="F1850" s="201">
        <v>-9.8000000000000007</v>
      </c>
      <c r="G1850" s="201">
        <v>9.9</v>
      </c>
    </row>
    <row r="1851" spans="4:7">
      <c r="D1851" s="200" t="s">
        <v>2727</v>
      </c>
      <c r="E1851" s="10">
        <v>65624</v>
      </c>
      <c r="F1851" s="201">
        <v>-9.8000000000000007</v>
      </c>
      <c r="G1851" s="201">
        <v>9.9</v>
      </c>
    </row>
    <row r="1852" spans="4:7">
      <c r="D1852" s="200" t="s">
        <v>2728</v>
      </c>
      <c r="E1852" s="10">
        <v>65629</v>
      </c>
      <c r="F1852" s="201">
        <v>-9.8000000000000007</v>
      </c>
      <c r="G1852" s="201">
        <v>10.1</v>
      </c>
    </row>
    <row r="1853" spans="4:7">
      <c r="D1853" s="200" t="s">
        <v>2729</v>
      </c>
      <c r="E1853" s="10">
        <v>65795</v>
      </c>
      <c r="F1853" s="201">
        <v>-9.8000000000000007</v>
      </c>
      <c r="G1853" s="201">
        <v>10.8</v>
      </c>
    </row>
    <row r="1854" spans="4:7">
      <c r="D1854" s="200" t="s">
        <v>2730</v>
      </c>
      <c r="E1854" s="10">
        <v>65835</v>
      </c>
      <c r="F1854" s="201">
        <v>-9.8000000000000007</v>
      </c>
      <c r="G1854" s="201">
        <v>10.6</v>
      </c>
    </row>
    <row r="1855" spans="4:7">
      <c r="D1855" s="200" t="s">
        <v>1814</v>
      </c>
      <c r="E1855" s="10">
        <v>66119</v>
      </c>
      <c r="F1855" s="201">
        <v>-9.8000000000000007</v>
      </c>
      <c r="G1855" s="201">
        <v>10</v>
      </c>
    </row>
    <row r="1856" spans="4:7">
      <c r="D1856" s="200" t="s">
        <v>2731</v>
      </c>
      <c r="E1856" s="10">
        <v>66459</v>
      </c>
      <c r="F1856" s="201">
        <v>-9.8000000000000007</v>
      </c>
      <c r="G1856" s="201">
        <v>9.9</v>
      </c>
    </row>
    <row r="1857" spans="4:7">
      <c r="D1857" s="200" t="s">
        <v>2732</v>
      </c>
      <c r="E1857" s="10">
        <v>66503</v>
      </c>
      <c r="F1857" s="201">
        <v>-9.8000000000000007</v>
      </c>
      <c r="G1857" s="201">
        <v>10.1</v>
      </c>
    </row>
    <row r="1858" spans="4:7">
      <c r="D1858" s="200" t="s">
        <v>2520</v>
      </c>
      <c r="E1858" s="10">
        <v>66539</v>
      </c>
      <c r="F1858" s="201">
        <v>-9.8000000000000007</v>
      </c>
      <c r="G1858" s="201">
        <v>10</v>
      </c>
    </row>
    <row r="1859" spans="4:7">
      <c r="D1859" s="200" t="s">
        <v>2733</v>
      </c>
      <c r="E1859" s="10">
        <v>66557</v>
      </c>
      <c r="F1859" s="201">
        <v>-9.8000000000000007</v>
      </c>
      <c r="G1859" s="201">
        <v>9.9</v>
      </c>
    </row>
    <row r="1860" spans="4:7">
      <c r="D1860" s="200" t="s">
        <v>2734</v>
      </c>
      <c r="E1860" s="10">
        <v>66571</v>
      </c>
      <c r="F1860" s="201">
        <v>-9.8000000000000007</v>
      </c>
      <c r="G1860" s="201">
        <v>9.8000000000000007</v>
      </c>
    </row>
    <row r="1861" spans="4:7">
      <c r="D1861" s="200" t="s">
        <v>2735</v>
      </c>
      <c r="E1861" s="10">
        <v>66578</v>
      </c>
      <c r="F1861" s="201">
        <v>-9.8000000000000007</v>
      </c>
      <c r="G1861" s="201">
        <v>9.9</v>
      </c>
    </row>
    <row r="1862" spans="4:7">
      <c r="D1862" s="200" t="s">
        <v>2736</v>
      </c>
      <c r="E1862" s="10">
        <v>66636</v>
      </c>
      <c r="F1862" s="201">
        <v>-9.8000000000000007</v>
      </c>
      <c r="G1862" s="201">
        <v>9.6999999999999993</v>
      </c>
    </row>
    <row r="1863" spans="4:7">
      <c r="D1863" s="200" t="s">
        <v>2737</v>
      </c>
      <c r="E1863" s="10">
        <v>66709</v>
      </c>
      <c r="F1863" s="201">
        <v>-9.8000000000000007</v>
      </c>
      <c r="G1863" s="201">
        <v>9.6999999999999993</v>
      </c>
    </row>
    <row r="1864" spans="4:7">
      <c r="D1864" s="200" t="s">
        <v>2738</v>
      </c>
      <c r="E1864" s="10">
        <v>66862</v>
      </c>
      <c r="F1864" s="201">
        <v>-9.8000000000000007</v>
      </c>
      <c r="G1864" s="201">
        <v>10.1</v>
      </c>
    </row>
    <row r="1865" spans="4:7">
      <c r="D1865" s="200" t="s">
        <v>2739</v>
      </c>
      <c r="E1865" s="10">
        <v>66877</v>
      </c>
      <c r="F1865" s="201">
        <v>-9.8000000000000007</v>
      </c>
      <c r="G1865" s="201">
        <v>10.1</v>
      </c>
    </row>
    <row r="1866" spans="4:7">
      <c r="D1866" s="200" t="s">
        <v>2740</v>
      </c>
      <c r="E1866" s="10">
        <v>66901</v>
      </c>
      <c r="F1866" s="201">
        <v>-9.8000000000000007</v>
      </c>
      <c r="G1866" s="201">
        <v>10</v>
      </c>
    </row>
    <row r="1867" spans="4:7">
      <c r="D1867" s="200" t="s">
        <v>2741</v>
      </c>
      <c r="E1867" s="10">
        <v>66907</v>
      </c>
      <c r="F1867" s="201">
        <v>-9.8000000000000007</v>
      </c>
      <c r="G1867" s="201">
        <v>9.9</v>
      </c>
    </row>
    <row r="1868" spans="4:7">
      <c r="D1868" s="200" t="s">
        <v>2742</v>
      </c>
      <c r="E1868" s="10">
        <v>66987</v>
      </c>
      <c r="F1868" s="201">
        <v>-9.8000000000000007</v>
      </c>
      <c r="G1868" s="201">
        <v>10.1</v>
      </c>
    </row>
    <row r="1869" spans="4:7">
      <c r="D1869" s="200" t="s">
        <v>2743</v>
      </c>
      <c r="E1869" s="10">
        <v>66994</v>
      </c>
      <c r="F1869" s="201">
        <v>-9.8000000000000007</v>
      </c>
      <c r="G1869" s="201">
        <v>10.199999999999999</v>
      </c>
    </row>
    <row r="1870" spans="4:7">
      <c r="D1870" s="200" t="s">
        <v>2744</v>
      </c>
      <c r="E1870" s="10">
        <v>67146</v>
      </c>
      <c r="F1870" s="201">
        <v>-9.8000000000000007</v>
      </c>
      <c r="G1870" s="201">
        <v>10.7</v>
      </c>
    </row>
    <row r="1871" spans="4:7">
      <c r="D1871" s="200" t="s">
        <v>2745</v>
      </c>
      <c r="E1871" s="10">
        <v>67152</v>
      </c>
      <c r="F1871" s="201">
        <v>-9.8000000000000007</v>
      </c>
      <c r="G1871" s="201">
        <v>10.8</v>
      </c>
    </row>
    <row r="1872" spans="4:7">
      <c r="D1872" s="200" t="s">
        <v>2746</v>
      </c>
      <c r="E1872" s="10">
        <v>67281</v>
      </c>
      <c r="F1872" s="201">
        <v>-9.8000000000000007</v>
      </c>
      <c r="G1872" s="201">
        <v>10.7</v>
      </c>
    </row>
    <row r="1873" spans="4:7">
      <c r="D1873" s="200" t="s">
        <v>2747</v>
      </c>
      <c r="E1873" s="10">
        <v>67361</v>
      </c>
      <c r="F1873" s="201">
        <v>-9.8000000000000007</v>
      </c>
      <c r="G1873" s="201">
        <v>10.9</v>
      </c>
    </row>
    <row r="1874" spans="4:7">
      <c r="D1874" s="200" t="s">
        <v>2748</v>
      </c>
      <c r="E1874" s="10">
        <v>67363</v>
      </c>
      <c r="F1874" s="201">
        <v>-9.8000000000000007</v>
      </c>
      <c r="G1874" s="201">
        <v>10.9</v>
      </c>
    </row>
    <row r="1875" spans="4:7">
      <c r="D1875" s="200" t="s">
        <v>2749</v>
      </c>
      <c r="E1875" s="10">
        <v>67366</v>
      </c>
      <c r="F1875" s="201">
        <v>-9.8000000000000007</v>
      </c>
      <c r="G1875" s="201">
        <v>11</v>
      </c>
    </row>
    <row r="1876" spans="4:7">
      <c r="D1876" s="200" t="s">
        <v>2750</v>
      </c>
      <c r="E1876" s="10">
        <v>67378</v>
      </c>
      <c r="F1876" s="201">
        <v>-9.8000000000000007</v>
      </c>
      <c r="G1876" s="201">
        <v>10.9</v>
      </c>
    </row>
    <row r="1877" spans="4:7">
      <c r="D1877" s="200" t="s">
        <v>2619</v>
      </c>
      <c r="E1877" s="10">
        <v>67435</v>
      </c>
      <c r="F1877" s="201">
        <v>-9.8000000000000007</v>
      </c>
      <c r="G1877" s="201">
        <v>11</v>
      </c>
    </row>
    <row r="1878" spans="4:7">
      <c r="D1878" s="200" t="s">
        <v>2751</v>
      </c>
      <c r="E1878" s="10">
        <v>67482</v>
      </c>
      <c r="F1878" s="201">
        <v>-9.8000000000000007</v>
      </c>
      <c r="G1878" s="201">
        <v>10.9</v>
      </c>
    </row>
    <row r="1879" spans="4:7">
      <c r="D1879" s="200" t="s">
        <v>2752</v>
      </c>
      <c r="E1879" s="10">
        <v>67483</v>
      </c>
      <c r="F1879" s="201">
        <v>-9.8000000000000007</v>
      </c>
      <c r="G1879" s="201">
        <v>10.8</v>
      </c>
    </row>
    <row r="1880" spans="4:7">
      <c r="D1880" s="200" t="s">
        <v>2753</v>
      </c>
      <c r="E1880" s="10">
        <v>67731</v>
      </c>
      <c r="F1880" s="201">
        <v>-9.8000000000000007</v>
      </c>
      <c r="G1880" s="201">
        <v>10.1</v>
      </c>
    </row>
    <row r="1881" spans="4:7">
      <c r="D1881" s="200" t="s">
        <v>2754</v>
      </c>
      <c r="E1881" s="10">
        <v>67734</v>
      </c>
      <c r="F1881" s="201">
        <v>-9.8000000000000007</v>
      </c>
      <c r="G1881" s="201">
        <v>10.1</v>
      </c>
    </row>
    <row r="1882" spans="4:7">
      <c r="D1882" s="200" t="s">
        <v>2755</v>
      </c>
      <c r="E1882" s="10">
        <v>67748</v>
      </c>
      <c r="F1882" s="201">
        <v>-9.8000000000000007</v>
      </c>
      <c r="G1882" s="201">
        <v>10.199999999999999</v>
      </c>
    </row>
    <row r="1883" spans="4:7">
      <c r="D1883" s="200" t="s">
        <v>2756</v>
      </c>
      <c r="E1883" s="10">
        <v>67749</v>
      </c>
      <c r="F1883" s="201">
        <v>-9.8000000000000007</v>
      </c>
      <c r="G1883" s="201">
        <v>9.9</v>
      </c>
    </row>
    <row r="1884" spans="4:7">
      <c r="D1884" s="200" t="s">
        <v>2757</v>
      </c>
      <c r="E1884" s="10">
        <v>67806</v>
      </c>
      <c r="F1884" s="201">
        <v>-9.8000000000000007</v>
      </c>
      <c r="G1884" s="201">
        <v>10.1</v>
      </c>
    </row>
    <row r="1885" spans="4:7">
      <c r="D1885" s="200" t="s">
        <v>2758</v>
      </c>
      <c r="E1885" s="10">
        <v>67823</v>
      </c>
      <c r="F1885" s="201">
        <v>-9.8000000000000007</v>
      </c>
      <c r="G1885" s="201">
        <v>10</v>
      </c>
    </row>
    <row r="1886" spans="4:7">
      <c r="D1886" s="200" t="s">
        <v>2307</v>
      </c>
      <c r="E1886" s="10">
        <v>70190</v>
      </c>
      <c r="F1886" s="201">
        <v>-9.8000000000000007</v>
      </c>
      <c r="G1886" s="201">
        <v>11.1</v>
      </c>
    </row>
    <row r="1887" spans="4:7">
      <c r="D1887" s="200" t="s">
        <v>2307</v>
      </c>
      <c r="E1887" s="10">
        <v>70372</v>
      </c>
      <c r="F1887" s="201">
        <v>-9.8000000000000007</v>
      </c>
      <c r="G1887" s="201">
        <v>11.1</v>
      </c>
    </row>
    <row r="1888" spans="4:7">
      <c r="D1888" s="200" t="s">
        <v>2308</v>
      </c>
      <c r="E1888" s="10">
        <v>76149</v>
      </c>
      <c r="F1888" s="201">
        <v>-9.8000000000000007</v>
      </c>
      <c r="G1888" s="201">
        <v>11.2</v>
      </c>
    </row>
    <row r="1889" spans="4:7">
      <c r="D1889" s="200" t="s">
        <v>2759</v>
      </c>
      <c r="E1889" s="10">
        <v>77716</v>
      </c>
      <c r="F1889" s="201">
        <v>-9.8000000000000007</v>
      </c>
      <c r="G1889" s="201">
        <v>10.6</v>
      </c>
    </row>
    <row r="1890" spans="4:7">
      <c r="D1890" s="200" t="s">
        <v>2760</v>
      </c>
      <c r="E1890" s="10">
        <v>77723</v>
      </c>
      <c r="F1890" s="201">
        <v>-9.8000000000000007</v>
      </c>
      <c r="G1890" s="201">
        <v>10.6</v>
      </c>
    </row>
    <row r="1891" spans="4:7">
      <c r="D1891" s="200" t="s">
        <v>2761</v>
      </c>
      <c r="E1891" s="10">
        <v>77797</v>
      </c>
      <c r="F1891" s="201">
        <v>-9.8000000000000007</v>
      </c>
      <c r="G1891" s="201">
        <v>10.6</v>
      </c>
    </row>
    <row r="1892" spans="4:7">
      <c r="D1892" s="200" t="s">
        <v>2762</v>
      </c>
      <c r="E1892" s="10">
        <v>77839</v>
      </c>
      <c r="F1892" s="201">
        <v>-9.8000000000000007</v>
      </c>
      <c r="G1892" s="201">
        <v>11</v>
      </c>
    </row>
    <row r="1893" spans="4:7">
      <c r="D1893" s="200" t="s">
        <v>2763</v>
      </c>
      <c r="E1893" s="10">
        <v>77960</v>
      </c>
      <c r="F1893" s="201">
        <v>-9.8000000000000007</v>
      </c>
      <c r="G1893" s="201">
        <v>10.7</v>
      </c>
    </row>
    <row r="1894" spans="4:7">
      <c r="D1894" s="200" t="s">
        <v>2764</v>
      </c>
      <c r="E1894" s="10">
        <v>78224</v>
      </c>
      <c r="F1894" s="201">
        <v>-9.8000000000000007</v>
      </c>
      <c r="G1894" s="201">
        <v>9.9</v>
      </c>
    </row>
    <row r="1895" spans="4:7">
      <c r="D1895" s="200" t="s">
        <v>2765</v>
      </c>
      <c r="E1895" s="10">
        <v>78256</v>
      </c>
      <c r="F1895" s="201">
        <v>-9.8000000000000007</v>
      </c>
      <c r="G1895" s="201">
        <v>9.6999999999999993</v>
      </c>
    </row>
    <row r="1896" spans="4:7">
      <c r="D1896" s="200" t="s">
        <v>2766</v>
      </c>
      <c r="E1896" s="10">
        <v>78343</v>
      </c>
      <c r="F1896" s="201">
        <v>-9.8000000000000007</v>
      </c>
      <c r="G1896" s="201">
        <v>9.6999999999999993</v>
      </c>
    </row>
    <row r="1897" spans="4:7">
      <c r="D1897" s="200" t="s">
        <v>2767</v>
      </c>
      <c r="E1897" s="10">
        <v>78359</v>
      </c>
      <c r="F1897" s="201">
        <v>-9.8000000000000007</v>
      </c>
      <c r="G1897" s="201">
        <v>9.6999999999999993</v>
      </c>
    </row>
    <row r="1898" spans="4:7">
      <c r="D1898" s="200" t="s">
        <v>2147</v>
      </c>
      <c r="E1898" s="10">
        <v>78465</v>
      </c>
      <c r="F1898" s="201">
        <v>-9.8000000000000007</v>
      </c>
      <c r="G1898" s="201">
        <v>9.6</v>
      </c>
    </row>
    <row r="1899" spans="4:7">
      <c r="D1899" s="200" t="s">
        <v>2439</v>
      </c>
      <c r="E1899" s="10">
        <v>79102</v>
      </c>
      <c r="F1899" s="201">
        <v>-9.8000000000000007</v>
      </c>
      <c r="G1899" s="201">
        <v>11.2</v>
      </c>
    </row>
    <row r="1900" spans="4:7">
      <c r="D1900" s="200" t="s">
        <v>2439</v>
      </c>
      <c r="E1900" s="10">
        <v>79111</v>
      </c>
      <c r="F1900" s="201">
        <v>-9.8000000000000007</v>
      </c>
      <c r="G1900" s="201">
        <v>11.3</v>
      </c>
    </row>
    <row r="1901" spans="4:7">
      <c r="D1901" s="200" t="s">
        <v>2768</v>
      </c>
      <c r="E1901" s="10">
        <v>79336</v>
      </c>
      <c r="F1901" s="201">
        <v>-9.8000000000000007</v>
      </c>
      <c r="G1901" s="201">
        <v>10.8</v>
      </c>
    </row>
    <row r="1902" spans="4:7">
      <c r="D1902" s="200" t="s">
        <v>2769</v>
      </c>
      <c r="E1902" s="10">
        <v>79359</v>
      </c>
      <c r="F1902" s="201">
        <v>-9.8000000000000007</v>
      </c>
      <c r="G1902" s="201">
        <v>11</v>
      </c>
    </row>
    <row r="1903" spans="4:7">
      <c r="D1903" s="200" t="s">
        <v>2770</v>
      </c>
      <c r="E1903" s="10">
        <v>79379</v>
      </c>
      <c r="F1903" s="201">
        <v>-9.8000000000000007</v>
      </c>
      <c r="G1903" s="201">
        <v>10.8</v>
      </c>
    </row>
    <row r="1904" spans="4:7">
      <c r="D1904" s="200" t="s">
        <v>2771</v>
      </c>
      <c r="E1904" s="10">
        <v>79771</v>
      </c>
      <c r="F1904" s="201">
        <v>-9.8000000000000007</v>
      </c>
      <c r="G1904" s="201">
        <v>10</v>
      </c>
    </row>
    <row r="1905" spans="4:7">
      <c r="D1905" s="200" t="s">
        <v>2772</v>
      </c>
      <c r="E1905" s="10">
        <v>79798</v>
      </c>
      <c r="F1905" s="201">
        <v>-9.8000000000000007</v>
      </c>
      <c r="G1905" s="201">
        <v>9.8000000000000007</v>
      </c>
    </row>
    <row r="1906" spans="4:7">
      <c r="D1906" s="200" t="s">
        <v>2773</v>
      </c>
      <c r="E1906" s="10">
        <v>79807</v>
      </c>
      <c r="F1906" s="201">
        <v>-9.8000000000000007</v>
      </c>
      <c r="G1906" s="201">
        <v>9.9</v>
      </c>
    </row>
    <row r="1907" spans="4:7">
      <c r="D1907" s="200" t="s">
        <v>2774</v>
      </c>
      <c r="E1907" s="10">
        <v>88131</v>
      </c>
      <c r="F1907" s="201">
        <v>-9.8000000000000007</v>
      </c>
      <c r="G1907" s="201">
        <v>9.6</v>
      </c>
    </row>
    <row r="1908" spans="4:7">
      <c r="D1908" s="200" t="s">
        <v>2775</v>
      </c>
      <c r="E1908" s="10">
        <v>88142</v>
      </c>
      <c r="F1908" s="201">
        <v>-9.8000000000000007</v>
      </c>
      <c r="G1908" s="201">
        <v>9.6999999999999993</v>
      </c>
    </row>
    <row r="1909" spans="4:7">
      <c r="D1909" s="200" t="s">
        <v>2776</v>
      </c>
      <c r="E1909" s="10">
        <v>88149</v>
      </c>
      <c r="F1909" s="201">
        <v>-9.8000000000000007</v>
      </c>
      <c r="G1909" s="201">
        <v>9.6999999999999993</v>
      </c>
    </row>
    <row r="1910" spans="4:7">
      <c r="D1910" s="200" t="s">
        <v>2777</v>
      </c>
      <c r="E1910" s="10">
        <v>88212</v>
      </c>
      <c r="F1910" s="201">
        <v>-9.8000000000000007</v>
      </c>
      <c r="G1910" s="201">
        <v>9.9</v>
      </c>
    </row>
    <row r="1911" spans="4:7">
      <c r="D1911" s="200" t="s">
        <v>2778</v>
      </c>
      <c r="E1911" s="10">
        <v>88699</v>
      </c>
      <c r="F1911" s="201">
        <v>-9.8000000000000007</v>
      </c>
      <c r="G1911" s="201">
        <v>9.6</v>
      </c>
    </row>
    <row r="1912" spans="4:7">
      <c r="D1912" s="200" t="s">
        <v>2779</v>
      </c>
      <c r="E1912" s="10">
        <v>88709</v>
      </c>
      <c r="F1912" s="201">
        <v>-9.8000000000000007</v>
      </c>
      <c r="G1912" s="201">
        <v>9.6</v>
      </c>
    </row>
    <row r="1913" spans="4:7">
      <c r="D1913" s="200" t="s">
        <v>2780</v>
      </c>
      <c r="E1913" s="10">
        <v>18347</v>
      </c>
      <c r="F1913" s="201">
        <v>-9.9</v>
      </c>
      <c r="G1913" s="201">
        <v>9.3000000000000007</v>
      </c>
    </row>
    <row r="1914" spans="4:7">
      <c r="D1914" s="200" t="s">
        <v>1707</v>
      </c>
      <c r="E1914" s="10">
        <v>21109</v>
      </c>
      <c r="F1914" s="201">
        <v>-9.9</v>
      </c>
      <c r="G1914" s="201">
        <v>9.3000000000000007</v>
      </c>
    </row>
    <row r="1915" spans="4:7">
      <c r="D1915" s="200" t="s">
        <v>2781</v>
      </c>
      <c r="E1915" s="10">
        <v>21279</v>
      </c>
      <c r="F1915" s="201">
        <v>-9.9</v>
      </c>
      <c r="G1915" s="201">
        <v>9.1</v>
      </c>
    </row>
    <row r="1916" spans="4:7">
      <c r="D1916" s="200" t="s">
        <v>2782</v>
      </c>
      <c r="E1916" s="10">
        <v>21629</v>
      </c>
      <c r="F1916" s="201">
        <v>-9.9</v>
      </c>
      <c r="G1916" s="201">
        <v>9.1</v>
      </c>
    </row>
    <row r="1917" spans="4:7">
      <c r="D1917" s="200" t="s">
        <v>2543</v>
      </c>
      <c r="E1917" s="10">
        <v>21684</v>
      </c>
      <c r="F1917" s="201">
        <v>-9.9</v>
      </c>
      <c r="G1917" s="201">
        <v>9.1999999999999993</v>
      </c>
    </row>
    <row r="1918" spans="4:7">
      <c r="D1918" s="200" t="s">
        <v>2783</v>
      </c>
      <c r="E1918" s="10">
        <v>21720</v>
      </c>
      <c r="F1918" s="201">
        <v>-9.9</v>
      </c>
      <c r="G1918" s="201">
        <v>9.3000000000000007</v>
      </c>
    </row>
    <row r="1919" spans="4:7">
      <c r="D1919" s="200" t="s">
        <v>2784</v>
      </c>
      <c r="E1919" s="10">
        <v>21789</v>
      </c>
      <c r="F1919" s="201">
        <v>-9.9</v>
      </c>
      <c r="G1919" s="201">
        <v>9.1999999999999993</v>
      </c>
    </row>
    <row r="1920" spans="4:7">
      <c r="D1920" s="200" t="s">
        <v>1707</v>
      </c>
      <c r="E1920" s="10">
        <v>22117</v>
      </c>
      <c r="F1920" s="201">
        <v>-9.9</v>
      </c>
      <c r="G1920" s="201">
        <v>9.5</v>
      </c>
    </row>
    <row r="1921" spans="4:7">
      <c r="D1921" s="200" t="s">
        <v>1707</v>
      </c>
      <c r="E1921" s="10">
        <v>22359</v>
      </c>
      <c r="F1921" s="201">
        <v>-9.9</v>
      </c>
      <c r="G1921" s="201">
        <v>9.3000000000000007</v>
      </c>
    </row>
    <row r="1922" spans="4:7">
      <c r="D1922" s="200" t="s">
        <v>2785</v>
      </c>
      <c r="E1922" s="10">
        <v>23824</v>
      </c>
      <c r="F1922" s="201">
        <v>-9.9</v>
      </c>
      <c r="G1922" s="201">
        <v>8.9</v>
      </c>
    </row>
    <row r="1923" spans="4:7">
      <c r="D1923" s="200" t="s">
        <v>2786</v>
      </c>
      <c r="E1923" s="10">
        <v>24632</v>
      </c>
      <c r="F1923" s="201">
        <v>-9.9</v>
      </c>
      <c r="G1923" s="201">
        <v>9</v>
      </c>
    </row>
    <row r="1924" spans="4:7">
      <c r="D1924" s="200" t="s">
        <v>2787</v>
      </c>
      <c r="E1924" s="10">
        <v>24640</v>
      </c>
      <c r="F1924" s="201">
        <v>-9.9</v>
      </c>
      <c r="G1924" s="201">
        <v>9</v>
      </c>
    </row>
    <row r="1925" spans="4:7">
      <c r="D1925" s="200" t="s">
        <v>2788</v>
      </c>
      <c r="E1925" s="10">
        <v>25335</v>
      </c>
      <c r="F1925" s="201">
        <v>-9.9</v>
      </c>
      <c r="G1925" s="201">
        <v>9.3000000000000007</v>
      </c>
    </row>
    <row r="1926" spans="4:7">
      <c r="D1926" s="200" t="s">
        <v>2788</v>
      </c>
      <c r="E1926" s="10">
        <v>25336</v>
      </c>
      <c r="F1926" s="201">
        <v>-9.9</v>
      </c>
      <c r="G1926" s="201">
        <v>9.1999999999999993</v>
      </c>
    </row>
    <row r="1927" spans="4:7">
      <c r="D1927" s="200" t="s">
        <v>2788</v>
      </c>
      <c r="E1927" s="10">
        <v>25337</v>
      </c>
      <c r="F1927" s="201">
        <v>-9.9</v>
      </c>
      <c r="G1927" s="201">
        <v>9.1999999999999993</v>
      </c>
    </row>
    <row r="1928" spans="4:7">
      <c r="D1928" s="200" t="s">
        <v>2789</v>
      </c>
      <c r="E1928" s="10">
        <v>25355</v>
      </c>
      <c r="F1928" s="201">
        <v>-9.9</v>
      </c>
      <c r="G1928" s="201">
        <v>9.1</v>
      </c>
    </row>
    <row r="1929" spans="4:7">
      <c r="D1929" s="200" t="s">
        <v>2790</v>
      </c>
      <c r="E1929" s="10">
        <v>25358</v>
      </c>
      <c r="F1929" s="201">
        <v>-9.9</v>
      </c>
      <c r="G1929" s="201">
        <v>9.1999999999999993</v>
      </c>
    </row>
    <row r="1930" spans="4:7">
      <c r="D1930" s="200" t="s">
        <v>2791</v>
      </c>
      <c r="E1930" s="10">
        <v>25368</v>
      </c>
      <c r="F1930" s="201">
        <v>-9.9</v>
      </c>
      <c r="G1930" s="201">
        <v>9.3000000000000007</v>
      </c>
    </row>
    <row r="1931" spans="4:7">
      <c r="D1931" s="200" t="s">
        <v>2792</v>
      </c>
      <c r="E1931" s="10">
        <v>25370</v>
      </c>
      <c r="F1931" s="201">
        <v>-9.9</v>
      </c>
      <c r="G1931" s="201">
        <v>9.3000000000000007</v>
      </c>
    </row>
    <row r="1932" spans="4:7">
      <c r="D1932" s="200" t="s">
        <v>2793</v>
      </c>
      <c r="E1932" s="10">
        <v>25373</v>
      </c>
      <c r="F1932" s="201">
        <v>-9.9</v>
      </c>
      <c r="G1932" s="201">
        <v>9.1999999999999993</v>
      </c>
    </row>
    <row r="1933" spans="4:7">
      <c r="D1933" s="200" t="s">
        <v>2794</v>
      </c>
      <c r="E1933" s="10">
        <v>25469</v>
      </c>
      <c r="F1933" s="201">
        <v>-9.9</v>
      </c>
      <c r="G1933" s="201">
        <v>9.1999999999999993</v>
      </c>
    </row>
    <row r="1934" spans="4:7">
      <c r="D1934" s="200" t="s">
        <v>2795</v>
      </c>
      <c r="E1934" s="10">
        <v>25491</v>
      </c>
      <c r="F1934" s="201">
        <v>-9.9</v>
      </c>
      <c r="G1934" s="201">
        <v>9.3000000000000007</v>
      </c>
    </row>
    <row r="1935" spans="4:7">
      <c r="D1935" s="200" t="s">
        <v>2796</v>
      </c>
      <c r="E1935" s="10">
        <v>25495</v>
      </c>
      <c r="F1935" s="201">
        <v>-9.9</v>
      </c>
      <c r="G1935" s="201">
        <v>9.1</v>
      </c>
    </row>
    <row r="1936" spans="4:7">
      <c r="D1936" s="200" t="s">
        <v>2797</v>
      </c>
      <c r="E1936" s="10">
        <v>27232</v>
      </c>
      <c r="F1936" s="201">
        <v>-9.9</v>
      </c>
      <c r="G1936" s="201">
        <v>9.8000000000000007</v>
      </c>
    </row>
    <row r="1937" spans="4:7">
      <c r="D1937" s="200" t="s">
        <v>2798</v>
      </c>
      <c r="E1937" s="10">
        <v>27367</v>
      </c>
      <c r="F1937" s="201">
        <v>-9.9</v>
      </c>
      <c r="G1937" s="201">
        <v>9.4</v>
      </c>
    </row>
    <row r="1938" spans="4:7">
      <c r="D1938" s="200" t="s">
        <v>2799</v>
      </c>
      <c r="E1938" s="10">
        <v>32130</v>
      </c>
      <c r="F1938" s="201">
        <v>-9.9</v>
      </c>
      <c r="G1938" s="201">
        <v>10</v>
      </c>
    </row>
    <row r="1939" spans="4:7">
      <c r="D1939" s="200" t="s">
        <v>2800</v>
      </c>
      <c r="E1939" s="10">
        <v>32139</v>
      </c>
      <c r="F1939" s="201">
        <v>-9.9</v>
      </c>
      <c r="G1939" s="201">
        <v>9.9</v>
      </c>
    </row>
    <row r="1940" spans="4:7">
      <c r="D1940" s="200" t="s">
        <v>2801</v>
      </c>
      <c r="E1940" s="10">
        <v>33333</v>
      </c>
      <c r="F1940" s="201">
        <v>-9.9</v>
      </c>
      <c r="G1940" s="201">
        <v>10.199999999999999</v>
      </c>
    </row>
    <row r="1941" spans="4:7">
      <c r="D1941" s="200" t="s">
        <v>1926</v>
      </c>
      <c r="E1941" s="10">
        <v>33719</v>
      </c>
      <c r="F1941" s="201">
        <v>-9.9</v>
      </c>
      <c r="G1941" s="201">
        <v>9.9</v>
      </c>
    </row>
    <row r="1942" spans="4:7">
      <c r="D1942" s="200" t="s">
        <v>1926</v>
      </c>
      <c r="E1942" s="10">
        <v>33729</v>
      </c>
      <c r="F1942" s="201">
        <v>-9.9</v>
      </c>
      <c r="G1942" s="201">
        <v>9.9</v>
      </c>
    </row>
    <row r="1943" spans="4:7">
      <c r="D1943" s="200" t="s">
        <v>2802</v>
      </c>
      <c r="E1943" s="10">
        <v>48336</v>
      </c>
      <c r="F1943" s="201">
        <v>-9.9</v>
      </c>
      <c r="G1943" s="201">
        <v>10.199999999999999</v>
      </c>
    </row>
    <row r="1944" spans="4:7">
      <c r="D1944" s="200" t="s">
        <v>2803</v>
      </c>
      <c r="E1944" s="10">
        <v>49201</v>
      </c>
      <c r="F1944" s="201">
        <v>-9.9</v>
      </c>
      <c r="G1944" s="201">
        <v>9.8000000000000007</v>
      </c>
    </row>
    <row r="1945" spans="4:7">
      <c r="D1945" s="200" t="s">
        <v>2676</v>
      </c>
      <c r="E1945" s="10">
        <v>49326</v>
      </c>
      <c r="F1945" s="201">
        <v>-9.9</v>
      </c>
      <c r="G1945" s="201">
        <v>9.8000000000000007</v>
      </c>
    </row>
    <row r="1946" spans="4:7">
      <c r="D1946" s="200" t="s">
        <v>2804</v>
      </c>
      <c r="E1946" s="10">
        <v>51688</v>
      </c>
      <c r="F1946" s="201">
        <v>-9.9</v>
      </c>
      <c r="G1946" s="201">
        <v>9.1999999999999993</v>
      </c>
    </row>
    <row r="1947" spans="4:7">
      <c r="D1947" s="200" t="s">
        <v>2805</v>
      </c>
      <c r="E1947" s="10">
        <v>52159</v>
      </c>
      <c r="F1947" s="201">
        <v>-9.9</v>
      </c>
      <c r="G1947" s="201">
        <v>9</v>
      </c>
    </row>
    <row r="1948" spans="4:7">
      <c r="D1948" s="200" t="s">
        <v>2806</v>
      </c>
      <c r="E1948" s="10">
        <v>53426</v>
      </c>
      <c r="F1948" s="201">
        <v>-9.9</v>
      </c>
      <c r="G1948" s="201">
        <v>9.4</v>
      </c>
    </row>
    <row r="1949" spans="4:7">
      <c r="D1949" s="200" t="s">
        <v>2807</v>
      </c>
      <c r="E1949" s="10">
        <v>54534</v>
      </c>
      <c r="F1949" s="201">
        <v>-9.9</v>
      </c>
      <c r="G1949" s="201">
        <v>9.6</v>
      </c>
    </row>
    <row r="1950" spans="4:7">
      <c r="D1950" s="200" t="s">
        <v>2808</v>
      </c>
      <c r="E1950" s="10">
        <v>55435</v>
      </c>
      <c r="F1950" s="201">
        <v>-9.9</v>
      </c>
      <c r="G1950" s="201">
        <v>10.7</v>
      </c>
    </row>
    <row r="1951" spans="4:7">
      <c r="D1951" s="200" t="s">
        <v>2809</v>
      </c>
      <c r="E1951" s="10">
        <v>55450</v>
      </c>
      <c r="F1951" s="201">
        <v>-9.9</v>
      </c>
      <c r="G1951" s="201">
        <v>10.5</v>
      </c>
    </row>
    <row r="1952" spans="4:7">
      <c r="D1952" s="200" t="s">
        <v>2810</v>
      </c>
      <c r="E1952" s="10">
        <v>55559</v>
      </c>
      <c r="F1952" s="201">
        <v>-9.9</v>
      </c>
      <c r="G1952" s="201">
        <v>10.6</v>
      </c>
    </row>
    <row r="1953" spans="4:7">
      <c r="D1953" s="200" t="s">
        <v>2811</v>
      </c>
      <c r="E1953" s="10">
        <v>55585</v>
      </c>
      <c r="F1953" s="201">
        <v>-9.9</v>
      </c>
      <c r="G1953" s="201">
        <v>9.9</v>
      </c>
    </row>
    <row r="1954" spans="4:7">
      <c r="D1954" s="200" t="s">
        <v>2812</v>
      </c>
      <c r="E1954" s="10">
        <v>56237</v>
      </c>
      <c r="F1954" s="201">
        <v>-9.9</v>
      </c>
      <c r="G1954" s="201">
        <v>9.6</v>
      </c>
    </row>
    <row r="1955" spans="4:7">
      <c r="D1955" s="200" t="s">
        <v>2813</v>
      </c>
      <c r="E1955" s="10">
        <v>56651</v>
      </c>
      <c r="F1955" s="201">
        <v>-9.9</v>
      </c>
      <c r="G1955" s="201">
        <v>9.4</v>
      </c>
    </row>
    <row r="1956" spans="4:7">
      <c r="D1956" s="200" t="s">
        <v>2293</v>
      </c>
      <c r="E1956" s="10">
        <v>57074</v>
      </c>
      <c r="F1956" s="201">
        <v>-9.9</v>
      </c>
      <c r="G1956" s="201">
        <v>9.4</v>
      </c>
    </row>
    <row r="1957" spans="4:7">
      <c r="D1957" s="200" t="s">
        <v>2814</v>
      </c>
      <c r="E1957" s="10">
        <v>57518</v>
      </c>
      <c r="F1957" s="201">
        <v>-9.9</v>
      </c>
      <c r="G1957" s="201">
        <v>9.3000000000000007</v>
      </c>
    </row>
    <row r="1958" spans="4:7">
      <c r="D1958" s="200" t="s">
        <v>2815</v>
      </c>
      <c r="E1958" s="10">
        <v>57614</v>
      </c>
      <c r="F1958" s="201">
        <v>-9.9</v>
      </c>
      <c r="G1958" s="201">
        <v>9.4</v>
      </c>
    </row>
    <row r="1959" spans="4:7">
      <c r="D1959" s="200" t="s">
        <v>2816</v>
      </c>
      <c r="E1959" s="10">
        <v>57639</v>
      </c>
      <c r="F1959" s="201">
        <v>-9.9</v>
      </c>
      <c r="G1959" s="201">
        <v>9.4</v>
      </c>
    </row>
    <row r="1960" spans="4:7">
      <c r="D1960" s="200" t="s">
        <v>2817</v>
      </c>
      <c r="E1960" s="10">
        <v>57644</v>
      </c>
      <c r="F1960" s="201">
        <v>-9.9</v>
      </c>
      <c r="G1960" s="201">
        <v>9.4</v>
      </c>
    </row>
    <row r="1961" spans="4:7">
      <c r="D1961" s="200" t="s">
        <v>2598</v>
      </c>
      <c r="E1961" s="10">
        <v>58509</v>
      </c>
      <c r="F1961" s="201">
        <v>-9.9</v>
      </c>
      <c r="G1961" s="201">
        <v>8.8000000000000007</v>
      </c>
    </row>
    <row r="1962" spans="4:7">
      <c r="D1962" s="200" t="s">
        <v>2818</v>
      </c>
      <c r="E1962" s="10">
        <v>59505</v>
      </c>
      <c r="F1962" s="201">
        <v>-9.9</v>
      </c>
      <c r="G1962" s="201">
        <v>10.1</v>
      </c>
    </row>
    <row r="1963" spans="4:7">
      <c r="D1963" s="200" t="s">
        <v>2819</v>
      </c>
      <c r="E1963" s="10">
        <v>59510</v>
      </c>
      <c r="F1963" s="201">
        <v>-9.9</v>
      </c>
      <c r="G1963" s="201">
        <v>10.199999999999999</v>
      </c>
    </row>
    <row r="1964" spans="4:7">
      <c r="D1964" s="200" t="s">
        <v>2303</v>
      </c>
      <c r="E1964" s="10">
        <v>59556</v>
      </c>
      <c r="F1964" s="201">
        <v>-9.9</v>
      </c>
      <c r="G1964" s="201">
        <v>10.199999999999999</v>
      </c>
    </row>
    <row r="1965" spans="4:7">
      <c r="D1965" s="200" t="s">
        <v>2820</v>
      </c>
      <c r="E1965" s="10">
        <v>59597</v>
      </c>
      <c r="F1965" s="201">
        <v>-9.9</v>
      </c>
      <c r="G1965" s="201">
        <v>10.1</v>
      </c>
    </row>
    <row r="1966" spans="4:7">
      <c r="D1966" s="200" t="s">
        <v>2715</v>
      </c>
      <c r="E1966" s="10">
        <v>61352</v>
      </c>
      <c r="F1966" s="201">
        <v>-9.9</v>
      </c>
      <c r="G1966" s="201">
        <v>10.5</v>
      </c>
    </row>
    <row r="1967" spans="4:7">
      <c r="D1967" s="200" t="s">
        <v>2354</v>
      </c>
      <c r="E1967" s="10">
        <v>63452</v>
      </c>
      <c r="F1967" s="201">
        <v>-9.9</v>
      </c>
      <c r="G1967" s="201">
        <v>10.9</v>
      </c>
    </row>
    <row r="1968" spans="4:7">
      <c r="D1968" s="200" t="s">
        <v>2821</v>
      </c>
      <c r="E1968" s="10">
        <v>63538</v>
      </c>
      <c r="F1968" s="201">
        <v>-9.9</v>
      </c>
      <c r="G1968" s="201">
        <v>10.9</v>
      </c>
    </row>
    <row r="1969" spans="4:7">
      <c r="D1969" s="200" t="s">
        <v>2822</v>
      </c>
      <c r="E1969" s="10">
        <v>64347</v>
      </c>
      <c r="F1969" s="201">
        <v>-9.9</v>
      </c>
      <c r="G1969" s="201">
        <v>11</v>
      </c>
    </row>
    <row r="1970" spans="4:7">
      <c r="D1970" s="200" t="s">
        <v>1786</v>
      </c>
      <c r="E1970" s="10">
        <v>65201</v>
      </c>
      <c r="F1970" s="201">
        <v>-9.9</v>
      </c>
      <c r="G1970" s="201">
        <v>10.3</v>
      </c>
    </row>
    <row r="1971" spans="4:7">
      <c r="D1971" s="200" t="s">
        <v>2823</v>
      </c>
      <c r="E1971" s="10">
        <v>65468</v>
      </c>
      <c r="F1971" s="201">
        <v>-9.9</v>
      </c>
      <c r="G1971" s="201">
        <v>10.9</v>
      </c>
    </row>
    <row r="1972" spans="4:7">
      <c r="D1972" s="200" t="s">
        <v>2305</v>
      </c>
      <c r="E1972" s="10">
        <v>65550</v>
      </c>
      <c r="F1972" s="201">
        <v>-9.9</v>
      </c>
      <c r="G1972" s="201">
        <v>10</v>
      </c>
    </row>
    <row r="1973" spans="4:7">
      <c r="D1973" s="200" t="s">
        <v>2305</v>
      </c>
      <c r="E1973" s="10">
        <v>65552</v>
      </c>
      <c r="F1973" s="201">
        <v>-9.9</v>
      </c>
      <c r="G1973" s="201">
        <v>10</v>
      </c>
    </row>
    <row r="1974" spans="4:7">
      <c r="D1974" s="200" t="s">
        <v>2824</v>
      </c>
      <c r="E1974" s="10">
        <v>65604</v>
      </c>
      <c r="F1974" s="201">
        <v>-9.9</v>
      </c>
      <c r="G1974" s="201">
        <v>10</v>
      </c>
    </row>
    <row r="1975" spans="4:7">
      <c r="D1975" s="200" t="s">
        <v>2825</v>
      </c>
      <c r="E1975" s="10">
        <v>66509</v>
      </c>
      <c r="F1975" s="201">
        <v>-9.9</v>
      </c>
      <c r="G1975" s="201">
        <v>10</v>
      </c>
    </row>
    <row r="1976" spans="4:7">
      <c r="D1976" s="200" t="s">
        <v>2826</v>
      </c>
      <c r="E1976" s="10">
        <v>66780</v>
      </c>
      <c r="F1976" s="201">
        <v>-9.9</v>
      </c>
      <c r="G1976" s="201">
        <v>9.6999999999999993</v>
      </c>
    </row>
    <row r="1977" spans="4:7">
      <c r="D1977" s="200" t="s">
        <v>2827</v>
      </c>
      <c r="E1977" s="10">
        <v>66996</v>
      </c>
      <c r="F1977" s="201">
        <v>-9.9</v>
      </c>
      <c r="G1977" s="201">
        <v>10.199999999999999</v>
      </c>
    </row>
    <row r="1978" spans="4:7">
      <c r="D1978" s="200" t="s">
        <v>2828</v>
      </c>
      <c r="E1978" s="10">
        <v>67147</v>
      </c>
      <c r="F1978" s="201">
        <v>-9.9</v>
      </c>
      <c r="G1978" s="201">
        <v>10.7</v>
      </c>
    </row>
    <row r="1979" spans="4:7">
      <c r="D1979" s="200" t="s">
        <v>2829</v>
      </c>
      <c r="E1979" s="10">
        <v>67169</v>
      </c>
      <c r="F1979" s="201">
        <v>-9.9</v>
      </c>
      <c r="G1979" s="201">
        <v>10.7</v>
      </c>
    </row>
    <row r="1980" spans="4:7">
      <c r="D1980" s="200" t="s">
        <v>2830</v>
      </c>
      <c r="E1980" s="10">
        <v>67251</v>
      </c>
      <c r="F1980" s="201">
        <v>-9.9</v>
      </c>
      <c r="G1980" s="201">
        <v>10.8</v>
      </c>
    </row>
    <row r="1981" spans="4:7">
      <c r="D1981" s="200" t="s">
        <v>2831</v>
      </c>
      <c r="E1981" s="10">
        <v>67256</v>
      </c>
      <c r="F1981" s="201">
        <v>-9.9</v>
      </c>
      <c r="G1981" s="201">
        <v>10.8</v>
      </c>
    </row>
    <row r="1982" spans="4:7">
      <c r="D1982" s="200" t="s">
        <v>2832</v>
      </c>
      <c r="E1982" s="10">
        <v>67283</v>
      </c>
      <c r="F1982" s="201">
        <v>-9.9</v>
      </c>
      <c r="G1982" s="201">
        <v>10.8</v>
      </c>
    </row>
    <row r="1983" spans="4:7">
      <c r="D1983" s="200" t="s">
        <v>2833</v>
      </c>
      <c r="E1983" s="10">
        <v>67368</v>
      </c>
      <c r="F1983" s="201">
        <v>-9.9</v>
      </c>
      <c r="G1983" s="201">
        <v>10.9</v>
      </c>
    </row>
    <row r="1984" spans="4:7">
      <c r="D1984" s="200" t="s">
        <v>2834</v>
      </c>
      <c r="E1984" s="10">
        <v>67377</v>
      </c>
      <c r="F1984" s="201">
        <v>-9.9</v>
      </c>
      <c r="G1984" s="201">
        <v>10.9</v>
      </c>
    </row>
    <row r="1985" spans="4:7">
      <c r="D1985" s="200" t="s">
        <v>2835</v>
      </c>
      <c r="E1985" s="10">
        <v>67454</v>
      </c>
      <c r="F1985" s="201">
        <v>-9.9</v>
      </c>
      <c r="G1985" s="201">
        <v>10.9</v>
      </c>
    </row>
    <row r="1986" spans="4:7">
      <c r="D1986" s="200" t="s">
        <v>2836</v>
      </c>
      <c r="E1986" s="10">
        <v>67714</v>
      </c>
      <c r="F1986" s="201">
        <v>-9.9</v>
      </c>
      <c r="G1986" s="201">
        <v>10</v>
      </c>
    </row>
    <row r="1987" spans="4:7">
      <c r="D1987" s="200" t="s">
        <v>2837</v>
      </c>
      <c r="E1987" s="10">
        <v>67742</v>
      </c>
      <c r="F1987" s="201">
        <v>-9.9</v>
      </c>
      <c r="G1987" s="201">
        <v>10.1</v>
      </c>
    </row>
    <row r="1988" spans="4:7" ht="30">
      <c r="D1988" s="200" t="s">
        <v>2838</v>
      </c>
      <c r="E1988" s="10">
        <v>67822</v>
      </c>
      <c r="F1988" s="201">
        <v>-9.9</v>
      </c>
      <c r="G1988" s="201">
        <v>9.9</v>
      </c>
    </row>
    <row r="1989" spans="4:7">
      <c r="D1989" s="200" t="s">
        <v>2307</v>
      </c>
      <c r="E1989" s="10">
        <v>70191</v>
      </c>
      <c r="F1989" s="201">
        <v>-9.9</v>
      </c>
      <c r="G1989" s="201">
        <v>11.1</v>
      </c>
    </row>
    <row r="1990" spans="4:7">
      <c r="D1990" s="200" t="s">
        <v>2308</v>
      </c>
      <c r="E1990" s="10">
        <v>76227</v>
      </c>
      <c r="F1990" s="201">
        <v>-9.9</v>
      </c>
      <c r="G1990" s="201">
        <v>11.2</v>
      </c>
    </row>
    <row r="1991" spans="4:7">
      <c r="D1991" s="200" t="s">
        <v>2839</v>
      </c>
      <c r="E1991" s="10">
        <v>76676</v>
      </c>
      <c r="F1991" s="201">
        <v>-9.9</v>
      </c>
      <c r="G1991" s="201">
        <v>11</v>
      </c>
    </row>
    <row r="1992" spans="4:7">
      <c r="D1992" s="200" t="s">
        <v>2840</v>
      </c>
      <c r="E1992" s="10">
        <v>76706</v>
      </c>
      <c r="F1992" s="201">
        <v>-9.9</v>
      </c>
      <c r="G1992" s="201">
        <v>11</v>
      </c>
    </row>
    <row r="1993" spans="4:7">
      <c r="D1993" s="200" t="s">
        <v>2841</v>
      </c>
      <c r="E1993" s="10">
        <v>76726</v>
      </c>
      <c r="F1993" s="201">
        <v>-9.9</v>
      </c>
      <c r="G1993" s="201">
        <v>11</v>
      </c>
    </row>
    <row r="1994" spans="4:7">
      <c r="D1994" s="200" t="s">
        <v>2842</v>
      </c>
      <c r="E1994" s="10">
        <v>76751</v>
      </c>
      <c r="F1994" s="201">
        <v>-9.9</v>
      </c>
      <c r="G1994" s="201">
        <v>11.1</v>
      </c>
    </row>
    <row r="1995" spans="4:7">
      <c r="D1995" s="200" t="s">
        <v>2843</v>
      </c>
      <c r="E1995" s="10">
        <v>76756</v>
      </c>
      <c r="F1995" s="201">
        <v>-9.9</v>
      </c>
      <c r="G1995" s="201">
        <v>11</v>
      </c>
    </row>
    <row r="1996" spans="4:7">
      <c r="D1996" s="200" t="s">
        <v>2844</v>
      </c>
      <c r="E1996" s="10">
        <v>76771</v>
      </c>
      <c r="F1996" s="201">
        <v>-9.9</v>
      </c>
      <c r="G1996" s="201">
        <v>11</v>
      </c>
    </row>
    <row r="1997" spans="4:7">
      <c r="D1997" s="200" t="s">
        <v>2845</v>
      </c>
      <c r="E1997" s="10">
        <v>76774</v>
      </c>
      <c r="F1997" s="201">
        <v>-9.9</v>
      </c>
      <c r="G1997" s="201">
        <v>11</v>
      </c>
    </row>
    <row r="1998" spans="4:7">
      <c r="D1998" s="200" t="s">
        <v>2846</v>
      </c>
      <c r="E1998" s="10">
        <v>76777</v>
      </c>
      <c r="F1998" s="201">
        <v>-9.9</v>
      </c>
      <c r="G1998" s="201">
        <v>11.1</v>
      </c>
    </row>
    <row r="1999" spans="4:7">
      <c r="D1999" s="200" t="s">
        <v>2847</v>
      </c>
      <c r="E1999" s="10">
        <v>76877</v>
      </c>
      <c r="F1999" s="201">
        <v>-9.9</v>
      </c>
      <c r="G1999" s="201">
        <v>10.9</v>
      </c>
    </row>
    <row r="2000" spans="4:7">
      <c r="D2000" s="200" t="s">
        <v>2848</v>
      </c>
      <c r="E2000" s="10">
        <v>76879</v>
      </c>
      <c r="F2000" s="201">
        <v>-9.9</v>
      </c>
      <c r="G2000" s="201">
        <v>10.9</v>
      </c>
    </row>
    <row r="2001" spans="4:7">
      <c r="D2001" s="200" t="s">
        <v>2849</v>
      </c>
      <c r="E2001" s="10">
        <v>77781</v>
      </c>
      <c r="F2001" s="201">
        <v>-9.9</v>
      </c>
      <c r="G2001" s="201">
        <v>10.6</v>
      </c>
    </row>
    <row r="2002" spans="4:7">
      <c r="D2002" s="200" t="s">
        <v>2850</v>
      </c>
      <c r="E2002" s="10">
        <v>77971</v>
      </c>
      <c r="F2002" s="201">
        <v>-9.9</v>
      </c>
      <c r="G2002" s="201">
        <v>10.5</v>
      </c>
    </row>
    <row r="2003" spans="4:7">
      <c r="D2003" s="200" t="s">
        <v>2439</v>
      </c>
      <c r="E2003" s="10">
        <v>79108</v>
      </c>
      <c r="F2003" s="201">
        <v>-9.9</v>
      </c>
      <c r="G2003" s="201">
        <v>11.3</v>
      </c>
    </row>
    <row r="2004" spans="4:7">
      <c r="D2004" s="200" t="s">
        <v>2851</v>
      </c>
      <c r="E2004" s="10">
        <v>79361</v>
      </c>
      <c r="F2004" s="201">
        <v>-9.9</v>
      </c>
      <c r="G2004" s="201">
        <v>11</v>
      </c>
    </row>
    <row r="2005" spans="4:7">
      <c r="D2005" s="200" t="s">
        <v>2852</v>
      </c>
      <c r="E2005" s="10">
        <v>79395</v>
      </c>
      <c r="F2005" s="201">
        <v>-9.9</v>
      </c>
      <c r="G2005" s="201">
        <v>10.9</v>
      </c>
    </row>
    <row r="2006" spans="4:7">
      <c r="D2006" s="200" t="s">
        <v>2853</v>
      </c>
      <c r="E2006" s="10">
        <v>79424</v>
      </c>
      <c r="F2006" s="201">
        <v>-9.9</v>
      </c>
      <c r="G2006" s="201">
        <v>10.9</v>
      </c>
    </row>
    <row r="2007" spans="4:7">
      <c r="D2007" s="200" t="s">
        <v>2854</v>
      </c>
      <c r="E2007" s="10">
        <v>79426</v>
      </c>
      <c r="F2007" s="201">
        <v>-9.9</v>
      </c>
      <c r="G2007" s="201">
        <v>10.9</v>
      </c>
    </row>
    <row r="2008" spans="4:7">
      <c r="D2008" s="200" t="s">
        <v>2855</v>
      </c>
      <c r="E2008" s="10">
        <v>79427</v>
      </c>
      <c r="F2008" s="201">
        <v>-9.9</v>
      </c>
      <c r="G2008" s="201">
        <v>11</v>
      </c>
    </row>
    <row r="2009" spans="4:7">
      <c r="D2009" s="200" t="s">
        <v>2856</v>
      </c>
      <c r="E2009" s="10">
        <v>79713</v>
      </c>
      <c r="F2009" s="201">
        <v>-9.9</v>
      </c>
      <c r="G2009" s="201">
        <v>10.5</v>
      </c>
    </row>
    <row r="2010" spans="4:7">
      <c r="D2010" s="200" t="s">
        <v>2857</v>
      </c>
      <c r="E2010" s="10">
        <v>18106</v>
      </c>
      <c r="F2010" s="201">
        <v>-10</v>
      </c>
      <c r="G2010" s="201">
        <v>9.5</v>
      </c>
    </row>
    <row r="2011" spans="4:7">
      <c r="D2011" s="200" t="s">
        <v>2857</v>
      </c>
      <c r="E2011" s="10">
        <v>18109</v>
      </c>
      <c r="F2011" s="201">
        <v>-10</v>
      </c>
      <c r="G2011" s="201">
        <v>9.6</v>
      </c>
    </row>
    <row r="2012" spans="4:7">
      <c r="D2012" s="200" t="s">
        <v>2858</v>
      </c>
      <c r="E2012" s="10">
        <v>18230</v>
      </c>
      <c r="F2012" s="201">
        <v>-10</v>
      </c>
      <c r="G2012" s="201">
        <v>9.1</v>
      </c>
    </row>
    <row r="2013" spans="4:7">
      <c r="D2013" s="200" t="s">
        <v>2859</v>
      </c>
      <c r="E2013" s="10">
        <v>21258</v>
      </c>
      <c r="F2013" s="201">
        <v>-10</v>
      </c>
      <c r="G2013" s="201">
        <v>9.1</v>
      </c>
    </row>
    <row r="2014" spans="4:7">
      <c r="D2014" s="200" t="s">
        <v>2860</v>
      </c>
      <c r="E2014" s="10">
        <v>21641</v>
      </c>
      <c r="F2014" s="201">
        <v>-10</v>
      </c>
      <c r="G2014" s="201">
        <v>9</v>
      </c>
    </row>
    <row r="2015" spans="4:7">
      <c r="D2015" s="200" t="s">
        <v>2861</v>
      </c>
      <c r="E2015" s="10">
        <v>21643</v>
      </c>
      <c r="F2015" s="201">
        <v>-10</v>
      </c>
      <c r="G2015" s="201">
        <v>9.1</v>
      </c>
    </row>
    <row r="2016" spans="4:7">
      <c r="D2016" s="200" t="s">
        <v>2862</v>
      </c>
      <c r="E2016" s="10">
        <v>21646</v>
      </c>
      <c r="F2016" s="201">
        <v>-10</v>
      </c>
      <c r="G2016" s="201">
        <v>9.1</v>
      </c>
    </row>
    <row r="2017" spans="4:7">
      <c r="D2017" s="200" t="s">
        <v>2863</v>
      </c>
      <c r="E2017" s="10">
        <v>21649</v>
      </c>
      <c r="F2017" s="201">
        <v>-10</v>
      </c>
      <c r="G2017" s="201">
        <v>9.1</v>
      </c>
    </row>
    <row r="2018" spans="4:7">
      <c r="D2018" s="200" t="s">
        <v>2319</v>
      </c>
      <c r="E2018" s="10">
        <v>21726</v>
      </c>
      <c r="F2018" s="201">
        <v>-10</v>
      </c>
      <c r="G2018" s="201">
        <v>9.1999999999999993</v>
      </c>
    </row>
    <row r="2019" spans="4:7">
      <c r="D2019" s="200" t="s">
        <v>1707</v>
      </c>
      <c r="E2019" s="10">
        <v>22115</v>
      </c>
      <c r="F2019" s="201">
        <v>-10</v>
      </c>
      <c r="G2019" s="201">
        <v>9.4</v>
      </c>
    </row>
    <row r="2020" spans="4:7">
      <c r="D2020" s="200" t="s">
        <v>1707</v>
      </c>
      <c r="E2020" s="10">
        <v>22395</v>
      </c>
      <c r="F2020" s="201">
        <v>-10</v>
      </c>
      <c r="G2020" s="201">
        <v>9.3000000000000007</v>
      </c>
    </row>
    <row r="2021" spans="4:7">
      <c r="D2021" s="200" t="s">
        <v>2315</v>
      </c>
      <c r="E2021" s="10">
        <v>22844</v>
      </c>
      <c r="F2021" s="201">
        <v>-10</v>
      </c>
      <c r="G2021" s="201">
        <v>9.1</v>
      </c>
    </row>
    <row r="2022" spans="4:7">
      <c r="D2022" s="200" t="s">
        <v>2315</v>
      </c>
      <c r="E2022" s="10">
        <v>22846</v>
      </c>
      <c r="F2022" s="201">
        <v>-10</v>
      </c>
      <c r="G2022" s="201">
        <v>9.1</v>
      </c>
    </row>
    <row r="2023" spans="4:7">
      <c r="D2023" s="200" t="s">
        <v>2315</v>
      </c>
      <c r="E2023" s="10">
        <v>22848</v>
      </c>
      <c r="F2023" s="201">
        <v>-10</v>
      </c>
      <c r="G2023" s="201">
        <v>9.1999999999999993</v>
      </c>
    </row>
    <row r="2024" spans="4:7">
      <c r="D2024" s="200" t="s">
        <v>2315</v>
      </c>
      <c r="E2024" s="10">
        <v>22851</v>
      </c>
      <c r="F2024" s="201">
        <v>-10</v>
      </c>
      <c r="G2024" s="201">
        <v>9.1</v>
      </c>
    </row>
    <row r="2025" spans="4:7">
      <c r="D2025" s="200" t="s">
        <v>2458</v>
      </c>
      <c r="E2025" s="10">
        <v>22869</v>
      </c>
      <c r="F2025" s="201">
        <v>-10</v>
      </c>
      <c r="G2025" s="201">
        <v>9.1</v>
      </c>
    </row>
    <row r="2026" spans="4:7">
      <c r="D2026" s="200" t="s">
        <v>2864</v>
      </c>
      <c r="E2026" s="10">
        <v>23715</v>
      </c>
      <c r="F2026" s="201">
        <v>-10</v>
      </c>
      <c r="G2026" s="201">
        <v>8.8000000000000007</v>
      </c>
    </row>
    <row r="2027" spans="4:7">
      <c r="D2027" s="200" t="s">
        <v>2865</v>
      </c>
      <c r="E2027" s="10">
        <v>23974</v>
      </c>
      <c r="F2027" s="201">
        <v>-10</v>
      </c>
      <c r="G2027" s="201">
        <v>9.1999999999999993</v>
      </c>
    </row>
    <row r="2028" spans="4:7">
      <c r="D2028" s="200" t="s">
        <v>2866</v>
      </c>
      <c r="E2028" s="10">
        <v>24568</v>
      </c>
      <c r="F2028" s="201">
        <v>-10</v>
      </c>
      <c r="G2028" s="201">
        <v>9.1</v>
      </c>
    </row>
    <row r="2029" spans="4:7">
      <c r="D2029" s="200" t="s">
        <v>2867</v>
      </c>
      <c r="E2029" s="10">
        <v>24628</v>
      </c>
      <c r="F2029" s="201">
        <v>-10</v>
      </c>
      <c r="G2029" s="201">
        <v>9</v>
      </c>
    </row>
    <row r="2030" spans="4:7">
      <c r="D2030" s="200" t="s">
        <v>2868</v>
      </c>
      <c r="E2030" s="10">
        <v>24629</v>
      </c>
      <c r="F2030" s="201">
        <v>-10</v>
      </c>
      <c r="G2030" s="201">
        <v>8.9</v>
      </c>
    </row>
    <row r="2031" spans="4:7">
      <c r="D2031" s="200" t="s">
        <v>2869</v>
      </c>
      <c r="E2031" s="10">
        <v>25364</v>
      </c>
      <c r="F2031" s="201">
        <v>-10</v>
      </c>
      <c r="G2031" s="201">
        <v>9.1</v>
      </c>
    </row>
    <row r="2032" spans="4:7">
      <c r="D2032" s="200" t="s">
        <v>2870</v>
      </c>
      <c r="E2032" s="10">
        <v>27251</v>
      </c>
      <c r="F2032" s="201">
        <v>-10</v>
      </c>
      <c r="G2032" s="201">
        <v>9.6999999999999993</v>
      </c>
    </row>
    <row r="2033" spans="4:7">
      <c r="D2033" s="200" t="s">
        <v>2871</v>
      </c>
      <c r="E2033" s="10">
        <v>27305</v>
      </c>
      <c r="F2033" s="201">
        <v>-10</v>
      </c>
      <c r="G2033" s="201">
        <v>9.6</v>
      </c>
    </row>
    <row r="2034" spans="4:7">
      <c r="D2034" s="200" t="s">
        <v>2872</v>
      </c>
      <c r="E2034" s="10">
        <v>27404</v>
      </c>
      <c r="F2034" s="201">
        <v>-10</v>
      </c>
      <c r="G2034" s="201">
        <v>9.1999999999999993</v>
      </c>
    </row>
    <row r="2035" spans="4:7">
      <c r="D2035" s="200" t="s">
        <v>2873</v>
      </c>
      <c r="E2035" s="10">
        <v>27412</v>
      </c>
      <c r="F2035" s="201">
        <v>-10</v>
      </c>
      <c r="G2035" s="201">
        <v>9.1999999999999993</v>
      </c>
    </row>
    <row r="2036" spans="4:7">
      <c r="D2036" s="200" t="s">
        <v>2874</v>
      </c>
      <c r="E2036" s="10">
        <v>27449</v>
      </c>
      <c r="F2036" s="201">
        <v>-10</v>
      </c>
      <c r="G2036" s="201">
        <v>9.1999999999999993</v>
      </c>
    </row>
    <row r="2037" spans="4:7">
      <c r="D2037" s="200" t="s">
        <v>2875</v>
      </c>
      <c r="E2037" s="10">
        <v>30159</v>
      </c>
      <c r="F2037" s="201">
        <v>-10</v>
      </c>
      <c r="G2037" s="201">
        <v>10.9</v>
      </c>
    </row>
    <row r="2038" spans="4:7">
      <c r="D2038" s="200" t="s">
        <v>2876</v>
      </c>
      <c r="E2038" s="10">
        <v>32051</v>
      </c>
      <c r="F2038" s="201">
        <v>-10</v>
      </c>
      <c r="G2038" s="201">
        <v>9.9</v>
      </c>
    </row>
    <row r="2039" spans="4:7">
      <c r="D2039" s="200" t="s">
        <v>2876</v>
      </c>
      <c r="E2039" s="10">
        <v>32052</v>
      </c>
      <c r="F2039" s="201">
        <v>-10</v>
      </c>
      <c r="G2039" s="201">
        <v>9.9</v>
      </c>
    </row>
    <row r="2040" spans="4:7">
      <c r="D2040" s="200" t="s">
        <v>2877</v>
      </c>
      <c r="E2040" s="10">
        <v>32105</v>
      </c>
      <c r="F2040" s="201">
        <v>-10</v>
      </c>
      <c r="G2040" s="201">
        <v>10</v>
      </c>
    </row>
    <row r="2041" spans="4:7">
      <c r="D2041" s="200" t="s">
        <v>2877</v>
      </c>
      <c r="E2041" s="10">
        <v>32107</v>
      </c>
      <c r="F2041" s="201">
        <v>-10</v>
      </c>
      <c r="G2041" s="201">
        <v>9.8000000000000007</v>
      </c>
    </row>
    <row r="2042" spans="4:7">
      <c r="D2042" s="200" t="s">
        <v>2878</v>
      </c>
      <c r="E2042" s="10">
        <v>32120</v>
      </c>
      <c r="F2042" s="201">
        <v>-10</v>
      </c>
      <c r="G2042" s="201">
        <v>9.8000000000000007</v>
      </c>
    </row>
    <row r="2043" spans="4:7">
      <c r="D2043" s="200" t="s">
        <v>2879</v>
      </c>
      <c r="E2043" s="10">
        <v>32369</v>
      </c>
      <c r="F2043" s="201">
        <v>-10</v>
      </c>
      <c r="G2043" s="201">
        <v>10</v>
      </c>
    </row>
    <row r="2044" spans="4:7">
      <c r="D2044" s="200" t="s">
        <v>2880</v>
      </c>
      <c r="E2044" s="10">
        <v>32423</v>
      </c>
      <c r="F2044" s="201">
        <v>-10</v>
      </c>
      <c r="G2044" s="201">
        <v>10.5</v>
      </c>
    </row>
    <row r="2045" spans="4:7">
      <c r="D2045" s="200" t="s">
        <v>2880</v>
      </c>
      <c r="E2045" s="10">
        <v>32427</v>
      </c>
      <c r="F2045" s="201">
        <v>-10</v>
      </c>
      <c r="G2045" s="201">
        <v>10.4</v>
      </c>
    </row>
    <row r="2046" spans="4:7">
      <c r="D2046" s="200" t="s">
        <v>2881</v>
      </c>
      <c r="E2046" s="10">
        <v>32657</v>
      </c>
      <c r="F2046" s="201">
        <v>-10</v>
      </c>
      <c r="G2046" s="201">
        <v>10</v>
      </c>
    </row>
    <row r="2047" spans="4:7">
      <c r="D2047" s="200" t="s">
        <v>1926</v>
      </c>
      <c r="E2047" s="10">
        <v>33604</v>
      </c>
      <c r="F2047" s="201">
        <v>-10</v>
      </c>
      <c r="G2047" s="201">
        <v>9.8000000000000007</v>
      </c>
    </row>
    <row r="2048" spans="4:7">
      <c r="D2048" s="200" t="s">
        <v>2882</v>
      </c>
      <c r="E2048" s="10">
        <v>48361</v>
      </c>
      <c r="F2048" s="201">
        <v>-10</v>
      </c>
      <c r="G2048" s="201">
        <v>10.199999999999999</v>
      </c>
    </row>
    <row r="2049" spans="4:7">
      <c r="D2049" s="200" t="s">
        <v>2883</v>
      </c>
      <c r="E2049" s="10">
        <v>49214</v>
      </c>
      <c r="F2049" s="201">
        <v>-10</v>
      </c>
      <c r="G2049" s="201">
        <v>10</v>
      </c>
    </row>
    <row r="2050" spans="4:7">
      <c r="D2050" s="200" t="s">
        <v>2493</v>
      </c>
      <c r="E2050" s="10">
        <v>51647</v>
      </c>
      <c r="F2050" s="201">
        <v>-10</v>
      </c>
      <c r="G2050" s="201">
        <v>9.1</v>
      </c>
    </row>
    <row r="2051" spans="4:7">
      <c r="D2051" s="200" t="s">
        <v>2884</v>
      </c>
      <c r="E2051" s="10">
        <v>51702</v>
      </c>
      <c r="F2051" s="201">
        <v>-10</v>
      </c>
      <c r="G2051" s="201">
        <v>9.1</v>
      </c>
    </row>
    <row r="2052" spans="4:7">
      <c r="D2052" s="200" t="s">
        <v>2885</v>
      </c>
      <c r="E2052" s="10">
        <v>54526</v>
      </c>
      <c r="F2052" s="201">
        <v>-10</v>
      </c>
      <c r="G2052" s="201">
        <v>9.5</v>
      </c>
    </row>
    <row r="2053" spans="4:7">
      <c r="D2053" s="200" t="s">
        <v>2886</v>
      </c>
      <c r="E2053" s="10">
        <v>54529</v>
      </c>
      <c r="F2053" s="201">
        <v>-10</v>
      </c>
      <c r="G2053" s="201">
        <v>9.4</v>
      </c>
    </row>
    <row r="2054" spans="4:7">
      <c r="D2054" s="200" t="s">
        <v>2887</v>
      </c>
      <c r="E2054" s="10">
        <v>55129</v>
      </c>
      <c r="F2054" s="201">
        <v>-10</v>
      </c>
      <c r="G2054" s="201">
        <v>10.5</v>
      </c>
    </row>
    <row r="2055" spans="4:7">
      <c r="D2055" s="200" t="s">
        <v>2888</v>
      </c>
      <c r="E2055" s="10">
        <v>55232</v>
      </c>
      <c r="F2055" s="201">
        <v>-10</v>
      </c>
      <c r="G2055" s="201">
        <v>10.4</v>
      </c>
    </row>
    <row r="2056" spans="4:7">
      <c r="D2056" s="200" t="s">
        <v>2889</v>
      </c>
      <c r="E2056" s="10">
        <v>55271</v>
      </c>
      <c r="F2056" s="201">
        <v>-10</v>
      </c>
      <c r="G2056" s="201">
        <v>10.7</v>
      </c>
    </row>
    <row r="2057" spans="4:7">
      <c r="D2057" s="200" t="s">
        <v>2890</v>
      </c>
      <c r="E2057" s="10">
        <v>55283</v>
      </c>
      <c r="F2057" s="201">
        <v>-10</v>
      </c>
      <c r="G2057" s="201">
        <v>10.7</v>
      </c>
    </row>
    <row r="2058" spans="4:7">
      <c r="D2058" s="200" t="s">
        <v>2891</v>
      </c>
      <c r="E2058" s="10">
        <v>55291</v>
      </c>
      <c r="F2058" s="201">
        <v>-10</v>
      </c>
      <c r="G2058" s="201">
        <v>10.6</v>
      </c>
    </row>
    <row r="2059" spans="4:7">
      <c r="D2059" s="200" t="s">
        <v>2892</v>
      </c>
      <c r="E2059" s="10">
        <v>55296</v>
      </c>
      <c r="F2059" s="201">
        <v>-10</v>
      </c>
      <c r="G2059" s="201">
        <v>10.6</v>
      </c>
    </row>
    <row r="2060" spans="4:7">
      <c r="D2060" s="200" t="s">
        <v>2893</v>
      </c>
      <c r="E2060" s="10">
        <v>55299</v>
      </c>
      <c r="F2060" s="201">
        <v>-10</v>
      </c>
      <c r="G2060" s="201">
        <v>10.7</v>
      </c>
    </row>
    <row r="2061" spans="4:7">
      <c r="D2061" s="200" t="s">
        <v>2894</v>
      </c>
      <c r="E2061" s="10">
        <v>55457</v>
      </c>
      <c r="F2061" s="201">
        <v>-10</v>
      </c>
      <c r="G2061" s="201">
        <v>10.7</v>
      </c>
    </row>
    <row r="2062" spans="4:7">
      <c r="D2062" s="200" t="s">
        <v>2895</v>
      </c>
      <c r="E2062" s="10">
        <v>55459</v>
      </c>
      <c r="F2062" s="201">
        <v>-10</v>
      </c>
      <c r="G2062" s="201">
        <v>10.6</v>
      </c>
    </row>
    <row r="2063" spans="4:7">
      <c r="D2063" s="200" t="s">
        <v>2896</v>
      </c>
      <c r="E2063" s="10">
        <v>55576</v>
      </c>
      <c r="F2063" s="201">
        <v>-10</v>
      </c>
      <c r="G2063" s="201">
        <v>10.6</v>
      </c>
    </row>
    <row r="2064" spans="4:7">
      <c r="D2064" s="200" t="s">
        <v>2897</v>
      </c>
      <c r="E2064" s="10">
        <v>55599</v>
      </c>
      <c r="F2064" s="201">
        <v>-10</v>
      </c>
      <c r="G2064" s="201">
        <v>10.5</v>
      </c>
    </row>
    <row r="2065" spans="4:7">
      <c r="D2065" s="200" t="s">
        <v>2898</v>
      </c>
      <c r="E2065" s="10">
        <v>56244</v>
      </c>
      <c r="F2065" s="201">
        <v>-10</v>
      </c>
      <c r="G2065" s="201">
        <v>9.5</v>
      </c>
    </row>
    <row r="2066" spans="4:7">
      <c r="D2066" s="200" t="s">
        <v>2899</v>
      </c>
      <c r="E2066" s="10">
        <v>56317</v>
      </c>
      <c r="F2066" s="201">
        <v>-10</v>
      </c>
      <c r="G2066" s="201">
        <v>9.4</v>
      </c>
    </row>
    <row r="2067" spans="4:7">
      <c r="D2067" s="200" t="s">
        <v>2900</v>
      </c>
      <c r="E2067" s="10">
        <v>56329</v>
      </c>
      <c r="F2067" s="201">
        <v>-10</v>
      </c>
      <c r="G2067" s="201">
        <v>9.6999999999999993</v>
      </c>
    </row>
    <row r="2068" spans="4:7">
      <c r="D2068" s="200" t="s">
        <v>2901</v>
      </c>
      <c r="E2068" s="10">
        <v>56346</v>
      </c>
      <c r="F2068" s="201">
        <v>-10</v>
      </c>
      <c r="G2068" s="201">
        <v>9.6</v>
      </c>
    </row>
    <row r="2069" spans="4:7">
      <c r="D2069" s="200" t="s">
        <v>2902</v>
      </c>
      <c r="E2069" s="10">
        <v>56348</v>
      </c>
      <c r="F2069" s="201">
        <v>-10</v>
      </c>
      <c r="G2069" s="201">
        <v>9.6999999999999993</v>
      </c>
    </row>
    <row r="2070" spans="4:7">
      <c r="D2070" s="200" t="s">
        <v>2903</v>
      </c>
      <c r="E2070" s="10">
        <v>56368</v>
      </c>
      <c r="F2070" s="201">
        <v>-10</v>
      </c>
      <c r="G2070" s="201">
        <v>9.6999999999999993</v>
      </c>
    </row>
    <row r="2071" spans="4:7">
      <c r="D2071" s="200" t="s">
        <v>2904</v>
      </c>
      <c r="E2071" s="10">
        <v>56370</v>
      </c>
      <c r="F2071" s="201">
        <v>-10</v>
      </c>
      <c r="G2071" s="201">
        <v>9.6999999999999993</v>
      </c>
    </row>
    <row r="2072" spans="4:7">
      <c r="D2072" s="200" t="s">
        <v>2905</v>
      </c>
      <c r="E2072" s="10">
        <v>56581</v>
      </c>
      <c r="F2072" s="201">
        <v>-10</v>
      </c>
      <c r="G2072" s="201">
        <v>9.5</v>
      </c>
    </row>
    <row r="2073" spans="4:7">
      <c r="D2073" s="200" t="s">
        <v>2906</v>
      </c>
      <c r="E2073" s="10">
        <v>56587</v>
      </c>
      <c r="F2073" s="201">
        <v>-10</v>
      </c>
      <c r="G2073" s="201">
        <v>9.4</v>
      </c>
    </row>
    <row r="2074" spans="4:7">
      <c r="D2074" s="200" t="s">
        <v>2907</v>
      </c>
      <c r="E2074" s="10">
        <v>57567</v>
      </c>
      <c r="F2074" s="201">
        <v>-10</v>
      </c>
      <c r="G2074" s="201">
        <v>9.3000000000000007</v>
      </c>
    </row>
    <row r="2075" spans="4:7">
      <c r="D2075" s="200" t="s">
        <v>2908</v>
      </c>
      <c r="E2075" s="10">
        <v>57572</v>
      </c>
      <c r="F2075" s="201">
        <v>-10</v>
      </c>
      <c r="G2075" s="201">
        <v>9.4</v>
      </c>
    </row>
    <row r="2076" spans="4:7">
      <c r="D2076" s="200" t="s">
        <v>2909</v>
      </c>
      <c r="E2076" s="10">
        <v>58256</v>
      </c>
      <c r="F2076" s="201">
        <v>-10</v>
      </c>
      <c r="G2076" s="201">
        <v>9</v>
      </c>
    </row>
    <row r="2077" spans="4:7">
      <c r="D2077" s="200" t="s">
        <v>2910</v>
      </c>
      <c r="E2077" s="10">
        <v>58675</v>
      </c>
      <c r="F2077" s="201">
        <v>-10</v>
      </c>
      <c r="G2077" s="201">
        <v>9.1</v>
      </c>
    </row>
    <row r="2078" spans="4:7">
      <c r="D2078" s="200" t="s">
        <v>2911</v>
      </c>
      <c r="E2078" s="10">
        <v>59320</v>
      </c>
      <c r="F2078" s="201">
        <v>-10</v>
      </c>
      <c r="G2078" s="201">
        <v>10</v>
      </c>
    </row>
    <row r="2079" spans="4:7">
      <c r="D2079" s="200" t="s">
        <v>2912</v>
      </c>
      <c r="E2079" s="10">
        <v>59329</v>
      </c>
      <c r="F2079" s="201">
        <v>-10</v>
      </c>
      <c r="G2079" s="201">
        <v>10.1</v>
      </c>
    </row>
    <row r="2080" spans="4:7">
      <c r="D2080" s="200" t="s">
        <v>2913</v>
      </c>
      <c r="E2080" s="10">
        <v>59519</v>
      </c>
      <c r="F2080" s="201">
        <v>-10</v>
      </c>
      <c r="G2080" s="201">
        <v>9.6999999999999993</v>
      </c>
    </row>
    <row r="2081" spans="4:7">
      <c r="D2081" s="200" t="s">
        <v>2515</v>
      </c>
      <c r="E2081" s="10">
        <v>59757</v>
      </c>
      <c r="F2081" s="201">
        <v>-10</v>
      </c>
      <c r="G2081" s="201">
        <v>9.4</v>
      </c>
    </row>
    <row r="2082" spans="4:7">
      <c r="D2082" s="200" t="s">
        <v>1771</v>
      </c>
      <c r="E2082" s="10">
        <v>60435</v>
      </c>
      <c r="F2082" s="201">
        <v>-10</v>
      </c>
      <c r="G2082" s="201">
        <v>10.6</v>
      </c>
    </row>
    <row r="2083" spans="4:7">
      <c r="D2083" s="200" t="s">
        <v>1771</v>
      </c>
      <c r="E2083" s="10">
        <v>60437</v>
      </c>
      <c r="F2083" s="201">
        <v>-10</v>
      </c>
      <c r="G2083" s="201">
        <v>10.6</v>
      </c>
    </row>
    <row r="2084" spans="4:7">
      <c r="D2084" s="200" t="s">
        <v>1771</v>
      </c>
      <c r="E2084" s="10">
        <v>60438</v>
      </c>
      <c r="F2084" s="201">
        <v>-10</v>
      </c>
      <c r="G2084" s="201">
        <v>10.5</v>
      </c>
    </row>
    <row r="2085" spans="4:7">
      <c r="D2085" s="200" t="s">
        <v>1771</v>
      </c>
      <c r="E2085" s="10">
        <v>60598</v>
      </c>
      <c r="F2085" s="201">
        <v>-10</v>
      </c>
      <c r="G2085" s="201">
        <v>10.7</v>
      </c>
    </row>
    <row r="2086" spans="4:7">
      <c r="D2086" s="200" t="s">
        <v>1771</v>
      </c>
      <c r="E2086" s="10">
        <v>60599</v>
      </c>
      <c r="F2086" s="201">
        <v>-10</v>
      </c>
      <c r="G2086" s="201">
        <v>10.6</v>
      </c>
    </row>
    <row r="2087" spans="4:7">
      <c r="D2087" s="200" t="s">
        <v>2914</v>
      </c>
      <c r="E2087" s="10">
        <v>61118</v>
      </c>
      <c r="F2087" s="201">
        <v>-10</v>
      </c>
      <c r="G2087" s="201">
        <v>10.7</v>
      </c>
    </row>
    <row r="2088" spans="4:7">
      <c r="D2088" s="200" t="s">
        <v>2420</v>
      </c>
      <c r="E2088" s="10">
        <v>63071</v>
      </c>
      <c r="F2088" s="201">
        <v>-10</v>
      </c>
      <c r="G2088" s="201">
        <v>10.7</v>
      </c>
    </row>
    <row r="2089" spans="4:7">
      <c r="D2089" s="200" t="s">
        <v>2420</v>
      </c>
      <c r="E2089" s="10">
        <v>63075</v>
      </c>
      <c r="F2089" s="201">
        <v>-10</v>
      </c>
      <c r="G2089" s="201">
        <v>10.8</v>
      </c>
    </row>
    <row r="2090" spans="4:7">
      <c r="D2090" s="200" t="s">
        <v>2915</v>
      </c>
      <c r="E2090" s="10">
        <v>63526</v>
      </c>
      <c r="F2090" s="201">
        <v>-10</v>
      </c>
      <c r="G2090" s="201">
        <v>10.7</v>
      </c>
    </row>
    <row r="2091" spans="4:7">
      <c r="D2091" s="200" t="s">
        <v>1994</v>
      </c>
      <c r="E2091" s="10">
        <v>64289</v>
      </c>
      <c r="F2091" s="201">
        <v>-10</v>
      </c>
      <c r="G2091" s="201">
        <v>10.7</v>
      </c>
    </row>
    <row r="2092" spans="4:7">
      <c r="D2092" s="200" t="s">
        <v>1994</v>
      </c>
      <c r="E2092" s="10">
        <v>64291</v>
      </c>
      <c r="F2092" s="201">
        <v>-10</v>
      </c>
      <c r="G2092" s="201">
        <v>10.6</v>
      </c>
    </row>
    <row r="2093" spans="4:7">
      <c r="D2093" s="200" t="s">
        <v>1994</v>
      </c>
      <c r="E2093" s="10">
        <v>64295</v>
      </c>
      <c r="F2093" s="201">
        <v>-10</v>
      </c>
      <c r="G2093" s="201">
        <v>10.8</v>
      </c>
    </row>
    <row r="2094" spans="4:7">
      <c r="D2094" s="200" t="s">
        <v>2916</v>
      </c>
      <c r="E2094" s="10">
        <v>64560</v>
      </c>
      <c r="F2094" s="201">
        <v>-10</v>
      </c>
      <c r="G2094" s="201">
        <v>11</v>
      </c>
    </row>
    <row r="2095" spans="4:7">
      <c r="D2095" s="200" t="s">
        <v>2917</v>
      </c>
      <c r="E2095" s="10">
        <v>65343</v>
      </c>
      <c r="F2095" s="201">
        <v>-10</v>
      </c>
      <c r="G2095" s="201">
        <v>10.4</v>
      </c>
    </row>
    <row r="2096" spans="4:7">
      <c r="D2096" s="200" t="s">
        <v>2917</v>
      </c>
      <c r="E2096" s="10">
        <v>65346</v>
      </c>
      <c r="F2096" s="201">
        <v>-10</v>
      </c>
      <c r="G2096" s="201">
        <v>10.4</v>
      </c>
    </row>
    <row r="2097" spans="4:7">
      <c r="D2097" s="200" t="s">
        <v>2305</v>
      </c>
      <c r="E2097" s="10">
        <v>65551</v>
      </c>
      <c r="F2097" s="201">
        <v>-10</v>
      </c>
      <c r="G2097" s="201">
        <v>10</v>
      </c>
    </row>
    <row r="2098" spans="4:7">
      <c r="D2098" s="200" t="s">
        <v>2305</v>
      </c>
      <c r="E2098" s="10">
        <v>65553</v>
      </c>
      <c r="F2098" s="201">
        <v>-10</v>
      </c>
      <c r="G2098" s="201">
        <v>10</v>
      </c>
    </row>
    <row r="2099" spans="4:7">
      <c r="D2099" s="200" t="s">
        <v>2305</v>
      </c>
      <c r="E2099" s="10">
        <v>65555</v>
      </c>
      <c r="F2099" s="201">
        <v>-10</v>
      </c>
      <c r="G2099" s="201">
        <v>9.9</v>
      </c>
    </row>
    <row r="2100" spans="4:7">
      <c r="D2100" s="200" t="s">
        <v>2918</v>
      </c>
      <c r="E2100" s="10">
        <v>65611</v>
      </c>
      <c r="F2100" s="201">
        <v>-10</v>
      </c>
      <c r="G2100" s="201">
        <v>10.1</v>
      </c>
    </row>
    <row r="2101" spans="4:7">
      <c r="D2101" s="200" t="s">
        <v>2919</v>
      </c>
      <c r="E2101" s="10">
        <v>65760</v>
      </c>
      <c r="F2101" s="201">
        <v>-10</v>
      </c>
      <c r="G2101" s="201">
        <v>10.5</v>
      </c>
    </row>
    <row r="2102" spans="4:7">
      <c r="D2102" s="200" t="s">
        <v>2920</v>
      </c>
      <c r="E2102" s="10">
        <v>66450</v>
      </c>
      <c r="F2102" s="201">
        <v>-10</v>
      </c>
      <c r="G2102" s="201">
        <v>9.8000000000000007</v>
      </c>
    </row>
    <row r="2103" spans="4:7">
      <c r="D2103" s="200" t="s">
        <v>2921</v>
      </c>
      <c r="E2103" s="10">
        <v>66484</v>
      </c>
      <c r="F2103" s="201">
        <v>-10</v>
      </c>
      <c r="G2103" s="201">
        <v>9.8000000000000007</v>
      </c>
    </row>
    <row r="2104" spans="4:7">
      <c r="D2104" s="200" t="s">
        <v>2922</v>
      </c>
      <c r="E2104" s="10">
        <v>66497</v>
      </c>
      <c r="F2104" s="201">
        <v>-10</v>
      </c>
      <c r="G2104" s="201">
        <v>9.9</v>
      </c>
    </row>
    <row r="2105" spans="4:7">
      <c r="D2105" s="200" t="s">
        <v>2923</v>
      </c>
      <c r="E2105" s="10">
        <v>66507</v>
      </c>
      <c r="F2105" s="201">
        <v>-10</v>
      </c>
      <c r="G2105" s="201">
        <v>9.9</v>
      </c>
    </row>
    <row r="2106" spans="4:7">
      <c r="D2106" s="200" t="s">
        <v>2520</v>
      </c>
      <c r="E2106" s="10">
        <v>66540</v>
      </c>
      <c r="F2106" s="201">
        <v>-10</v>
      </c>
      <c r="G2106" s="201">
        <v>9.9</v>
      </c>
    </row>
    <row r="2107" spans="4:7">
      <c r="D2107" s="200" t="s">
        <v>2924</v>
      </c>
      <c r="E2107" s="10">
        <v>66583</v>
      </c>
      <c r="F2107" s="201">
        <v>-10</v>
      </c>
      <c r="G2107" s="201">
        <v>9.8000000000000007</v>
      </c>
    </row>
    <row r="2108" spans="4:7">
      <c r="D2108" s="200" t="s">
        <v>2925</v>
      </c>
      <c r="E2108" s="10">
        <v>66640</v>
      </c>
      <c r="F2108" s="201">
        <v>-10</v>
      </c>
      <c r="G2108" s="201">
        <v>9.6999999999999993</v>
      </c>
    </row>
    <row r="2109" spans="4:7">
      <c r="D2109" s="200" t="s">
        <v>2926</v>
      </c>
      <c r="E2109" s="10">
        <v>66904</v>
      </c>
      <c r="F2109" s="201">
        <v>-10</v>
      </c>
      <c r="G2109" s="201">
        <v>9.8000000000000007</v>
      </c>
    </row>
    <row r="2110" spans="4:7">
      <c r="D2110" s="200" t="s">
        <v>2927</v>
      </c>
      <c r="E2110" s="10">
        <v>66981</v>
      </c>
      <c r="F2110" s="201">
        <v>-10</v>
      </c>
      <c r="G2110" s="201">
        <v>10</v>
      </c>
    </row>
    <row r="2111" spans="4:7">
      <c r="D2111" s="200" t="s">
        <v>2928</v>
      </c>
      <c r="E2111" s="10">
        <v>67059</v>
      </c>
      <c r="F2111" s="201">
        <v>-10</v>
      </c>
      <c r="G2111" s="201">
        <v>11.5</v>
      </c>
    </row>
    <row r="2112" spans="4:7">
      <c r="D2112" s="200" t="s">
        <v>2929</v>
      </c>
      <c r="E2112" s="10">
        <v>67098</v>
      </c>
      <c r="F2112" s="201">
        <v>-10</v>
      </c>
      <c r="G2112" s="201">
        <v>10.3</v>
      </c>
    </row>
    <row r="2113" spans="4:7">
      <c r="D2113" s="200" t="s">
        <v>2042</v>
      </c>
      <c r="E2113" s="10">
        <v>67149</v>
      </c>
      <c r="F2113" s="201">
        <v>-10</v>
      </c>
      <c r="G2113" s="201">
        <v>10.9</v>
      </c>
    </row>
    <row r="2114" spans="4:7">
      <c r="D2114" s="200" t="s">
        <v>2930</v>
      </c>
      <c r="E2114" s="10">
        <v>67157</v>
      </c>
      <c r="F2114" s="201">
        <v>-10</v>
      </c>
      <c r="G2114" s="201">
        <v>10.1</v>
      </c>
    </row>
    <row r="2115" spans="4:7">
      <c r="D2115" s="200" t="s">
        <v>2931</v>
      </c>
      <c r="E2115" s="10">
        <v>67354</v>
      </c>
      <c r="F2115" s="201">
        <v>-10</v>
      </c>
      <c r="G2115" s="201">
        <v>11</v>
      </c>
    </row>
    <row r="2116" spans="4:7">
      <c r="D2116" s="200" t="s">
        <v>2932</v>
      </c>
      <c r="E2116" s="10">
        <v>67365</v>
      </c>
      <c r="F2116" s="201">
        <v>-10</v>
      </c>
      <c r="G2116" s="201">
        <v>11</v>
      </c>
    </row>
    <row r="2117" spans="4:7">
      <c r="D2117" s="200" t="s">
        <v>2933</v>
      </c>
      <c r="E2117" s="10">
        <v>67373</v>
      </c>
      <c r="F2117" s="201">
        <v>-10</v>
      </c>
      <c r="G2117" s="201">
        <v>10.9</v>
      </c>
    </row>
    <row r="2118" spans="4:7">
      <c r="D2118" s="200" t="s">
        <v>2934</v>
      </c>
      <c r="E2118" s="10">
        <v>67374</v>
      </c>
      <c r="F2118" s="201">
        <v>-10</v>
      </c>
      <c r="G2118" s="201">
        <v>11</v>
      </c>
    </row>
    <row r="2119" spans="4:7">
      <c r="D2119" s="200" t="s">
        <v>2935</v>
      </c>
      <c r="E2119" s="10">
        <v>67376</v>
      </c>
      <c r="F2119" s="201">
        <v>-10</v>
      </c>
      <c r="G2119" s="201">
        <v>11</v>
      </c>
    </row>
    <row r="2120" spans="4:7">
      <c r="D2120" s="200" t="s">
        <v>2936</v>
      </c>
      <c r="E2120" s="10">
        <v>67468</v>
      </c>
      <c r="F2120" s="201">
        <v>-10</v>
      </c>
      <c r="G2120" s="201">
        <v>10.3</v>
      </c>
    </row>
    <row r="2121" spans="4:7">
      <c r="D2121" s="200" t="s">
        <v>2937</v>
      </c>
      <c r="E2121" s="10">
        <v>67473</v>
      </c>
      <c r="F2121" s="201">
        <v>-10</v>
      </c>
      <c r="G2121" s="201">
        <v>10.199999999999999</v>
      </c>
    </row>
    <row r="2122" spans="4:7">
      <c r="D2122" s="200" t="s">
        <v>2938</v>
      </c>
      <c r="E2122" s="10">
        <v>67592</v>
      </c>
      <c r="F2122" s="201">
        <v>-10</v>
      </c>
      <c r="G2122" s="201">
        <v>10.5</v>
      </c>
    </row>
    <row r="2123" spans="4:7">
      <c r="D2123" s="200" t="s">
        <v>2939</v>
      </c>
      <c r="E2123" s="10">
        <v>67598</v>
      </c>
      <c r="F2123" s="201">
        <v>-10</v>
      </c>
      <c r="G2123" s="201">
        <v>10.5</v>
      </c>
    </row>
    <row r="2124" spans="4:7">
      <c r="D2124" s="200" t="s">
        <v>1956</v>
      </c>
      <c r="E2124" s="10">
        <v>67657</v>
      </c>
      <c r="F2124" s="201">
        <v>-10</v>
      </c>
      <c r="G2124" s="201">
        <v>9.9</v>
      </c>
    </row>
    <row r="2125" spans="4:7">
      <c r="D2125" s="200" t="s">
        <v>1956</v>
      </c>
      <c r="E2125" s="10">
        <v>67659</v>
      </c>
      <c r="F2125" s="201">
        <v>-10</v>
      </c>
      <c r="G2125" s="201">
        <v>10</v>
      </c>
    </row>
    <row r="2126" spans="4:7">
      <c r="D2126" s="200" t="s">
        <v>2940</v>
      </c>
      <c r="E2126" s="10">
        <v>67685</v>
      </c>
      <c r="F2126" s="201">
        <v>-10</v>
      </c>
      <c r="G2126" s="201">
        <v>9.9</v>
      </c>
    </row>
    <row r="2127" spans="4:7">
      <c r="D2127" s="200" t="s">
        <v>2941</v>
      </c>
      <c r="E2127" s="10">
        <v>67686</v>
      </c>
      <c r="F2127" s="201">
        <v>-10</v>
      </c>
      <c r="G2127" s="201">
        <v>9.9</v>
      </c>
    </row>
    <row r="2128" spans="4:7">
      <c r="D2128" s="200" t="s">
        <v>2942</v>
      </c>
      <c r="E2128" s="10">
        <v>67688</v>
      </c>
      <c r="F2128" s="201">
        <v>-10</v>
      </c>
      <c r="G2128" s="201">
        <v>9.9</v>
      </c>
    </row>
    <row r="2129" spans="4:7">
      <c r="D2129" s="200" t="s">
        <v>2943</v>
      </c>
      <c r="E2129" s="10">
        <v>67744</v>
      </c>
      <c r="F2129" s="201">
        <v>-10</v>
      </c>
      <c r="G2129" s="201">
        <v>9.8000000000000007</v>
      </c>
    </row>
    <row r="2130" spans="4:7">
      <c r="D2130" s="200" t="s">
        <v>2944</v>
      </c>
      <c r="E2130" s="10">
        <v>67816</v>
      </c>
      <c r="F2130" s="201">
        <v>-10</v>
      </c>
      <c r="G2130" s="201">
        <v>10.199999999999999</v>
      </c>
    </row>
    <row r="2131" spans="4:7">
      <c r="D2131" s="200" t="s">
        <v>2945</v>
      </c>
      <c r="E2131" s="10">
        <v>67821</v>
      </c>
      <c r="F2131" s="201">
        <v>-10</v>
      </c>
      <c r="G2131" s="201">
        <v>9.8000000000000007</v>
      </c>
    </row>
    <row r="2132" spans="4:7">
      <c r="D2132" s="200" t="s">
        <v>2946</v>
      </c>
      <c r="E2132" s="10">
        <v>68161</v>
      </c>
      <c r="F2132" s="201">
        <v>-10</v>
      </c>
      <c r="G2132" s="201">
        <v>11.6</v>
      </c>
    </row>
    <row r="2133" spans="4:7">
      <c r="D2133" s="200" t="s">
        <v>2946</v>
      </c>
      <c r="E2133" s="10">
        <v>68165</v>
      </c>
      <c r="F2133" s="201">
        <v>-10</v>
      </c>
      <c r="G2133" s="201">
        <v>11.7</v>
      </c>
    </row>
    <row r="2134" spans="4:7">
      <c r="D2134" s="200" t="s">
        <v>2946</v>
      </c>
      <c r="E2134" s="10">
        <v>68167</v>
      </c>
      <c r="F2134" s="201">
        <v>-10</v>
      </c>
      <c r="G2134" s="201">
        <v>11.7</v>
      </c>
    </row>
    <row r="2135" spans="4:7">
      <c r="D2135" s="200" t="s">
        <v>2947</v>
      </c>
      <c r="E2135" s="10">
        <v>68753</v>
      </c>
      <c r="F2135" s="201">
        <v>-10</v>
      </c>
      <c r="G2135" s="201">
        <v>11</v>
      </c>
    </row>
    <row r="2136" spans="4:7">
      <c r="D2136" s="200" t="s">
        <v>2948</v>
      </c>
      <c r="E2136" s="10">
        <v>69245</v>
      </c>
      <c r="F2136" s="201">
        <v>-10</v>
      </c>
      <c r="G2136" s="201">
        <v>10.7</v>
      </c>
    </row>
    <row r="2137" spans="4:7">
      <c r="D2137" s="200" t="s">
        <v>2949</v>
      </c>
      <c r="E2137" s="10">
        <v>74072</v>
      </c>
      <c r="F2137" s="201">
        <v>-10</v>
      </c>
      <c r="G2137" s="201">
        <v>11.2</v>
      </c>
    </row>
    <row r="2138" spans="4:7">
      <c r="D2138" s="200" t="s">
        <v>2308</v>
      </c>
      <c r="E2138" s="10">
        <v>76139</v>
      </c>
      <c r="F2138" s="201">
        <v>-10</v>
      </c>
      <c r="G2138" s="201">
        <v>11.1</v>
      </c>
    </row>
    <row r="2139" spans="4:7">
      <c r="D2139" s="200" t="s">
        <v>2308</v>
      </c>
      <c r="E2139" s="10">
        <v>76187</v>
      </c>
      <c r="F2139" s="201">
        <v>-10</v>
      </c>
      <c r="G2139" s="201">
        <v>11.2</v>
      </c>
    </row>
    <row r="2140" spans="4:7">
      <c r="D2140" s="200" t="s">
        <v>2308</v>
      </c>
      <c r="E2140" s="10">
        <v>76189</v>
      </c>
      <c r="F2140" s="201">
        <v>-10</v>
      </c>
      <c r="G2140" s="201">
        <v>11.1</v>
      </c>
    </row>
    <row r="2141" spans="4:7">
      <c r="D2141" s="200" t="s">
        <v>2308</v>
      </c>
      <c r="E2141" s="10">
        <v>76199</v>
      </c>
      <c r="F2141" s="201">
        <v>-10</v>
      </c>
      <c r="G2141" s="201">
        <v>11.1</v>
      </c>
    </row>
    <row r="2142" spans="4:7">
      <c r="D2142" s="200" t="s">
        <v>2308</v>
      </c>
      <c r="E2142" s="10">
        <v>76229</v>
      </c>
      <c r="F2142" s="201">
        <v>-10</v>
      </c>
      <c r="G2142" s="201">
        <v>11</v>
      </c>
    </row>
    <row r="2143" spans="4:7">
      <c r="D2143" s="200" t="s">
        <v>2950</v>
      </c>
      <c r="E2143" s="10">
        <v>76344</v>
      </c>
      <c r="F2143" s="201">
        <v>-10</v>
      </c>
      <c r="G2143" s="201">
        <v>11.1</v>
      </c>
    </row>
    <row r="2144" spans="4:7">
      <c r="D2144" s="200" t="s">
        <v>2951</v>
      </c>
      <c r="E2144" s="10">
        <v>76351</v>
      </c>
      <c r="F2144" s="201">
        <v>-10</v>
      </c>
      <c r="G2144" s="201">
        <v>11</v>
      </c>
    </row>
    <row r="2145" spans="4:7">
      <c r="D2145" s="200" t="s">
        <v>2952</v>
      </c>
      <c r="E2145" s="10">
        <v>76448</v>
      </c>
      <c r="F2145" s="201">
        <v>-10</v>
      </c>
      <c r="G2145" s="201">
        <v>11.1</v>
      </c>
    </row>
    <row r="2146" spans="4:7">
      <c r="D2146" s="200" t="s">
        <v>2953</v>
      </c>
      <c r="E2146" s="10">
        <v>76474</v>
      </c>
      <c r="F2146" s="201">
        <v>-10</v>
      </c>
      <c r="G2146" s="201">
        <v>11.1</v>
      </c>
    </row>
    <row r="2147" spans="4:7">
      <c r="D2147" s="200" t="s">
        <v>2954</v>
      </c>
      <c r="E2147" s="10">
        <v>76477</v>
      </c>
      <c r="F2147" s="201">
        <v>-10</v>
      </c>
      <c r="G2147" s="201">
        <v>11.1</v>
      </c>
    </row>
    <row r="2148" spans="4:7">
      <c r="D2148" s="200" t="s">
        <v>2955</v>
      </c>
      <c r="E2148" s="10">
        <v>76479</v>
      </c>
      <c r="F2148" s="201">
        <v>-10</v>
      </c>
      <c r="G2148" s="201">
        <v>11.1</v>
      </c>
    </row>
    <row r="2149" spans="4:7">
      <c r="D2149" s="200" t="s">
        <v>2956</v>
      </c>
      <c r="E2149" s="10">
        <v>76532</v>
      </c>
      <c r="F2149" s="201">
        <v>-10</v>
      </c>
      <c r="G2149" s="201">
        <v>11</v>
      </c>
    </row>
    <row r="2150" spans="4:7">
      <c r="D2150" s="200" t="s">
        <v>2957</v>
      </c>
      <c r="E2150" s="10">
        <v>76661</v>
      </c>
      <c r="F2150" s="201">
        <v>-10</v>
      </c>
      <c r="G2150" s="201">
        <v>11.1</v>
      </c>
    </row>
    <row r="2151" spans="4:7">
      <c r="D2151" s="200" t="s">
        <v>2958</v>
      </c>
      <c r="E2151" s="10">
        <v>76694</v>
      </c>
      <c r="F2151" s="201">
        <v>-10</v>
      </c>
      <c r="G2151" s="201">
        <v>11</v>
      </c>
    </row>
    <row r="2152" spans="4:7">
      <c r="D2152" s="200" t="s">
        <v>2959</v>
      </c>
      <c r="E2152" s="10">
        <v>76707</v>
      </c>
      <c r="F2152" s="201">
        <v>-10</v>
      </c>
      <c r="G2152" s="201">
        <v>11</v>
      </c>
    </row>
    <row r="2153" spans="4:7">
      <c r="D2153" s="200" t="s">
        <v>2960</v>
      </c>
      <c r="E2153" s="10">
        <v>76761</v>
      </c>
      <c r="F2153" s="201">
        <v>-10</v>
      </c>
      <c r="G2153" s="201">
        <v>11</v>
      </c>
    </row>
    <row r="2154" spans="4:7">
      <c r="D2154" s="200" t="s">
        <v>2961</v>
      </c>
      <c r="E2154" s="10">
        <v>76764</v>
      </c>
      <c r="F2154" s="201">
        <v>-10</v>
      </c>
      <c r="G2154" s="201">
        <v>11</v>
      </c>
    </row>
    <row r="2155" spans="4:7">
      <c r="D2155" s="200" t="s">
        <v>2962</v>
      </c>
      <c r="E2155" s="10">
        <v>76767</v>
      </c>
      <c r="F2155" s="201">
        <v>-10</v>
      </c>
      <c r="G2155" s="201">
        <v>11.1</v>
      </c>
    </row>
    <row r="2156" spans="4:7">
      <c r="D2156" s="200" t="s">
        <v>2963</v>
      </c>
      <c r="E2156" s="10">
        <v>76768</v>
      </c>
      <c r="F2156" s="201">
        <v>-10</v>
      </c>
      <c r="G2156" s="201">
        <v>11.1</v>
      </c>
    </row>
    <row r="2157" spans="4:7">
      <c r="D2157" s="200" t="s">
        <v>2964</v>
      </c>
      <c r="E2157" s="10">
        <v>76770</v>
      </c>
      <c r="F2157" s="201">
        <v>-10</v>
      </c>
      <c r="G2157" s="201">
        <v>11</v>
      </c>
    </row>
    <row r="2158" spans="4:7">
      <c r="D2158" s="200" t="s">
        <v>2965</v>
      </c>
      <c r="E2158" s="10">
        <v>76773</v>
      </c>
      <c r="F2158" s="201">
        <v>-10</v>
      </c>
      <c r="G2158" s="201">
        <v>11</v>
      </c>
    </row>
    <row r="2159" spans="4:7">
      <c r="D2159" s="200" t="s">
        <v>2966</v>
      </c>
      <c r="E2159" s="10">
        <v>76776</v>
      </c>
      <c r="F2159" s="201">
        <v>-10</v>
      </c>
      <c r="G2159" s="201">
        <v>11.1</v>
      </c>
    </row>
    <row r="2160" spans="4:7">
      <c r="D2160" s="200" t="s">
        <v>2967</v>
      </c>
      <c r="E2160" s="10">
        <v>76831</v>
      </c>
      <c r="F2160" s="201">
        <v>-10</v>
      </c>
      <c r="G2160" s="201">
        <v>10.7</v>
      </c>
    </row>
    <row r="2161" spans="4:7">
      <c r="D2161" s="200" t="s">
        <v>2968</v>
      </c>
      <c r="E2161" s="10">
        <v>76863</v>
      </c>
      <c r="F2161" s="201">
        <v>-10</v>
      </c>
      <c r="G2161" s="201">
        <v>11</v>
      </c>
    </row>
    <row r="2162" spans="4:7">
      <c r="D2162" s="200" t="s">
        <v>2969</v>
      </c>
      <c r="E2162" s="10">
        <v>76865</v>
      </c>
      <c r="F2162" s="201">
        <v>-10</v>
      </c>
      <c r="G2162" s="201">
        <v>10.8</v>
      </c>
    </row>
    <row r="2163" spans="4:7">
      <c r="D2163" s="200" t="s">
        <v>2970</v>
      </c>
      <c r="E2163" s="10">
        <v>77770</v>
      </c>
      <c r="F2163" s="201">
        <v>-10</v>
      </c>
      <c r="G2163" s="201">
        <v>10.4</v>
      </c>
    </row>
    <row r="2164" spans="4:7">
      <c r="D2164" s="200" t="s">
        <v>2971</v>
      </c>
      <c r="E2164" s="10">
        <v>77790</v>
      </c>
      <c r="F2164" s="201">
        <v>-10</v>
      </c>
      <c r="G2164" s="201">
        <v>10.5</v>
      </c>
    </row>
    <row r="2165" spans="4:7">
      <c r="D2165" s="200" t="s">
        <v>2972</v>
      </c>
      <c r="E2165" s="10">
        <v>77836</v>
      </c>
      <c r="F2165" s="201">
        <v>-10</v>
      </c>
      <c r="G2165" s="201">
        <v>11</v>
      </c>
    </row>
    <row r="2166" spans="4:7">
      <c r="D2166" s="200" t="s">
        <v>2973</v>
      </c>
      <c r="E2166" s="10">
        <v>78259</v>
      </c>
      <c r="F2166" s="201">
        <v>-10</v>
      </c>
      <c r="G2166" s="201">
        <v>9.6</v>
      </c>
    </row>
    <row r="2167" spans="4:7">
      <c r="D2167" s="200" t="s">
        <v>2439</v>
      </c>
      <c r="E2167" s="10">
        <v>79112</v>
      </c>
      <c r="F2167" s="201">
        <v>-10</v>
      </c>
      <c r="G2167" s="201">
        <v>11.1</v>
      </c>
    </row>
    <row r="2168" spans="4:7">
      <c r="D2168" s="200" t="s">
        <v>2974</v>
      </c>
      <c r="E2168" s="10">
        <v>79189</v>
      </c>
      <c r="F2168" s="201">
        <v>-10</v>
      </c>
      <c r="G2168" s="201">
        <v>10.9</v>
      </c>
    </row>
    <row r="2169" spans="4:7">
      <c r="D2169" s="200" t="s">
        <v>2975</v>
      </c>
      <c r="E2169" s="10">
        <v>79224</v>
      </c>
      <c r="F2169" s="201">
        <v>-10</v>
      </c>
      <c r="G2169" s="201">
        <v>11.2</v>
      </c>
    </row>
    <row r="2170" spans="4:7">
      <c r="D2170" s="200" t="s">
        <v>2976</v>
      </c>
      <c r="E2170" s="10">
        <v>79227</v>
      </c>
      <c r="F2170" s="201">
        <v>-10</v>
      </c>
      <c r="G2170" s="201">
        <v>11</v>
      </c>
    </row>
    <row r="2171" spans="4:7">
      <c r="D2171" s="200" t="s">
        <v>2977</v>
      </c>
      <c r="E2171" s="10">
        <v>79258</v>
      </c>
      <c r="F2171" s="201">
        <v>-10</v>
      </c>
      <c r="G2171" s="201">
        <v>11</v>
      </c>
    </row>
    <row r="2172" spans="4:7">
      <c r="D2172" s="200" t="s">
        <v>2978</v>
      </c>
      <c r="E2172" s="10">
        <v>79331</v>
      </c>
      <c r="F2172" s="201">
        <v>-10</v>
      </c>
      <c r="G2172" s="201">
        <v>11.2</v>
      </c>
    </row>
    <row r="2173" spans="4:7">
      <c r="D2173" s="200" t="s">
        <v>2979</v>
      </c>
      <c r="E2173" s="10">
        <v>79353</v>
      </c>
      <c r="F2173" s="201">
        <v>-10</v>
      </c>
      <c r="G2173" s="201">
        <v>11.1</v>
      </c>
    </row>
    <row r="2174" spans="4:7">
      <c r="D2174" s="200" t="s">
        <v>2980</v>
      </c>
      <c r="E2174" s="10">
        <v>79423</v>
      </c>
      <c r="F2174" s="201">
        <v>-10</v>
      </c>
      <c r="G2174" s="201">
        <v>10.9</v>
      </c>
    </row>
    <row r="2175" spans="4:7">
      <c r="D2175" s="200" t="s">
        <v>2981</v>
      </c>
      <c r="E2175" s="10">
        <v>79539</v>
      </c>
      <c r="F2175" s="201">
        <v>-10</v>
      </c>
      <c r="G2175" s="201">
        <v>10.8</v>
      </c>
    </row>
    <row r="2176" spans="4:7">
      <c r="D2176" s="200" t="s">
        <v>2982</v>
      </c>
      <c r="E2176" s="10">
        <v>79725</v>
      </c>
      <c r="F2176" s="201">
        <v>-10</v>
      </c>
      <c r="G2176" s="201">
        <v>9.8000000000000007</v>
      </c>
    </row>
    <row r="2177" spans="4:7">
      <c r="D2177" s="200" t="s">
        <v>2983</v>
      </c>
      <c r="E2177" s="10">
        <v>79761</v>
      </c>
      <c r="F2177" s="201">
        <v>-10</v>
      </c>
      <c r="G2177" s="201">
        <v>9.6999999999999993</v>
      </c>
    </row>
    <row r="2178" spans="4:7">
      <c r="D2178" s="200" t="s">
        <v>2777</v>
      </c>
      <c r="E2178" s="10">
        <v>88214</v>
      </c>
      <c r="F2178" s="201">
        <v>-10</v>
      </c>
      <c r="G2178" s="201">
        <v>9.5</v>
      </c>
    </row>
    <row r="2179" spans="4:7">
      <c r="D2179" s="200" t="s">
        <v>2984</v>
      </c>
      <c r="E2179" s="10">
        <v>18107</v>
      </c>
      <c r="F2179" s="201">
        <v>-10.1</v>
      </c>
      <c r="G2179" s="201">
        <v>9.4</v>
      </c>
    </row>
    <row r="2180" spans="4:7">
      <c r="D2180" s="200" t="s">
        <v>2985</v>
      </c>
      <c r="E2180" s="10">
        <v>21217</v>
      </c>
      <c r="F2180" s="201">
        <v>-10.1</v>
      </c>
      <c r="G2180" s="201">
        <v>9.3000000000000007</v>
      </c>
    </row>
    <row r="2181" spans="4:7">
      <c r="D2181" s="200" t="s">
        <v>2985</v>
      </c>
      <c r="E2181" s="10">
        <v>21218</v>
      </c>
      <c r="F2181" s="201">
        <v>-10.1</v>
      </c>
      <c r="G2181" s="201">
        <v>9.1999999999999993</v>
      </c>
    </row>
    <row r="2182" spans="4:7">
      <c r="D2182" s="200" t="s">
        <v>2986</v>
      </c>
      <c r="E2182" s="10">
        <v>21244</v>
      </c>
      <c r="F2182" s="201">
        <v>-10.1</v>
      </c>
      <c r="G2182" s="201">
        <v>9.3000000000000007</v>
      </c>
    </row>
    <row r="2183" spans="4:7">
      <c r="D2183" s="200" t="s">
        <v>2987</v>
      </c>
      <c r="E2183" s="10">
        <v>21255</v>
      </c>
      <c r="F2183" s="201">
        <v>-10.1</v>
      </c>
      <c r="G2183" s="201">
        <v>9.1999999999999993</v>
      </c>
    </row>
    <row r="2184" spans="4:7">
      <c r="D2184" s="200" t="s">
        <v>2988</v>
      </c>
      <c r="E2184" s="10">
        <v>21644</v>
      </c>
      <c r="F2184" s="201">
        <v>-10.1</v>
      </c>
      <c r="G2184" s="201">
        <v>9.1</v>
      </c>
    </row>
    <row r="2185" spans="4:7">
      <c r="D2185" s="200" t="s">
        <v>2989</v>
      </c>
      <c r="E2185" s="10">
        <v>21702</v>
      </c>
      <c r="F2185" s="201">
        <v>-10.1</v>
      </c>
      <c r="G2185" s="201">
        <v>9.1999999999999993</v>
      </c>
    </row>
    <row r="2186" spans="4:7">
      <c r="D2186" s="200" t="s">
        <v>2990</v>
      </c>
      <c r="E2186" s="10">
        <v>22926</v>
      </c>
      <c r="F2186" s="201">
        <v>-10.1</v>
      </c>
      <c r="G2186" s="201">
        <v>9.4</v>
      </c>
    </row>
    <row r="2187" spans="4:7">
      <c r="D2187" s="200" t="s">
        <v>2991</v>
      </c>
      <c r="E2187" s="10">
        <v>23629</v>
      </c>
      <c r="F2187" s="201">
        <v>-10.1</v>
      </c>
      <c r="G2187" s="201">
        <v>9</v>
      </c>
    </row>
    <row r="2188" spans="4:7">
      <c r="D2188" s="200" t="s">
        <v>2992</v>
      </c>
      <c r="E2188" s="10">
        <v>23701</v>
      </c>
      <c r="F2188" s="201">
        <v>-10.1</v>
      </c>
      <c r="G2188" s="201">
        <v>8.9</v>
      </c>
    </row>
    <row r="2189" spans="4:7">
      <c r="D2189" s="200" t="s">
        <v>2993</v>
      </c>
      <c r="E2189" s="10">
        <v>23719</v>
      </c>
      <c r="F2189" s="201">
        <v>-10.1</v>
      </c>
      <c r="G2189" s="201">
        <v>8.9</v>
      </c>
    </row>
    <row r="2190" spans="4:7">
      <c r="D2190" s="200" t="s">
        <v>2994</v>
      </c>
      <c r="E2190" s="10">
        <v>23812</v>
      </c>
      <c r="F2190" s="201">
        <v>-10.1</v>
      </c>
      <c r="G2190" s="201">
        <v>8.9</v>
      </c>
    </row>
    <row r="2191" spans="4:7">
      <c r="D2191" s="200" t="s">
        <v>2995</v>
      </c>
      <c r="E2191" s="10">
        <v>24558</v>
      </c>
      <c r="F2191" s="201">
        <v>-10.1</v>
      </c>
      <c r="G2191" s="201">
        <v>9</v>
      </c>
    </row>
    <row r="2192" spans="4:7">
      <c r="D2192" s="200" t="s">
        <v>2996</v>
      </c>
      <c r="E2192" s="10">
        <v>24643</v>
      </c>
      <c r="F2192" s="201">
        <v>-10.1</v>
      </c>
      <c r="G2192" s="201">
        <v>9.1</v>
      </c>
    </row>
    <row r="2193" spans="4:7">
      <c r="D2193" s="200" t="s">
        <v>2997</v>
      </c>
      <c r="E2193" s="10">
        <v>25462</v>
      </c>
      <c r="F2193" s="201">
        <v>-10.1</v>
      </c>
      <c r="G2193" s="201">
        <v>9.1999999999999993</v>
      </c>
    </row>
    <row r="2194" spans="4:7">
      <c r="D2194" s="200" t="s">
        <v>2998</v>
      </c>
      <c r="E2194" s="10">
        <v>25494</v>
      </c>
      <c r="F2194" s="201">
        <v>-10.1</v>
      </c>
      <c r="G2194" s="201">
        <v>9.1</v>
      </c>
    </row>
    <row r="2195" spans="4:7">
      <c r="D2195" s="200" t="s">
        <v>2999</v>
      </c>
      <c r="E2195" s="10">
        <v>25499</v>
      </c>
      <c r="F2195" s="201">
        <v>-10.1</v>
      </c>
      <c r="G2195" s="201">
        <v>9.1999999999999993</v>
      </c>
    </row>
    <row r="2196" spans="4:7">
      <c r="D2196" s="200" t="s">
        <v>3000</v>
      </c>
      <c r="E2196" s="10">
        <v>27252</v>
      </c>
      <c r="F2196" s="201">
        <v>-10.1</v>
      </c>
      <c r="G2196" s="201">
        <v>9.6999999999999993</v>
      </c>
    </row>
    <row r="2197" spans="4:7">
      <c r="D2197" s="200" t="s">
        <v>3001</v>
      </c>
      <c r="E2197" s="10">
        <v>27283</v>
      </c>
      <c r="F2197" s="201">
        <v>-10.1</v>
      </c>
      <c r="G2197" s="201">
        <v>9.6</v>
      </c>
    </row>
    <row r="2198" spans="4:7">
      <c r="D2198" s="200" t="s">
        <v>3002</v>
      </c>
      <c r="E2198" s="10">
        <v>27356</v>
      </c>
      <c r="F2198" s="201">
        <v>-10.1</v>
      </c>
      <c r="G2198" s="201">
        <v>9.4</v>
      </c>
    </row>
    <row r="2199" spans="4:7">
      <c r="D2199" s="200" t="s">
        <v>3003</v>
      </c>
      <c r="E2199" s="10">
        <v>27386</v>
      </c>
      <c r="F2199" s="201">
        <v>-10.1</v>
      </c>
      <c r="G2199" s="201">
        <v>9.4</v>
      </c>
    </row>
    <row r="2200" spans="4:7">
      <c r="D2200" s="200" t="s">
        <v>3004</v>
      </c>
      <c r="E2200" s="10">
        <v>27419</v>
      </c>
      <c r="F2200" s="201">
        <v>-10.1</v>
      </c>
      <c r="G2200" s="201">
        <v>9.1999999999999993</v>
      </c>
    </row>
    <row r="2201" spans="4:7">
      <c r="D2201" s="200" t="s">
        <v>3005</v>
      </c>
      <c r="E2201" s="10">
        <v>27446</v>
      </c>
      <c r="F2201" s="201">
        <v>-10.1</v>
      </c>
      <c r="G2201" s="201">
        <v>9.1999999999999993</v>
      </c>
    </row>
    <row r="2202" spans="4:7">
      <c r="D2202" s="200" t="s">
        <v>3006</v>
      </c>
      <c r="E2202" s="10">
        <v>32257</v>
      </c>
      <c r="F2202" s="201">
        <v>-10.1</v>
      </c>
      <c r="G2202" s="201">
        <v>10</v>
      </c>
    </row>
    <row r="2203" spans="4:7">
      <c r="D2203" s="200" t="s">
        <v>3007</v>
      </c>
      <c r="E2203" s="10">
        <v>32278</v>
      </c>
      <c r="F2203" s="201">
        <v>-10.1</v>
      </c>
      <c r="G2203" s="201">
        <v>9.8000000000000007</v>
      </c>
    </row>
    <row r="2204" spans="4:7">
      <c r="D2204" s="200" t="s">
        <v>3008</v>
      </c>
      <c r="E2204" s="10">
        <v>32289</v>
      </c>
      <c r="F2204" s="201">
        <v>-10.1</v>
      </c>
      <c r="G2204" s="201">
        <v>9.8000000000000007</v>
      </c>
    </row>
    <row r="2205" spans="4:7">
      <c r="D2205" s="200" t="s">
        <v>3009</v>
      </c>
      <c r="E2205" s="10">
        <v>32312</v>
      </c>
      <c r="F2205" s="201">
        <v>-10.1</v>
      </c>
      <c r="G2205" s="201">
        <v>10.1</v>
      </c>
    </row>
    <row r="2206" spans="4:7">
      <c r="D2206" s="200" t="s">
        <v>3010</v>
      </c>
      <c r="E2206" s="10">
        <v>32609</v>
      </c>
      <c r="F2206" s="201">
        <v>-10.1</v>
      </c>
      <c r="G2206" s="201">
        <v>9.8000000000000007</v>
      </c>
    </row>
    <row r="2207" spans="4:7">
      <c r="D2207" s="200" t="s">
        <v>3011</v>
      </c>
      <c r="E2207" s="10">
        <v>33154</v>
      </c>
      <c r="F2207" s="201">
        <v>-10.1</v>
      </c>
      <c r="G2207" s="201">
        <v>10.1</v>
      </c>
    </row>
    <row r="2208" spans="4:7">
      <c r="D2208" s="200" t="s">
        <v>2385</v>
      </c>
      <c r="E2208" s="10">
        <v>33335</v>
      </c>
      <c r="F2208" s="201">
        <v>-10.1</v>
      </c>
      <c r="G2208" s="201">
        <v>10</v>
      </c>
    </row>
    <row r="2209" spans="4:7">
      <c r="D2209" s="200" t="s">
        <v>3012</v>
      </c>
      <c r="E2209" s="10">
        <v>33397</v>
      </c>
      <c r="F2209" s="201">
        <v>-10.1</v>
      </c>
      <c r="G2209" s="201">
        <v>10.199999999999999</v>
      </c>
    </row>
    <row r="2210" spans="4:7">
      <c r="D2210" s="200" t="s">
        <v>3013</v>
      </c>
      <c r="E2210" s="10">
        <v>33449</v>
      </c>
      <c r="F2210" s="201">
        <v>-10.1</v>
      </c>
      <c r="G2210" s="201">
        <v>10.1</v>
      </c>
    </row>
    <row r="2211" spans="4:7">
      <c r="D2211" s="200" t="s">
        <v>1926</v>
      </c>
      <c r="E2211" s="10">
        <v>33605</v>
      </c>
      <c r="F2211" s="201">
        <v>-10.1</v>
      </c>
      <c r="G2211" s="201">
        <v>9.8000000000000007</v>
      </c>
    </row>
    <row r="2212" spans="4:7">
      <c r="D2212" s="200" t="s">
        <v>1926</v>
      </c>
      <c r="E2212" s="10">
        <v>33649</v>
      </c>
      <c r="F2212" s="201">
        <v>-10.1</v>
      </c>
      <c r="G2212" s="201">
        <v>10</v>
      </c>
    </row>
    <row r="2213" spans="4:7">
      <c r="D2213" s="200" t="s">
        <v>1926</v>
      </c>
      <c r="E2213" s="10">
        <v>33739</v>
      </c>
      <c r="F2213" s="201">
        <v>-10.1</v>
      </c>
      <c r="G2213" s="201">
        <v>9.6999999999999993</v>
      </c>
    </row>
    <row r="2214" spans="4:7">
      <c r="D2214" s="200" t="s">
        <v>3014</v>
      </c>
      <c r="E2214" s="10">
        <v>33775</v>
      </c>
      <c r="F2214" s="201">
        <v>-10.1</v>
      </c>
      <c r="G2214" s="201">
        <v>10.1</v>
      </c>
    </row>
    <row r="2215" spans="4:7">
      <c r="D2215" s="200" t="s">
        <v>3015</v>
      </c>
      <c r="E2215" s="10">
        <v>33790</v>
      </c>
      <c r="F2215" s="201">
        <v>-10.1</v>
      </c>
      <c r="G2215" s="201">
        <v>10</v>
      </c>
    </row>
    <row r="2216" spans="4:7">
      <c r="D2216" s="200" t="s">
        <v>3016</v>
      </c>
      <c r="E2216" s="10">
        <v>33818</v>
      </c>
      <c r="F2216" s="201">
        <v>-10.1</v>
      </c>
      <c r="G2216" s="201">
        <v>9.8000000000000007</v>
      </c>
    </row>
    <row r="2217" spans="4:7">
      <c r="D2217" s="200" t="s">
        <v>3017</v>
      </c>
      <c r="E2217" s="10">
        <v>33829</v>
      </c>
      <c r="F2217" s="201">
        <v>-10.1</v>
      </c>
      <c r="G2217" s="201">
        <v>9.6999999999999993</v>
      </c>
    </row>
    <row r="2218" spans="4:7">
      <c r="D2218" s="200" t="s">
        <v>3018</v>
      </c>
      <c r="E2218" s="10">
        <v>34117</v>
      </c>
      <c r="F2218" s="201">
        <v>-10.1</v>
      </c>
      <c r="G2218" s="201">
        <v>10.3</v>
      </c>
    </row>
    <row r="2219" spans="4:7">
      <c r="D2219" s="200" t="s">
        <v>3019</v>
      </c>
      <c r="E2219" s="10">
        <v>49152</v>
      </c>
      <c r="F2219" s="201">
        <v>-10.1</v>
      </c>
      <c r="G2219" s="201">
        <v>10</v>
      </c>
    </row>
    <row r="2220" spans="4:7">
      <c r="D2220" s="200" t="s">
        <v>2676</v>
      </c>
      <c r="E2220" s="10">
        <v>49328</v>
      </c>
      <c r="F2220" s="201">
        <v>-10.1</v>
      </c>
      <c r="G2220" s="201">
        <v>9.9</v>
      </c>
    </row>
    <row r="2221" spans="4:7">
      <c r="D2221" s="200" t="s">
        <v>3020</v>
      </c>
      <c r="E2221" s="10">
        <v>51709</v>
      </c>
      <c r="F2221" s="201">
        <v>-10.1</v>
      </c>
      <c r="G2221" s="201">
        <v>8.9</v>
      </c>
    </row>
    <row r="2222" spans="4:7">
      <c r="D2222" s="200" t="s">
        <v>3021</v>
      </c>
      <c r="E2222" s="10">
        <v>53505</v>
      </c>
      <c r="F2222" s="201">
        <v>-10.1</v>
      </c>
      <c r="G2222" s="201">
        <v>9.3000000000000007</v>
      </c>
    </row>
    <row r="2223" spans="4:7">
      <c r="D2223" s="200" t="s">
        <v>3022</v>
      </c>
      <c r="E2223" s="10">
        <v>54451</v>
      </c>
      <c r="F2223" s="201">
        <v>-10.1</v>
      </c>
      <c r="G2223" s="201">
        <v>9.3000000000000007</v>
      </c>
    </row>
    <row r="2224" spans="4:7">
      <c r="D2224" s="200" t="s">
        <v>3023</v>
      </c>
      <c r="E2224" s="10">
        <v>54487</v>
      </c>
      <c r="F2224" s="201">
        <v>-10.1</v>
      </c>
      <c r="G2224" s="201">
        <v>9.3000000000000007</v>
      </c>
    </row>
    <row r="2225" spans="4:7">
      <c r="D2225" s="200" t="s">
        <v>3024</v>
      </c>
      <c r="E2225" s="10">
        <v>54533</v>
      </c>
      <c r="F2225" s="201">
        <v>-10.1</v>
      </c>
      <c r="G2225" s="201">
        <v>9.5</v>
      </c>
    </row>
    <row r="2226" spans="4:7">
      <c r="D2226" s="200" t="s">
        <v>1851</v>
      </c>
      <c r="E2226" s="10">
        <v>55127</v>
      </c>
      <c r="F2226" s="201">
        <v>-10.1</v>
      </c>
      <c r="G2226" s="201">
        <v>10.199999999999999</v>
      </c>
    </row>
    <row r="2227" spans="4:7">
      <c r="D2227" s="200" t="s">
        <v>3025</v>
      </c>
      <c r="E2227" s="10">
        <v>55234</v>
      </c>
      <c r="F2227" s="201">
        <v>-10.1</v>
      </c>
      <c r="G2227" s="201">
        <v>10.3</v>
      </c>
    </row>
    <row r="2228" spans="4:7">
      <c r="D2228" s="200" t="s">
        <v>3026</v>
      </c>
      <c r="E2228" s="10">
        <v>55239</v>
      </c>
      <c r="F2228" s="201">
        <v>-10.1</v>
      </c>
      <c r="G2228" s="201">
        <v>10.6</v>
      </c>
    </row>
    <row r="2229" spans="4:7">
      <c r="D2229" s="200" t="s">
        <v>3027</v>
      </c>
      <c r="E2229" s="10">
        <v>55276</v>
      </c>
      <c r="F2229" s="201">
        <v>-10.1</v>
      </c>
      <c r="G2229" s="201">
        <v>10.9</v>
      </c>
    </row>
    <row r="2230" spans="4:7">
      <c r="D2230" s="200" t="s">
        <v>3028</v>
      </c>
      <c r="E2230" s="10">
        <v>55278</v>
      </c>
      <c r="F2230" s="201">
        <v>-10.1</v>
      </c>
      <c r="G2230" s="201">
        <v>10.6</v>
      </c>
    </row>
    <row r="2231" spans="4:7">
      <c r="D2231" s="200" t="s">
        <v>3029</v>
      </c>
      <c r="E2231" s="10">
        <v>55430</v>
      </c>
      <c r="F2231" s="201">
        <v>-10.1</v>
      </c>
      <c r="G2231" s="201">
        <v>9.6</v>
      </c>
    </row>
    <row r="2232" spans="4:7">
      <c r="D2232" s="200" t="s">
        <v>3030</v>
      </c>
      <c r="E2232" s="10">
        <v>55437</v>
      </c>
      <c r="F2232" s="201">
        <v>-10.1</v>
      </c>
      <c r="G2232" s="201">
        <v>10.3</v>
      </c>
    </row>
    <row r="2233" spans="4:7">
      <c r="D2233" s="200" t="s">
        <v>3031</v>
      </c>
      <c r="E2233" s="10">
        <v>55452</v>
      </c>
      <c r="F2233" s="201">
        <v>-10.1</v>
      </c>
      <c r="G2233" s="201">
        <v>9.9</v>
      </c>
    </row>
    <row r="2234" spans="4:7">
      <c r="D2234" s="200" t="s">
        <v>3032</v>
      </c>
      <c r="E2234" s="10">
        <v>55568</v>
      </c>
      <c r="F2234" s="201">
        <v>-10.1</v>
      </c>
      <c r="G2234" s="201">
        <v>9.6999999999999993</v>
      </c>
    </row>
    <row r="2235" spans="4:7">
      <c r="D2235" s="200" t="s">
        <v>3033</v>
      </c>
      <c r="E2235" s="10">
        <v>55578</v>
      </c>
      <c r="F2235" s="201">
        <v>-10.1</v>
      </c>
      <c r="G2235" s="201">
        <v>10.4</v>
      </c>
    </row>
    <row r="2236" spans="4:7">
      <c r="D2236" s="200" t="s">
        <v>2280</v>
      </c>
      <c r="E2236" s="10">
        <v>55583</v>
      </c>
      <c r="F2236" s="201">
        <v>-10.1</v>
      </c>
      <c r="G2236" s="201">
        <v>10.3</v>
      </c>
    </row>
    <row r="2237" spans="4:7">
      <c r="D2237" s="200" t="s">
        <v>3034</v>
      </c>
      <c r="E2237" s="10">
        <v>55592</v>
      </c>
      <c r="F2237" s="201">
        <v>-10.1</v>
      </c>
      <c r="G2237" s="201">
        <v>9.6999999999999993</v>
      </c>
    </row>
    <row r="2238" spans="4:7">
      <c r="D2238" s="200" t="s">
        <v>3035</v>
      </c>
      <c r="E2238" s="10">
        <v>55593</v>
      </c>
      <c r="F2238" s="201">
        <v>-10.1</v>
      </c>
      <c r="G2238" s="201">
        <v>10.4</v>
      </c>
    </row>
    <row r="2239" spans="4:7">
      <c r="D2239" s="200" t="s">
        <v>3036</v>
      </c>
      <c r="E2239" s="10">
        <v>55597</v>
      </c>
      <c r="F2239" s="201">
        <v>-10.1</v>
      </c>
      <c r="G2239" s="201">
        <v>10.5</v>
      </c>
    </row>
    <row r="2240" spans="4:7">
      <c r="D2240" s="200" t="s">
        <v>1705</v>
      </c>
      <c r="E2240" s="10">
        <v>56075</v>
      </c>
      <c r="F2240" s="201">
        <v>-10.1</v>
      </c>
      <c r="G2240" s="201">
        <v>9.4</v>
      </c>
    </row>
    <row r="2241" spans="4:7" ht="30">
      <c r="D2241" s="200" t="s">
        <v>3037</v>
      </c>
      <c r="E2241" s="10">
        <v>56283</v>
      </c>
      <c r="F2241" s="201">
        <v>-10.1</v>
      </c>
      <c r="G2241" s="201">
        <v>9.5</v>
      </c>
    </row>
    <row r="2242" spans="4:7">
      <c r="D2242" s="200" t="s">
        <v>3038</v>
      </c>
      <c r="E2242" s="10">
        <v>56290</v>
      </c>
      <c r="F2242" s="201">
        <v>-10.1</v>
      </c>
      <c r="G2242" s="201">
        <v>9.4</v>
      </c>
    </row>
    <row r="2243" spans="4:7">
      <c r="D2243" s="200" t="s">
        <v>3039</v>
      </c>
      <c r="E2243" s="10">
        <v>56307</v>
      </c>
      <c r="F2243" s="201">
        <v>-10.1</v>
      </c>
      <c r="G2243" s="201">
        <v>9.3000000000000007</v>
      </c>
    </row>
    <row r="2244" spans="4:7">
      <c r="D2244" s="200" t="s">
        <v>3040</v>
      </c>
      <c r="E2244" s="10">
        <v>56323</v>
      </c>
      <c r="F2244" s="201">
        <v>-10.1</v>
      </c>
      <c r="G2244" s="201">
        <v>9.3000000000000007</v>
      </c>
    </row>
    <row r="2245" spans="4:7">
      <c r="D2245" s="200" t="s">
        <v>3041</v>
      </c>
      <c r="E2245" s="10">
        <v>56338</v>
      </c>
      <c r="F2245" s="201">
        <v>-10.1</v>
      </c>
      <c r="G2245" s="201">
        <v>9.1999999999999993</v>
      </c>
    </row>
    <row r="2246" spans="4:7">
      <c r="D2246" s="200" t="s">
        <v>3042</v>
      </c>
      <c r="E2246" s="10">
        <v>56428</v>
      </c>
      <c r="F2246" s="201">
        <v>-10.1</v>
      </c>
      <c r="G2246" s="201">
        <v>9.3000000000000007</v>
      </c>
    </row>
    <row r="2247" spans="4:7">
      <c r="D2247" s="200" t="s">
        <v>3043</v>
      </c>
      <c r="E2247" s="10">
        <v>56584</v>
      </c>
      <c r="F2247" s="201">
        <v>-10.1</v>
      </c>
      <c r="G2247" s="201">
        <v>9.4</v>
      </c>
    </row>
    <row r="2248" spans="4:7">
      <c r="D2248" s="200" t="s">
        <v>3044</v>
      </c>
      <c r="E2248" s="10">
        <v>56861</v>
      </c>
      <c r="F2248" s="201">
        <v>-10.1</v>
      </c>
      <c r="G2248" s="201">
        <v>9.4</v>
      </c>
    </row>
    <row r="2249" spans="4:7">
      <c r="D2249" s="200" t="s">
        <v>2293</v>
      </c>
      <c r="E2249" s="10">
        <v>57078</v>
      </c>
      <c r="F2249" s="201">
        <v>-10.1</v>
      </c>
      <c r="G2249" s="201">
        <v>9.1999999999999993</v>
      </c>
    </row>
    <row r="2250" spans="4:7">
      <c r="D2250" s="200" t="s">
        <v>3045</v>
      </c>
      <c r="E2250" s="10">
        <v>57258</v>
      </c>
      <c r="F2250" s="201">
        <v>-10.1</v>
      </c>
      <c r="G2250" s="201">
        <v>9.1999999999999993</v>
      </c>
    </row>
    <row r="2251" spans="4:7">
      <c r="D2251" s="200" t="s">
        <v>3046</v>
      </c>
      <c r="E2251" s="10">
        <v>57580</v>
      </c>
      <c r="F2251" s="201">
        <v>-10.1</v>
      </c>
      <c r="G2251" s="201">
        <v>9</v>
      </c>
    </row>
    <row r="2252" spans="4:7">
      <c r="D2252" s="200" t="s">
        <v>3047</v>
      </c>
      <c r="E2252" s="10">
        <v>57627</v>
      </c>
      <c r="F2252" s="201">
        <v>-10.1</v>
      </c>
      <c r="G2252" s="201">
        <v>9.3000000000000007</v>
      </c>
    </row>
    <row r="2253" spans="4:7">
      <c r="D2253" s="200" t="s">
        <v>3048</v>
      </c>
      <c r="E2253" s="10">
        <v>57629</v>
      </c>
      <c r="F2253" s="201">
        <v>-10.1</v>
      </c>
      <c r="G2253" s="201">
        <v>9.3000000000000007</v>
      </c>
    </row>
    <row r="2254" spans="4:7">
      <c r="D2254" s="200" t="s">
        <v>3049</v>
      </c>
      <c r="E2254" s="10">
        <v>57645</v>
      </c>
      <c r="F2254" s="201">
        <v>-10.1</v>
      </c>
      <c r="G2254" s="201">
        <v>9</v>
      </c>
    </row>
    <row r="2255" spans="4:7">
      <c r="D2255" s="200" t="s">
        <v>3050</v>
      </c>
      <c r="E2255" s="10">
        <v>57647</v>
      </c>
      <c r="F2255" s="201">
        <v>-10.1</v>
      </c>
      <c r="G2255" s="201">
        <v>9.1999999999999993</v>
      </c>
    </row>
    <row r="2256" spans="4:7">
      <c r="D2256" s="200" t="s">
        <v>2139</v>
      </c>
      <c r="E2256" s="10">
        <v>58644</v>
      </c>
      <c r="F2256" s="201">
        <v>-10.1</v>
      </c>
      <c r="G2256" s="201">
        <v>9</v>
      </c>
    </row>
    <row r="2257" spans="4:7">
      <c r="D2257" s="200" t="s">
        <v>3051</v>
      </c>
      <c r="E2257" s="10">
        <v>59302</v>
      </c>
      <c r="F2257" s="201">
        <v>-10.1</v>
      </c>
      <c r="G2257" s="201">
        <v>10</v>
      </c>
    </row>
    <row r="2258" spans="4:7">
      <c r="D2258" s="200" t="s">
        <v>3052</v>
      </c>
      <c r="E2258" s="10">
        <v>59590</v>
      </c>
      <c r="F2258" s="201">
        <v>-10.1</v>
      </c>
      <c r="G2258" s="201">
        <v>10</v>
      </c>
    </row>
    <row r="2259" spans="4:7">
      <c r="D2259" s="200" t="s">
        <v>1771</v>
      </c>
      <c r="E2259" s="10">
        <v>60388</v>
      </c>
      <c r="F2259" s="201">
        <v>-10.1</v>
      </c>
      <c r="G2259" s="201">
        <v>10.5</v>
      </c>
    </row>
    <row r="2260" spans="4:7">
      <c r="D2260" s="200" t="s">
        <v>3053</v>
      </c>
      <c r="E2260" s="10">
        <v>61184</v>
      </c>
      <c r="F2260" s="201">
        <v>-10.1</v>
      </c>
      <c r="G2260" s="201">
        <v>10.6</v>
      </c>
    </row>
    <row r="2261" spans="4:7">
      <c r="D2261" s="200" t="s">
        <v>3054</v>
      </c>
      <c r="E2261" s="10">
        <v>61449</v>
      </c>
      <c r="F2261" s="201">
        <v>-10.1</v>
      </c>
      <c r="G2261" s="201">
        <v>10.3</v>
      </c>
    </row>
    <row r="2262" spans="4:7">
      <c r="D2262" s="200" t="s">
        <v>3055</v>
      </c>
      <c r="E2262" s="10">
        <v>63128</v>
      </c>
      <c r="F2262" s="201">
        <v>-10.1</v>
      </c>
      <c r="G2262" s="201">
        <v>10.6</v>
      </c>
    </row>
    <row r="2263" spans="4:7">
      <c r="D2263" s="200" t="s">
        <v>3056</v>
      </c>
      <c r="E2263" s="10">
        <v>63303</v>
      </c>
      <c r="F2263" s="201">
        <v>-10.1</v>
      </c>
      <c r="G2263" s="201">
        <v>10.5</v>
      </c>
    </row>
    <row r="2264" spans="4:7">
      <c r="D2264" s="200" t="s">
        <v>2354</v>
      </c>
      <c r="E2264" s="10">
        <v>63454</v>
      </c>
      <c r="F2264" s="201">
        <v>-10.1</v>
      </c>
      <c r="G2264" s="201">
        <v>10.7</v>
      </c>
    </row>
    <row r="2265" spans="4:7">
      <c r="D2265" s="200" t="s">
        <v>2719</v>
      </c>
      <c r="E2265" s="10">
        <v>63739</v>
      </c>
      <c r="F2265" s="201">
        <v>-10.1</v>
      </c>
      <c r="G2265" s="201">
        <v>10.7</v>
      </c>
    </row>
    <row r="2266" spans="4:7">
      <c r="D2266" s="200" t="s">
        <v>1994</v>
      </c>
      <c r="E2266" s="10">
        <v>64297</v>
      </c>
      <c r="F2266" s="201">
        <v>-10.1</v>
      </c>
      <c r="G2266" s="201">
        <v>10.7</v>
      </c>
    </row>
    <row r="2267" spans="4:7">
      <c r="D2267" s="200" t="s">
        <v>3057</v>
      </c>
      <c r="E2267" s="10">
        <v>64319</v>
      </c>
      <c r="F2267" s="201">
        <v>-10.1</v>
      </c>
      <c r="G2267" s="201">
        <v>10.9</v>
      </c>
    </row>
    <row r="2268" spans="4:7">
      <c r="D2268" s="200" t="s">
        <v>3058</v>
      </c>
      <c r="E2268" s="10">
        <v>64589</v>
      </c>
      <c r="F2268" s="201">
        <v>-10.1</v>
      </c>
      <c r="G2268" s="201">
        <v>10.9</v>
      </c>
    </row>
    <row r="2269" spans="4:7">
      <c r="D2269" s="200" t="s">
        <v>3059</v>
      </c>
      <c r="E2269" s="10">
        <v>64668</v>
      </c>
      <c r="F2269" s="201">
        <v>-10.1</v>
      </c>
      <c r="G2269" s="201">
        <v>10.5</v>
      </c>
    </row>
    <row r="2270" spans="4:7">
      <c r="D2270" s="200" t="s">
        <v>3060</v>
      </c>
      <c r="E2270" s="10">
        <v>64832</v>
      </c>
      <c r="F2270" s="201">
        <v>-10.1</v>
      </c>
      <c r="G2270" s="201">
        <v>10.8</v>
      </c>
    </row>
    <row r="2271" spans="4:7">
      <c r="D2271" s="200" t="s">
        <v>3061</v>
      </c>
      <c r="E2271" s="10">
        <v>65326</v>
      </c>
      <c r="F2271" s="201">
        <v>-10.1</v>
      </c>
      <c r="G2271" s="201">
        <v>9.8000000000000007</v>
      </c>
    </row>
    <row r="2272" spans="4:7">
      <c r="D2272" s="200" t="s">
        <v>2305</v>
      </c>
      <c r="E2272" s="10">
        <v>65554</v>
      </c>
      <c r="F2272" s="201">
        <v>-10.1</v>
      </c>
      <c r="G2272" s="201">
        <v>9.9</v>
      </c>
    </row>
    <row r="2273" spans="4:7">
      <c r="D2273" s="200" t="s">
        <v>3062</v>
      </c>
      <c r="E2273" s="10">
        <v>65558</v>
      </c>
      <c r="F2273" s="201">
        <v>-10.1</v>
      </c>
      <c r="G2273" s="201">
        <v>9.6999999999999993</v>
      </c>
    </row>
    <row r="2274" spans="4:7">
      <c r="D2274" s="200" t="s">
        <v>3063</v>
      </c>
      <c r="E2274" s="10">
        <v>65589</v>
      </c>
      <c r="F2274" s="201">
        <v>-10.1</v>
      </c>
      <c r="G2274" s="201">
        <v>9.9</v>
      </c>
    </row>
    <row r="2275" spans="4:7">
      <c r="D2275" s="200" t="s">
        <v>3064</v>
      </c>
      <c r="E2275" s="10">
        <v>65594</v>
      </c>
      <c r="F2275" s="201">
        <v>-10.1</v>
      </c>
      <c r="G2275" s="201">
        <v>10</v>
      </c>
    </row>
    <row r="2276" spans="4:7">
      <c r="D2276" s="200" t="s">
        <v>3065</v>
      </c>
      <c r="E2276" s="10">
        <v>65597</v>
      </c>
      <c r="F2276" s="201">
        <v>-10.1</v>
      </c>
      <c r="G2276" s="201">
        <v>9.6999999999999993</v>
      </c>
    </row>
    <row r="2277" spans="4:7">
      <c r="D2277" s="200" t="s">
        <v>1814</v>
      </c>
      <c r="E2277" s="10">
        <v>66115</v>
      </c>
      <c r="F2277" s="201">
        <v>-10.1</v>
      </c>
      <c r="G2277" s="201">
        <v>9.6999999999999993</v>
      </c>
    </row>
    <row r="2278" spans="4:7">
      <c r="D2278" s="200" t="s">
        <v>1814</v>
      </c>
      <c r="E2278" s="10">
        <v>66131</v>
      </c>
      <c r="F2278" s="201">
        <v>-10.1</v>
      </c>
      <c r="G2278" s="201">
        <v>9.8000000000000007</v>
      </c>
    </row>
    <row r="2279" spans="4:7">
      <c r="D2279" s="200" t="s">
        <v>3066</v>
      </c>
      <c r="E2279" s="10">
        <v>66271</v>
      </c>
      <c r="F2279" s="201">
        <v>-10.1</v>
      </c>
      <c r="G2279" s="201">
        <v>9.8000000000000007</v>
      </c>
    </row>
    <row r="2280" spans="4:7">
      <c r="D2280" s="200" t="s">
        <v>3067</v>
      </c>
      <c r="E2280" s="10">
        <v>66299</v>
      </c>
      <c r="F2280" s="201">
        <v>-10.1</v>
      </c>
      <c r="G2280" s="201">
        <v>9.6999999999999993</v>
      </c>
    </row>
    <row r="2281" spans="4:7">
      <c r="D2281" s="200" t="s">
        <v>3068</v>
      </c>
      <c r="E2281" s="10">
        <v>66453</v>
      </c>
      <c r="F2281" s="201">
        <v>-10.1</v>
      </c>
      <c r="G2281" s="201">
        <v>9.9</v>
      </c>
    </row>
    <row r="2282" spans="4:7">
      <c r="D2282" s="200" t="s">
        <v>3069</v>
      </c>
      <c r="E2282" s="10">
        <v>66564</v>
      </c>
      <c r="F2282" s="201">
        <v>-10.1</v>
      </c>
      <c r="G2282" s="201">
        <v>9.6</v>
      </c>
    </row>
    <row r="2283" spans="4:7">
      <c r="D2283" s="200" t="s">
        <v>3070</v>
      </c>
      <c r="E2283" s="10">
        <v>66589</v>
      </c>
      <c r="F2283" s="201">
        <v>-10.1</v>
      </c>
      <c r="G2283" s="201">
        <v>9.6</v>
      </c>
    </row>
    <row r="2284" spans="4:7">
      <c r="D2284" s="200" t="s">
        <v>3071</v>
      </c>
      <c r="E2284" s="10">
        <v>66798</v>
      </c>
      <c r="F2284" s="201">
        <v>-10.1</v>
      </c>
      <c r="G2284" s="201">
        <v>9.6</v>
      </c>
    </row>
    <row r="2285" spans="4:7">
      <c r="D2285" s="200" t="s">
        <v>3072</v>
      </c>
      <c r="E2285" s="10">
        <v>66869</v>
      </c>
      <c r="F2285" s="201">
        <v>-10.1</v>
      </c>
      <c r="G2285" s="201">
        <v>9.6</v>
      </c>
    </row>
    <row r="2286" spans="4:7">
      <c r="D2286" s="200" t="s">
        <v>3073</v>
      </c>
      <c r="E2286" s="10">
        <v>66879</v>
      </c>
      <c r="F2286" s="201">
        <v>-10.1</v>
      </c>
      <c r="G2286" s="201">
        <v>9.6999999999999993</v>
      </c>
    </row>
    <row r="2287" spans="4:7">
      <c r="D2287" s="200" t="s">
        <v>3074</v>
      </c>
      <c r="E2287" s="10">
        <v>66917</v>
      </c>
      <c r="F2287" s="201">
        <v>-10.1</v>
      </c>
      <c r="G2287" s="201">
        <v>9.6999999999999993</v>
      </c>
    </row>
    <row r="2288" spans="4:7">
      <c r="D2288" s="200" t="s">
        <v>3075</v>
      </c>
      <c r="E2288" s="10">
        <v>66955</v>
      </c>
      <c r="F2288" s="201">
        <v>-10.1</v>
      </c>
      <c r="G2288" s="201">
        <v>9.8000000000000007</v>
      </c>
    </row>
    <row r="2289" spans="4:7">
      <c r="D2289" s="200" t="s">
        <v>3076</v>
      </c>
      <c r="E2289" s="10">
        <v>66976</v>
      </c>
      <c r="F2289" s="201">
        <v>-10.1</v>
      </c>
      <c r="G2289" s="201">
        <v>9.9</v>
      </c>
    </row>
    <row r="2290" spans="4:7">
      <c r="D2290" s="200" t="s">
        <v>2928</v>
      </c>
      <c r="E2290" s="10">
        <v>67061</v>
      </c>
      <c r="F2290" s="201">
        <v>-10.1</v>
      </c>
      <c r="G2290" s="201">
        <v>11.6</v>
      </c>
    </row>
    <row r="2291" spans="4:7">
      <c r="D2291" s="200" t="s">
        <v>2928</v>
      </c>
      <c r="E2291" s="10">
        <v>67063</v>
      </c>
      <c r="F2291" s="201">
        <v>-10.1</v>
      </c>
      <c r="G2291" s="201">
        <v>11.5</v>
      </c>
    </row>
    <row r="2292" spans="4:7">
      <c r="D2292" s="200" t="s">
        <v>3077</v>
      </c>
      <c r="E2292" s="10">
        <v>67150</v>
      </c>
      <c r="F2292" s="201">
        <v>-10.1</v>
      </c>
      <c r="G2292" s="201">
        <v>10.9</v>
      </c>
    </row>
    <row r="2293" spans="4:7">
      <c r="D2293" s="200" t="s">
        <v>3078</v>
      </c>
      <c r="E2293" s="10">
        <v>67159</v>
      </c>
      <c r="F2293" s="201">
        <v>-10.1</v>
      </c>
      <c r="G2293" s="201">
        <v>10.8</v>
      </c>
    </row>
    <row r="2294" spans="4:7">
      <c r="D2294" s="200" t="s">
        <v>3079</v>
      </c>
      <c r="E2294" s="10">
        <v>67269</v>
      </c>
      <c r="F2294" s="201">
        <v>-10.1</v>
      </c>
      <c r="G2294" s="201">
        <v>10.5</v>
      </c>
    </row>
    <row r="2295" spans="4:7">
      <c r="D2295" s="200" t="s">
        <v>3080</v>
      </c>
      <c r="E2295" s="10">
        <v>67278</v>
      </c>
      <c r="F2295" s="201">
        <v>-10.1</v>
      </c>
      <c r="G2295" s="201">
        <v>10.7</v>
      </c>
    </row>
    <row r="2296" spans="4:7">
      <c r="D2296" s="200" t="s">
        <v>3081</v>
      </c>
      <c r="E2296" s="10">
        <v>67297</v>
      </c>
      <c r="F2296" s="201">
        <v>-10.1</v>
      </c>
      <c r="G2296" s="201">
        <v>10.199999999999999</v>
      </c>
    </row>
    <row r="2297" spans="4:7">
      <c r="D2297" s="200" t="s">
        <v>3082</v>
      </c>
      <c r="E2297" s="10">
        <v>67308</v>
      </c>
      <c r="F2297" s="201">
        <v>-10.1</v>
      </c>
      <c r="G2297" s="201">
        <v>10</v>
      </c>
    </row>
    <row r="2298" spans="4:7">
      <c r="D2298" s="200" t="s">
        <v>3083</v>
      </c>
      <c r="E2298" s="10">
        <v>67310</v>
      </c>
      <c r="F2298" s="201">
        <v>-10.1</v>
      </c>
      <c r="G2298" s="201">
        <v>10.3</v>
      </c>
    </row>
    <row r="2299" spans="4:7">
      <c r="D2299" s="200" t="s">
        <v>3084</v>
      </c>
      <c r="E2299" s="10">
        <v>67346</v>
      </c>
      <c r="F2299" s="201">
        <v>-10.1</v>
      </c>
      <c r="G2299" s="201">
        <v>11.2</v>
      </c>
    </row>
    <row r="2300" spans="4:7">
      <c r="D2300" s="200" t="s">
        <v>3085</v>
      </c>
      <c r="E2300" s="10">
        <v>67489</v>
      </c>
      <c r="F2300" s="201">
        <v>-10.1</v>
      </c>
      <c r="G2300" s="201">
        <v>10.3</v>
      </c>
    </row>
    <row r="2301" spans="4:7">
      <c r="D2301" s="200" t="s">
        <v>3086</v>
      </c>
      <c r="E2301" s="10">
        <v>67547</v>
      </c>
      <c r="F2301" s="201">
        <v>-10.1</v>
      </c>
      <c r="G2301" s="201">
        <v>11.1</v>
      </c>
    </row>
    <row r="2302" spans="4:7">
      <c r="D2302" s="200" t="s">
        <v>3087</v>
      </c>
      <c r="E2302" s="10">
        <v>67585</v>
      </c>
      <c r="F2302" s="201">
        <v>-10.1</v>
      </c>
      <c r="G2302" s="201">
        <v>10.5</v>
      </c>
    </row>
    <row r="2303" spans="4:7">
      <c r="D2303" s="200" t="s">
        <v>3088</v>
      </c>
      <c r="E2303" s="10">
        <v>67586</v>
      </c>
      <c r="F2303" s="201">
        <v>-10.1</v>
      </c>
      <c r="G2303" s="201">
        <v>10.6</v>
      </c>
    </row>
    <row r="2304" spans="4:7">
      <c r="D2304" s="200" t="s">
        <v>3089</v>
      </c>
      <c r="E2304" s="10">
        <v>67587</v>
      </c>
      <c r="F2304" s="201">
        <v>-10.1</v>
      </c>
      <c r="G2304" s="201">
        <v>10.4</v>
      </c>
    </row>
    <row r="2305" spans="4:7">
      <c r="D2305" s="200" t="s">
        <v>3090</v>
      </c>
      <c r="E2305" s="10">
        <v>67590</v>
      </c>
      <c r="F2305" s="201">
        <v>-10.1</v>
      </c>
      <c r="G2305" s="201">
        <v>10.7</v>
      </c>
    </row>
    <row r="2306" spans="4:7">
      <c r="D2306" s="200" t="s">
        <v>3091</v>
      </c>
      <c r="E2306" s="10">
        <v>67591</v>
      </c>
      <c r="F2306" s="201">
        <v>-10.1</v>
      </c>
      <c r="G2306" s="201">
        <v>10.7</v>
      </c>
    </row>
    <row r="2307" spans="4:7">
      <c r="D2307" s="200" t="s">
        <v>3092</v>
      </c>
      <c r="E2307" s="10">
        <v>67599</v>
      </c>
      <c r="F2307" s="201">
        <v>-10.1</v>
      </c>
      <c r="G2307" s="201">
        <v>10.7</v>
      </c>
    </row>
    <row r="2308" spans="4:7">
      <c r="D2308" s="200" t="s">
        <v>1956</v>
      </c>
      <c r="E2308" s="10">
        <v>67661</v>
      </c>
      <c r="F2308" s="201">
        <v>-10.1</v>
      </c>
      <c r="G2308" s="201">
        <v>9.8000000000000007</v>
      </c>
    </row>
    <row r="2309" spans="4:7">
      <c r="D2309" s="200" t="s">
        <v>1956</v>
      </c>
      <c r="E2309" s="10">
        <v>67663</v>
      </c>
      <c r="F2309" s="201">
        <v>-10.1</v>
      </c>
      <c r="G2309" s="201">
        <v>9.8000000000000007</v>
      </c>
    </row>
    <row r="2310" spans="4:7">
      <c r="D2310" s="200" t="s">
        <v>3093</v>
      </c>
      <c r="E2310" s="10">
        <v>67677</v>
      </c>
      <c r="F2310" s="201">
        <v>-10.1</v>
      </c>
      <c r="G2310" s="201">
        <v>9.8000000000000007</v>
      </c>
    </row>
    <row r="2311" spans="4:7">
      <c r="D2311" s="200" t="s">
        <v>3094</v>
      </c>
      <c r="E2311" s="10">
        <v>67725</v>
      </c>
      <c r="F2311" s="201">
        <v>-10.1</v>
      </c>
      <c r="G2311" s="201">
        <v>10</v>
      </c>
    </row>
    <row r="2312" spans="4:7">
      <c r="D2312" s="200" t="s">
        <v>3095</v>
      </c>
      <c r="E2312" s="10">
        <v>67752</v>
      </c>
      <c r="F2312" s="201">
        <v>-10.1</v>
      </c>
      <c r="G2312" s="201">
        <v>9.6999999999999993</v>
      </c>
    </row>
    <row r="2313" spans="4:7">
      <c r="D2313" s="200" t="s">
        <v>3096</v>
      </c>
      <c r="E2313" s="10">
        <v>67829</v>
      </c>
      <c r="F2313" s="201">
        <v>-10.1</v>
      </c>
      <c r="G2313" s="201">
        <v>9.8000000000000007</v>
      </c>
    </row>
    <row r="2314" spans="4:7">
      <c r="D2314" s="200" t="s">
        <v>2946</v>
      </c>
      <c r="E2314" s="10">
        <v>68169</v>
      </c>
      <c r="F2314" s="201">
        <v>-10.1</v>
      </c>
      <c r="G2314" s="201">
        <v>11.5</v>
      </c>
    </row>
    <row r="2315" spans="4:7">
      <c r="D2315" s="200" t="s">
        <v>3097</v>
      </c>
      <c r="E2315" s="10">
        <v>68804</v>
      </c>
      <c r="F2315" s="201">
        <v>-10.1</v>
      </c>
      <c r="G2315" s="201">
        <v>11.1</v>
      </c>
    </row>
    <row r="2316" spans="4:7">
      <c r="D2316" s="200" t="s">
        <v>3098</v>
      </c>
      <c r="E2316" s="10">
        <v>69115</v>
      </c>
      <c r="F2316" s="201">
        <v>-10.1</v>
      </c>
      <c r="G2316" s="201">
        <v>11.4</v>
      </c>
    </row>
    <row r="2317" spans="4:7">
      <c r="D2317" s="200" t="s">
        <v>3099</v>
      </c>
      <c r="E2317" s="10">
        <v>69168</v>
      </c>
      <c r="F2317" s="201">
        <v>-10.1</v>
      </c>
      <c r="G2317" s="201">
        <v>10.8</v>
      </c>
    </row>
    <row r="2318" spans="4:7">
      <c r="D2318" s="200" t="s">
        <v>3100</v>
      </c>
      <c r="E2318" s="10">
        <v>69254</v>
      </c>
      <c r="F2318" s="201">
        <v>-10.1</v>
      </c>
      <c r="G2318" s="201">
        <v>10.8</v>
      </c>
    </row>
    <row r="2319" spans="4:7">
      <c r="D2319" s="200" t="s">
        <v>2307</v>
      </c>
      <c r="E2319" s="10">
        <v>70327</v>
      </c>
      <c r="F2319" s="201">
        <v>-10.1</v>
      </c>
      <c r="G2319" s="201">
        <v>11</v>
      </c>
    </row>
    <row r="2320" spans="4:7">
      <c r="D2320" s="200" t="s">
        <v>2308</v>
      </c>
      <c r="E2320" s="10">
        <v>76131</v>
      </c>
      <c r="F2320" s="201">
        <v>-10.1</v>
      </c>
      <c r="G2320" s="201">
        <v>11</v>
      </c>
    </row>
    <row r="2321" spans="4:7">
      <c r="D2321" s="200" t="s">
        <v>3101</v>
      </c>
      <c r="E2321" s="10">
        <v>76287</v>
      </c>
      <c r="F2321" s="201">
        <v>-10.1</v>
      </c>
      <c r="G2321" s="201">
        <v>11.1</v>
      </c>
    </row>
    <row r="2322" spans="4:7">
      <c r="D2322" s="200" t="s">
        <v>3102</v>
      </c>
      <c r="E2322" s="10">
        <v>76297</v>
      </c>
      <c r="F2322" s="201">
        <v>-10.1</v>
      </c>
      <c r="G2322" s="201">
        <v>11</v>
      </c>
    </row>
    <row r="2323" spans="4:7">
      <c r="D2323" s="200" t="s">
        <v>3103</v>
      </c>
      <c r="E2323" s="10">
        <v>76467</v>
      </c>
      <c r="F2323" s="201">
        <v>-10.1</v>
      </c>
      <c r="G2323" s="201">
        <v>11.1</v>
      </c>
    </row>
    <row r="2324" spans="4:7">
      <c r="D2324" s="200" t="s">
        <v>3104</v>
      </c>
      <c r="E2324" s="10">
        <v>76470</v>
      </c>
      <c r="F2324" s="201">
        <v>-10.1</v>
      </c>
      <c r="G2324" s="201">
        <v>11.2</v>
      </c>
    </row>
    <row r="2325" spans="4:7">
      <c r="D2325" s="200" t="s">
        <v>3105</v>
      </c>
      <c r="E2325" s="10">
        <v>76473</v>
      </c>
      <c r="F2325" s="201">
        <v>-10.1</v>
      </c>
      <c r="G2325" s="201">
        <v>11.1</v>
      </c>
    </row>
    <row r="2326" spans="4:7">
      <c r="D2326" s="200" t="s">
        <v>3106</v>
      </c>
      <c r="E2326" s="10">
        <v>76476</v>
      </c>
      <c r="F2326" s="201">
        <v>-10.1</v>
      </c>
      <c r="G2326" s="201">
        <v>11</v>
      </c>
    </row>
    <row r="2327" spans="4:7">
      <c r="D2327" s="200" t="s">
        <v>2956</v>
      </c>
      <c r="E2327" s="10">
        <v>76530</v>
      </c>
      <c r="F2327" s="201">
        <v>-10.1</v>
      </c>
      <c r="G2327" s="201">
        <v>10.5</v>
      </c>
    </row>
    <row r="2328" spans="4:7">
      <c r="D2328" s="200" t="s">
        <v>3107</v>
      </c>
      <c r="E2328" s="10">
        <v>76547</v>
      </c>
      <c r="F2328" s="201">
        <v>-10.1</v>
      </c>
      <c r="G2328" s="201">
        <v>11</v>
      </c>
    </row>
    <row r="2329" spans="4:7">
      <c r="D2329" s="200" t="s">
        <v>3108</v>
      </c>
      <c r="E2329" s="10">
        <v>76689</v>
      </c>
      <c r="F2329" s="201">
        <v>-10.1</v>
      </c>
      <c r="G2329" s="201">
        <v>11</v>
      </c>
    </row>
    <row r="2330" spans="4:7">
      <c r="D2330" s="200" t="s">
        <v>3109</v>
      </c>
      <c r="E2330" s="10">
        <v>76709</v>
      </c>
      <c r="F2330" s="201">
        <v>-10.1</v>
      </c>
      <c r="G2330" s="201">
        <v>11</v>
      </c>
    </row>
    <row r="2331" spans="4:7">
      <c r="D2331" s="200" t="s">
        <v>3110</v>
      </c>
      <c r="E2331" s="10">
        <v>76744</v>
      </c>
      <c r="F2331" s="201">
        <v>-10.1</v>
      </c>
      <c r="G2331" s="201">
        <v>10.9</v>
      </c>
    </row>
    <row r="2332" spans="4:7">
      <c r="D2332" s="200" t="s">
        <v>3111</v>
      </c>
      <c r="E2332" s="10">
        <v>76779</v>
      </c>
      <c r="F2332" s="201">
        <v>-10.1</v>
      </c>
      <c r="G2332" s="201">
        <v>11</v>
      </c>
    </row>
    <row r="2333" spans="4:7">
      <c r="D2333" s="200" t="s">
        <v>3112</v>
      </c>
      <c r="E2333" s="10">
        <v>76829</v>
      </c>
      <c r="F2333" s="201">
        <v>-10.1</v>
      </c>
      <c r="G2333" s="201">
        <v>10.7</v>
      </c>
    </row>
    <row r="2334" spans="4:7">
      <c r="D2334" s="200" t="s">
        <v>3113</v>
      </c>
      <c r="E2334" s="10">
        <v>76835</v>
      </c>
      <c r="F2334" s="201">
        <v>-10.1</v>
      </c>
      <c r="G2334" s="201">
        <v>10</v>
      </c>
    </row>
    <row r="2335" spans="4:7">
      <c r="D2335" s="200" t="s">
        <v>3114</v>
      </c>
      <c r="E2335" s="10">
        <v>76846</v>
      </c>
      <c r="F2335" s="201">
        <v>-10.1</v>
      </c>
      <c r="G2335" s="201">
        <v>10</v>
      </c>
    </row>
    <row r="2336" spans="4:7">
      <c r="D2336" s="200" t="s">
        <v>3115</v>
      </c>
      <c r="E2336" s="10">
        <v>76870</v>
      </c>
      <c r="F2336" s="201">
        <v>-10.1</v>
      </c>
      <c r="G2336" s="201">
        <v>10.9</v>
      </c>
    </row>
    <row r="2337" spans="4:7">
      <c r="D2337" s="200" t="s">
        <v>3116</v>
      </c>
      <c r="E2337" s="10">
        <v>76872</v>
      </c>
      <c r="F2337" s="201">
        <v>-10.1</v>
      </c>
      <c r="G2337" s="201">
        <v>10.9</v>
      </c>
    </row>
    <row r="2338" spans="4:7">
      <c r="D2338" s="200" t="s">
        <v>3117</v>
      </c>
      <c r="E2338" s="10">
        <v>76889</v>
      </c>
      <c r="F2338" s="201">
        <v>-10.1</v>
      </c>
      <c r="G2338" s="201">
        <v>10.4</v>
      </c>
    </row>
    <row r="2339" spans="4:7">
      <c r="D2339" s="200" t="s">
        <v>3118</v>
      </c>
      <c r="E2339" s="10">
        <v>77955</v>
      </c>
      <c r="F2339" s="201">
        <v>-10.1</v>
      </c>
      <c r="G2339" s="201">
        <v>10.5</v>
      </c>
    </row>
    <row r="2340" spans="4:7">
      <c r="D2340" s="200" t="s">
        <v>3119</v>
      </c>
      <c r="E2340" s="10">
        <v>79206</v>
      </c>
      <c r="F2340" s="201">
        <v>-10.1</v>
      </c>
      <c r="G2340" s="201">
        <v>11</v>
      </c>
    </row>
    <row r="2341" spans="4:7">
      <c r="D2341" s="200" t="s">
        <v>3120</v>
      </c>
      <c r="E2341" s="10">
        <v>79211</v>
      </c>
      <c r="F2341" s="201">
        <v>-10.1</v>
      </c>
      <c r="G2341" s="201">
        <v>11.2</v>
      </c>
    </row>
    <row r="2342" spans="4:7">
      <c r="D2342" s="200" t="s">
        <v>3121</v>
      </c>
      <c r="E2342" s="10">
        <v>79232</v>
      </c>
      <c r="F2342" s="201">
        <v>-10.1</v>
      </c>
      <c r="G2342" s="201">
        <v>11.2</v>
      </c>
    </row>
    <row r="2343" spans="4:7">
      <c r="D2343" s="200" t="s">
        <v>3122</v>
      </c>
      <c r="E2343" s="10">
        <v>79235</v>
      </c>
      <c r="F2343" s="201">
        <v>-10.1</v>
      </c>
      <c r="G2343" s="201">
        <v>10.9</v>
      </c>
    </row>
    <row r="2344" spans="4:7">
      <c r="D2344" s="200" t="s">
        <v>3123</v>
      </c>
      <c r="E2344" s="10">
        <v>79268</v>
      </c>
      <c r="F2344" s="201">
        <v>-10.1</v>
      </c>
      <c r="G2344" s="201">
        <v>11.1</v>
      </c>
    </row>
    <row r="2345" spans="4:7">
      <c r="D2345" s="200" t="s">
        <v>3124</v>
      </c>
      <c r="E2345" s="10">
        <v>79276</v>
      </c>
      <c r="F2345" s="201">
        <v>-10.1</v>
      </c>
      <c r="G2345" s="201">
        <v>11.1</v>
      </c>
    </row>
    <row r="2346" spans="4:7">
      <c r="D2346" s="200" t="s">
        <v>3125</v>
      </c>
      <c r="E2346" s="10">
        <v>79279</v>
      </c>
      <c r="F2346" s="201">
        <v>-10.1</v>
      </c>
      <c r="G2346" s="201">
        <v>11.2</v>
      </c>
    </row>
    <row r="2347" spans="4:7">
      <c r="D2347" s="200" t="s">
        <v>3126</v>
      </c>
      <c r="E2347" s="10">
        <v>79288</v>
      </c>
      <c r="F2347" s="201">
        <v>-10.1</v>
      </c>
      <c r="G2347" s="201">
        <v>11.1</v>
      </c>
    </row>
    <row r="2348" spans="4:7">
      <c r="D2348" s="200" t="s">
        <v>3127</v>
      </c>
      <c r="E2348" s="10">
        <v>79291</v>
      </c>
      <c r="F2348" s="201">
        <v>-10.1</v>
      </c>
      <c r="G2348" s="201">
        <v>11.1</v>
      </c>
    </row>
    <row r="2349" spans="4:7">
      <c r="D2349" s="200" t="s">
        <v>3128</v>
      </c>
      <c r="E2349" s="10">
        <v>79312</v>
      </c>
      <c r="F2349" s="201">
        <v>-10.1</v>
      </c>
      <c r="G2349" s="201">
        <v>11.1</v>
      </c>
    </row>
    <row r="2350" spans="4:7">
      <c r="D2350" s="200" t="s">
        <v>3129</v>
      </c>
      <c r="E2350" s="10">
        <v>79341</v>
      </c>
      <c r="F2350" s="201">
        <v>-10.1</v>
      </c>
      <c r="G2350" s="201">
        <v>10.9</v>
      </c>
    </row>
    <row r="2351" spans="4:7">
      <c r="D2351" s="200" t="s">
        <v>3130</v>
      </c>
      <c r="E2351" s="10">
        <v>79364</v>
      </c>
      <c r="F2351" s="201">
        <v>-10.1</v>
      </c>
      <c r="G2351" s="201">
        <v>10.9</v>
      </c>
    </row>
    <row r="2352" spans="4:7">
      <c r="D2352" s="200" t="s">
        <v>2981</v>
      </c>
      <c r="E2352" s="10">
        <v>79541</v>
      </c>
      <c r="F2352" s="201">
        <v>-10.1</v>
      </c>
      <c r="G2352" s="201">
        <v>10.6</v>
      </c>
    </row>
    <row r="2353" spans="4:7">
      <c r="D2353" s="200" t="s">
        <v>3131</v>
      </c>
      <c r="E2353" s="10">
        <v>79576</v>
      </c>
      <c r="F2353" s="201">
        <v>-10.1</v>
      </c>
      <c r="G2353" s="201">
        <v>10.8</v>
      </c>
    </row>
    <row r="2354" spans="4:7">
      <c r="D2354" s="200" t="s">
        <v>3132</v>
      </c>
      <c r="E2354" s="10">
        <v>79618</v>
      </c>
      <c r="F2354" s="201">
        <v>-10.1</v>
      </c>
      <c r="G2354" s="201">
        <v>10.1</v>
      </c>
    </row>
    <row r="2355" spans="4:7">
      <c r="D2355" s="200" t="s">
        <v>3133</v>
      </c>
      <c r="E2355" s="10">
        <v>79639</v>
      </c>
      <c r="F2355" s="201">
        <v>-10.1</v>
      </c>
      <c r="G2355" s="201">
        <v>10.7</v>
      </c>
    </row>
    <row r="2356" spans="4:7">
      <c r="D2356" s="200" t="s">
        <v>2708</v>
      </c>
      <c r="E2356" s="10">
        <v>79664</v>
      </c>
      <c r="F2356" s="201">
        <v>-10.1</v>
      </c>
      <c r="G2356" s="201">
        <v>10</v>
      </c>
    </row>
    <row r="2357" spans="4:7">
      <c r="D2357" s="200" t="s">
        <v>3134</v>
      </c>
      <c r="E2357" s="10">
        <v>79739</v>
      </c>
      <c r="F2357" s="201">
        <v>-10.1</v>
      </c>
      <c r="G2357" s="201">
        <v>10</v>
      </c>
    </row>
    <row r="2358" spans="4:7">
      <c r="D2358" s="200" t="s">
        <v>3135</v>
      </c>
      <c r="E2358" s="10">
        <v>79793</v>
      </c>
      <c r="F2358" s="201">
        <v>-10.1</v>
      </c>
      <c r="G2358" s="201">
        <v>9.8000000000000007</v>
      </c>
    </row>
    <row r="2359" spans="4:7">
      <c r="D2359" s="200" t="s">
        <v>3136</v>
      </c>
      <c r="E2359" s="10">
        <v>79801</v>
      </c>
      <c r="F2359" s="201">
        <v>-10.1</v>
      </c>
      <c r="G2359" s="201">
        <v>9.6999999999999993</v>
      </c>
    </row>
    <row r="2360" spans="4:7">
      <c r="D2360" s="200" t="s">
        <v>3137</v>
      </c>
      <c r="E2360" s="10">
        <v>88255</v>
      </c>
      <c r="F2360" s="201">
        <v>-10.1</v>
      </c>
      <c r="G2360" s="201">
        <v>9.6</v>
      </c>
    </row>
    <row r="2361" spans="4:7">
      <c r="D2361" s="200" t="s">
        <v>3138</v>
      </c>
      <c r="E2361" s="10">
        <v>97070</v>
      </c>
      <c r="F2361" s="201">
        <v>-10.1</v>
      </c>
      <c r="G2361" s="201">
        <v>10.8</v>
      </c>
    </row>
    <row r="2362" spans="4:7">
      <c r="D2362" s="200" t="s">
        <v>2857</v>
      </c>
      <c r="E2362" s="10">
        <v>18057</v>
      </c>
      <c r="F2362" s="201">
        <v>-10.199999999999999</v>
      </c>
      <c r="G2362" s="201">
        <v>9.8000000000000007</v>
      </c>
    </row>
    <row r="2363" spans="4:7">
      <c r="D2363" s="200" t="s">
        <v>2857</v>
      </c>
      <c r="E2363" s="10">
        <v>18119</v>
      </c>
      <c r="F2363" s="201">
        <v>-10.199999999999999</v>
      </c>
      <c r="G2363" s="201">
        <v>9.5</v>
      </c>
    </row>
    <row r="2364" spans="4:7">
      <c r="D2364" s="200" t="s">
        <v>2857</v>
      </c>
      <c r="E2364" s="10">
        <v>18147</v>
      </c>
      <c r="F2364" s="201">
        <v>-10.199999999999999</v>
      </c>
      <c r="G2364" s="201">
        <v>9.4</v>
      </c>
    </row>
    <row r="2365" spans="4:7">
      <c r="D2365" s="200" t="s">
        <v>3139</v>
      </c>
      <c r="E2365" s="10">
        <v>18181</v>
      </c>
      <c r="F2365" s="201">
        <v>-10.199999999999999</v>
      </c>
      <c r="G2365" s="201">
        <v>9.4</v>
      </c>
    </row>
    <row r="2366" spans="4:7">
      <c r="D2366" s="200" t="s">
        <v>3140</v>
      </c>
      <c r="E2366" s="10">
        <v>18209</v>
      </c>
      <c r="F2366" s="201">
        <v>-10.199999999999999</v>
      </c>
      <c r="G2366" s="201">
        <v>9.1</v>
      </c>
    </row>
    <row r="2367" spans="4:7" ht="30">
      <c r="D2367" s="200" t="s">
        <v>3141</v>
      </c>
      <c r="E2367" s="10">
        <v>18211</v>
      </c>
      <c r="F2367" s="201">
        <v>-10.199999999999999</v>
      </c>
      <c r="G2367" s="201">
        <v>9.3000000000000007</v>
      </c>
    </row>
    <row r="2368" spans="4:7">
      <c r="D2368" s="200" t="s">
        <v>3142</v>
      </c>
      <c r="E2368" s="10">
        <v>18581</v>
      </c>
      <c r="F2368" s="201">
        <v>-10.199999999999999</v>
      </c>
      <c r="G2368" s="201">
        <v>8.6999999999999993</v>
      </c>
    </row>
    <row r="2369" spans="4:7">
      <c r="D2369" s="200" t="s">
        <v>1707</v>
      </c>
      <c r="E2369" s="10">
        <v>21033</v>
      </c>
      <c r="F2369" s="201">
        <v>-10.199999999999999</v>
      </c>
      <c r="G2369" s="201">
        <v>9.4</v>
      </c>
    </row>
    <row r="2370" spans="4:7">
      <c r="D2370" s="200" t="s">
        <v>1707</v>
      </c>
      <c r="E2370" s="10">
        <v>21035</v>
      </c>
      <c r="F2370" s="201">
        <v>-10.199999999999999</v>
      </c>
      <c r="G2370" s="201">
        <v>9.4</v>
      </c>
    </row>
    <row r="2371" spans="4:7">
      <c r="D2371" s="200" t="s">
        <v>3143</v>
      </c>
      <c r="E2371" s="10">
        <v>21224</v>
      </c>
      <c r="F2371" s="201">
        <v>-10.199999999999999</v>
      </c>
      <c r="G2371" s="201">
        <v>9</v>
      </c>
    </row>
    <row r="2372" spans="4:7">
      <c r="D2372" s="200" t="s">
        <v>1707</v>
      </c>
      <c r="E2372" s="10">
        <v>22397</v>
      </c>
      <c r="F2372" s="201">
        <v>-10.199999999999999</v>
      </c>
      <c r="G2372" s="201">
        <v>9.1999999999999993</v>
      </c>
    </row>
    <row r="2373" spans="4:7">
      <c r="D2373" s="200" t="s">
        <v>2999</v>
      </c>
      <c r="E2373" s="10">
        <v>22889</v>
      </c>
      <c r="F2373" s="201">
        <v>-10.199999999999999</v>
      </c>
      <c r="G2373" s="201">
        <v>9</v>
      </c>
    </row>
    <row r="2374" spans="4:7">
      <c r="D2374" s="200" t="s">
        <v>2062</v>
      </c>
      <c r="E2374" s="10">
        <v>23566</v>
      </c>
      <c r="F2374" s="201">
        <v>-10.199999999999999</v>
      </c>
      <c r="G2374" s="201">
        <v>9.4</v>
      </c>
    </row>
    <row r="2375" spans="4:7">
      <c r="D2375" s="200" t="s">
        <v>3144</v>
      </c>
      <c r="E2375" s="10">
        <v>23813</v>
      </c>
      <c r="F2375" s="201">
        <v>-10.199999999999999</v>
      </c>
      <c r="G2375" s="201">
        <v>8.8000000000000007</v>
      </c>
    </row>
    <row r="2376" spans="4:7">
      <c r="D2376" s="200" t="s">
        <v>3145</v>
      </c>
      <c r="E2376" s="10">
        <v>24635</v>
      </c>
      <c r="F2376" s="201">
        <v>-10.199999999999999</v>
      </c>
      <c r="G2376" s="201">
        <v>8.9</v>
      </c>
    </row>
    <row r="2377" spans="4:7">
      <c r="D2377" s="200" t="s">
        <v>3146</v>
      </c>
      <c r="E2377" s="10">
        <v>25474</v>
      </c>
      <c r="F2377" s="201">
        <v>-10.199999999999999</v>
      </c>
      <c r="G2377" s="201">
        <v>9.1</v>
      </c>
    </row>
    <row r="2378" spans="4:7">
      <c r="D2378" s="200" t="s">
        <v>3147</v>
      </c>
      <c r="E2378" s="10">
        <v>27249</v>
      </c>
      <c r="F2378" s="201">
        <v>-10.199999999999999</v>
      </c>
      <c r="G2378" s="201">
        <v>9.9</v>
      </c>
    </row>
    <row r="2379" spans="4:7">
      <c r="D2379" s="200" t="s">
        <v>3148</v>
      </c>
      <c r="E2379" s="10">
        <v>27318</v>
      </c>
      <c r="F2379" s="201">
        <v>-10.199999999999999</v>
      </c>
      <c r="G2379" s="201">
        <v>9.6999999999999993</v>
      </c>
    </row>
    <row r="2380" spans="4:7">
      <c r="D2380" s="200" t="s">
        <v>2876</v>
      </c>
      <c r="E2380" s="10">
        <v>32049</v>
      </c>
      <c r="F2380" s="201">
        <v>-10.199999999999999</v>
      </c>
      <c r="G2380" s="201">
        <v>9.6999999999999993</v>
      </c>
    </row>
    <row r="2381" spans="4:7">
      <c r="D2381" s="200" t="s">
        <v>2877</v>
      </c>
      <c r="E2381" s="10">
        <v>32108</v>
      </c>
      <c r="F2381" s="201">
        <v>-10.199999999999999</v>
      </c>
      <c r="G2381" s="201">
        <v>9.6</v>
      </c>
    </row>
    <row r="2382" spans="4:7">
      <c r="D2382" s="200" t="s">
        <v>3149</v>
      </c>
      <c r="E2382" s="10">
        <v>32339</v>
      </c>
      <c r="F2382" s="201">
        <v>-10.199999999999999</v>
      </c>
      <c r="G2382" s="201">
        <v>10</v>
      </c>
    </row>
    <row r="2383" spans="4:7">
      <c r="D2383" s="200" t="s">
        <v>3150</v>
      </c>
      <c r="E2383" s="10">
        <v>32361</v>
      </c>
      <c r="F2383" s="201">
        <v>-10.199999999999999</v>
      </c>
      <c r="G2383" s="201">
        <v>10</v>
      </c>
    </row>
    <row r="2384" spans="4:7">
      <c r="D2384" s="200" t="s">
        <v>3151</v>
      </c>
      <c r="E2384" s="10">
        <v>32547</v>
      </c>
      <c r="F2384" s="201">
        <v>-10.199999999999999</v>
      </c>
      <c r="G2384" s="201">
        <v>10</v>
      </c>
    </row>
    <row r="2385" spans="4:7">
      <c r="D2385" s="200" t="s">
        <v>3152</v>
      </c>
      <c r="E2385" s="10">
        <v>32602</v>
      </c>
      <c r="F2385" s="201">
        <v>-10.199999999999999</v>
      </c>
      <c r="G2385" s="201">
        <v>9.6999999999999993</v>
      </c>
    </row>
    <row r="2386" spans="4:7">
      <c r="D2386" s="200" t="s">
        <v>2477</v>
      </c>
      <c r="E2386" s="10">
        <v>33104</v>
      </c>
      <c r="F2386" s="201">
        <v>-10.199999999999999</v>
      </c>
      <c r="G2386" s="201">
        <v>9.9</v>
      </c>
    </row>
    <row r="2387" spans="4:7">
      <c r="D2387" s="200" t="s">
        <v>3153</v>
      </c>
      <c r="E2387" s="10">
        <v>33175</v>
      </c>
      <c r="F2387" s="201">
        <v>-10.199999999999999</v>
      </c>
      <c r="G2387" s="201">
        <v>9.8000000000000007</v>
      </c>
    </row>
    <row r="2388" spans="4:7">
      <c r="D2388" s="200" t="s">
        <v>3154</v>
      </c>
      <c r="E2388" s="10">
        <v>33415</v>
      </c>
      <c r="F2388" s="201">
        <v>-10.199999999999999</v>
      </c>
      <c r="G2388" s="201">
        <v>10</v>
      </c>
    </row>
    <row r="2389" spans="4:7">
      <c r="D2389" s="200" t="s">
        <v>3155</v>
      </c>
      <c r="E2389" s="10">
        <v>33428</v>
      </c>
      <c r="F2389" s="201">
        <v>-10.199999999999999</v>
      </c>
      <c r="G2389" s="201">
        <v>10.199999999999999</v>
      </c>
    </row>
    <row r="2390" spans="4:7">
      <c r="D2390" s="200" t="s">
        <v>3156</v>
      </c>
      <c r="E2390" s="10">
        <v>33442</v>
      </c>
      <c r="F2390" s="201">
        <v>-10.199999999999999</v>
      </c>
      <c r="G2390" s="201">
        <v>10.199999999999999</v>
      </c>
    </row>
    <row r="2391" spans="4:7">
      <c r="D2391" s="200" t="s">
        <v>1926</v>
      </c>
      <c r="E2391" s="10">
        <v>33659</v>
      </c>
      <c r="F2391" s="201">
        <v>-10.199999999999999</v>
      </c>
      <c r="G2391" s="201">
        <v>10</v>
      </c>
    </row>
    <row r="2392" spans="4:7">
      <c r="D2392" s="200" t="s">
        <v>1926</v>
      </c>
      <c r="E2392" s="10">
        <v>33699</v>
      </c>
      <c r="F2392" s="201">
        <v>-10.199999999999999</v>
      </c>
      <c r="G2392" s="201">
        <v>9.6999999999999993</v>
      </c>
    </row>
    <row r="2393" spans="4:7">
      <c r="D2393" s="200" t="s">
        <v>3157</v>
      </c>
      <c r="E2393" s="10">
        <v>51580</v>
      </c>
      <c r="F2393" s="201">
        <v>-10.199999999999999</v>
      </c>
      <c r="G2393" s="201">
        <v>8.9</v>
      </c>
    </row>
    <row r="2394" spans="4:7">
      <c r="D2394" s="200" t="s">
        <v>3158</v>
      </c>
      <c r="E2394" s="10">
        <v>54536</v>
      </c>
      <c r="F2394" s="201">
        <v>-10.199999999999999</v>
      </c>
      <c r="G2394" s="201">
        <v>9.3000000000000007</v>
      </c>
    </row>
    <row r="2395" spans="4:7">
      <c r="D2395" s="200" t="s">
        <v>3159</v>
      </c>
      <c r="E2395" s="10">
        <v>55237</v>
      </c>
      <c r="F2395" s="201">
        <v>-10.199999999999999</v>
      </c>
      <c r="G2395" s="201">
        <v>10.6</v>
      </c>
    </row>
    <row r="2396" spans="4:7">
      <c r="D2396" s="200" t="s">
        <v>3160</v>
      </c>
      <c r="E2396" s="10">
        <v>55263</v>
      </c>
      <c r="F2396" s="201">
        <v>-10.199999999999999</v>
      </c>
      <c r="G2396" s="201">
        <v>10.1</v>
      </c>
    </row>
    <row r="2397" spans="4:7">
      <c r="D2397" s="200" t="s">
        <v>2280</v>
      </c>
      <c r="E2397" s="10">
        <v>55543</v>
      </c>
      <c r="F2397" s="201">
        <v>-10.199999999999999</v>
      </c>
      <c r="G2397" s="201">
        <v>10.1</v>
      </c>
    </row>
    <row r="2398" spans="4:7">
      <c r="D2398" s="200" t="s">
        <v>3161</v>
      </c>
      <c r="E2398" s="10">
        <v>55546</v>
      </c>
      <c r="F2398" s="201">
        <v>-10.199999999999999</v>
      </c>
      <c r="G2398" s="201">
        <v>10.3</v>
      </c>
    </row>
    <row r="2399" spans="4:7">
      <c r="D2399" s="200" t="s">
        <v>3162</v>
      </c>
      <c r="E2399" s="10">
        <v>55627</v>
      </c>
      <c r="F2399" s="201">
        <v>-10.199999999999999</v>
      </c>
      <c r="G2399" s="201">
        <v>9.6</v>
      </c>
    </row>
    <row r="2400" spans="4:7">
      <c r="D2400" s="200" t="s">
        <v>3163</v>
      </c>
      <c r="E2400" s="10">
        <v>56204</v>
      </c>
      <c r="F2400" s="201">
        <v>-10.199999999999999</v>
      </c>
      <c r="G2400" s="201">
        <v>9.1</v>
      </c>
    </row>
    <row r="2401" spans="4:7">
      <c r="D2401" s="200" t="s">
        <v>3164</v>
      </c>
      <c r="E2401" s="10">
        <v>56249</v>
      </c>
      <c r="F2401" s="201">
        <v>-10.199999999999999</v>
      </c>
      <c r="G2401" s="201">
        <v>9.1999999999999993</v>
      </c>
    </row>
    <row r="2402" spans="4:7">
      <c r="D2402" s="200" t="s">
        <v>3165</v>
      </c>
      <c r="E2402" s="10">
        <v>56340</v>
      </c>
      <c r="F2402" s="201">
        <v>-10.199999999999999</v>
      </c>
      <c r="G2402" s="201">
        <v>9.1999999999999993</v>
      </c>
    </row>
    <row r="2403" spans="4:7">
      <c r="D2403" s="200" t="s">
        <v>3166</v>
      </c>
      <c r="E2403" s="10">
        <v>56357</v>
      </c>
      <c r="F2403" s="201">
        <v>-10.199999999999999</v>
      </c>
      <c r="G2403" s="201">
        <v>9.3000000000000007</v>
      </c>
    </row>
    <row r="2404" spans="4:7">
      <c r="D2404" s="200" t="s">
        <v>3167</v>
      </c>
      <c r="E2404" s="10">
        <v>56594</v>
      </c>
      <c r="F2404" s="201">
        <v>-10.199999999999999</v>
      </c>
      <c r="G2404" s="201">
        <v>9.1</v>
      </c>
    </row>
    <row r="2405" spans="4:7">
      <c r="D2405" s="200" t="s">
        <v>3168</v>
      </c>
      <c r="E2405" s="10">
        <v>56850</v>
      </c>
      <c r="F2405" s="201">
        <v>-10.199999999999999</v>
      </c>
      <c r="G2405" s="201">
        <v>9.1999999999999993</v>
      </c>
    </row>
    <row r="2406" spans="4:7">
      <c r="D2406" s="200" t="s">
        <v>2293</v>
      </c>
      <c r="E2406" s="10">
        <v>57072</v>
      </c>
      <c r="F2406" s="201">
        <v>-10.199999999999999</v>
      </c>
      <c r="G2406" s="201">
        <v>9.1</v>
      </c>
    </row>
    <row r="2407" spans="4:7">
      <c r="D2407" s="200" t="s">
        <v>3169</v>
      </c>
      <c r="E2407" s="10">
        <v>57462</v>
      </c>
      <c r="F2407" s="201">
        <v>-10.199999999999999</v>
      </c>
      <c r="G2407" s="201">
        <v>9</v>
      </c>
    </row>
    <row r="2408" spans="4:7">
      <c r="D2408" s="200" t="s">
        <v>2598</v>
      </c>
      <c r="E2408" s="10">
        <v>58515</v>
      </c>
      <c r="F2408" s="201">
        <v>-10.199999999999999</v>
      </c>
      <c r="G2408" s="201">
        <v>8.8000000000000007</v>
      </c>
    </row>
    <row r="2409" spans="4:7">
      <c r="D2409" s="200" t="s">
        <v>3170</v>
      </c>
      <c r="E2409" s="10">
        <v>58840</v>
      </c>
      <c r="F2409" s="201">
        <v>-10.199999999999999</v>
      </c>
      <c r="G2409" s="201">
        <v>8.9</v>
      </c>
    </row>
    <row r="2410" spans="4:7">
      <c r="D2410" s="200" t="s">
        <v>3171</v>
      </c>
      <c r="E2410" s="10">
        <v>61137</v>
      </c>
      <c r="F2410" s="201">
        <v>-10.199999999999999</v>
      </c>
      <c r="G2410" s="201">
        <v>10.5</v>
      </c>
    </row>
    <row r="2411" spans="4:7">
      <c r="D2411" s="200" t="s">
        <v>3172</v>
      </c>
      <c r="E2411" s="10">
        <v>61169</v>
      </c>
      <c r="F2411" s="201">
        <v>-10.199999999999999</v>
      </c>
      <c r="G2411" s="201">
        <v>10.3</v>
      </c>
    </row>
    <row r="2412" spans="4:7">
      <c r="D2412" s="200" t="s">
        <v>3173</v>
      </c>
      <c r="E2412" s="10">
        <v>63110</v>
      </c>
      <c r="F2412" s="201">
        <v>-10.199999999999999</v>
      </c>
      <c r="G2412" s="201">
        <v>10.7</v>
      </c>
    </row>
    <row r="2413" spans="4:7">
      <c r="D2413" s="200" t="s">
        <v>2354</v>
      </c>
      <c r="E2413" s="10">
        <v>63456</v>
      </c>
      <c r="F2413" s="201">
        <v>-10.199999999999999</v>
      </c>
      <c r="G2413" s="201">
        <v>10.8</v>
      </c>
    </row>
    <row r="2414" spans="4:7">
      <c r="D2414" s="200" t="s">
        <v>3174</v>
      </c>
      <c r="E2414" s="10">
        <v>63500</v>
      </c>
      <c r="F2414" s="201">
        <v>-10.199999999999999</v>
      </c>
      <c r="G2414" s="201">
        <v>10.7</v>
      </c>
    </row>
    <row r="2415" spans="4:7">
      <c r="D2415" s="200" t="s">
        <v>3175</v>
      </c>
      <c r="E2415" s="10">
        <v>63512</v>
      </c>
      <c r="F2415" s="201">
        <v>-10.199999999999999</v>
      </c>
      <c r="G2415" s="201">
        <v>10.7</v>
      </c>
    </row>
    <row r="2416" spans="4:7">
      <c r="D2416" s="200" t="s">
        <v>1994</v>
      </c>
      <c r="E2416" s="10">
        <v>64287</v>
      </c>
      <c r="F2416" s="201">
        <v>-10.199999999999999</v>
      </c>
      <c r="G2416" s="201">
        <v>10.6</v>
      </c>
    </row>
    <row r="2417" spans="4:7">
      <c r="D2417" s="200" t="s">
        <v>3176</v>
      </c>
      <c r="E2417" s="10">
        <v>64409</v>
      </c>
      <c r="F2417" s="201">
        <v>-10.199999999999999</v>
      </c>
      <c r="G2417" s="201">
        <v>10.5</v>
      </c>
    </row>
    <row r="2418" spans="4:7">
      <c r="D2418" s="200" t="s">
        <v>3177</v>
      </c>
      <c r="E2418" s="10">
        <v>64584</v>
      </c>
      <c r="F2418" s="201">
        <v>-10.199999999999999</v>
      </c>
      <c r="G2418" s="201">
        <v>11</v>
      </c>
    </row>
    <row r="2419" spans="4:7">
      <c r="D2419" s="200" t="s">
        <v>3178</v>
      </c>
      <c r="E2419" s="10">
        <v>65599</v>
      </c>
      <c r="F2419" s="201">
        <v>-10.199999999999999</v>
      </c>
      <c r="G2419" s="201">
        <v>9.6</v>
      </c>
    </row>
    <row r="2420" spans="4:7">
      <c r="D2420" s="200" t="s">
        <v>3179</v>
      </c>
      <c r="E2420" s="10">
        <v>65812</v>
      </c>
      <c r="F2420" s="201">
        <v>-10.199999999999999</v>
      </c>
      <c r="G2420" s="201">
        <v>10.1</v>
      </c>
    </row>
    <row r="2421" spans="4:7">
      <c r="D2421" s="200" t="s">
        <v>1814</v>
      </c>
      <c r="E2421" s="10">
        <v>66129</v>
      </c>
      <c r="F2421" s="201">
        <v>-10.199999999999999</v>
      </c>
      <c r="G2421" s="201">
        <v>9.6999999999999993</v>
      </c>
    </row>
    <row r="2422" spans="4:7">
      <c r="D2422" s="200" t="s">
        <v>1814</v>
      </c>
      <c r="E2422" s="10">
        <v>66132</v>
      </c>
      <c r="F2422" s="201">
        <v>-10.199999999999999</v>
      </c>
      <c r="G2422" s="201">
        <v>9.6999999999999993</v>
      </c>
    </row>
    <row r="2423" spans="4:7">
      <c r="D2423" s="200" t="s">
        <v>3180</v>
      </c>
      <c r="E2423" s="10">
        <v>66287</v>
      </c>
      <c r="F2423" s="201">
        <v>-10.199999999999999</v>
      </c>
      <c r="G2423" s="201">
        <v>9.6</v>
      </c>
    </row>
    <row r="2424" spans="4:7">
      <c r="D2424" s="200" t="s">
        <v>3181</v>
      </c>
      <c r="E2424" s="10">
        <v>66501</v>
      </c>
      <c r="F2424" s="201">
        <v>-10.199999999999999</v>
      </c>
      <c r="G2424" s="201">
        <v>9.6999999999999993</v>
      </c>
    </row>
    <row r="2425" spans="4:7">
      <c r="D2425" s="200" t="s">
        <v>3182</v>
      </c>
      <c r="E2425" s="10">
        <v>66504</v>
      </c>
      <c r="F2425" s="201">
        <v>-10.199999999999999</v>
      </c>
      <c r="G2425" s="201">
        <v>9.6999999999999993</v>
      </c>
    </row>
    <row r="2426" spans="4:7">
      <c r="D2426" s="200" t="s">
        <v>3183</v>
      </c>
      <c r="E2426" s="10">
        <v>66506</v>
      </c>
      <c r="F2426" s="201">
        <v>-10.199999999999999</v>
      </c>
      <c r="G2426" s="201">
        <v>9.6</v>
      </c>
    </row>
    <row r="2427" spans="4:7">
      <c r="D2427" s="200" t="s">
        <v>3184</v>
      </c>
      <c r="E2427" s="10">
        <v>66871</v>
      </c>
      <c r="F2427" s="201">
        <v>-10.199999999999999</v>
      </c>
      <c r="G2427" s="201">
        <v>9.6</v>
      </c>
    </row>
    <row r="2428" spans="4:7">
      <c r="D2428" s="200" t="s">
        <v>3185</v>
      </c>
      <c r="E2428" s="10">
        <v>66894</v>
      </c>
      <c r="F2428" s="201">
        <v>-10.199999999999999</v>
      </c>
      <c r="G2428" s="201">
        <v>9.6</v>
      </c>
    </row>
    <row r="2429" spans="4:7">
      <c r="D2429" s="200" t="s">
        <v>3186</v>
      </c>
      <c r="E2429" s="10">
        <v>66909</v>
      </c>
      <c r="F2429" s="201">
        <v>-10.199999999999999</v>
      </c>
      <c r="G2429" s="201">
        <v>9.6</v>
      </c>
    </row>
    <row r="2430" spans="4:7">
      <c r="D2430" s="200" t="s">
        <v>3075</v>
      </c>
      <c r="E2430" s="10">
        <v>66953</v>
      </c>
      <c r="F2430" s="201">
        <v>-10.199999999999999</v>
      </c>
      <c r="G2430" s="201">
        <v>9.6999999999999993</v>
      </c>
    </row>
    <row r="2431" spans="4:7">
      <c r="D2431" s="200" t="s">
        <v>3187</v>
      </c>
      <c r="E2431" s="10">
        <v>66989</v>
      </c>
      <c r="F2431" s="201">
        <v>-10.199999999999999</v>
      </c>
      <c r="G2431" s="201">
        <v>9.6999999999999993</v>
      </c>
    </row>
    <row r="2432" spans="4:7">
      <c r="D2432" s="200" t="s">
        <v>2928</v>
      </c>
      <c r="E2432" s="10">
        <v>67069</v>
      </c>
      <c r="F2432" s="201">
        <v>-10.199999999999999</v>
      </c>
      <c r="G2432" s="201">
        <v>11.3</v>
      </c>
    </row>
    <row r="2433" spans="4:7">
      <c r="D2433" s="200" t="s">
        <v>3188</v>
      </c>
      <c r="E2433" s="10">
        <v>67105</v>
      </c>
      <c r="F2433" s="201">
        <v>-10.199999999999999</v>
      </c>
      <c r="G2433" s="201">
        <v>11.1</v>
      </c>
    </row>
    <row r="2434" spans="4:7">
      <c r="D2434" s="200" t="s">
        <v>3189</v>
      </c>
      <c r="E2434" s="10">
        <v>67280</v>
      </c>
      <c r="F2434" s="201">
        <v>-10.199999999999999</v>
      </c>
      <c r="G2434" s="201">
        <v>10.4</v>
      </c>
    </row>
    <row r="2435" spans="4:7">
      <c r="D2435" s="200" t="s">
        <v>3190</v>
      </c>
      <c r="E2435" s="10">
        <v>67305</v>
      </c>
      <c r="F2435" s="201">
        <v>-10.199999999999999</v>
      </c>
      <c r="G2435" s="201">
        <v>9.8000000000000007</v>
      </c>
    </row>
    <row r="2436" spans="4:7">
      <c r="D2436" s="200" t="s">
        <v>3191</v>
      </c>
      <c r="E2436" s="10">
        <v>67307</v>
      </c>
      <c r="F2436" s="201">
        <v>-10.199999999999999</v>
      </c>
      <c r="G2436" s="201">
        <v>10</v>
      </c>
    </row>
    <row r="2437" spans="4:7">
      <c r="D2437" s="200" t="s">
        <v>3192</v>
      </c>
      <c r="E2437" s="10">
        <v>67311</v>
      </c>
      <c r="F2437" s="201">
        <v>-10.199999999999999</v>
      </c>
      <c r="G2437" s="201">
        <v>10.3</v>
      </c>
    </row>
    <row r="2438" spans="4:7">
      <c r="D2438" s="200" t="s">
        <v>3193</v>
      </c>
      <c r="E2438" s="10">
        <v>67316</v>
      </c>
      <c r="F2438" s="201">
        <v>-10.199999999999999</v>
      </c>
      <c r="G2438" s="201">
        <v>9.9</v>
      </c>
    </row>
    <row r="2439" spans="4:7">
      <c r="D2439" s="200" t="s">
        <v>3194</v>
      </c>
      <c r="E2439" s="10">
        <v>67317</v>
      </c>
      <c r="F2439" s="201">
        <v>-10.199999999999999</v>
      </c>
      <c r="G2439" s="201">
        <v>9.9</v>
      </c>
    </row>
    <row r="2440" spans="4:7">
      <c r="D2440" s="200" t="s">
        <v>3195</v>
      </c>
      <c r="E2440" s="10">
        <v>67459</v>
      </c>
      <c r="F2440" s="201">
        <v>-10.199999999999999</v>
      </c>
      <c r="G2440" s="201">
        <v>11</v>
      </c>
    </row>
    <row r="2441" spans="4:7">
      <c r="D2441" s="200" t="s">
        <v>3086</v>
      </c>
      <c r="E2441" s="10">
        <v>67549</v>
      </c>
      <c r="F2441" s="201">
        <v>-10.199999999999999</v>
      </c>
      <c r="G2441" s="201">
        <v>11</v>
      </c>
    </row>
    <row r="2442" spans="4:7">
      <c r="D2442" s="200" t="s">
        <v>3196</v>
      </c>
      <c r="E2442" s="10">
        <v>67577</v>
      </c>
      <c r="F2442" s="201">
        <v>-10.199999999999999</v>
      </c>
      <c r="G2442" s="201">
        <v>10.6</v>
      </c>
    </row>
    <row r="2443" spans="4:7">
      <c r="D2443" s="200" t="s">
        <v>3197</v>
      </c>
      <c r="E2443" s="10">
        <v>67578</v>
      </c>
      <c r="F2443" s="201">
        <v>-10.199999999999999</v>
      </c>
      <c r="G2443" s="201">
        <v>10.9</v>
      </c>
    </row>
    <row r="2444" spans="4:7">
      <c r="D2444" s="200" t="s">
        <v>3198</v>
      </c>
      <c r="E2444" s="10">
        <v>67583</v>
      </c>
      <c r="F2444" s="201">
        <v>-10.199999999999999</v>
      </c>
      <c r="G2444" s="201">
        <v>10.9</v>
      </c>
    </row>
    <row r="2445" spans="4:7">
      <c r="D2445" s="200" t="s">
        <v>3199</v>
      </c>
      <c r="E2445" s="10">
        <v>67593</v>
      </c>
      <c r="F2445" s="201">
        <v>-10.199999999999999</v>
      </c>
      <c r="G2445" s="201">
        <v>10.7</v>
      </c>
    </row>
    <row r="2446" spans="4:7">
      <c r="D2446" s="200" t="s">
        <v>3200</v>
      </c>
      <c r="E2446" s="10">
        <v>67595</v>
      </c>
      <c r="F2446" s="201">
        <v>-10.199999999999999</v>
      </c>
      <c r="G2446" s="201">
        <v>10.7</v>
      </c>
    </row>
    <row r="2447" spans="4:7">
      <c r="D2447" s="200" t="s">
        <v>3201</v>
      </c>
      <c r="E2447" s="10">
        <v>67596</v>
      </c>
      <c r="F2447" s="201">
        <v>-10.199999999999999</v>
      </c>
      <c r="G2447" s="201">
        <v>10.5</v>
      </c>
    </row>
    <row r="2448" spans="4:7">
      <c r="D2448" s="200" t="s">
        <v>3202</v>
      </c>
      <c r="E2448" s="10">
        <v>67678</v>
      </c>
      <c r="F2448" s="201">
        <v>-10.199999999999999</v>
      </c>
      <c r="G2448" s="201">
        <v>9.6999999999999993</v>
      </c>
    </row>
    <row r="2449" spans="4:7">
      <c r="D2449" s="200" t="s">
        <v>3203</v>
      </c>
      <c r="E2449" s="10">
        <v>67732</v>
      </c>
      <c r="F2449" s="201">
        <v>-10.199999999999999</v>
      </c>
      <c r="G2449" s="201">
        <v>9.8000000000000007</v>
      </c>
    </row>
    <row r="2450" spans="4:7">
      <c r="D2450" s="200" t="s">
        <v>3204</v>
      </c>
      <c r="E2450" s="10">
        <v>67735</v>
      </c>
      <c r="F2450" s="201">
        <v>-10.199999999999999</v>
      </c>
      <c r="G2450" s="201">
        <v>9.8000000000000007</v>
      </c>
    </row>
    <row r="2451" spans="4:7">
      <c r="D2451" s="200" t="s">
        <v>3205</v>
      </c>
      <c r="E2451" s="10">
        <v>67813</v>
      </c>
      <c r="F2451" s="201">
        <v>-10.199999999999999</v>
      </c>
      <c r="G2451" s="201">
        <v>9.8000000000000007</v>
      </c>
    </row>
    <row r="2452" spans="4:7">
      <c r="D2452" s="200" t="s">
        <v>3206</v>
      </c>
      <c r="E2452" s="10">
        <v>69226</v>
      </c>
      <c r="F2452" s="201">
        <v>-10.199999999999999</v>
      </c>
      <c r="G2452" s="201">
        <v>10.7</v>
      </c>
    </row>
    <row r="2453" spans="4:7">
      <c r="D2453" s="200" t="s">
        <v>3207</v>
      </c>
      <c r="E2453" s="10">
        <v>69256</v>
      </c>
      <c r="F2453" s="201">
        <v>-10.199999999999999</v>
      </c>
      <c r="G2453" s="201">
        <v>10.7</v>
      </c>
    </row>
    <row r="2454" spans="4:7">
      <c r="D2454" s="200" t="s">
        <v>3208</v>
      </c>
      <c r="E2454" s="10">
        <v>69469</v>
      </c>
      <c r="F2454" s="201">
        <v>-10.199999999999999</v>
      </c>
      <c r="G2454" s="201">
        <v>10.4</v>
      </c>
    </row>
    <row r="2455" spans="4:7">
      <c r="D2455" s="200" t="s">
        <v>3209</v>
      </c>
      <c r="E2455" s="10">
        <v>69517</v>
      </c>
      <c r="F2455" s="201">
        <v>-10.199999999999999</v>
      </c>
      <c r="G2455" s="201">
        <v>10.4</v>
      </c>
    </row>
    <row r="2456" spans="4:7">
      <c r="D2456" s="200" t="s">
        <v>2307</v>
      </c>
      <c r="E2456" s="10">
        <v>70180</v>
      </c>
      <c r="F2456" s="201">
        <v>-10.199999999999999</v>
      </c>
      <c r="G2456" s="201">
        <v>10.8</v>
      </c>
    </row>
    <row r="2457" spans="4:7">
      <c r="D2457" s="200" t="s">
        <v>2307</v>
      </c>
      <c r="E2457" s="10">
        <v>70329</v>
      </c>
      <c r="F2457" s="201">
        <v>-10.199999999999999</v>
      </c>
      <c r="G2457" s="201">
        <v>10.9</v>
      </c>
    </row>
    <row r="2458" spans="4:7">
      <c r="D2458" s="200" t="s">
        <v>2307</v>
      </c>
      <c r="E2458" s="10">
        <v>70374</v>
      </c>
      <c r="F2458" s="201">
        <v>-10.199999999999999</v>
      </c>
      <c r="G2458" s="201">
        <v>10.9</v>
      </c>
    </row>
    <row r="2459" spans="4:7">
      <c r="D2459" s="200" t="s">
        <v>2307</v>
      </c>
      <c r="E2459" s="10">
        <v>70437</v>
      </c>
      <c r="F2459" s="201">
        <v>-10.199999999999999</v>
      </c>
      <c r="G2459" s="201">
        <v>10.9</v>
      </c>
    </row>
    <row r="2460" spans="4:7">
      <c r="D2460" s="200" t="s">
        <v>2949</v>
      </c>
      <c r="E2460" s="10">
        <v>74076</v>
      </c>
      <c r="F2460" s="201">
        <v>-10.199999999999999</v>
      </c>
      <c r="G2460" s="201">
        <v>10.9</v>
      </c>
    </row>
    <row r="2461" spans="4:7">
      <c r="D2461" s="200" t="s">
        <v>3210</v>
      </c>
      <c r="E2461" s="10">
        <v>76275</v>
      </c>
      <c r="F2461" s="201">
        <v>-10.199999999999999</v>
      </c>
      <c r="G2461" s="201">
        <v>10.7</v>
      </c>
    </row>
    <row r="2462" spans="4:7">
      <c r="D2462" s="200" t="s">
        <v>3100</v>
      </c>
      <c r="E2462" s="10">
        <v>76316</v>
      </c>
      <c r="F2462" s="201">
        <v>-10.199999999999999</v>
      </c>
      <c r="G2462" s="201">
        <v>10.9</v>
      </c>
    </row>
    <row r="2463" spans="4:7">
      <c r="D2463" s="200" t="s">
        <v>3211</v>
      </c>
      <c r="E2463" s="10">
        <v>76327</v>
      </c>
      <c r="F2463" s="201">
        <v>-10.199999999999999</v>
      </c>
      <c r="G2463" s="201">
        <v>10.8</v>
      </c>
    </row>
    <row r="2464" spans="4:7">
      <c r="D2464" s="200" t="s">
        <v>3212</v>
      </c>
      <c r="E2464" s="10">
        <v>76456</v>
      </c>
      <c r="F2464" s="201">
        <v>-10.199999999999999</v>
      </c>
      <c r="G2464" s="201">
        <v>10.5</v>
      </c>
    </row>
    <row r="2465" spans="4:7">
      <c r="D2465" s="200" t="s">
        <v>3213</v>
      </c>
      <c r="E2465" s="10">
        <v>76461</v>
      </c>
      <c r="F2465" s="201">
        <v>-10.199999999999999</v>
      </c>
      <c r="G2465" s="201">
        <v>11</v>
      </c>
    </row>
    <row r="2466" spans="4:7">
      <c r="D2466" s="200" t="s">
        <v>3214</v>
      </c>
      <c r="E2466" s="10">
        <v>76549</v>
      </c>
      <c r="F2466" s="201">
        <v>-10.199999999999999</v>
      </c>
      <c r="G2466" s="201">
        <v>11</v>
      </c>
    </row>
    <row r="2467" spans="4:7">
      <c r="D2467" s="200" t="s">
        <v>3215</v>
      </c>
      <c r="E2467" s="10">
        <v>76669</v>
      </c>
      <c r="F2467" s="201">
        <v>-10.199999999999999</v>
      </c>
      <c r="G2467" s="201">
        <v>11</v>
      </c>
    </row>
    <row r="2468" spans="4:7">
      <c r="D2468" s="200" t="s">
        <v>3216</v>
      </c>
      <c r="E2468" s="10">
        <v>76833</v>
      </c>
      <c r="F2468" s="201">
        <v>-10.199999999999999</v>
      </c>
      <c r="G2468" s="201">
        <v>10.199999999999999</v>
      </c>
    </row>
    <row r="2469" spans="4:7">
      <c r="D2469" s="200" t="s">
        <v>3217</v>
      </c>
      <c r="E2469" s="10">
        <v>76887</v>
      </c>
      <c r="F2469" s="201">
        <v>-10.199999999999999</v>
      </c>
      <c r="G2469" s="201">
        <v>10.6</v>
      </c>
    </row>
    <row r="2470" spans="4:7">
      <c r="D2470" s="200" t="s">
        <v>3218</v>
      </c>
      <c r="E2470" s="10">
        <v>76891</v>
      </c>
      <c r="F2470" s="201">
        <v>-10.199999999999999</v>
      </c>
      <c r="G2470" s="201">
        <v>10.1</v>
      </c>
    </row>
    <row r="2471" spans="4:7">
      <c r="D2471" s="200" t="s">
        <v>3219</v>
      </c>
      <c r="E2471" s="10">
        <v>77756</v>
      </c>
      <c r="F2471" s="201">
        <v>-10.199999999999999</v>
      </c>
      <c r="G2471" s="201">
        <v>10.5</v>
      </c>
    </row>
    <row r="2472" spans="4:7">
      <c r="D2472" s="200" t="s">
        <v>3220</v>
      </c>
      <c r="E2472" s="10">
        <v>78333</v>
      </c>
      <c r="F2472" s="201">
        <v>-10.199999999999999</v>
      </c>
      <c r="G2472" s="201">
        <v>9.5</v>
      </c>
    </row>
    <row r="2473" spans="4:7">
      <c r="D2473" s="200" t="s">
        <v>2439</v>
      </c>
      <c r="E2473" s="10">
        <v>79104</v>
      </c>
      <c r="F2473" s="201">
        <v>-10.199999999999999</v>
      </c>
      <c r="G2473" s="201">
        <v>10.8</v>
      </c>
    </row>
    <row r="2474" spans="4:7">
      <c r="D2474" s="200" t="s">
        <v>3221</v>
      </c>
      <c r="E2474" s="10">
        <v>79194</v>
      </c>
      <c r="F2474" s="201">
        <v>-10.199999999999999</v>
      </c>
      <c r="G2474" s="201">
        <v>10.8</v>
      </c>
    </row>
    <row r="2475" spans="4:7">
      <c r="D2475" s="200" t="s">
        <v>3222</v>
      </c>
      <c r="E2475" s="10">
        <v>79241</v>
      </c>
      <c r="F2475" s="201">
        <v>-10.199999999999999</v>
      </c>
      <c r="G2475" s="201">
        <v>11</v>
      </c>
    </row>
    <row r="2476" spans="4:7">
      <c r="D2476" s="200" t="s">
        <v>3223</v>
      </c>
      <c r="E2476" s="10">
        <v>79249</v>
      </c>
      <c r="F2476" s="201">
        <v>-10.199999999999999</v>
      </c>
      <c r="G2476" s="201">
        <v>10.8</v>
      </c>
    </row>
    <row r="2477" spans="4:7">
      <c r="D2477" s="200" t="s">
        <v>3224</v>
      </c>
      <c r="E2477" s="10">
        <v>79346</v>
      </c>
      <c r="F2477" s="201">
        <v>-10.199999999999999</v>
      </c>
      <c r="G2477" s="201">
        <v>10.9</v>
      </c>
    </row>
    <row r="2478" spans="4:7">
      <c r="D2478" s="200" t="s">
        <v>3225</v>
      </c>
      <c r="E2478" s="10">
        <v>79356</v>
      </c>
      <c r="F2478" s="201">
        <v>-10.199999999999999</v>
      </c>
      <c r="G2478" s="201">
        <v>10.9</v>
      </c>
    </row>
    <row r="2479" spans="4:7">
      <c r="D2479" s="200" t="s">
        <v>2981</v>
      </c>
      <c r="E2479" s="10">
        <v>79540</v>
      </c>
      <c r="F2479" s="201">
        <v>-10.199999999999999</v>
      </c>
      <c r="G2479" s="201">
        <v>10.1</v>
      </c>
    </row>
    <row r="2480" spans="4:7">
      <c r="D2480" s="200" t="s">
        <v>3226</v>
      </c>
      <c r="E2480" s="10">
        <v>79589</v>
      </c>
      <c r="F2480" s="201">
        <v>-10.199999999999999</v>
      </c>
      <c r="G2480" s="201">
        <v>10.7</v>
      </c>
    </row>
    <row r="2481" spans="4:7">
      <c r="D2481" s="200" t="s">
        <v>3227</v>
      </c>
      <c r="E2481" s="10">
        <v>79591</v>
      </c>
      <c r="F2481" s="201">
        <v>-10.199999999999999</v>
      </c>
      <c r="G2481" s="201">
        <v>10.7</v>
      </c>
    </row>
    <row r="2482" spans="4:7">
      <c r="D2482" s="200" t="s">
        <v>3228</v>
      </c>
      <c r="E2482" s="10">
        <v>79592</v>
      </c>
      <c r="F2482" s="201">
        <v>-10.199999999999999</v>
      </c>
      <c r="G2482" s="201">
        <v>10.7</v>
      </c>
    </row>
    <row r="2483" spans="4:7">
      <c r="D2483" s="200" t="s">
        <v>3229</v>
      </c>
      <c r="E2483" s="10">
        <v>79594</v>
      </c>
      <c r="F2483" s="201">
        <v>-10.199999999999999</v>
      </c>
      <c r="G2483" s="201">
        <v>10.1</v>
      </c>
    </row>
    <row r="2484" spans="4:7">
      <c r="D2484" s="200" t="s">
        <v>3230</v>
      </c>
      <c r="E2484" s="10">
        <v>79597</v>
      </c>
      <c r="F2484" s="201">
        <v>-10.199999999999999</v>
      </c>
      <c r="G2484" s="201">
        <v>10.4</v>
      </c>
    </row>
    <row r="2485" spans="4:7">
      <c r="D2485" s="200" t="s">
        <v>3231</v>
      </c>
      <c r="E2485" s="10">
        <v>79599</v>
      </c>
      <c r="F2485" s="201">
        <v>-10.199999999999999</v>
      </c>
      <c r="G2485" s="201">
        <v>10.5</v>
      </c>
    </row>
    <row r="2486" spans="4:7">
      <c r="D2486" s="200" t="s">
        <v>3232</v>
      </c>
      <c r="E2486" s="10">
        <v>88718</v>
      </c>
      <c r="F2486" s="201">
        <v>-10.199999999999999</v>
      </c>
      <c r="G2486" s="201">
        <v>9.4</v>
      </c>
    </row>
    <row r="2487" spans="4:7">
      <c r="D2487" s="200" t="s">
        <v>2857</v>
      </c>
      <c r="E2487" s="10">
        <v>18146</v>
      </c>
      <c r="F2487" s="201">
        <v>-10.3</v>
      </c>
      <c r="G2487" s="201">
        <v>9.3000000000000007</v>
      </c>
    </row>
    <row r="2488" spans="4:7">
      <c r="D2488" s="200" t="s">
        <v>3233</v>
      </c>
      <c r="E2488" s="10">
        <v>18574</v>
      </c>
      <c r="F2488" s="201">
        <v>-10.3</v>
      </c>
      <c r="G2488" s="201">
        <v>8.9</v>
      </c>
    </row>
    <row r="2489" spans="4:7">
      <c r="D2489" s="200" t="s">
        <v>1707</v>
      </c>
      <c r="E2489" s="10">
        <v>21031</v>
      </c>
      <c r="F2489" s="201">
        <v>-10.3</v>
      </c>
      <c r="G2489" s="201">
        <v>9.3000000000000007</v>
      </c>
    </row>
    <row r="2490" spans="4:7">
      <c r="D2490" s="200" t="s">
        <v>1707</v>
      </c>
      <c r="E2490" s="10">
        <v>21037</v>
      </c>
      <c r="F2490" s="201">
        <v>-10.3</v>
      </c>
      <c r="G2490" s="201">
        <v>9.4</v>
      </c>
    </row>
    <row r="2491" spans="4:7">
      <c r="D2491" s="200" t="s">
        <v>2985</v>
      </c>
      <c r="E2491" s="10">
        <v>21220</v>
      </c>
      <c r="F2491" s="201">
        <v>-10.3</v>
      </c>
      <c r="G2491" s="201">
        <v>9.3000000000000007</v>
      </c>
    </row>
    <row r="2492" spans="4:7">
      <c r="D2492" s="200" t="s">
        <v>3234</v>
      </c>
      <c r="E2492" s="10">
        <v>21227</v>
      </c>
      <c r="F2492" s="201">
        <v>-10.3</v>
      </c>
      <c r="G2492" s="201">
        <v>9.3000000000000007</v>
      </c>
    </row>
    <row r="2493" spans="4:7">
      <c r="D2493" s="200" t="s">
        <v>3235</v>
      </c>
      <c r="E2493" s="10">
        <v>21228</v>
      </c>
      <c r="F2493" s="201">
        <v>-10.3</v>
      </c>
      <c r="G2493" s="201">
        <v>9.1999999999999993</v>
      </c>
    </row>
    <row r="2494" spans="4:7">
      <c r="D2494" s="200" t="s">
        <v>3236</v>
      </c>
      <c r="E2494" s="10">
        <v>21256</v>
      </c>
      <c r="F2494" s="201">
        <v>-10.3</v>
      </c>
      <c r="G2494" s="201">
        <v>9.1999999999999993</v>
      </c>
    </row>
    <row r="2495" spans="4:7">
      <c r="D2495" s="200" t="s">
        <v>3237</v>
      </c>
      <c r="E2495" s="10">
        <v>21266</v>
      </c>
      <c r="F2495" s="201">
        <v>-10.3</v>
      </c>
      <c r="G2495" s="201">
        <v>9.3000000000000007</v>
      </c>
    </row>
    <row r="2496" spans="4:7">
      <c r="D2496" s="200" t="s">
        <v>3238</v>
      </c>
      <c r="E2496" s="10">
        <v>21509</v>
      </c>
      <c r="F2496" s="201">
        <v>-10.3</v>
      </c>
      <c r="G2496" s="201">
        <v>9.3000000000000007</v>
      </c>
    </row>
    <row r="2497" spans="4:7">
      <c r="D2497" s="200" t="s">
        <v>1707</v>
      </c>
      <c r="E2497" s="10">
        <v>22145</v>
      </c>
      <c r="F2497" s="201">
        <v>-10.3</v>
      </c>
      <c r="G2497" s="201">
        <v>9.1</v>
      </c>
    </row>
    <row r="2498" spans="4:7">
      <c r="D2498" s="200" t="s">
        <v>3239</v>
      </c>
      <c r="E2498" s="10">
        <v>22885</v>
      </c>
      <c r="F2498" s="201">
        <v>-10.3</v>
      </c>
      <c r="G2498" s="201">
        <v>9.1999999999999993</v>
      </c>
    </row>
    <row r="2499" spans="4:7">
      <c r="D2499" s="200" t="s">
        <v>3240</v>
      </c>
      <c r="E2499" s="10">
        <v>22941</v>
      </c>
      <c r="F2499" s="201">
        <v>-10.3</v>
      </c>
      <c r="G2499" s="201">
        <v>9.1</v>
      </c>
    </row>
    <row r="2500" spans="4:7">
      <c r="D2500" s="200" t="s">
        <v>3241</v>
      </c>
      <c r="E2500" s="10">
        <v>22949</v>
      </c>
      <c r="F2500" s="201">
        <v>-10.3</v>
      </c>
      <c r="G2500" s="201">
        <v>9.1</v>
      </c>
    </row>
    <row r="2501" spans="4:7">
      <c r="D2501" s="200" t="s">
        <v>2062</v>
      </c>
      <c r="E2501" s="10">
        <v>23564</v>
      </c>
      <c r="F2501" s="201">
        <v>-10.3</v>
      </c>
      <c r="G2501" s="201">
        <v>9.4</v>
      </c>
    </row>
    <row r="2502" spans="4:7">
      <c r="D2502" s="200" t="s">
        <v>2062</v>
      </c>
      <c r="E2502" s="10">
        <v>23569</v>
      </c>
      <c r="F2502" s="201">
        <v>-10.3</v>
      </c>
      <c r="G2502" s="201">
        <v>9.1</v>
      </c>
    </row>
    <row r="2503" spans="4:7">
      <c r="D2503" s="200" t="s">
        <v>3242</v>
      </c>
      <c r="E2503" s="10">
        <v>23611</v>
      </c>
      <c r="F2503" s="201">
        <v>-10.3</v>
      </c>
      <c r="G2503" s="201">
        <v>9.1</v>
      </c>
    </row>
    <row r="2504" spans="4:7">
      <c r="D2504" s="200" t="s">
        <v>3243</v>
      </c>
      <c r="E2504" s="10">
        <v>23827</v>
      </c>
      <c r="F2504" s="201">
        <v>-10.3</v>
      </c>
      <c r="G2504" s="201">
        <v>8.8000000000000007</v>
      </c>
    </row>
    <row r="2505" spans="4:7">
      <c r="D2505" s="200" t="s">
        <v>3244</v>
      </c>
      <c r="E2505" s="10">
        <v>23863</v>
      </c>
      <c r="F2505" s="201">
        <v>-10.3</v>
      </c>
      <c r="G2505" s="201">
        <v>9.1</v>
      </c>
    </row>
    <row r="2506" spans="4:7">
      <c r="D2506" s="200" t="s">
        <v>3245</v>
      </c>
      <c r="E2506" s="10">
        <v>24641</v>
      </c>
      <c r="F2506" s="201">
        <v>-10.3</v>
      </c>
      <c r="G2506" s="201">
        <v>9.1</v>
      </c>
    </row>
    <row r="2507" spans="4:7">
      <c r="D2507" s="200" t="s">
        <v>3246</v>
      </c>
      <c r="E2507" s="10">
        <v>25451</v>
      </c>
      <c r="F2507" s="201">
        <v>-10.3</v>
      </c>
      <c r="G2507" s="201">
        <v>9.1</v>
      </c>
    </row>
    <row r="2508" spans="4:7">
      <c r="D2508" s="200" t="s">
        <v>3247</v>
      </c>
      <c r="E2508" s="10">
        <v>25479</v>
      </c>
      <c r="F2508" s="201">
        <v>-10.3</v>
      </c>
      <c r="G2508" s="201">
        <v>9</v>
      </c>
    </row>
    <row r="2509" spans="4:7">
      <c r="D2509" s="200" t="s">
        <v>3248</v>
      </c>
      <c r="E2509" s="10">
        <v>25485</v>
      </c>
      <c r="F2509" s="201">
        <v>-10.3</v>
      </c>
      <c r="G2509" s="201">
        <v>9</v>
      </c>
    </row>
    <row r="2510" spans="4:7">
      <c r="D2510" s="200" t="s">
        <v>3249</v>
      </c>
      <c r="E2510" s="10">
        <v>25486</v>
      </c>
      <c r="F2510" s="201">
        <v>-10.3</v>
      </c>
      <c r="G2510" s="201">
        <v>9</v>
      </c>
    </row>
    <row r="2511" spans="4:7">
      <c r="D2511" s="200" t="s">
        <v>3250</v>
      </c>
      <c r="E2511" s="10">
        <v>27245</v>
      </c>
      <c r="F2511" s="201">
        <v>-10.3</v>
      </c>
      <c r="G2511" s="201">
        <v>10</v>
      </c>
    </row>
    <row r="2512" spans="4:7">
      <c r="D2512" s="200" t="s">
        <v>3251</v>
      </c>
      <c r="E2512" s="10">
        <v>27246</v>
      </c>
      <c r="F2512" s="201">
        <v>-10.3</v>
      </c>
      <c r="G2512" s="201">
        <v>10</v>
      </c>
    </row>
    <row r="2513" spans="4:7">
      <c r="D2513" s="200" t="s">
        <v>3252</v>
      </c>
      <c r="E2513" s="10">
        <v>27254</v>
      </c>
      <c r="F2513" s="201">
        <v>-10.3</v>
      </c>
      <c r="G2513" s="201">
        <v>9.9</v>
      </c>
    </row>
    <row r="2514" spans="4:7">
      <c r="D2514" s="200" t="s">
        <v>3253</v>
      </c>
      <c r="E2514" s="10">
        <v>27308</v>
      </c>
      <c r="F2514" s="201">
        <v>-10.3</v>
      </c>
      <c r="G2514" s="201">
        <v>9.5</v>
      </c>
    </row>
    <row r="2515" spans="4:7">
      <c r="D2515" s="200" t="s">
        <v>3254</v>
      </c>
      <c r="E2515" s="10">
        <v>27330</v>
      </c>
      <c r="F2515" s="201">
        <v>-10.3</v>
      </c>
      <c r="G2515" s="201">
        <v>9.8000000000000007</v>
      </c>
    </row>
    <row r="2516" spans="4:7">
      <c r="D2516" s="200" t="s">
        <v>3255</v>
      </c>
      <c r="E2516" s="10">
        <v>27383</v>
      </c>
      <c r="F2516" s="201">
        <v>-10.3</v>
      </c>
      <c r="G2516" s="201">
        <v>9.4</v>
      </c>
    </row>
    <row r="2517" spans="4:7">
      <c r="D2517" s="200" t="s">
        <v>3256</v>
      </c>
      <c r="E2517" s="10">
        <v>29614</v>
      </c>
      <c r="F2517" s="201">
        <v>-10.3</v>
      </c>
      <c r="G2517" s="201">
        <v>9.3000000000000007</v>
      </c>
    </row>
    <row r="2518" spans="4:7">
      <c r="D2518" s="200" t="s">
        <v>3257</v>
      </c>
      <c r="E2518" s="10">
        <v>31600</v>
      </c>
      <c r="F2518" s="201">
        <v>-10.3</v>
      </c>
      <c r="G2518" s="201">
        <v>10.1</v>
      </c>
    </row>
    <row r="2519" spans="4:7">
      <c r="D2519" s="200" t="s">
        <v>3258</v>
      </c>
      <c r="E2519" s="10">
        <v>31603</v>
      </c>
      <c r="F2519" s="201">
        <v>-10.3</v>
      </c>
      <c r="G2519" s="201">
        <v>10.1</v>
      </c>
    </row>
    <row r="2520" spans="4:7">
      <c r="D2520" s="200" t="s">
        <v>3259</v>
      </c>
      <c r="E2520" s="10">
        <v>31737</v>
      </c>
      <c r="F2520" s="201">
        <v>-10.3</v>
      </c>
      <c r="G2520" s="201">
        <v>10.1</v>
      </c>
    </row>
    <row r="2521" spans="4:7">
      <c r="D2521" s="200" t="s">
        <v>3260</v>
      </c>
      <c r="E2521" s="10">
        <v>31785</v>
      </c>
      <c r="F2521" s="201">
        <v>-10.3</v>
      </c>
      <c r="G2521" s="201">
        <v>10.199999999999999</v>
      </c>
    </row>
    <row r="2522" spans="4:7">
      <c r="D2522" s="200" t="s">
        <v>2880</v>
      </c>
      <c r="E2522" s="10">
        <v>32425</v>
      </c>
      <c r="F2522" s="201">
        <v>-10.3</v>
      </c>
      <c r="G2522" s="201">
        <v>10.199999999999999</v>
      </c>
    </row>
    <row r="2523" spans="4:7">
      <c r="D2523" s="200" t="s">
        <v>2880</v>
      </c>
      <c r="E2523" s="10">
        <v>32429</v>
      </c>
      <c r="F2523" s="201">
        <v>-10.3</v>
      </c>
      <c r="G2523" s="201">
        <v>10.199999999999999</v>
      </c>
    </row>
    <row r="2524" spans="4:7">
      <c r="D2524" s="200" t="s">
        <v>3261</v>
      </c>
      <c r="E2524" s="10">
        <v>32457</v>
      </c>
      <c r="F2524" s="201">
        <v>-10.3</v>
      </c>
      <c r="G2524" s="201">
        <v>9.9</v>
      </c>
    </row>
    <row r="2525" spans="4:7">
      <c r="D2525" s="200" t="s">
        <v>3262</v>
      </c>
      <c r="E2525" s="10">
        <v>32479</v>
      </c>
      <c r="F2525" s="201">
        <v>-10.3</v>
      </c>
      <c r="G2525" s="201">
        <v>10.1</v>
      </c>
    </row>
    <row r="2526" spans="4:7">
      <c r="D2526" s="200" t="s">
        <v>3151</v>
      </c>
      <c r="E2526" s="10">
        <v>32545</v>
      </c>
      <c r="F2526" s="201">
        <v>-10.3</v>
      </c>
      <c r="G2526" s="201">
        <v>9.6999999999999993</v>
      </c>
    </row>
    <row r="2527" spans="4:7">
      <c r="D2527" s="200" t="s">
        <v>3151</v>
      </c>
      <c r="E2527" s="10">
        <v>32549</v>
      </c>
      <c r="F2527" s="201">
        <v>-10.3</v>
      </c>
      <c r="G2527" s="201">
        <v>10.1</v>
      </c>
    </row>
    <row r="2528" spans="4:7">
      <c r="D2528" s="200" t="s">
        <v>2568</v>
      </c>
      <c r="E2528" s="10">
        <v>32758</v>
      </c>
      <c r="F2528" s="201">
        <v>-10.3</v>
      </c>
      <c r="G2528" s="201">
        <v>9.6</v>
      </c>
    </row>
    <row r="2529" spans="4:7">
      <c r="D2529" s="200" t="s">
        <v>3263</v>
      </c>
      <c r="E2529" s="10">
        <v>32791</v>
      </c>
      <c r="F2529" s="201">
        <v>-10.3</v>
      </c>
      <c r="G2529" s="201">
        <v>9.6999999999999993</v>
      </c>
    </row>
    <row r="2530" spans="4:7">
      <c r="D2530" s="200" t="s">
        <v>2477</v>
      </c>
      <c r="E2530" s="10">
        <v>33106</v>
      </c>
      <c r="F2530" s="201">
        <v>-10.3</v>
      </c>
      <c r="G2530" s="201">
        <v>10</v>
      </c>
    </row>
    <row r="2531" spans="4:7">
      <c r="D2531" s="200" t="s">
        <v>3264</v>
      </c>
      <c r="E2531" s="10">
        <v>33129</v>
      </c>
      <c r="F2531" s="201">
        <v>-10.3</v>
      </c>
      <c r="G2531" s="201">
        <v>10</v>
      </c>
    </row>
    <row r="2532" spans="4:7">
      <c r="D2532" s="200" t="s">
        <v>1926</v>
      </c>
      <c r="E2532" s="10">
        <v>33619</v>
      </c>
      <c r="F2532" s="201">
        <v>-10.3</v>
      </c>
      <c r="G2532" s="201">
        <v>9.8000000000000007</v>
      </c>
    </row>
    <row r="2533" spans="4:7">
      <c r="D2533" s="200" t="s">
        <v>1926</v>
      </c>
      <c r="E2533" s="10">
        <v>33689</v>
      </c>
      <c r="F2533" s="201">
        <v>-10.3</v>
      </c>
      <c r="G2533" s="201">
        <v>9.8000000000000007</v>
      </c>
    </row>
    <row r="2534" spans="4:7">
      <c r="D2534" s="200" t="s">
        <v>3265</v>
      </c>
      <c r="E2534" s="10">
        <v>33758</v>
      </c>
      <c r="F2534" s="201">
        <v>-10.3</v>
      </c>
      <c r="G2534" s="201">
        <v>9.8000000000000007</v>
      </c>
    </row>
    <row r="2535" spans="4:7">
      <c r="D2535" s="200" t="s">
        <v>3266</v>
      </c>
      <c r="E2535" s="10">
        <v>33803</v>
      </c>
      <c r="F2535" s="201">
        <v>-10.3</v>
      </c>
      <c r="G2535" s="201">
        <v>10</v>
      </c>
    </row>
    <row r="2536" spans="4:7">
      <c r="D2536" s="200" t="s">
        <v>3267</v>
      </c>
      <c r="E2536" s="10">
        <v>33824</v>
      </c>
      <c r="F2536" s="201">
        <v>-10.3</v>
      </c>
      <c r="G2536" s="201">
        <v>9.6999999999999993</v>
      </c>
    </row>
    <row r="2537" spans="4:7">
      <c r="D2537" s="200" t="s">
        <v>3018</v>
      </c>
      <c r="E2537" s="10">
        <v>34121</v>
      </c>
      <c r="F2537" s="201">
        <v>-10.3</v>
      </c>
      <c r="G2537" s="201">
        <v>10</v>
      </c>
    </row>
    <row r="2538" spans="4:7">
      <c r="D2538" s="200" t="s">
        <v>3268</v>
      </c>
      <c r="E2538" s="10">
        <v>38100</v>
      </c>
      <c r="F2538" s="201">
        <v>-10.3</v>
      </c>
      <c r="G2538" s="201">
        <v>10.8</v>
      </c>
    </row>
    <row r="2539" spans="4:7">
      <c r="D2539" s="200" t="s">
        <v>3269</v>
      </c>
      <c r="E2539" s="10">
        <v>53518</v>
      </c>
      <c r="F2539" s="201">
        <v>-10.3</v>
      </c>
      <c r="G2539" s="201">
        <v>9.1</v>
      </c>
    </row>
    <row r="2540" spans="4:7">
      <c r="D2540" s="200" t="s">
        <v>3270</v>
      </c>
      <c r="E2540" s="10">
        <v>54649</v>
      </c>
      <c r="F2540" s="201">
        <v>-10.3</v>
      </c>
      <c r="G2540" s="201">
        <v>9</v>
      </c>
    </row>
    <row r="2541" spans="4:7">
      <c r="D2541" s="200" t="s">
        <v>3271</v>
      </c>
      <c r="E2541" s="10">
        <v>55270</v>
      </c>
      <c r="F2541" s="201">
        <v>-10.3</v>
      </c>
      <c r="G2541" s="201">
        <v>10.1</v>
      </c>
    </row>
    <row r="2542" spans="4:7">
      <c r="D2542" s="200" t="s">
        <v>3272</v>
      </c>
      <c r="E2542" s="10">
        <v>55286</v>
      </c>
      <c r="F2542" s="201">
        <v>-10.3</v>
      </c>
      <c r="G2542" s="201">
        <v>10.199999999999999</v>
      </c>
    </row>
    <row r="2543" spans="4:7">
      <c r="D2543" s="200" t="s">
        <v>3273</v>
      </c>
      <c r="E2543" s="10">
        <v>55569</v>
      </c>
      <c r="F2543" s="201">
        <v>-10.3</v>
      </c>
      <c r="G2543" s="201">
        <v>9.5</v>
      </c>
    </row>
    <row r="2544" spans="4:7">
      <c r="D2544" s="200" t="s">
        <v>3274</v>
      </c>
      <c r="E2544" s="10">
        <v>56349</v>
      </c>
      <c r="F2544" s="201">
        <v>-10.3</v>
      </c>
      <c r="G2544" s="201">
        <v>9.1</v>
      </c>
    </row>
    <row r="2545" spans="4:7" ht="30">
      <c r="D2545" s="200" t="s">
        <v>3275</v>
      </c>
      <c r="E2545" s="10">
        <v>56414</v>
      </c>
      <c r="F2545" s="201">
        <v>-10.3</v>
      </c>
      <c r="G2545" s="201">
        <v>9.4</v>
      </c>
    </row>
    <row r="2546" spans="4:7">
      <c r="D2546" s="200" t="s">
        <v>3276</v>
      </c>
      <c r="E2546" s="10">
        <v>56818</v>
      </c>
      <c r="F2546" s="201">
        <v>-10.3</v>
      </c>
      <c r="G2546" s="201">
        <v>9.3000000000000007</v>
      </c>
    </row>
    <row r="2547" spans="4:7">
      <c r="D2547" s="200" t="s">
        <v>3277</v>
      </c>
      <c r="E2547" s="10">
        <v>56864</v>
      </c>
      <c r="F2547" s="201">
        <v>-10.3</v>
      </c>
      <c r="G2547" s="201">
        <v>9.1</v>
      </c>
    </row>
    <row r="2548" spans="4:7">
      <c r="D2548" s="200" t="s">
        <v>3278</v>
      </c>
      <c r="E2548" s="10">
        <v>57583</v>
      </c>
      <c r="F2548" s="201">
        <v>-10.3</v>
      </c>
      <c r="G2548" s="201">
        <v>8.8000000000000007</v>
      </c>
    </row>
    <row r="2549" spans="4:7">
      <c r="D2549" s="200" t="s">
        <v>3279</v>
      </c>
      <c r="E2549" s="10">
        <v>57642</v>
      </c>
      <c r="F2549" s="201">
        <v>-10.3</v>
      </c>
      <c r="G2549" s="201">
        <v>8.6999999999999993</v>
      </c>
    </row>
    <row r="2550" spans="4:7">
      <c r="D2550" s="200" t="s">
        <v>3280</v>
      </c>
      <c r="E2550" s="10">
        <v>57648</v>
      </c>
      <c r="F2550" s="201">
        <v>-10.3</v>
      </c>
      <c r="G2550" s="201">
        <v>8.6999999999999993</v>
      </c>
    </row>
    <row r="2551" spans="4:7">
      <c r="D2551" s="200" t="s">
        <v>3281</v>
      </c>
      <c r="E2551" s="10">
        <v>58339</v>
      </c>
      <c r="F2551" s="201">
        <v>-10.3</v>
      </c>
      <c r="G2551" s="201">
        <v>8.6999999999999993</v>
      </c>
    </row>
    <row r="2552" spans="4:7">
      <c r="D2552" s="200" t="s">
        <v>3282</v>
      </c>
      <c r="E2552" s="10">
        <v>58553</v>
      </c>
      <c r="F2552" s="201">
        <v>-10.3</v>
      </c>
      <c r="G2552" s="201">
        <v>8.6</v>
      </c>
    </row>
    <row r="2553" spans="4:7">
      <c r="D2553" s="200" t="s">
        <v>3283</v>
      </c>
      <c r="E2553" s="10">
        <v>58579</v>
      </c>
      <c r="F2553" s="201">
        <v>-10.3</v>
      </c>
      <c r="G2553" s="201">
        <v>8.8000000000000007</v>
      </c>
    </row>
    <row r="2554" spans="4:7">
      <c r="D2554" s="200" t="s">
        <v>3284</v>
      </c>
      <c r="E2554" s="10">
        <v>59609</v>
      </c>
      <c r="F2554" s="201">
        <v>-10.3</v>
      </c>
      <c r="G2554" s="201">
        <v>9.5</v>
      </c>
    </row>
    <row r="2555" spans="4:7">
      <c r="D2555" s="200" t="s">
        <v>3285</v>
      </c>
      <c r="E2555" s="10">
        <v>59846</v>
      </c>
      <c r="F2555" s="201">
        <v>-10.3</v>
      </c>
      <c r="G2555" s="201">
        <v>8.9</v>
      </c>
    </row>
    <row r="2556" spans="4:7">
      <c r="D2556" s="200" t="s">
        <v>3286</v>
      </c>
      <c r="E2556" s="10">
        <v>59889</v>
      </c>
      <c r="F2556" s="201">
        <v>-10.3</v>
      </c>
      <c r="G2556" s="201">
        <v>8.9</v>
      </c>
    </row>
    <row r="2557" spans="4:7">
      <c r="D2557" s="200" t="s">
        <v>3287</v>
      </c>
      <c r="E2557" s="10">
        <v>61130</v>
      </c>
      <c r="F2557" s="201">
        <v>-10.3</v>
      </c>
      <c r="G2557" s="201">
        <v>10.3</v>
      </c>
    </row>
    <row r="2558" spans="4:7">
      <c r="D2558" s="200" t="s">
        <v>3288</v>
      </c>
      <c r="E2558" s="10">
        <v>61138</v>
      </c>
      <c r="F2558" s="201">
        <v>-10.3</v>
      </c>
      <c r="G2558" s="201">
        <v>10.5</v>
      </c>
    </row>
    <row r="2559" spans="4:7">
      <c r="D2559" s="200" t="s">
        <v>3289</v>
      </c>
      <c r="E2559" s="10">
        <v>61194</v>
      </c>
      <c r="F2559" s="201">
        <v>-10.3</v>
      </c>
      <c r="G2559" s="201">
        <v>10.4</v>
      </c>
    </row>
    <row r="2560" spans="4:7">
      <c r="D2560" s="200" t="s">
        <v>3290</v>
      </c>
      <c r="E2560" s="10">
        <v>61206</v>
      </c>
      <c r="F2560" s="201">
        <v>-10.3</v>
      </c>
      <c r="G2560" s="201">
        <v>10.4</v>
      </c>
    </row>
    <row r="2561" spans="4:7">
      <c r="D2561" s="200" t="s">
        <v>2420</v>
      </c>
      <c r="E2561" s="10">
        <v>63069</v>
      </c>
      <c r="F2561" s="201">
        <v>-10.3</v>
      </c>
      <c r="G2561" s="201">
        <v>10.6</v>
      </c>
    </row>
    <row r="2562" spans="4:7">
      <c r="D2562" s="200" t="s">
        <v>2420</v>
      </c>
      <c r="E2562" s="10">
        <v>63073</v>
      </c>
      <c r="F2562" s="201">
        <v>-10.3</v>
      </c>
      <c r="G2562" s="201">
        <v>10.6</v>
      </c>
    </row>
    <row r="2563" spans="4:7">
      <c r="D2563" s="200" t="s">
        <v>3291</v>
      </c>
      <c r="E2563" s="10">
        <v>63150</v>
      </c>
      <c r="F2563" s="201">
        <v>-10.3</v>
      </c>
      <c r="G2563" s="201">
        <v>10.6</v>
      </c>
    </row>
    <row r="2564" spans="4:7">
      <c r="D2564" s="200" t="s">
        <v>3292</v>
      </c>
      <c r="E2564" s="10">
        <v>63165</v>
      </c>
      <c r="F2564" s="201">
        <v>-10.3</v>
      </c>
      <c r="G2564" s="201">
        <v>10.7</v>
      </c>
    </row>
    <row r="2565" spans="4:7">
      <c r="D2565" s="200" t="s">
        <v>3293</v>
      </c>
      <c r="E2565" s="10">
        <v>63179</v>
      </c>
      <c r="F2565" s="201">
        <v>-10.3</v>
      </c>
      <c r="G2565" s="201">
        <v>10.7</v>
      </c>
    </row>
    <row r="2566" spans="4:7">
      <c r="D2566" s="200" t="s">
        <v>3294</v>
      </c>
      <c r="E2566" s="10">
        <v>63322</v>
      </c>
      <c r="F2566" s="201">
        <v>-10.3</v>
      </c>
      <c r="G2566" s="201">
        <v>10.6</v>
      </c>
    </row>
    <row r="2567" spans="4:7">
      <c r="D2567" s="200" t="s">
        <v>2354</v>
      </c>
      <c r="E2567" s="10">
        <v>63457</v>
      </c>
      <c r="F2567" s="201">
        <v>-10.3</v>
      </c>
      <c r="G2567" s="201">
        <v>10.7</v>
      </c>
    </row>
    <row r="2568" spans="4:7">
      <c r="D2568" s="200" t="s">
        <v>3295</v>
      </c>
      <c r="E2568" s="10">
        <v>63477</v>
      </c>
      <c r="F2568" s="201">
        <v>-10.3</v>
      </c>
      <c r="G2568" s="201">
        <v>10.6</v>
      </c>
    </row>
    <row r="2569" spans="4:7">
      <c r="D2569" s="200" t="s">
        <v>3296</v>
      </c>
      <c r="E2569" s="10">
        <v>63486</v>
      </c>
      <c r="F2569" s="201">
        <v>-10.3</v>
      </c>
      <c r="G2569" s="201">
        <v>10.6</v>
      </c>
    </row>
    <row r="2570" spans="4:7">
      <c r="D2570" s="200" t="s">
        <v>3297</v>
      </c>
      <c r="E2570" s="10">
        <v>63674</v>
      </c>
      <c r="F2570" s="201">
        <v>-10.3</v>
      </c>
      <c r="G2570" s="201">
        <v>10.4</v>
      </c>
    </row>
    <row r="2571" spans="4:7">
      <c r="D2571" s="200" t="s">
        <v>3298</v>
      </c>
      <c r="E2571" s="10">
        <v>63762</v>
      </c>
      <c r="F2571" s="201">
        <v>-10.3</v>
      </c>
      <c r="G2571" s="201">
        <v>10.6</v>
      </c>
    </row>
    <row r="2572" spans="4:7">
      <c r="D2572" s="200" t="s">
        <v>3299</v>
      </c>
      <c r="E2572" s="10">
        <v>63791</v>
      </c>
      <c r="F2572" s="201">
        <v>-10.3</v>
      </c>
      <c r="G2572" s="201">
        <v>10.7</v>
      </c>
    </row>
    <row r="2573" spans="4:7">
      <c r="D2573" s="200" t="s">
        <v>3300</v>
      </c>
      <c r="E2573" s="10">
        <v>63796</v>
      </c>
      <c r="F2573" s="201">
        <v>-10.3</v>
      </c>
      <c r="G2573" s="201">
        <v>10.7</v>
      </c>
    </row>
    <row r="2574" spans="4:7">
      <c r="D2574" s="200" t="s">
        <v>3301</v>
      </c>
      <c r="E2574" s="10">
        <v>63811</v>
      </c>
      <c r="F2574" s="201">
        <v>-10.3</v>
      </c>
      <c r="G2574" s="201">
        <v>10.6</v>
      </c>
    </row>
    <row r="2575" spans="4:7">
      <c r="D2575" s="200" t="s">
        <v>3302</v>
      </c>
      <c r="E2575" s="10">
        <v>63814</v>
      </c>
      <c r="F2575" s="201">
        <v>-10.3</v>
      </c>
      <c r="G2575" s="201">
        <v>10.7</v>
      </c>
    </row>
    <row r="2576" spans="4:7">
      <c r="D2576" s="200" t="s">
        <v>3303</v>
      </c>
      <c r="E2576" s="10">
        <v>64342</v>
      </c>
      <c r="F2576" s="201">
        <v>-10.3</v>
      </c>
      <c r="G2576" s="201">
        <v>10.4</v>
      </c>
    </row>
    <row r="2577" spans="4:7">
      <c r="D2577" s="200" t="s">
        <v>3304</v>
      </c>
      <c r="E2577" s="10">
        <v>64380</v>
      </c>
      <c r="F2577" s="201">
        <v>-10.3</v>
      </c>
      <c r="G2577" s="201">
        <v>10.5</v>
      </c>
    </row>
    <row r="2578" spans="4:7">
      <c r="D2578" s="200" t="s">
        <v>3305</v>
      </c>
      <c r="E2578" s="10">
        <v>64579</v>
      </c>
      <c r="F2578" s="201">
        <v>-10.3</v>
      </c>
      <c r="G2578" s="201">
        <v>10.9</v>
      </c>
    </row>
    <row r="2579" spans="4:7">
      <c r="D2579" s="200" t="s">
        <v>3306</v>
      </c>
      <c r="E2579" s="10">
        <v>64625</v>
      </c>
      <c r="F2579" s="201">
        <v>-10.3</v>
      </c>
      <c r="G2579" s="201">
        <v>10.4</v>
      </c>
    </row>
    <row r="2580" spans="4:7">
      <c r="D2580" s="200" t="s">
        <v>3307</v>
      </c>
      <c r="E2580" s="10">
        <v>64658</v>
      </c>
      <c r="F2580" s="201">
        <v>-10.3</v>
      </c>
      <c r="G2580" s="201">
        <v>10.4</v>
      </c>
    </row>
    <row r="2581" spans="4:7">
      <c r="D2581" s="200" t="s">
        <v>3308</v>
      </c>
      <c r="E2581" s="10">
        <v>64807</v>
      </c>
      <c r="F2581" s="201">
        <v>-10.3</v>
      </c>
      <c r="G2581" s="201">
        <v>10.6</v>
      </c>
    </row>
    <row r="2582" spans="4:7">
      <c r="D2582" s="200" t="s">
        <v>1664</v>
      </c>
      <c r="E2582" s="10">
        <v>64839</v>
      </c>
      <c r="F2582" s="201">
        <v>-10.3</v>
      </c>
      <c r="G2582" s="201">
        <v>10.6</v>
      </c>
    </row>
    <row r="2583" spans="4:7">
      <c r="D2583" s="200" t="s">
        <v>3309</v>
      </c>
      <c r="E2583" s="10">
        <v>64846</v>
      </c>
      <c r="F2583" s="201">
        <v>-10.3</v>
      </c>
      <c r="G2583" s="201">
        <v>10.6</v>
      </c>
    </row>
    <row r="2584" spans="4:7">
      <c r="D2584" s="200" t="s">
        <v>3310</v>
      </c>
      <c r="E2584" s="10">
        <v>64859</v>
      </c>
      <c r="F2584" s="201">
        <v>-10.3</v>
      </c>
      <c r="G2584" s="201">
        <v>10.5</v>
      </c>
    </row>
    <row r="2585" spans="4:7">
      <c r="D2585" s="200" t="s">
        <v>2917</v>
      </c>
      <c r="E2585" s="10">
        <v>65345</v>
      </c>
      <c r="F2585" s="201">
        <v>-10.3</v>
      </c>
      <c r="G2585" s="201">
        <v>9.6999999999999993</v>
      </c>
    </row>
    <row r="2586" spans="4:7">
      <c r="D2586" s="200" t="s">
        <v>2917</v>
      </c>
      <c r="E2586" s="10">
        <v>65347</v>
      </c>
      <c r="F2586" s="201">
        <v>-10.3</v>
      </c>
      <c r="G2586" s="201">
        <v>9.5</v>
      </c>
    </row>
    <row r="2587" spans="4:7">
      <c r="D2587" s="200" t="s">
        <v>3311</v>
      </c>
      <c r="E2587" s="10">
        <v>65366</v>
      </c>
      <c r="F2587" s="201">
        <v>-10.3</v>
      </c>
      <c r="G2587" s="201">
        <v>9.4</v>
      </c>
    </row>
    <row r="2588" spans="4:7">
      <c r="D2588" s="200" t="s">
        <v>3312</v>
      </c>
      <c r="E2588" s="10">
        <v>65399</v>
      </c>
      <c r="F2588" s="201">
        <v>-10.3</v>
      </c>
      <c r="G2588" s="201">
        <v>9.6</v>
      </c>
    </row>
    <row r="2589" spans="4:7">
      <c r="D2589" s="200" t="s">
        <v>3313</v>
      </c>
      <c r="E2589" s="10">
        <v>65606</v>
      </c>
      <c r="F2589" s="201">
        <v>-10.3</v>
      </c>
      <c r="G2589" s="201">
        <v>9.8000000000000007</v>
      </c>
    </row>
    <row r="2590" spans="4:7">
      <c r="D2590" s="200" t="s">
        <v>3314</v>
      </c>
      <c r="E2590" s="10">
        <v>65627</v>
      </c>
      <c r="F2590" s="201">
        <v>-10.3</v>
      </c>
      <c r="G2590" s="201">
        <v>9.6</v>
      </c>
    </row>
    <row r="2591" spans="4:7">
      <c r="D2591" s="200" t="s">
        <v>3315</v>
      </c>
      <c r="E2591" s="10">
        <v>65779</v>
      </c>
      <c r="F2591" s="201">
        <v>-10.3</v>
      </c>
      <c r="G2591" s="201">
        <v>10</v>
      </c>
    </row>
    <row r="2592" spans="4:7">
      <c r="D2592" s="200" t="s">
        <v>3316</v>
      </c>
      <c r="E2592" s="10">
        <v>66399</v>
      </c>
      <c r="F2592" s="201">
        <v>-10.3</v>
      </c>
      <c r="G2592" s="201">
        <v>9.5</v>
      </c>
    </row>
    <row r="2593" spans="4:7">
      <c r="D2593" s="200" t="s">
        <v>3317</v>
      </c>
      <c r="E2593" s="10">
        <v>66620</v>
      </c>
      <c r="F2593" s="201">
        <v>-10.3</v>
      </c>
      <c r="G2593" s="201">
        <v>9.3000000000000007</v>
      </c>
    </row>
    <row r="2594" spans="4:7">
      <c r="D2594" s="200" t="s">
        <v>3318</v>
      </c>
      <c r="E2594" s="10">
        <v>66646</v>
      </c>
      <c r="F2594" s="201">
        <v>-10.3</v>
      </c>
      <c r="G2594" s="201">
        <v>9.4</v>
      </c>
    </row>
    <row r="2595" spans="4:7">
      <c r="D2595" s="200" t="s">
        <v>3319</v>
      </c>
      <c r="E2595" s="10">
        <v>66849</v>
      </c>
      <c r="F2595" s="201">
        <v>-10.3</v>
      </c>
      <c r="G2595" s="201">
        <v>9.6</v>
      </c>
    </row>
    <row r="2596" spans="4:7">
      <c r="D2596" s="200" t="s">
        <v>3320</v>
      </c>
      <c r="E2596" s="10">
        <v>66903</v>
      </c>
      <c r="F2596" s="201">
        <v>-10.3</v>
      </c>
      <c r="G2596" s="201">
        <v>9.5</v>
      </c>
    </row>
    <row r="2597" spans="4:7">
      <c r="D2597" s="200" t="s">
        <v>3321</v>
      </c>
      <c r="E2597" s="10">
        <v>66916</v>
      </c>
      <c r="F2597" s="201">
        <v>-10.3</v>
      </c>
      <c r="G2597" s="201">
        <v>9.4</v>
      </c>
    </row>
    <row r="2598" spans="4:7">
      <c r="D2598" s="200" t="s">
        <v>3075</v>
      </c>
      <c r="E2598" s="10">
        <v>66954</v>
      </c>
      <c r="F2598" s="201">
        <v>-10.3</v>
      </c>
      <c r="G2598" s="201">
        <v>9.6</v>
      </c>
    </row>
    <row r="2599" spans="4:7">
      <c r="D2599" s="200" t="s">
        <v>3322</v>
      </c>
      <c r="E2599" s="10">
        <v>67112</v>
      </c>
      <c r="F2599" s="201">
        <v>-10.3</v>
      </c>
      <c r="G2599" s="201">
        <v>11.1</v>
      </c>
    </row>
    <row r="2600" spans="4:7">
      <c r="D2600" s="200" t="s">
        <v>3323</v>
      </c>
      <c r="E2600" s="10">
        <v>67117</v>
      </c>
      <c r="F2600" s="201">
        <v>-10.3</v>
      </c>
      <c r="G2600" s="201">
        <v>11.1</v>
      </c>
    </row>
    <row r="2601" spans="4:7">
      <c r="D2601" s="200" t="s">
        <v>3324</v>
      </c>
      <c r="E2601" s="10">
        <v>67125</v>
      </c>
      <c r="F2601" s="201">
        <v>-10.3</v>
      </c>
      <c r="G2601" s="201">
        <v>11</v>
      </c>
    </row>
    <row r="2602" spans="4:7">
      <c r="D2602" s="200" t="s">
        <v>3325</v>
      </c>
      <c r="E2602" s="10">
        <v>67126</v>
      </c>
      <c r="F2602" s="201">
        <v>-10.3</v>
      </c>
      <c r="G2602" s="201">
        <v>11</v>
      </c>
    </row>
    <row r="2603" spans="4:7">
      <c r="D2603" s="200" t="s">
        <v>3326</v>
      </c>
      <c r="E2603" s="10">
        <v>67127</v>
      </c>
      <c r="F2603" s="201">
        <v>-10.3</v>
      </c>
      <c r="G2603" s="201">
        <v>11</v>
      </c>
    </row>
    <row r="2604" spans="4:7">
      <c r="D2604" s="200" t="s">
        <v>3327</v>
      </c>
      <c r="E2604" s="10">
        <v>67134</v>
      </c>
      <c r="F2604" s="201">
        <v>-10.3</v>
      </c>
      <c r="G2604" s="201">
        <v>11</v>
      </c>
    </row>
    <row r="2605" spans="4:7">
      <c r="D2605" s="200" t="s">
        <v>3328</v>
      </c>
      <c r="E2605" s="10">
        <v>67136</v>
      </c>
      <c r="F2605" s="201">
        <v>-10.3</v>
      </c>
      <c r="G2605" s="201">
        <v>11</v>
      </c>
    </row>
    <row r="2606" spans="4:7">
      <c r="D2606" s="200" t="s">
        <v>3329</v>
      </c>
      <c r="E2606" s="10">
        <v>67158</v>
      </c>
      <c r="F2606" s="201">
        <v>-10.3</v>
      </c>
      <c r="G2606" s="201">
        <v>10.9</v>
      </c>
    </row>
    <row r="2607" spans="4:7">
      <c r="D2607" s="200" t="s">
        <v>3330</v>
      </c>
      <c r="E2607" s="10">
        <v>67161</v>
      </c>
      <c r="F2607" s="201">
        <v>-10.3</v>
      </c>
      <c r="G2607" s="201">
        <v>10.9</v>
      </c>
    </row>
    <row r="2608" spans="4:7">
      <c r="D2608" s="200" t="s">
        <v>3331</v>
      </c>
      <c r="E2608" s="10">
        <v>67167</v>
      </c>
      <c r="F2608" s="201">
        <v>-10.3</v>
      </c>
      <c r="G2608" s="201">
        <v>10.9</v>
      </c>
    </row>
    <row r="2609" spans="4:7">
      <c r="D2609" s="200" t="s">
        <v>3332</v>
      </c>
      <c r="E2609" s="10">
        <v>67227</v>
      </c>
      <c r="F2609" s="201">
        <v>-10.3</v>
      </c>
      <c r="G2609" s="201">
        <v>11.2</v>
      </c>
    </row>
    <row r="2610" spans="4:7">
      <c r="D2610" s="200" t="s">
        <v>3333</v>
      </c>
      <c r="E2610" s="10">
        <v>67229</v>
      </c>
      <c r="F2610" s="201">
        <v>-10.3</v>
      </c>
      <c r="G2610" s="201">
        <v>10.9</v>
      </c>
    </row>
    <row r="2611" spans="4:7">
      <c r="D2611" s="200" t="s">
        <v>3334</v>
      </c>
      <c r="E2611" s="10">
        <v>67245</v>
      </c>
      <c r="F2611" s="201">
        <v>-10.3</v>
      </c>
      <c r="G2611" s="201">
        <v>10.9</v>
      </c>
    </row>
    <row r="2612" spans="4:7">
      <c r="D2612" s="200" t="s">
        <v>3335</v>
      </c>
      <c r="E2612" s="10">
        <v>67246</v>
      </c>
      <c r="F2612" s="201">
        <v>-10.3</v>
      </c>
      <c r="G2612" s="201">
        <v>10.9</v>
      </c>
    </row>
    <row r="2613" spans="4:7">
      <c r="D2613" s="200" t="s">
        <v>3336</v>
      </c>
      <c r="E2613" s="10">
        <v>67258</v>
      </c>
      <c r="F2613" s="201">
        <v>-10.3</v>
      </c>
      <c r="G2613" s="201">
        <v>10.9</v>
      </c>
    </row>
    <row r="2614" spans="4:7">
      <c r="D2614" s="200" t="s">
        <v>3337</v>
      </c>
      <c r="E2614" s="10">
        <v>67271</v>
      </c>
      <c r="F2614" s="201">
        <v>-10.3</v>
      </c>
      <c r="G2614" s="201">
        <v>10</v>
      </c>
    </row>
    <row r="2615" spans="4:7">
      <c r="D2615" s="200" t="s">
        <v>3338</v>
      </c>
      <c r="E2615" s="10">
        <v>67304</v>
      </c>
      <c r="F2615" s="201">
        <v>-10.3</v>
      </c>
      <c r="G2615" s="201">
        <v>9.6</v>
      </c>
    </row>
    <row r="2616" spans="4:7">
      <c r="D2616" s="200" t="s">
        <v>3339</v>
      </c>
      <c r="E2616" s="10">
        <v>67319</v>
      </c>
      <c r="F2616" s="201">
        <v>-10.3</v>
      </c>
      <c r="G2616" s="201">
        <v>9.6999999999999993</v>
      </c>
    </row>
    <row r="2617" spans="4:7">
      <c r="D2617" s="200" t="s">
        <v>3086</v>
      </c>
      <c r="E2617" s="10">
        <v>67551</v>
      </c>
      <c r="F2617" s="201">
        <v>-10.3</v>
      </c>
      <c r="G2617" s="201">
        <v>10.8</v>
      </c>
    </row>
    <row r="2618" spans="4:7">
      <c r="D2618" s="200" t="s">
        <v>3340</v>
      </c>
      <c r="E2618" s="10">
        <v>67574</v>
      </c>
      <c r="F2618" s="201">
        <v>-10.3</v>
      </c>
      <c r="G2618" s="201">
        <v>10.8</v>
      </c>
    </row>
    <row r="2619" spans="4:7">
      <c r="D2619" s="200" t="s">
        <v>3341</v>
      </c>
      <c r="E2619" s="10">
        <v>67575</v>
      </c>
      <c r="F2619" s="201">
        <v>-10.3</v>
      </c>
      <c r="G2619" s="201">
        <v>10.9</v>
      </c>
    </row>
    <row r="2620" spans="4:7">
      <c r="D2620" s="200" t="s">
        <v>2054</v>
      </c>
      <c r="E2620" s="10">
        <v>67580</v>
      </c>
      <c r="F2620" s="201">
        <v>-10.3</v>
      </c>
      <c r="G2620" s="201">
        <v>10.9</v>
      </c>
    </row>
    <row r="2621" spans="4:7">
      <c r="D2621" s="200" t="s">
        <v>3342</v>
      </c>
      <c r="E2621" s="10">
        <v>67680</v>
      </c>
      <c r="F2621" s="201">
        <v>-10.3</v>
      </c>
      <c r="G2621" s="201">
        <v>9.6</v>
      </c>
    </row>
    <row r="2622" spans="4:7">
      <c r="D2622" s="200" t="s">
        <v>3343</v>
      </c>
      <c r="E2622" s="10">
        <v>67681</v>
      </c>
      <c r="F2622" s="201">
        <v>-10.3</v>
      </c>
      <c r="G2622" s="201">
        <v>9.6999999999999993</v>
      </c>
    </row>
    <row r="2623" spans="4:7">
      <c r="D2623" s="200" t="s">
        <v>3344</v>
      </c>
      <c r="E2623" s="10">
        <v>67691</v>
      </c>
      <c r="F2623" s="201">
        <v>-10.3</v>
      </c>
      <c r="G2623" s="201">
        <v>9.6</v>
      </c>
    </row>
    <row r="2624" spans="4:7">
      <c r="D2624" s="200" t="s">
        <v>3345</v>
      </c>
      <c r="E2624" s="10">
        <v>67697</v>
      </c>
      <c r="F2624" s="201">
        <v>-10.3</v>
      </c>
      <c r="G2624" s="201">
        <v>9.6</v>
      </c>
    </row>
    <row r="2625" spans="4:7">
      <c r="D2625" s="200" t="s">
        <v>3346</v>
      </c>
      <c r="E2625" s="10">
        <v>67701</v>
      </c>
      <c r="F2625" s="201">
        <v>-10.3</v>
      </c>
      <c r="G2625" s="201">
        <v>9.6</v>
      </c>
    </row>
    <row r="2626" spans="4:7">
      <c r="D2626" s="200" t="s">
        <v>3347</v>
      </c>
      <c r="E2626" s="10">
        <v>67715</v>
      </c>
      <c r="F2626" s="201">
        <v>-10.3</v>
      </c>
      <c r="G2626" s="201">
        <v>9.5</v>
      </c>
    </row>
    <row r="2627" spans="4:7">
      <c r="D2627" s="200" t="s">
        <v>3348</v>
      </c>
      <c r="E2627" s="10">
        <v>67727</v>
      </c>
      <c r="F2627" s="201">
        <v>-10.3</v>
      </c>
      <c r="G2627" s="201">
        <v>9.9</v>
      </c>
    </row>
    <row r="2628" spans="4:7">
      <c r="D2628" s="200" t="s">
        <v>3349</v>
      </c>
      <c r="E2628" s="10">
        <v>67728</v>
      </c>
      <c r="F2628" s="201">
        <v>-10.3</v>
      </c>
      <c r="G2628" s="201">
        <v>9.8000000000000007</v>
      </c>
    </row>
    <row r="2629" spans="4:7">
      <c r="D2629" s="200" t="s">
        <v>3350</v>
      </c>
      <c r="E2629" s="10">
        <v>67729</v>
      </c>
      <c r="F2629" s="201">
        <v>-10.3</v>
      </c>
      <c r="G2629" s="201">
        <v>9.6</v>
      </c>
    </row>
    <row r="2630" spans="4:7">
      <c r="D2630" s="200" t="s">
        <v>3351</v>
      </c>
      <c r="E2630" s="10">
        <v>67756</v>
      </c>
      <c r="F2630" s="201">
        <v>-10.3</v>
      </c>
      <c r="G2630" s="201">
        <v>9.6</v>
      </c>
    </row>
    <row r="2631" spans="4:7">
      <c r="D2631" s="200" t="s">
        <v>3352</v>
      </c>
      <c r="E2631" s="10">
        <v>67824</v>
      </c>
      <c r="F2631" s="201">
        <v>-10.3</v>
      </c>
      <c r="G2631" s="201">
        <v>9.6</v>
      </c>
    </row>
    <row r="2632" spans="4:7">
      <c r="D2632" s="200" t="s">
        <v>2946</v>
      </c>
      <c r="E2632" s="10">
        <v>68163</v>
      </c>
      <c r="F2632" s="201">
        <v>-10.3</v>
      </c>
      <c r="G2632" s="201">
        <v>11.3</v>
      </c>
    </row>
    <row r="2633" spans="4:7">
      <c r="D2633" s="200" t="s">
        <v>3353</v>
      </c>
      <c r="E2633" s="10">
        <v>68789</v>
      </c>
      <c r="F2633" s="201">
        <v>-10.3</v>
      </c>
      <c r="G2633" s="201">
        <v>11</v>
      </c>
    </row>
    <row r="2634" spans="4:7">
      <c r="D2634" s="200" t="s">
        <v>3354</v>
      </c>
      <c r="E2634" s="10">
        <v>68794</v>
      </c>
      <c r="F2634" s="201">
        <v>-10.3</v>
      </c>
      <c r="G2634" s="201">
        <v>11.1</v>
      </c>
    </row>
    <row r="2635" spans="4:7">
      <c r="D2635" s="200" t="s">
        <v>3355</v>
      </c>
      <c r="E2635" s="10">
        <v>68799</v>
      </c>
      <c r="F2635" s="201">
        <v>-10.3</v>
      </c>
      <c r="G2635" s="201">
        <v>11</v>
      </c>
    </row>
    <row r="2636" spans="4:7">
      <c r="D2636" s="200" t="s">
        <v>3356</v>
      </c>
      <c r="E2636" s="10">
        <v>68809</v>
      </c>
      <c r="F2636" s="201">
        <v>-10.3</v>
      </c>
      <c r="G2636" s="201">
        <v>11</v>
      </c>
    </row>
    <row r="2637" spans="4:7">
      <c r="D2637" s="200" t="s">
        <v>3098</v>
      </c>
      <c r="E2637" s="10">
        <v>69118</v>
      </c>
      <c r="F2637" s="201">
        <v>-10.3</v>
      </c>
      <c r="G2637" s="201">
        <v>10.6</v>
      </c>
    </row>
    <row r="2638" spans="4:7">
      <c r="D2638" s="200" t="s">
        <v>3098</v>
      </c>
      <c r="E2638" s="10">
        <v>69121</v>
      </c>
      <c r="F2638" s="201">
        <v>-10.3</v>
      </c>
      <c r="G2638" s="201">
        <v>10.3</v>
      </c>
    </row>
    <row r="2639" spans="4:7">
      <c r="D2639" s="200" t="s">
        <v>3357</v>
      </c>
      <c r="E2639" s="10">
        <v>69181</v>
      </c>
      <c r="F2639" s="201">
        <v>-10.3</v>
      </c>
      <c r="G2639" s="201">
        <v>10.9</v>
      </c>
    </row>
    <row r="2640" spans="4:7">
      <c r="D2640" s="200" t="s">
        <v>3358</v>
      </c>
      <c r="E2640" s="10">
        <v>69190</v>
      </c>
      <c r="F2640" s="201">
        <v>-10.3</v>
      </c>
      <c r="G2640" s="201">
        <v>11.1</v>
      </c>
    </row>
    <row r="2641" spans="4:7">
      <c r="D2641" s="200" t="s">
        <v>3359</v>
      </c>
      <c r="E2641" s="10">
        <v>69231</v>
      </c>
      <c r="F2641" s="201">
        <v>-10.3</v>
      </c>
      <c r="G2641" s="201">
        <v>10.4</v>
      </c>
    </row>
    <row r="2642" spans="4:7">
      <c r="D2642" s="200" t="s">
        <v>3360</v>
      </c>
      <c r="E2642" s="10">
        <v>69509</v>
      </c>
      <c r="F2642" s="201">
        <v>-10.3</v>
      </c>
      <c r="G2642" s="201">
        <v>10.6</v>
      </c>
    </row>
    <row r="2643" spans="4:7">
      <c r="D2643" s="200" t="s">
        <v>2307</v>
      </c>
      <c r="E2643" s="10">
        <v>70182</v>
      </c>
      <c r="F2643" s="201">
        <v>-10.3</v>
      </c>
      <c r="G2643" s="201">
        <v>10.8</v>
      </c>
    </row>
    <row r="2644" spans="4:7">
      <c r="D2644" s="200" t="s">
        <v>2307</v>
      </c>
      <c r="E2644" s="10">
        <v>70188</v>
      </c>
      <c r="F2644" s="201">
        <v>-10.3</v>
      </c>
      <c r="G2644" s="201">
        <v>10.8</v>
      </c>
    </row>
    <row r="2645" spans="4:7">
      <c r="D2645" s="200" t="s">
        <v>3361</v>
      </c>
      <c r="E2645" s="10">
        <v>73728</v>
      </c>
      <c r="F2645" s="201">
        <v>-10.3</v>
      </c>
      <c r="G2645" s="201">
        <v>10.8</v>
      </c>
    </row>
    <row r="2646" spans="4:7">
      <c r="D2646" s="200" t="s">
        <v>3362</v>
      </c>
      <c r="E2646" s="10">
        <v>74927</v>
      </c>
      <c r="F2646" s="201">
        <v>-10.3</v>
      </c>
      <c r="G2646" s="201">
        <v>10.5</v>
      </c>
    </row>
    <row r="2647" spans="4:7">
      <c r="D2647" s="200" t="s">
        <v>3363</v>
      </c>
      <c r="E2647" s="10">
        <v>74939</v>
      </c>
      <c r="F2647" s="201">
        <v>-10.3</v>
      </c>
      <c r="G2647" s="201">
        <v>10.6</v>
      </c>
    </row>
    <row r="2648" spans="4:7">
      <c r="D2648" s="200" t="s">
        <v>2637</v>
      </c>
      <c r="E2648" s="10">
        <v>76356</v>
      </c>
      <c r="F2648" s="201">
        <v>-10.3</v>
      </c>
      <c r="G2648" s="201">
        <v>10.8</v>
      </c>
    </row>
    <row r="2649" spans="4:7">
      <c r="D2649" s="200" t="s">
        <v>3364</v>
      </c>
      <c r="E2649" s="10">
        <v>76698</v>
      </c>
      <c r="F2649" s="201">
        <v>-10.3</v>
      </c>
      <c r="G2649" s="201">
        <v>10.7</v>
      </c>
    </row>
    <row r="2650" spans="4:7">
      <c r="D2650" s="200" t="s">
        <v>3365</v>
      </c>
      <c r="E2650" s="10">
        <v>78267</v>
      </c>
      <c r="F2650" s="201">
        <v>-10.3</v>
      </c>
      <c r="G2650" s="201">
        <v>9.4</v>
      </c>
    </row>
    <row r="2651" spans="4:7">
      <c r="D2651" s="200" t="s">
        <v>3366</v>
      </c>
      <c r="E2651" s="10">
        <v>79219</v>
      </c>
      <c r="F2651" s="201">
        <v>-10.3</v>
      </c>
      <c r="G2651" s="201">
        <v>10.5</v>
      </c>
    </row>
    <row r="2652" spans="4:7">
      <c r="D2652" s="200" t="s">
        <v>3367</v>
      </c>
      <c r="E2652" s="10">
        <v>79238</v>
      </c>
      <c r="F2652" s="201">
        <v>-10.3</v>
      </c>
      <c r="G2652" s="201">
        <v>10.6</v>
      </c>
    </row>
    <row r="2653" spans="4:7">
      <c r="D2653" s="200" t="s">
        <v>3368</v>
      </c>
      <c r="E2653" s="10">
        <v>79282</v>
      </c>
      <c r="F2653" s="201">
        <v>-10.3</v>
      </c>
      <c r="G2653" s="201">
        <v>10.5</v>
      </c>
    </row>
    <row r="2654" spans="4:7">
      <c r="D2654" s="200" t="s">
        <v>3369</v>
      </c>
      <c r="E2654" s="10">
        <v>79292</v>
      </c>
      <c r="F2654" s="201">
        <v>-10.3</v>
      </c>
      <c r="G2654" s="201">
        <v>10.5</v>
      </c>
    </row>
    <row r="2655" spans="4:7">
      <c r="D2655" s="200" t="s">
        <v>3370</v>
      </c>
      <c r="E2655" s="10">
        <v>79400</v>
      </c>
      <c r="F2655" s="201">
        <v>-10.3</v>
      </c>
      <c r="G2655" s="201">
        <v>10</v>
      </c>
    </row>
    <row r="2656" spans="4:7">
      <c r="D2656" s="200" t="s">
        <v>3371</v>
      </c>
      <c r="E2656" s="10">
        <v>79418</v>
      </c>
      <c r="F2656" s="201">
        <v>-10.3</v>
      </c>
      <c r="G2656" s="201">
        <v>10.4</v>
      </c>
    </row>
    <row r="2657" spans="4:7">
      <c r="D2657" s="200" t="s">
        <v>3372</v>
      </c>
      <c r="E2657" s="10">
        <v>79588</v>
      </c>
      <c r="F2657" s="201">
        <v>-10.3</v>
      </c>
      <c r="G2657" s="201">
        <v>10.4</v>
      </c>
    </row>
    <row r="2658" spans="4:7">
      <c r="D2658" s="200" t="s">
        <v>3373</v>
      </c>
      <c r="E2658" s="10">
        <v>79595</v>
      </c>
      <c r="F2658" s="201">
        <v>-10.3</v>
      </c>
      <c r="G2658" s="201">
        <v>10.3</v>
      </c>
    </row>
    <row r="2659" spans="4:7">
      <c r="D2659" s="200" t="s">
        <v>3374</v>
      </c>
      <c r="E2659" s="10">
        <v>79689</v>
      </c>
      <c r="F2659" s="201">
        <v>-10.3</v>
      </c>
      <c r="G2659" s="201">
        <v>10.3</v>
      </c>
    </row>
    <row r="2660" spans="4:7">
      <c r="D2660" s="200" t="s">
        <v>3375</v>
      </c>
      <c r="E2660" s="10">
        <v>79802</v>
      </c>
      <c r="F2660" s="201">
        <v>-10.3</v>
      </c>
      <c r="G2660" s="201">
        <v>9.5</v>
      </c>
    </row>
    <row r="2661" spans="4:7">
      <c r="D2661" s="200" t="s">
        <v>3376</v>
      </c>
      <c r="E2661" s="10">
        <v>88138</v>
      </c>
      <c r="F2661" s="201">
        <v>-10.3</v>
      </c>
      <c r="G2661" s="201">
        <v>9.1999999999999993</v>
      </c>
    </row>
    <row r="2662" spans="4:7">
      <c r="D2662" s="200" t="s">
        <v>3377</v>
      </c>
      <c r="E2662" s="10">
        <v>18069</v>
      </c>
      <c r="F2662" s="201">
        <v>-10.4</v>
      </c>
      <c r="G2662" s="201">
        <v>9.1999999999999993</v>
      </c>
    </row>
    <row r="2663" spans="4:7">
      <c r="D2663" s="200" t="s">
        <v>3378</v>
      </c>
      <c r="E2663" s="10">
        <v>23795</v>
      </c>
      <c r="F2663" s="201">
        <v>-10.4</v>
      </c>
      <c r="G2663" s="201">
        <v>9</v>
      </c>
    </row>
    <row r="2664" spans="4:7">
      <c r="D2664" s="200" t="s">
        <v>3379</v>
      </c>
      <c r="E2664" s="10">
        <v>23821</v>
      </c>
      <c r="F2664" s="201">
        <v>-10.4</v>
      </c>
      <c r="G2664" s="201">
        <v>8.9</v>
      </c>
    </row>
    <row r="2665" spans="4:7">
      <c r="D2665" s="200" t="s">
        <v>3380</v>
      </c>
      <c r="E2665" s="10">
        <v>23826</v>
      </c>
      <c r="F2665" s="201">
        <v>-10.4</v>
      </c>
      <c r="G2665" s="201">
        <v>9</v>
      </c>
    </row>
    <row r="2666" spans="4:7">
      <c r="D2666" s="200" t="s">
        <v>3381</v>
      </c>
      <c r="E2666" s="10">
        <v>23829</v>
      </c>
      <c r="F2666" s="201">
        <v>-10.4</v>
      </c>
      <c r="G2666" s="201">
        <v>9</v>
      </c>
    </row>
    <row r="2667" spans="4:7">
      <c r="D2667" s="200" t="s">
        <v>3382</v>
      </c>
      <c r="E2667" s="10">
        <v>23843</v>
      </c>
      <c r="F2667" s="201">
        <v>-10.4</v>
      </c>
      <c r="G2667" s="201">
        <v>9.1999999999999993</v>
      </c>
    </row>
    <row r="2668" spans="4:7">
      <c r="D2668" s="200" t="s">
        <v>3383</v>
      </c>
      <c r="E2668" s="10">
        <v>23866</v>
      </c>
      <c r="F2668" s="201">
        <v>-10.4</v>
      </c>
      <c r="G2668" s="201">
        <v>9.1</v>
      </c>
    </row>
    <row r="2669" spans="4:7">
      <c r="D2669" s="200" t="s">
        <v>3384</v>
      </c>
      <c r="E2669" s="10">
        <v>27389</v>
      </c>
      <c r="F2669" s="201">
        <v>-10.4</v>
      </c>
      <c r="G2669" s="201">
        <v>9.3000000000000007</v>
      </c>
    </row>
    <row r="2670" spans="4:7">
      <c r="D2670" s="200" t="s">
        <v>3385</v>
      </c>
      <c r="E2670" s="10">
        <v>29699</v>
      </c>
      <c r="F2670" s="201">
        <v>-10.4</v>
      </c>
      <c r="G2670" s="201">
        <v>9.3000000000000007</v>
      </c>
    </row>
    <row r="2671" spans="4:7">
      <c r="D2671" s="200" t="s">
        <v>3386</v>
      </c>
      <c r="E2671" s="10">
        <v>31595</v>
      </c>
      <c r="F2671" s="201">
        <v>-10.4</v>
      </c>
      <c r="G2671" s="201">
        <v>10.1</v>
      </c>
    </row>
    <row r="2672" spans="4:7">
      <c r="D2672" s="200" t="s">
        <v>3387</v>
      </c>
      <c r="E2672" s="10">
        <v>31606</v>
      </c>
      <c r="F2672" s="201">
        <v>-10.4</v>
      </c>
      <c r="G2672" s="201">
        <v>10.1</v>
      </c>
    </row>
    <row r="2673" spans="4:7">
      <c r="D2673" s="200" t="s">
        <v>3388</v>
      </c>
      <c r="E2673" s="10">
        <v>31688</v>
      </c>
      <c r="F2673" s="201">
        <v>-10.4</v>
      </c>
      <c r="G2673" s="201">
        <v>10</v>
      </c>
    </row>
    <row r="2674" spans="4:7">
      <c r="D2674" s="200" t="s">
        <v>3389</v>
      </c>
      <c r="E2674" s="10">
        <v>31711</v>
      </c>
      <c r="F2674" s="201">
        <v>-10.4</v>
      </c>
      <c r="G2674" s="201">
        <v>9.9</v>
      </c>
    </row>
    <row r="2675" spans="4:7">
      <c r="D2675" s="200" t="s">
        <v>3390</v>
      </c>
      <c r="E2675" s="10">
        <v>32469</v>
      </c>
      <c r="F2675" s="201">
        <v>-10.4</v>
      </c>
      <c r="G2675" s="201">
        <v>10.199999999999999</v>
      </c>
    </row>
    <row r="2676" spans="4:7">
      <c r="D2676" s="200" t="s">
        <v>3391</v>
      </c>
      <c r="E2676" s="10">
        <v>33161</v>
      </c>
      <c r="F2676" s="201">
        <v>-10.4</v>
      </c>
      <c r="G2676" s="201">
        <v>9.9</v>
      </c>
    </row>
    <row r="2677" spans="4:7">
      <c r="D2677" s="200" t="s">
        <v>3018</v>
      </c>
      <c r="E2677" s="10">
        <v>34119</v>
      </c>
      <c r="F2677" s="201">
        <v>-10.4</v>
      </c>
      <c r="G2677" s="201">
        <v>9.9</v>
      </c>
    </row>
    <row r="2678" spans="4:7">
      <c r="D2678" s="200" t="s">
        <v>3018</v>
      </c>
      <c r="E2678" s="10">
        <v>34123</v>
      </c>
      <c r="F2678" s="201">
        <v>-10.4</v>
      </c>
      <c r="G2678" s="201">
        <v>9.9</v>
      </c>
    </row>
    <row r="2679" spans="4:7">
      <c r="D2679" s="200" t="s">
        <v>3392</v>
      </c>
      <c r="E2679" s="10">
        <v>54317</v>
      </c>
      <c r="F2679" s="201">
        <v>-10.4</v>
      </c>
      <c r="G2679" s="201">
        <v>9</v>
      </c>
    </row>
    <row r="2680" spans="4:7">
      <c r="D2680" s="200" t="s">
        <v>3393</v>
      </c>
      <c r="E2680" s="10">
        <v>54497</v>
      </c>
      <c r="F2680" s="201">
        <v>-10.4</v>
      </c>
      <c r="G2680" s="201">
        <v>9.1999999999999993</v>
      </c>
    </row>
    <row r="2681" spans="4:7">
      <c r="D2681" s="200" t="s">
        <v>3394</v>
      </c>
      <c r="E2681" s="10">
        <v>55288</v>
      </c>
      <c r="F2681" s="201">
        <v>-10.4</v>
      </c>
      <c r="G2681" s="201">
        <v>10</v>
      </c>
    </row>
    <row r="2682" spans="4:7">
      <c r="D2682" s="200" t="s">
        <v>3395</v>
      </c>
      <c r="E2682" s="10">
        <v>55469</v>
      </c>
      <c r="F2682" s="201">
        <v>-10.4</v>
      </c>
      <c r="G2682" s="201">
        <v>9.1999999999999993</v>
      </c>
    </row>
    <row r="2683" spans="4:7">
      <c r="D2683" s="200" t="s">
        <v>3396</v>
      </c>
      <c r="E2683" s="10">
        <v>55471</v>
      </c>
      <c r="F2683" s="201">
        <v>-10.4</v>
      </c>
      <c r="G2683" s="201">
        <v>9.3000000000000007</v>
      </c>
    </row>
    <row r="2684" spans="4:7">
      <c r="D2684" s="200" t="s">
        <v>3397</v>
      </c>
      <c r="E2684" s="10">
        <v>56154</v>
      </c>
      <c r="F2684" s="201">
        <v>-10.4</v>
      </c>
      <c r="G2684" s="201">
        <v>9</v>
      </c>
    </row>
    <row r="2685" spans="4:7">
      <c r="D2685" s="200" t="s">
        <v>3398</v>
      </c>
      <c r="E2685" s="10">
        <v>56843</v>
      </c>
      <c r="F2685" s="201">
        <v>-10.4</v>
      </c>
      <c r="G2685" s="201">
        <v>9.1</v>
      </c>
    </row>
    <row r="2686" spans="4:7">
      <c r="D2686" s="200" t="s">
        <v>3399</v>
      </c>
      <c r="E2686" s="10">
        <v>57399</v>
      </c>
      <c r="F2686" s="201">
        <v>-10.4</v>
      </c>
      <c r="G2686" s="201">
        <v>8.8000000000000007</v>
      </c>
    </row>
    <row r="2687" spans="4:7">
      <c r="D2687" s="200" t="s">
        <v>2598</v>
      </c>
      <c r="E2687" s="10">
        <v>58513</v>
      </c>
      <c r="F2687" s="201">
        <v>-10.4</v>
      </c>
      <c r="G2687" s="201">
        <v>8.6</v>
      </c>
    </row>
    <row r="2688" spans="4:7">
      <c r="D2688" s="200" t="s">
        <v>3400</v>
      </c>
      <c r="E2688" s="10">
        <v>58809</v>
      </c>
      <c r="F2688" s="201">
        <v>-10.4</v>
      </c>
      <c r="G2688" s="201">
        <v>8.6999999999999993</v>
      </c>
    </row>
    <row r="2689" spans="4:7">
      <c r="D2689" s="200" t="s">
        <v>3401</v>
      </c>
      <c r="E2689" s="10">
        <v>61191</v>
      </c>
      <c r="F2689" s="201">
        <v>-10.4</v>
      </c>
      <c r="G2689" s="201">
        <v>10</v>
      </c>
    </row>
    <row r="2690" spans="4:7">
      <c r="D2690" s="200" t="s">
        <v>3402</v>
      </c>
      <c r="E2690" s="10">
        <v>61197</v>
      </c>
      <c r="F2690" s="201">
        <v>-10.4</v>
      </c>
      <c r="G2690" s="201">
        <v>10.3</v>
      </c>
    </row>
    <row r="2691" spans="4:7">
      <c r="D2691" s="200" t="s">
        <v>3403</v>
      </c>
      <c r="E2691" s="10">
        <v>61440</v>
      </c>
      <c r="F2691" s="201">
        <v>-10.4</v>
      </c>
      <c r="G2691" s="201">
        <v>9.8000000000000007</v>
      </c>
    </row>
    <row r="2692" spans="4:7">
      <c r="D2692" s="200" t="s">
        <v>3404</v>
      </c>
      <c r="E2692" s="10">
        <v>63505</v>
      </c>
      <c r="F2692" s="201">
        <v>-10.4</v>
      </c>
      <c r="G2692" s="201">
        <v>10.5</v>
      </c>
    </row>
    <row r="2693" spans="4:7">
      <c r="D2693" s="200" t="s">
        <v>3405</v>
      </c>
      <c r="E2693" s="10">
        <v>63533</v>
      </c>
      <c r="F2693" s="201">
        <v>-10.4</v>
      </c>
      <c r="G2693" s="201">
        <v>10.6</v>
      </c>
    </row>
    <row r="2694" spans="4:7">
      <c r="D2694" s="200" t="s">
        <v>3406</v>
      </c>
      <c r="E2694" s="10">
        <v>63546</v>
      </c>
      <c r="F2694" s="201">
        <v>-10.4</v>
      </c>
      <c r="G2694" s="201">
        <v>10.4</v>
      </c>
    </row>
    <row r="2695" spans="4:7">
      <c r="D2695" s="200" t="s">
        <v>3407</v>
      </c>
      <c r="E2695" s="10">
        <v>63594</v>
      </c>
      <c r="F2695" s="201">
        <v>-10.4</v>
      </c>
      <c r="G2695" s="201">
        <v>10.4</v>
      </c>
    </row>
    <row r="2696" spans="4:7">
      <c r="D2696" s="200" t="s">
        <v>3408</v>
      </c>
      <c r="E2696" s="10">
        <v>63801</v>
      </c>
      <c r="F2696" s="201">
        <v>-10.4</v>
      </c>
      <c r="G2696" s="201">
        <v>10.7</v>
      </c>
    </row>
    <row r="2697" spans="4:7">
      <c r="D2697" s="200" t="s">
        <v>3409</v>
      </c>
      <c r="E2697" s="10">
        <v>63920</v>
      </c>
      <c r="F2697" s="201">
        <v>-10.4</v>
      </c>
      <c r="G2697" s="201">
        <v>10.5</v>
      </c>
    </row>
    <row r="2698" spans="4:7">
      <c r="D2698" s="200" t="s">
        <v>3410</v>
      </c>
      <c r="E2698" s="10">
        <v>64354</v>
      </c>
      <c r="F2698" s="201">
        <v>-10.4</v>
      </c>
      <c r="G2698" s="201">
        <v>10.5</v>
      </c>
    </row>
    <row r="2699" spans="4:7">
      <c r="D2699" s="200" t="s">
        <v>3411</v>
      </c>
      <c r="E2699" s="10">
        <v>64404</v>
      </c>
      <c r="F2699" s="201">
        <v>-10.4</v>
      </c>
      <c r="G2699" s="201">
        <v>10.9</v>
      </c>
    </row>
    <row r="2700" spans="4:7">
      <c r="D2700" s="200" t="s">
        <v>3412</v>
      </c>
      <c r="E2700" s="10">
        <v>64646</v>
      </c>
      <c r="F2700" s="201">
        <v>-10.4</v>
      </c>
      <c r="G2700" s="201">
        <v>10.1</v>
      </c>
    </row>
    <row r="2701" spans="4:7">
      <c r="D2701" s="200" t="s">
        <v>1786</v>
      </c>
      <c r="E2701" s="10">
        <v>65193</v>
      </c>
      <c r="F2701" s="201">
        <v>-10.4</v>
      </c>
      <c r="G2701" s="201">
        <v>9.8000000000000007</v>
      </c>
    </row>
    <row r="2702" spans="4:7">
      <c r="D2702" s="200" t="s">
        <v>1786</v>
      </c>
      <c r="E2702" s="10">
        <v>65207</v>
      </c>
      <c r="F2702" s="201">
        <v>-10.4</v>
      </c>
      <c r="G2702" s="201">
        <v>9.8000000000000007</v>
      </c>
    </row>
    <row r="2703" spans="4:7">
      <c r="D2703" s="200" t="s">
        <v>3413</v>
      </c>
      <c r="E2703" s="10">
        <v>66919</v>
      </c>
      <c r="F2703" s="201">
        <v>-10.4</v>
      </c>
      <c r="G2703" s="201">
        <v>9.5</v>
      </c>
    </row>
    <row r="2704" spans="4:7">
      <c r="D2704" s="200" t="s">
        <v>3414</v>
      </c>
      <c r="E2704" s="10">
        <v>66969</v>
      </c>
      <c r="F2704" s="201">
        <v>-10.4</v>
      </c>
      <c r="G2704" s="201">
        <v>9.6999999999999993</v>
      </c>
    </row>
    <row r="2705" spans="4:7">
      <c r="D2705" s="200" t="s">
        <v>2928</v>
      </c>
      <c r="E2705" s="10">
        <v>67065</v>
      </c>
      <c r="F2705" s="201">
        <v>-10.4</v>
      </c>
      <c r="G2705" s="201">
        <v>11.2</v>
      </c>
    </row>
    <row r="2706" spans="4:7">
      <c r="D2706" s="200" t="s">
        <v>2928</v>
      </c>
      <c r="E2706" s="10">
        <v>67067</v>
      </c>
      <c r="F2706" s="201">
        <v>-10.4</v>
      </c>
      <c r="G2706" s="201">
        <v>11</v>
      </c>
    </row>
    <row r="2707" spans="4:7">
      <c r="D2707" s="200" t="s">
        <v>3415</v>
      </c>
      <c r="E2707" s="10">
        <v>67133</v>
      </c>
      <c r="F2707" s="201">
        <v>-10.4</v>
      </c>
      <c r="G2707" s="201">
        <v>11.1</v>
      </c>
    </row>
    <row r="2708" spans="4:7">
      <c r="D2708" s="200" t="s">
        <v>3416</v>
      </c>
      <c r="E2708" s="10">
        <v>67273</v>
      </c>
      <c r="F2708" s="201">
        <v>-10.4</v>
      </c>
      <c r="G2708" s="201">
        <v>9.6</v>
      </c>
    </row>
    <row r="2709" spans="4:7">
      <c r="D2709" s="200" t="s">
        <v>3417</v>
      </c>
      <c r="E2709" s="10">
        <v>67582</v>
      </c>
      <c r="F2709" s="201">
        <v>-10.4</v>
      </c>
      <c r="G2709" s="201">
        <v>10.9</v>
      </c>
    </row>
    <row r="2710" spans="4:7">
      <c r="D2710" s="200" t="s">
        <v>3418</v>
      </c>
      <c r="E2710" s="10">
        <v>67693</v>
      </c>
      <c r="F2710" s="201">
        <v>-10.4</v>
      </c>
      <c r="G2710" s="201">
        <v>9.6</v>
      </c>
    </row>
    <row r="2711" spans="4:7">
      <c r="D2711" s="200" t="s">
        <v>3419</v>
      </c>
      <c r="E2711" s="10">
        <v>67706</v>
      </c>
      <c r="F2711" s="201">
        <v>-10.4</v>
      </c>
      <c r="G2711" s="201">
        <v>9.6</v>
      </c>
    </row>
    <row r="2712" spans="4:7">
      <c r="D2712" s="200" t="s">
        <v>3420</v>
      </c>
      <c r="E2712" s="10">
        <v>67722</v>
      </c>
      <c r="F2712" s="201">
        <v>-10.4</v>
      </c>
      <c r="G2712" s="201">
        <v>9.6999999999999993</v>
      </c>
    </row>
    <row r="2713" spans="4:7">
      <c r="D2713" s="200" t="s">
        <v>3421</v>
      </c>
      <c r="E2713" s="10">
        <v>67754</v>
      </c>
      <c r="F2713" s="201">
        <v>-10.4</v>
      </c>
      <c r="G2713" s="201">
        <v>9.5</v>
      </c>
    </row>
    <row r="2714" spans="4:7">
      <c r="D2714" s="200" t="s">
        <v>3422</v>
      </c>
      <c r="E2714" s="10">
        <v>68766</v>
      </c>
      <c r="F2714" s="201">
        <v>-10.4</v>
      </c>
      <c r="G2714" s="201">
        <v>11.1</v>
      </c>
    </row>
    <row r="2715" spans="4:7">
      <c r="D2715" s="200" t="s">
        <v>3098</v>
      </c>
      <c r="E2715" s="10">
        <v>69126</v>
      </c>
      <c r="F2715" s="201">
        <v>-10.4</v>
      </c>
      <c r="G2715" s="201">
        <v>10.8</v>
      </c>
    </row>
    <row r="2716" spans="4:7">
      <c r="D2716" s="200" t="s">
        <v>3423</v>
      </c>
      <c r="E2716" s="10">
        <v>69221</v>
      </c>
      <c r="F2716" s="201">
        <v>-10.4</v>
      </c>
      <c r="G2716" s="201">
        <v>10.5</v>
      </c>
    </row>
    <row r="2717" spans="4:7">
      <c r="D2717" s="200" t="s">
        <v>3424</v>
      </c>
      <c r="E2717" s="10">
        <v>69242</v>
      </c>
      <c r="F2717" s="201">
        <v>-10.4</v>
      </c>
      <c r="G2717" s="201">
        <v>10.5</v>
      </c>
    </row>
    <row r="2718" spans="4:7">
      <c r="D2718" s="200" t="s">
        <v>2307</v>
      </c>
      <c r="E2718" s="10">
        <v>70199</v>
      </c>
      <c r="F2718" s="201">
        <v>-10.4</v>
      </c>
      <c r="G2718" s="201">
        <v>10.7</v>
      </c>
    </row>
    <row r="2719" spans="4:7">
      <c r="D2719" s="200" t="s">
        <v>3425</v>
      </c>
      <c r="E2719" s="10">
        <v>74196</v>
      </c>
      <c r="F2719" s="201">
        <v>-10.4</v>
      </c>
      <c r="G2719" s="201">
        <v>10.6</v>
      </c>
    </row>
    <row r="2720" spans="4:7">
      <c r="D2720" s="200" t="s">
        <v>3426</v>
      </c>
      <c r="E2720" s="10">
        <v>74254</v>
      </c>
      <c r="F2720" s="201">
        <v>-10.4</v>
      </c>
      <c r="G2720" s="201">
        <v>10.6</v>
      </c>
    </row>
    <row r="2721" spans="4:7">
      <c r="D2721" s="200" t="s">
        <v>3427</v>
      </c>
      <c r="E2721" s="10">
        <v>76646</v>
      </c>
      <c r="F2721" s="201">
        <v>-10.4</v>
      </c>
      <c r="G2721" s="201">
        <v>10.4</v>
      </c>
    </row>
    <row r="2722" spans="4:7">
      <c r="D2722" s="200" t="s">
        <v>3428</v>
      </c>
      <c r="E2722" s="10">
        <v>79350</v>
      </c>
      <c r="F2722" s="201">
        <v>-10.4</v>
      </c>
      <c r="G2722" s="201">
        <v>10.4</v>
      </c>
    </row>
    <row r="2723" spans="4:7">
      <c r="D2723" s="200" t="s">
        <v>3429</v>
      </c>
      <c r="E2723" s="10">
        <v>79415</v>
      </c>
      <c r="F2723" s="201">
        <v>-10.4</v>
      </c>
      <c r="G2723" s="201">
        <v>10.199999999999999</v>
      </c>
    </row>
    <row r="2724" spans="4:7">
      <c r="D2724" s="200" t="s">
        <v>3430</v>
      </c>
      <c r="E2724" s="10">
        <v>88693</v>
      </c>
      <c r="F2724" s="201">
        <v>-10.4</v>
      </c>
      <c r="G2724" s="201">
        <v>9.1999999999999993</v>
      </c>
    </row>
    <row r="2725" spans="4:7">
      <c r="D2725" s="200" t="s">
        <v>3138</v>
      </c>
      <c r="E2725" s="10">
        <v>97072</v>
      </c>
      <c r="F2725" s="201">
        <v>-10.4</v>
      </c>
      <c r="G2725" s="201">
        <v>10.6</v>
      </c>
    </row>
    <row r="2726" spans="4:7">
      <c r="D2726" s="200" t="s">
        <v>3431</v>
      </c>
      <c r="E2726" s="10">
        <v>18573</v>
      </c>
      <c r="F2726" s="201">
        <v>-10.5</v>
      </c>
      <c r="G2726" s="201">
        <v>8.9</v>
      </c>
    </row>
    <row r="2727" spans="4:7">
      <c r="D2727" s="200" t="s">
        <v>1707</v>
      </c>
      <c r="E2727" s="10">
        <v>21039</v>
      </c>
      <c r="F2727" s="201">
        <v>-10.5</v>
      </c>
      <c r="G2727" s="201">
        <v>9.5</v>
      </c>
    </row>
    <row r="2728" spans="4:7">
      <c r="D2728" s="200" t="s">
        <v>3432</v>
      </c>
      <c r="E2728" s="10">
        <v>21261</v>
      </c>
      <c r="F2728" s="201">
        <v>-10.5</v>
      </c>
      <c r="G2728" s="201">
        <v>9.1999999999999993</v>
      </c>
    </row>
    <row r="2729" spans="4:7">
      <c r="D2729" s="200" t="s">
        <v>3433</v>
      </c>
      <c r="E2729" s="10">
        <v>21423</v>
      </c>
      <c r="F2729" s="201">
        <v>-10.5</v>
      </c>
      <c r="G2729" s="201">
        <v>9.5</v>
      </c>
    </row>
    <row r="2730" spans="4:7">
      <c r="D2730" s="200" t="s">
        <v>3434</v>
      </c>
      <c r="E2730" s="10">
        <v>21435</v>
      </c>
      <c r="F2730" s="201">
        <v>-10.5</v>
      </c>
      <c r="G2730" s="201">
        <v>9.4</v>
      </c>
    </row>
    <row r="2731" spans="4:7">
      <c r="D2731" s="200" t="s">
        <v>3435</v>
      </c>
      <c r="E2731" s="10">
        <v>21436</v>
      </c>
      <c r="F2731" s="201">
        <v>-10.5</v>
      </c>
      <c r="G2731" s="201">
        <v>9.5</v>
      </c>
    </row>
    <row r="2732" spans="4:7">
      <c r="D2732" s="200" t="s">
        <v>3436</v>
      </c>
      <c r="E2732" s="10">
        <v>21439</v>
      </c>
      <c r="F2732" s="201">
        <v>-10.5</v>
      </c>
      <c r="G2732" s="201">
        <v>9.3000000000000007</v>
      </c>
    </row>
    <row r="2733" spans="4:7">
      <c r="D2733" s="200" t="s">
        <v>3437</v>
      </c>
      <c r="E2733" s="10">
        <v>21465</v>
      </c>
      <c r="F2733" s="201">
        <v>-10.5</v>
      </c>
      <c r="G2733" s="201">
        <v>9.1999999999999993</v>
      </c>
    </row>
    <row r="2734" spans="4:7">
      <c r="D2734" s="200" t="s">
        <v>3438</v>
      </c>
      <c r="E2734" s="10">
        <v>22927</v>
      </c>
      <c r="F2734" s="201">
        <v>-10.5</v>
      </c>
      <c r="G2734" s="201">
        <v>9.1</v>
      </c>
    </row>
    <row r="2735" spans="4:7">
      <c r="D2735" s="200" t="s">
        <v>3439</v>
      </c>
      <c r="E2735" s="10">
        <v>22962</v>
      </c>
      <c r="F2735" s="201">
        <v>-10.5</v>
      </c>
      <c r="G2735" s="201">
        <v>9.1</v>
      </c>
    </row>
    <row r="2736" spans="4:7">
      <c r="D2736" s="200" t="s">
        <v>3440</v>
      </c>
      <c r="E2736" s="10">
        <v>23568</v>
      </c>
      <c r="F2736" s="201">
        <v>-10.5</v>
      </c>
      <c r="G2736" s="201">
        <v>9.1</v>
      </c>
    </row>
    <row r="2737" spans="4:7">
      <c r="D2737" s="200" t="s">
        <v>3441</v>
      </c>
      <c r="E2737" s="10">
        <v>23623</v>
      </c>
      <c r="F2737" s="201">
        <v>-10.5</v>
      </c>
      <c r="G2737" s="201">
        <v>8.8000000000000007</v>
      </c>
    </row>
    <row r="2738" spans="4:7">
      <c r="D2738" s="200" t="s">
        <v>3442</v>
      </c>
      <c r="E2738" s="10">
        <v>23816</v>
      </c>
      <c r="F2738" s="201">
        <v>-10.5</v>
      </c>
      <c r="G2738" s="201">
        <v>9</v>
      </c>
    </row>
    <row r="2739" spans="4:7">
      <c r="D2739" s="200" t="s">
        <v>3443</v>
      </c>
      <c r="E2739" s="10">
        <v>23820</v>
      </c>
      <c r="F2739" s="201">
        <v>-10.5</v>
      </c>
      <c r="G2739" s="201">
        <v>8.9</v>
      </c>
    </row>
    <row r="2740" spans="4:7">
      <c r="D2740" s="200" t="s">
        <v>3444</v>
      </c>
      <c r="E2740" s="10">
        <v>23845</v>
      </c>
      <c r="F2740" s="201">
        <v>-10.5</v>
      </c>
      <c r="G2740" s="201">
        <v>9</v>
      </c>
    </row>
    <row r="2741" spans="4:7">
      <c r="D2741" s="200" t="s">
        <v>3445</v>
      </c>
      <c r="E2741" s="10">
        <v>23867</v>
      </c>
      <c r="F2741" s="201">
        <v>-10.5</v>
      </c>
      <c r="G2741" s="201">
        <v>9</v>
      </c>
    </row>
    <row r="2742" spans="4:7">
      <c r="D2742" s="200" t="s">
        <v>3446</v>
      </c>
      <c r="E2742" s="10">
        <v>23869</v>
      </c>
      <c r="F2742" s="201">
        <v>-10.5</v>
      </c>
      <c r="G2742" s="201">
        <v>9.1</v>
      </c>
    </row>
    <row r="2743" spans="4:7">
      <c r="D2743" s="200" t="s">
        <v>3447</v>
      </c>
      <c r="E2743" s="10">
        <v>23936</v>
      </c>
      <c r="F2743" s="201">
        <v>-10.5</v>
      </c>
      <c r="G2743" s="201">
        <v>9.1</v>
      </c>
    </row>
    <row r="2744" spans="4:7">
      <c r="D2744" s="200" t="s">
        <v>3448</v>
      </c>
      <c r="E2744" s="10">
        <v>27313</v>
      </c>
      <c r="F2744" s="201">
        <v>-10.5</v>
      </c>
      <c r="G2744" s="201">
        <v>9.6</v>
      </c>
    </row>
    <row r="2745" spans="4:7">
      <c r="D2745" s="200" t="s">
        <v>3449</v>
      </c>
      <c r="E2745" s="10">
        <v>27324</v>
      </c>
      <c r="F2745" s="201">
        <v>-10.5</v>
      </c>
      <c r="G2745" s="201">
        <v>9.8000000000000007</v>
      </c>
    </row>
    <row r="2746" spans="4:7">
      <c r="D2746" s="200" t="s">
        <v>3450</v>
      </c>
      <c r="E2746" s="10">
        <v>27374</v>
      </c>
      <c r="F2746" s="201">
        <v>-10.5</v>
      </c>
      <c r="G2746" s="201">
        <v>9.3000000000000007</v>
      </c>
    </row>
    <row r="2747" spans="4:7">
      <c r="D2747" s="200" t="s">
        <v>1796</v>
      </c>
      <c r="E2747" s="10">
        <v>29643</v>
      </c>
      <c r="F2747" s="201">
        <v>-10.5</v>
      </c>
      <c r="G2747" s="201">
        <v>9.3000000000000007</v>
      </c>
    </row>
    <row r="2748" spans="4:7">
      <c r="D2748" s="200" t="s">
        <v>3451</v>
      </c>
      <c r="E2748" s="10">
        <v>29683</v>
      </c>
      <c r="F2748" s="201">
        <v>-10.5</v>
      </c>
      <c r="G2748" s="201">
        <v>9.1999999999999993</v>
      </c>
    </row>
    <row r="2749" spans="4:7">
      <c r="D2749" s="200" t="s">
        <v>2875</v>
      </c>
      <c r="E2749" s="10">
        <v>30179</v>
      </c>
      <c r="F2749" s="201">
        <v>-10.5</v>
      </c>
      <c r="G2749" s="201">
        <v>10.4</v>
      </c>
    </row>
    <row r="2750" spans="4:7">
      <c r="D2750" s="200" t="s">
        <v>3452</v>
      </c>
      <c r="E2750" s="10">
        <v>31582</v>
      </c>
      <c r="F2750" s="201">
        <v>-10.5</v>
      </c>
      <c r="G2750" s="201">
        <v>10.1</v>
      </c>
    </row>
    <row r="2751" spans="4:7">
      <c r="D2751" s="200" t="s">
        <v>3453</v>
      </c>
      <c r="E2751" s="10">
        <v>31604</v>
      </c>
      <c r="F2751" s="201">
        <v>-10.5</v>
      </c>
      <c r="G2751" s="201">
        <v>10.1</v>
      </c>
    </row>
    <row r="2752" spans="4:7">
      <c r="D2752" s="200" t="s">
        <v>3454</v>
      </c>
      <c r="E2752" s="10">
        <v>31621</v>
      </c>
      <c r="F2752" s="201">
        <v>-10.5</v>
      </c>
      <c r="G2752" s="201">
        <v>10</v>
      </c>
    </row>
    <row r="2753" spans="4:7">
      <c r="D2753" s="200" t="s">
        <v>3455</v>
      </c>
      <c r="E2753" s="10">
        <v>31675</v>
      </c>
      <c r="F2753" s="201">
        <v>-10.5</v>
      </c>
      <c r="G2753" s="201">
        <v>10.199999999999999</v>
      </c>
    </row>
    <row r="2754" spans="4:7">
      <c r="D2754" s="200" t="s">
        <v>3456</v>
      </c>
      <c r="E2754" s="10">
        <v>31691</v>
      </c>
      <c r="F2754" s="201">
        <v>-10.5</v>
      </c>
      <c r="G2754" s="201">
        <v>10.199999999999999</v>
      </c>
    </row>
    <row r="2755" spans="4:7">
      <c r="D2755" s="200" t="s">
        <v>3457</v>
      </c>
      <c r="E2755" s="10">
        <v>31693</v>
      </c>
      <c r="F2755" s="201">
        <v>-10.5</v>
      </c>
      <c r="G2755" s="201">
        <v>10.199999999999999</v>
      </c>
    </row>
    <row r="2756" spans="4:7">
      <c r="D2756" s="200" t="s">
        <v>3458</v>
      </c>
      <c r="E2756" s="10">
        <v>31707</v>
      </c>
      <c r="F2756" s="201">
        <v>-10.5</v>
      </c>
      <c r="G2756" s="201">
        <v>10</v>
      </c>
    </row>
    <row r="2757" spans="4:7">
      <c r="D2757" s="200" t="s">
        <v>3459</v>
      </c>
      <c r="E2757" s="10">
        <v>31708</v>
      </c>
      <c r="F2757" s="201">
        <v>-10.5</v>
      </c>
      <c r="G2757" s="201">
        <v>10.199999999999999</v>
      </c>
    </row>
    <row r="2758" spans="4:7">
      <c r="D2758" s="200" t="s">
        <v>3460</v>
      </c>
      <c r="E2758" s="10">
        <v>31710</v>
      </c>
      <c r="F2758" s="201">
        <v>-10.5</v>
      </c>
      <c r="G2758" s="201">
        <v>9.9</v>
      </c>
    </row>
    <row r="2759" spans="4:7">
      <c r="D2759" s="200" t="s">
        <v>3461</v>
      </c>
      <c r="E2759" s="10">
        <v>31715</v>
      </c>
      <c r="F2759" s="201">
        <v>-10.5</v>
      </c>
      <c r="G2759" s="201">
        <v>10.199999999999999</v>
      </c>
    </row>
    <row r="2760" spans="4:7">
      <c r="D2760" s="200" t="s">
        <v>3462</v>
      </c>
      <c r="E2760" s="10">
        <v>33178</v>
      </c>
      <c r="F2760" s="201">
        <v>-10.5</v>
      </c>
      <c r="G2760" s="201">
        <v>9.4</v>
      </c>
    </row>
    <row r="2761" spans="4:7">
      <c r="D2761" s="200" t="s">
        <v>3018</v>
      </c>
      <c r="E2761" s="10">
        <v>34127</v>
      </c>
      <c r="F2761" s="201">
        <v>-10.5</v>
      </c>
      <c r="G2761" s="201">
        <v>9.9</v>
      </c>
    </row>
    <row r="2762" spans="4:7">
      <c r="D2762" s="200" t="s">
        <v>3463</v>
      </c>
      <c r="E2762" s="10">
        <v>35390</v>
      </c>
      <c r="F2762" s="201">
        <v>-10.5</v>
      </c>
      <c r="G2762" s="201">
        <v>10.1</v>
      </c>
    </row>
    <row r="2763" spans="4:7" ht="30">
      <c r="D2763" s="200" t="s">
        <v>3464</v>
      </c>
      <c r="E2763" s="10">
        <v>53533</v>
      </c>
      <c r="F2763" s="201">
        <v>-10.5</v>
      </c>
      <c r="G2763" s="201">
        <v>8.9</v>
      </c>
    </row>
    <row r="2764" spans="4:7">
      <c r="D2764" s="200" t="s">
        <v>3465</v>
      </c>
      <c r="E2764" s="10">
        <v>53945</v>
      </c>
      <c r="F2764" s="201">
        <v>-10.5</v>
      </c>
      <c r="G2764" s="201">
        <v>8.9</v>
      </c>
    </row>
    <row r="2765" spans="4:7">
      <c r="D2765" s="200" t="s">
        <v>3466</v>
      </c>
      <c r="E2765" s="10">
        <v>54568</v>
      </c>
      <c r="F2765" s="201">
        <v>-10.5</v>
      </c>
      <c r="G2765" s="201">
        <v>9</v>
      </c>
    </row>
    <row r="2766" spans="4:7">
      <c r="D2766" s="200" t="s">
        <v>3467</v>
      </c>
      <c r="E2766" s="10">
        <v>54579</v>
      </c>
      <c r="F2766" s="201">
        <v>-10.5</v>
      </c>
      <c r="G2766" s="201">
        <v>8.9</v>
      </c>
    </row>
    <row r="2767" spans="4:7">
      <c r="D2767" s="200" t="s">
        <v>3468</v>
      </c>
      <c r="E2767" s="10">
        <v>54614</v>
      </c>
      <c r="F2767" s="201">
        <v>-10.5</v>
      </c>
      <c r="G2767" s="201">
        <v>8.9</v>
      </c>
    </row>
    <row r="2768" spans="4:7">
      <c r="D2768" s="200" t="s">
        <v>3469</v>
      </c>
      <c r="E2768" s="10">
        <v>54689</v>
      </c>
      <c r="F2768" s="201">
        <v>-10.5</v>
      </c>
      <c r="G2768" s="201">
        <v>8.6</v>
      </c>
    </row>
    <row r="2769" spans="4:7">
      <c r="D2769" s="200" t="s">
        <v>3470</v>
      </c>
      <c r="E2769" s="10">
        <v>55422</v>
      </c>
      <c r="F2769" s="201">
        <v>-10.5</v>
      </c>
      <c r="G2769" s="201">
        <v>9.1</v>
      </c>
    </row>
    <row r="2770" spans="4:7">
      <c r="D2770" s="200" t="s">
        <v>3471</v>
      </c>
      <c r="E2770" s="10">
        <v>55425</v>
      </c>
      <c r="F2770" s="201">
        <v>-10.5</v>
      </c>
      <c r="G2770" s="201">
        <v>9.1</v>
      </c>
    </row>
    <row r="2771" spans="4:7">
      <c r="D2771" s="200" t="s">
        <v>3472</v>
      </c>
      <c r="E2771" s="10">
        <v>55442</v>
      </c>
      <c r="F2771" s="201">
        <v>-10.5</v>
      </c>
      <c r="G2771" s="201">
        <v>9.3000000000000007</v>
      </c>
    </row>
    <row r="2772" spans="4:7">
      <c r="D2772" s="200" t="s">
        <v>3473</v>
      </c>
      <c r="E2772" s="10">
        <v>55490</v>
      </c>
      <c r="F2772" s="201">
        <v>-10.5</v>
      </c>
      <c r="G2772" s="201">
        <v>9.3000000000000007</v>
      </c>
    </row>
    <row r="2773" spans="4:7">
      <c r="D2773" s="200" t="s">
        <v>3474</v>
      </c>
      <c r="E2773" s="10">
        <v>55624</v>
      </c>
      <c r="F2773" s="201">
        <v>-10.5</v>
      </c>
      <c r="G2773" s="201">
        <v>9.1999999999999993</v>
      </c>
    </row>
    <row r="2774" spans="4:7">
      <c r="D2774" s="200" t="s">
        <v>3475</v>
      </c>
      <c r="E2774" s="10">
        <v>55768</v>
      </c>
      <c r="F2774" s="201">
        <v>-10.5</v>
      </c>
      <c r="G2774" s="201">
        <v>9.3000000000000007</v>
      </c>
    </row>
    <row r="2775" spans="4:7">
      <c r="D2775" s="200" t="s">
        <v>3476</v>
      </c>
      <c r="E2775" s="10">
        <v>56457</v>
      </c>
      <c r="F2775" s="201">
        <v>-10.5</v>
      </c>
      <c r="G2775" s="201">
        <v>8.8000000000000007</v>
      </c>
    </row>
    <row r="2776" spans="4:7">
      <c r="D2776" s="200" t="s">
        <v>3477</v>
      </c>
      <c r="E2776" s="10">
        <v>56858</v>
      </c>
      <c r="F2776" s="201">
        <v>-10.5</v>
      </c>
      <c r="G2776" s="201">
        <v>9</v>
      </c>
    </row>
    <row r="2777" spans="4:7">
      <c r="D2777" s="200" t="s">
        <v>3478</v>
      </c>
      <c r="E2777" s="10">
        <v>56867</v>
      </c>
      <c r="F2777" s="201">
        <v>-10.5</v>
      </c>
      <c r="G2777" s="201">
        <v>9.1</v>
      </c>
    </row>
    <row r="2778" spans="4:7">
      <c r="D2778" s="200" t="s">
        <v>3479</v>
      </c>
      <c r="E2778" s="10">
        <v>57223</v>
      </c>
      <c r="F2778" s="201">
        <v>-10.5</v>
      </c>
      <c r="G2778" s="201">
        <v>8.9</v>
      </c>
    </row>
    <row r="2779" spans="4:7">
      <c r="D2779" s="200" t="s">
        <v>3480</v>
      </c>
      <c r="E2779" s="10">
        <v>57482</v>
      </c>
      <c r="F2779" s="201">
        <v>-10.5</v>
      </c>
      <c r="G2779" s="201">
        <v>8.6999999999999993</v>
      </c>
    </row>
    <row r="2780" spans="4:7">
      <c r="D2780" s="200" t="s">
        <v>3481</v>
      </c>
      <c r="E2780" s="10">
        <v>57489</v>
      </c>
      <c r="F2780" s="201">
        <v>-10.5</v>
      </c>
      <c r="G2780" s="201">
        <v>8.6</v>
      </c>
    </row>
    <row r="2781" spans="4:7">
      <c r="D2781" s="200" t="s">
        <v>3482</v>
      </c>
      <c r="E2781" s="10">
        <v>58566</v>
      </c>
      <c r="F2781" s="201">
        <v>-10.5</v>
      </c>
      <c r="G2781" s="201">
        <v>8.6</v>
      </c>
    </row>
    <row r="2782" spans="4:7">
      <c r="D2782" s="200" t="s">
        <v>3483</v>
      </c>
      <c r="E2782" s="10">
        <v>59872</v>
      </c>
      <c r="F2782" s="201">
        <v>-10.5</v>
      </c>
      <c r="G2782" s="201">
        <v>8.6999999999999993</v>
      </c>
    </row>
    <row r="2783" spans="4:7">
      <c r="D2783" s="200" t="s">
        <v>3484</v>
      </c>
      <c r="E2783" s="10">
        <v>59909</v>
      </c>
      <c r="F2783" s="201">
        <v>-10.5</v>
      </c>
      <c r="G2783" s="201">
        <v>8.8000000000000007</v>
      </c>
    </row>
    <row r="2784" spans="4:7">
      <c r="D2784" s="200" t="s">
        <v>3485</v>
      </c>
      <c r="E2784" s="10">
        <v>61203</v>
      </c>
      <c r="F2784" s="201">
        <v>-10.5</v>
      </c>
      <c r="G2784" s="201">
        <v>10.3</v>
      </c>
    </row>
    <row r="2785" spans="4:7">
      <c r="D2785" s="200" t="s">
        <v>3486</v>
      </c>
      <c r="E2785" s="10">
        <v>61209</v>
      </c>
      <c r="F2785" s="201">
        <v>-10.5</v>
      </c>
      <c r="G2785" s="201">
        <v>10.199999999999999</v>
      </c>
    </row>
    <row r="2786" spans="4:7">
      <c r="D2786" s="200" t="s">
        <v>3487</v>
      </c>
      <c r="E2786" s="10">
        <v>61476</v>
      </c>
      <c r="F2786" s="201">
        <v>-10.5</v>
      </c>
      <c r="G2786" s="201">
        <v>9.8000000000000007</v>
      </c>
    </row>
    <row r="2787" spans="4:7">
      <c r="D2787" s="200" t="s">
        <v>2942</v>
      </c>
      <c r="E2787" s="10">
        <v>63517</v>
      </c>
      <c r="F2787" s="201">
        <v>-10.5</v>
      </c>
      <c r="G2787" s="201">
        <v>10.5</v>
      </c>
    </row>
    <row r="2788" spans="4:7">
      <c r="D2788" s="200" t="s">
        <v>3488</v>
      </c>
      <c r="E2788" s="10">
        <v>63543</v>
      </c>
      <c r="F2788" s="201">
        <v>-10.5</v>
      </c>
      <c r="G2788" s="201">
        <v>10.199999999999999</v>
      </c>
    </row>
    <row r="2789" spans="4:7">
      <c r="D2789" s="200" t="s">
        <v>3489</v>
      </c>
      <c r="E2789" s="10">
        <v>63549</v>
      </c>
      <c r="F2789" s="201">
        <v>-10.5</v>
      </c>
      <c r="G2789" s="201">
        <v>10.199999999999999</v>
      </c>
    </row>
    <row r="2790" spans="4:7">
      <c r="D2790" s="200" t="s">
        <v>3490</v>
      </c>
      <c r="E2790" s="10">
        <v>63654</v>
      </c>
      <c r="F2790" s="201">
        <v>-10.5</v>
      </c>
      <c r="G2790" s="201">
        <v>10.4</v>
      </c>
    </row>
    <row r="2791" spans="4:7">
      <c r="D2791" s="200" t="s">
        <v>3491</v>
      </c>
      <c r="E2791" s="10">
        <v>63667</v>
      </c>
      <c r="F2791" s="201">
        <v>-10.5</v>
      </c>
      <c r="G2791" s="201">
        <v>10.1</v>
      </c>
    </row>
    <row r="2792" spans="4:7">
      <c r="D2792" s="200" t="s">
        <v>3492</v>
      </c>
      <c r="E2792" s="10">
        <v>63691</v>
      </c>
      <c r="F2792" s="201">
        <v>-10.5</v>
      </c>
      <c r="G2792" s="201">
        <v>10.199999999999999</v>
      </c>
    </row>
    <row r="2793" spans="4:7">
      <c r="D2793" s="200" t="s">
        <v>3493</v>
      </c>
      <c r="E2793" s="10">
        <v>63695</v>
      </c>
      <c r="F2793" s="201">
        <v>-10.5</v>
      </c>
      <c r="G2793" s="201">
        <v>10.3</v>
      </c>
    </row>
    <row r="2794" spans="4:7">
      <c r="D2794" s="200" t="s">
        <v>3494</v>
      </c>
      <c r="E2794" s="10">
        <v>63755</v>
      </c>
      <c r="F2794" s="201">
        <v>-10.5</v>
      </c>
      <c r="G2794" s="201">
        <v>10.4</v>
      </c>
    </row>
    <row r="2795" spans="4:7">
      <c r="D2795" s="200" t="s">
        <v>3495</v>
      </c>
      <c r="E2795" s="10">
        <v>63785</v>
      </c>
      <c r="F2795" s="201">
        <v>-10.5</v>
      </c>
      <c r="G2795" s="201">
        <v>10.6</v>
      </c>
    </row>
    <row r="2796" spans="4:7">
      <c r="D2796" s="200" t="s">
        <v>3496</v>
      </c>
      <c r="E2796" s="10">
        <v>63843</v>
      </c>
      <c r="F2796" s="201">
        <v>-10.5</v>
      </c>
      <c r="G2796" s="201">
        <v>10.6</v>
      </c>
    </row>
    <row r="2797" spans="4:7">
      <c r="D2797" s="200" t="s">
        <v>3497</v>
      </c>
      <c r="E2797" s="10">
        <v>63853</v>
      </c>
      <c r="F2797" s="201">
        <v>-10.5</v>
      </c>
      <c r="G2797" s="201">
        <v>10.4</v>
      </c>
    </row>
    <row r="2798" spans="4:7">
      <c r="D2798" s="200" t="s">
        <v>3498</v>
      </c>
      <c r="E2798" s="10">
        <v>64367</v>
      </c>
      <c r="F2798" s="201">
        <v>-10.5</v>
      </c>
      <c r="G2798" s="201">
        <v>10.1</v>
      </c>
    </row>
    <row r="2799" spans="4:7">
      <c r="D2799" s="200" t="s">
        <v>3499</v>
      </c>
      <c r="E2799" s="10">
        <v>64407</v>
      </c>
      <c r="F2799" s="201">
        <v>-10.5</v>
      </c>
      <c r="G2799" s="201">
        <v>10.1</v>
      </c>
    </row>
    <row r="2800" spans="4:7">
      <c r="D2800" s="200" t="s">
        <v>3500</v>
      </c>
      <c r="E2800" s="10">
        <v>64665</v>
      </c>
      <c r="F2800" s="201">
        <v>-10.5</v>
      </c>
      <c r="G2800" s="201">
        <v>10.9</v>
      </c>
    </row>
    <row r="2801" spans="4:7">
      <c r="D2801" s="200" t="s">
        <v>3501</v>
      </c>
      <c r="E2801" s="10">
        <v>64673</v>
      </c>
      <c r="F2801" s="201">
        <v>-10.5</v>
      </c>
      <c r="G2801" s="201">
        <v>10.9</v>
      </c>
    </row>
    <row r="2802" spans="4:7">
      <c r="D2802" s="200" t="s">
        <v>3502</v>
      </c>
      <c r="E2802" s="10">
        <v>64823</v>
      </c>
      <c r="F2802" s="201">
        <v>-10.5</v>
      </c>
      <c r="G2802" s="201">
        <v>10.199999999999999</v>
      </c>
    </row>
    <row r="2803" spans="4:7">
      <c r="D2803" s="200" t="s">
        <v>1786</v>
      </c>
      <c r="E2803" s="10">
        <v>65195</v>
      </c>
      <c r="F2803" s="201">
        <v>-10.5</v>
      </c>
      <c r="G2803" s="201">
        <v>9.6</v>
      </c>
    </row>
    <row r="2804" spans="4:7">
      <c r="D2804" s="200" t="s">
        <v>1786</v>
      </c>
      <c r="E2804" s="10">
        <v>65199</v>
      </c>
      <c r="F2804" s="201">
        <v>-10.5</v>
      </c>
      <c r="G2804" s="201">
        <v>9.6999999999999993</v>
      </c>
    </row>
    <row r="2805" spans="4:7">
      <c r="D2805" s="200" t="s">
        <v>3503</v>
      </c>
      <c r="E2805" s="10">
        <v>65329</v>
      </c>
      <c r="F2805" s="201">
        <v>-10.5</v>
      </c>
      <c r="G2805" s="201">
        <v>9.5</v>
      </c>
    </row>
    <row r="2806" spans="4:7">
      <c r="D2806" s="200" t="s">
        <v>2917</v>
      </c>
      <c r="E2806" s="10">
        <v>65344</v>
      </c>
      <c r="F2806" s="201">
        <v>-10.5</v>
      </c>
      <c r="G2806" s="201">
        <v>9.6</v>
      </c>
    </row>
    <row r="2807" spans="4:7">
      <c r="D2807" s="200" t="s">
        <v>3504</v>
      </c>
      <c r="E2807" s="10">
        <v>65614</v>
      </c>
      <c r="F2807" s="201">
        <v>-10.5</v>
      </c>
      <c r="G2807" s="201">
        <v>9.5</v>
      </c>
    </row>
    <row r="2808" spans="4:7">
      <c r="D2808" s="200" t="s">
        <v>3505</v>
      </c>
      <c r="E2808" s="10">
        <v>65618</v>
      </c>
      <c r="F2808" s="201">
        <v>-10.5</v>
      </c>
      <c r="G2808" s="201">
        <v>9.6</v>
      </c>
    </row>
    <row r="2809" spans="4:7">
      <c r="D2809" s="200" t="s">
        <v>3506</v>
      </c>
      <c r="E2809" s="10">
        <v>65719</v>
      </c>
      <c r="F2809" s="201">
        <v>-10.5</v>
      </c>
      <c r="G2809" s="201">
        <v>9.6999999999999993</v>
      </c>
    </row>
    <row r="2810" spans="4:7">
      <c r="D2810" s="200" t="s">
        <v>3507</v>
      </c>
      <c r="E2810" s="10">
        <v>66887</v>
      </c>
      <c r="F2810" s="201">
        <v>-10.5</v>
      </c>
      <c r="G2810" s="201">
        <v>9.3000000000000007</v>
      </c>
    </row>
    <row r="2811" spans="4:7">
      <c r="D2811" s="200" t="s">
        <v>3508</v>
      </c>
      <c r="E2811" s="10">
        <v>66999</v>
      </c>
      <c r="F2811" s="201">
        <v>-10.5</v>
      </c>
      <c r="G2811" s="201">
        <v>9.6</v>
      </c>
    </row>
    <row r="2812" spans="4:7">
      <c r="D2812" s="200" t="s">
        <v>2928</v>
      </c>
      <c r="E2812" s="10">
        <v>67071</v>
      </c>
      <c r="F2812" s="201">
        <v>-10.5</v>
      </c>
      <c r="G2812" s="201">
        <v>11</v>
      </c>
    </row>
    <row r="2813" spans="4:7">
      <c r="D2813" s="200" t="s">
        <v>3509</v>
      </c>
      <c r="E2813" s="10">
        <v>67259</v>
      </c>
      <c r="F2813" s="201">
        <v>-10.5</v>
      </c>
      <c r="G2813" s="201">
        <v>10.9</v>
      </c>
    </row>
    <row r="2814" spans="4:7">
      <c r="D2814" s="200" t="s">
        <v>3510</v>
      </c>
      <c r="E2814" s="10">
        <v>67294</v>
      </c>
      <c r="F2814" s="201">
        <v>-10.5</v>
      </c>
      <c r="G2814" s="201">
        <v>9.6999999999999993</v>
      </c>
    </row>
    <row r="2815" spans="4:7">
      <c r="D2815" s="200" t="s">
        <v>3511</v>
      </c>
      <c r="E2815" s="10">
        <v>67295</v>
      </c>
      <c r="F2815" s="201">
        <v>-10.5</v>
      </c>
      <c r="G2815" s="201">
        <v>9.6999999999999993</v>
      </c>
    </row>
    <row r="2816" spans="4:7">
      <c r="D2816" s="200" t="s">
        <v>3512</v>
      </c>
      <c r="E2816" s="10">
        <v>67466</v>
      </c>
      <c r="F2816" s="201">
        <v>-10.5</v>
      </c>
      <c r="G2816" s="201">
        <v>9.6999999999999993</v>
      </c>
    </row>
    <row r="2817" spans="4:7">
      <c r="D2817" s="200" t="s">
        <v>3513</v>
      </c>
      <c r="E2817" s="10">
        <v>67475</v>
      </c>
      <c r="F2817" s="201">
        <v>-10.5</v>
      </c>
      <c r="G2817" s="201">
        <v>9.6</v>
      </c>
    </row>
    <row r="2818" spans="4:7">
      <c r="D2818" s="200" t="s">
        <v>3086</v>
      </c>
      <c r="E2818" s="10">
        <v>67550</v>
      </c>
      <c r="F2818" s="201">
        <v>-10.5</v>
      </c>
      <c r="G2818" s="201">
        <v>10.9</v>
      </c>
    </row>
    <row r="2819" spans="4:7">
      <c r="D2819" s="200" t="s">
        <v>3514</v>
      </c>
      <c r="E2819" s="10">
        <v>67699</v>
      </c>
      <c r="F2819" s="201">
        <v>-10.5</v>
      </c>
      <c r="G2819" s="201">
        <v>9.4</v>
      </c>
    </row>
    <row r="2820" spans="4:7">
      <c r="D2820" s="200" t="s">
        <v>3515</v>
      </c>
      <c r="E2820" s="10">
        <v>67700</v>
      </c>
      <c r="F2820" s="201">
        <v>-10.5</v>
      </c>
      <c r="G2820" s="201">
        <v>9.4</v>
      </c>
    </row>
    <row r="2821" spans="4:7">
      <c r="D2821" s="200" t="s">
        <v>3516</v>
      </c>
      <c r="E2821" s="10">
        <v>67716</v>
      </c>
      <c r="F2821" s="201">
        <v>-10.5</v>
      </c>
      <c r="G2821" s="201">
        <v>9.5</v>
      </c>
    </row>
    <row r="2822" spans="4:7">
      <c r="D2822" s="200" t="s">
        <v>3517</v>
      </c>
      <c r="E2822" s="10">
        <v>67724</v>
      </c>
      <c r="F2822" s="201">
        <v>-10.5</v>
      </c>
      <c r="G2822" s="201">
        <v>9.5</v>
      </c>
    </row>
    <row r="2823" spans="4:7">
      <c r="D2823" s="200" t="s">
        <v>3518</v>
      </c>
      <c r="E2823" s="10">
        <v>67811</v>
      </c>
      <c r="F2823" s="201">
        <v>-10.5</v>
      </c>
      <c r="G2823" s="201">
        <v>9.6</v>
      </c>
    </row>
    <row r="2824" spans="4:7">
      <c r="D2824" s="200" t="s">
        <v>2946</v>
      </c>
      <c r="E2824" s="10">
        <v>68159</v>
      </c>
      <c r="F2824" s="201">
        <v>-10.5</v>
      </c>
      <c r="G2824" s="201">
        <v>11.3</v>
      </c>
    </row>
    <row r="2825" spans="4:7">
      <c r="D2825" s="200" t="s">
        <v>2946</v>
      </c>
      <c r="E2825" s="10">
        <v>68309</v>
      </c>
      <c r="F2825" s="201">
        <v>-10.5</v>
      </c>
      <c r="G2825" s="201">
        <v>11.3</v>
      </c>
    </row>
    <row r="2826" spans="4:7">
      <c r="D2826" s="200" t="s">
        <v>3519</v>
      </c>
      <c r="E2826" s="10">
        <v>68649</v>
      </c>
      <c r="F2826" s="201">
        <v>-10.5</v>
      </c>
      <c r="G2826" s="201">
        <v>11</v>
      </c>
    </row>
    <row r="2827" spans="4:7">
      <c r="D2827" s="200" t="s">
        <v>3520</v>
      </c>
      <c r="E2827" s="10">
        <v>68723</v>
      </c>
      <c r="F2827" s="201">
        <v>-10.5</v>
      </c>
      <c r="G2827" s="201">
        <v>11.1</v>
      </c>
    </row>
    <row r="2828" spans="4:7">
      <c r="D2828" s="200" t="s">
        <v>3098</v>
      </c>
      <c r="E2828" s="10">
        <v>69120</v>
      </c>
      <c r="F2828" s="201">
        <v>-10.5</v>
      </c>
      <c r="G2828" s="201">
        <v>10.8</v>
      </c>
    </row>
    <row r="2829" spans="4:7">
      <c r="D2829" s="200" t="s">
        <v>3098</v>
      </c>
      <c r="E2829" s="10">
        <v>69124</v>
      </c>
      <c r="F2829" s="201">
        <v>-10.5</v>
      </c>
      <c r="G2829" s="201">
        <v>11.1</v>
      </c>
    </row>
    <row r="2830" spans="4:7">
      <c r="D2830" s="200" t="s">
        <v>3521</v>
      </c>
      <c r="E2830" s="10">
        <v>69198</v>
      </c>
      <c r="F2830" s="201">
        <v>-10.5</v>
      </c>
      <c r="G2830" s="201">
        <v>10.199999999999999</v>
      </c>
    </row>
    <row r="2831" spans="4:7">
      <c r="D2831" s="200" t="s">
        <v>3522</v>
      </c>
      <c r="E2831" s="10">
        <v>69207</v>
      </c>
      <c r="F2831" s="201">
        <v>-10.5</v>
      </c>
      <c r="G2831" s="201">
        <v>11</v>
      </c>
    </row>
    <row r="2832" spans="4:7">
      <c r="D2832" s="200" t="s">
        <v>3523</v>
      </c>
      <c r="E2832" s="10">
        <v>69250</v>
      </c>
      <c r="F2832" s="201">
        <v>-10.5</v>
      </c>
      <c r="G2832" s="201">
        <v>10.3</v>
      </c>
    </row>
    <row r="2833" spans="4:7">
      <c r="D2833" s="200" t="s">
        <v>3524</v>
      </c>
      <c r="E2833" s="10">
        <v>69488</v>
      </c>
      <c r="F2833" s="201">
        <v>-10.5</v>
      </c>
      <c r="G2833" s="201">
        <v>10.6</v>
      </c>
    </row>
    <row r="2834" spans="4:7">
      <c r="D2834" s="200" t="s">
        <v>2307</v>
      </c>
      <c r="E2834" s="10">
        <v>70376</v>
      </c>
      <c r="F2834" s="201">
        <v>-10.5</v>
      </c>
      <c r="G2834" s="201">
        <v>10.7</v>
      </c>
    </row>
    <row r="2835" spans="4:7">
      <c r="D2835" s="200" t="s">
        <v>3525</v>
      </c>
      <c r="E2835" s="10">
        <v>70806</v>
      </c>
      <c r="F2835" s="201">
        <v>-10.5</v>
      </c>
      <c r="G2835" s="201">
        <v>10.7</v>
      </c>
    </row>
    <row r="2836" spans="4:7">
      <c r="D2836" s="200" t="s">
        <v>3526</v>
      </c>
      <c r="E2836" s="10">
        <v>71332</v>
      </c>
      <c r="F2836" s="201">
        <v>-10.5</v>
      </c>
      <c r="G2836" s="201">
        <v>10.7</v>
      </c>
    </row>
    <row r="2837" spans="4:7">
      <c r="D2837" s="200" t="s">
        <v>3527</v>
      </c>
      <c r="E2837" s="10">
        <v>71634</v>
      </c>
      <c r="F2837" s="201">
        <v>-10.5</v>
      </c>
      <c r="G2837" s="201">
        <v>10.7</v>
      </c>
    </row>
    <row r="2838" spans="4:7">
      <c r="D2838" s="200" t="s">
        <v>3528</v>
      </c>
      <c r="E2838" s="10">
        <v>73240</v>
      </c>
      <c r="F2838" s="201">
        <v>-10.5</v>
      </c>
      <c r="G2838" s="201">
        <v>10.6</v>
      </c>
    </row>
    <row r="2839" spans="4:7">
      <c r="D2839" s="200" t="s">
        <v>3529</v>
      </c>
      <c r="E2839" s="10">
        <v>74172</v>
      </c>
      <c r="F2839" s="201">
        <v>-10.5</v>
      </c>
      <c r="G2839" s="201">
        <v>10.6</v>
      </c>
    </row>
    <row r="2840" spans="4:7">
      <c r="D2840" s="200" t="s">
        <v>3530</v>
      </c>
      <c r="E2840" s="10">
        <v>74177</v>
      </c>
      <c r="F2840" s="201">
        <v>-10.5</v>
      </c>
      <c r="G2840" s="201">
        <v>10.6</v>
      </c>
    </row>
    <row r="2841" spans="4:7">
      <c r="D2841" s="200" t="s">
        <v>3531</v>
      </c>
      <c r="E2841" s="10">
        <v>74257</v>
      </c>
      <c r="F2841" s="201">
        <v>-10.5</v>
      </c>
      <c r="G2841" s="201">
        <v>10.6</v>
      </c>
    </row>
    <row r="2842" spans="4:7">
      <c r="D2842" s="200" t="s">
        <v>3532</v>
      </c>
      <c r="E2842" s="10">
        <v>74855</v>
      </c>
      <c r="F2842" s="201">
        <v>-10.5</v>
      </c>
      <c r="G2842" s="201">
        <v>10.5</v>
      </c>
    </row>
    <row r="2843" spans="4:7">
      <c r="D2843" s="200" t="s">
        <v>3533</v>
      </c>
      <c r="E2843" s="10">
        <v>74889</v>
      </c>
      <c r="F2843" s="201">
        <v>-10.5</v>
      </c>
      <c r="G2843" s="201">
        <v>10.5</v>
      </c>
    </row>
    <row r="2844" spans="4:7">
      <c r="D2844" s="200" t="s">
        <v>3534</v>
      </c>
      <c r="E2844" s="10">
        <v>74909</v>
      </c>
      <c r="F2844" s="201">
        <v>-10.5</v>
      </c>
      <c r="G2844" s="201">
        <v>10.4</v>
      </c>
    </row>
    <row r="2845" spans="4:7">
      <c r="D2845" s="200" t="s">
        <v>3535</v>
      </c>
      <c r="E2845" s="10">
        <v>74933</v>
      </c>
      <c r="F2845" s="201">
        <v>-10.5</v>
      </c>
      <c r="G2845" s="201">
        <v>10.5</v>
      </c>
    </row>
    <row r="2846" spans="4:7">
      <c r="D2846" s="200" t="s">
        <v>3536</v>
      </c>
      <c r="E2846" s="10">
        <v>75196</v>
      </c>
      <c r="F2846" s="201">
        <v>-10.5</v>
      </c>
      <c r="G2846" s="201">
        <v>10.5</v>
      </c>
    </row>
    <row r="2847" spans="4:7">
      <c r="D2847" s="200" t="s">
        <v>3537</v>
      </c>
      <c r="E2847" s="10">
        <v>76703</v>
      </c>
      <c r="F2847" s="201">
        <v>-10.5</v>
      </c>
      <c r="G2847" s="201">
        <v>10.3</v>
      </c>
    </row>
    <row r="2848" spans="4:7">
      <c r="D2848" s="200" t="s">
        <v>3538</v>
      </c>
      <c r="E2848" s="10">
        <v>78234</v>
      </c>
      <c r="F2848" s="201">
        <v>-10.5</v>
      </c>
      <c r="G2848" s="201">
        <v>9.3000000000000007</v>
      </c>
    </row>
    <row r="2849" spans="4:7">
      <c r="D2849" s="200" t="s">
        <v>3539</v>
      </c>
      <c r="E2849" s="10">
        <v>78262</v>
      </c>
      <c r="F2849" s="201">
        <v>-10.5</v>
      </c>
      <c r="G2849" s="201">
        <v>9.3000000000000007</v>
      </c>
    </row>
    <row r="2850" spans="4:7">
      <c r="D2850" s="200" t="s">
        <v>3540</v>
      </c>
      <c r="E2850" s="10">
        <v>79280</v>
      </c>
      <c r="F2850" s="201">
        <v>-10.5</v>
      </c>
      <c r="G2850" s="201">
        <v>10.3</v>
      </c>
    </row>
    <row r="2851" spans="4:7">
      <c r="D2851" s="200" t="s">
        <v>3541</v>
      </c>
      <c r="E2851" s="10">
        <v>79297</v>
      </c>
      <c r="F2851" s="201">
        <v>-10.5</v>
      </c>
      <c r="G2851" s="201">
        <v>10.199999999999999</v>
      </c>
    </row>
    <row r="2852" spans="4:7">
      <c r="D2852" s="200" t="s">
        <v>3542</v>
      </c>
      <c r="E2852" s="10">
        <v>79585</v>
      </c>
      <c r="F2852" s="201">
        <v>-10.5</v>
      </c>
      <c r="G2852" s="201">
        <v>9.6999999999999993</v>
      </c>
    </row>
    <row r="2853" spans="4:7">
      <c r="D2853" s="200" t="s">
        <v>3543</v>
      </c>
      <c r="E2853" s="10">
        <v>79650</v>
      </c>
      <c r="F2853" s="201">
        <v>-10.5</v>
      </c>
      <c r="G2853" s="201">
        <v>9.6999999999999993</v>
      </c>
    </row>
    <row r="2854" spans="4:7">
      <c r="D2854" s="200" t="s">
        <v>3544</v>
      </c>
      <c r="E2854" s="10">
        <v>79686</v>
      </c>
      <c r="F2854" s="201">
        <v>-10.5</v>
      </c>
      <c r="G2854" s="201">
        <v>9.6999999999999993</v>
      </c>
    </row>
    <row r="2855" spans="4:7">
      <c r="D2855" s="200" t="s">
        <v>3545</v>
      </c>
      <c r="E2855" s="10">
        <v>79688</v>
      </c>
      <c r="F2855" s="201">
        <v>-10.5</v>
      </c>
      <c r="G2855" s="201">
        <v>9.6999999999999993</v>
      </c>
    </row>
    <row r="2856" spans="4:7">
      <c r="D2856" s="200" t="s">
        <v>3546</v>
      </c>
      <c r="E2856" s="10">
        <v>79730</v>
      </c>
      <c r="F2856" s="201">
        <v>-10.5</v>
      </c>
      <c r="G2856" s="201">
        <v>9.6</v>
      </c>
    </row>
    <row r="2857" spans="4:7">
      <c r="D2857" s="200" t="s">
        <v>3547</v>
      </c>
      <c r="E2857" s="10">
        <v>88147</v>
      </c>
      <c r="F2857" s="201">
        <v>-10.5</v>
      </c>
      <c r="G2857" s="201">
        <v>9</v>
      </c>
    </row>
    <row r="2858" spans="4:7">
      <c r="D2858" s="200" t="s">
        <v>2777</v>
      </c>
      <c r="E2858" s="10">
        <v>88213</v>
      </c>
      <c r="F2858" s="201">
        <v>-10.5</v>
      </c>
      <c r="G2858" s="201">
        <v>9.1999999999999993</v>
      </c>
    </row>
    <row r="2859" spans="4:7">
      <c r="D2859" s="200" t="s">
        <v>3548</v>
      </c>
      <c r="E2859" s="10">
        <v>21357</v>
      </c>
      <c r="F2859" s="201">
        <v>-10.6</v>
      </c>
      <c r="G2859" s="201">
        <v>9.5</v>
      </c>
    </row>
    <row r="2860" spans="4:7">
      <c r="D2860" s="200" t="s">
        <v>3549</v>
      </c>
      <c r="E2860" s="10">
        <v>21395</v>
      </c>
      <c r="F2860" s="201">
        <v>-10.6</v>
      </c>
      <c r="G2860" s="201">
        <v>9.5</v>
      </c>
    </row>
    <row r="2861" spans="4:7">
      <c r="D2861" s="200" t="s">
        <v>3550</v>
      </c>
      <c r="E2861" s="10">
        <v>21438</v>
      </c>
      <c r="F2861" s="201">
        <v>-10.6</v>
      </c>
      <c r="G2861" s="201">
        <v>9.1999999999999993</v>
      </c>
    </row>
    <row r="2862" spans="4:7">
      <c r="D2862" s="200" t="s">
        <v>3551</v>
      </c>
      <c r="E2862" s="10">
        <v>21447</v>
      </c>
      <c r="F2862" s="201">
        <v>-10.6</v>
      </c>
      <c r="G2862" s="201">
        <v>9.5</v>
      </c>
    </row>
    <row r="2863" spans="4:7">
      <c r="D2863" s="200" t="s">
        <v>3552</v>
      </c>
      <c r="E2863" s="10">
        <v>22955</v>
      </c>
      <c r="F2863" s="201">
        <v>-10.6</v>
      </c>
      <c r="G2863" s="201">
        <v>9.1</v>
      </c>
    </row>
    <row r="2864" spans="4:7">
      <c r="D2864" s="200" t="s">
        <v>3553</v>
      </c>
      <c r="E2864" s="10">
        <v>22965</v>
      </c>
      <c r="F2864" s="201">
        <v>-10.6</v>
      </c>
      <c r="G2864" s="201">
        <v>9.1</v>
      </c>
    </row>
    <row r="2865" spans="4:7">
      <c r="D2865" s="200" t="s">
        <v>3554</v>
      </c>
      <c r="E2865" s="10">
        <v>22967</v>
      </c>
      <c r="F2865" s="201">
        <v>-10.6</v>
      </c>
      <c r="G2865" s="201">
        <v>9.1</v>
      </c>
    </row>
    <row r="2866" spans="4:7">
      <c r="D2866" s="200" t="s">
        <v>3555</v>
      </c>
      <c r="E2866" s="10">
        <v>23966</v>
      </c>
      <c r="F2866" s="201">
        <v>-10.6</v>
      </c>
      <c r="G2866" s="201">
        <v>9</v>
      </c>
    </row>
    <row r="2867" spans="4:7">
      <c r="D2867" s="200" t="s">
        <v>3556</v>
      </c>
      <c r="E2867" s="10">
        <v>27333</v>
      </c>
      <c r="F2867" s="201">
        <v>-10.6</v>
      </c>
      <c r="G2867" s="201">
        <v>9.8000000000000007</v>
      </c>
    </row>
    <row r="2868" spans="4:7">
      <c r="D2868" s="200" t="s">
        <v>3557</v>
      </c>
      <c r="E2868" s="10">
        <v>27336</v>
      </c>
      <c r="F2868" s="201">
        <v>-10.6</v>
      </c>
      <c r="G2868" s="201">
        <v>9.8000000000000007</v>
      </c>
    </row>
    <row r="2869" spans="4:7">
      <c r="D2869" s="200" t="s">
        <v>3558</v>
      </c>
      <c r="E2869" s="10">
        <v>29640</v>
      </c>
      <c r="F2869" s="201">
        <v>-10.6</v>
      </c>
      <c r="G2869" s="201">
        <v>9.1</v>
      </c>
    </row>
    <row r="2870" spans="4:7">
      <c r="D2870" s="200" t="s">
        <v>3559</v>
      </c>
      <c r="E2870" s="10">
        <v>29664</v>
      </c>
      <c r="F2870" s="201">
        <v>-10.6</v>
      </c>
      <c r="G2870" s="201">
        <v>9.5</v>
      </c>
    </row>
    <row r="2871" spans="4:7">
      <c r="D2871" s="200" t="s">
        <v>3560</v>
      </c>
      <c r="E2871" s="10">
        <v>29693</v>
      </c>
      <c r="F2871" s="201">
        <v>-10.6</v>
      </c>
      <c r="G2871" s="201">
        <v>9.6999999999999993</v>
      </c>
    </row>
    <row r="2872" spans="4:7">
      <c r="D2872" s="200" t="s">
        <v>2875</v>
      </c>
      <c r="E2872" s="10">
        <v>30169</v>
      </c>
      <c r="F2872" s="201">
        <v>-10.6</v>
      </c>
      <c r="G2872" s="201">
        <v>10.4</v>
      </c>
    </row>
    <row r="2873" spans="4:7">
      <c r="D2873" s="200" t="s">
        <v>2875</v>
      </c>
      <c r="E2873" s="10">
        <v>30171</v>
      </c>
      <c r="F2873" s="201">
        <v>-10.6</v>
      </c>
      <c r="G2873" s="201">
        <v>10.4</v>
      </c>
    </row>
    <row r="2874" spans="4:7">
      <c r="D2874" s="200" t="s">
        <v>2875</v>
      </c>
      <c r="E2874" s="10">
        <v>30453</v>
      </c>
      <c r="F2874" s="201">
        <v>-10.6</v>
      </c>
      <c r="G2874" s="201">
        <v>10.4</v>
      </c>
    </row>
    <row r="2875" spans="4:7">
      <c r="D2875" s="200" t="s">
        <v>2875</v>
      </c>
      <c r="E2875" s="10">
        <v>30627</v>
      </c>
      <c r="F2875" s="201">
        <v>-10.6</v>
      </c>
      <c r="G2875" s="201">
        <v>10.4</v>
      </c>
    </row>
    <row r="2876" spans="4:7">
      <c r="D2876" s="200" t="s">
        <v>3561</v>
      </c>
      <c r="E2876" s="10">
        <v>30851</v>
      </c>
      <c r="F2876" s="201">
        <v>-10.6</v>
      </c>
      <c r="G2876" s="201">
        <v>10.4</v>
      </c>
    </row>
    <row r="2877" spans="4:7">
      <c r="D2877" s="200" t="s">
        <v>3562</v>
      </c>
      <c r="E2877" s="10">
        <v>31515</v>
      </c>
      <c r="F2877" s="201">
        <v>-10.6</v>
      </c>
      <c r="G2877" s="201">
        <v>10.1</v>
      </c>
    </row>
    <row r="2878" spans="4:7">
      <c r="D2878" s="200" t="s">
        <v>3563</v>
      </c>
      <c r="E2878" s="10">
        <v>31558</v>
      </c>
      <c r="F2878" s="201">
        <v>-10.6</v>
      </c>
      <c r="G2878" s="201">
        <v>10.1</v>
      </c>
    </row>
    <row r="2879" spans="4:7">
      <c r="D2879" s="200" t="s">
        <v>3564</v>
      </c>
      <c r="E2879" s="10">
        <v>31592</v>
      </c>
      <c r="F2879" s="201">
        <v>-10.6</v>
      </c>
      <c r="G2879" s="201">
        <v>10.199999999999999</v>
      </c>
    </row>
    <row r="2880" spans="4:7">
      <c r="D2880" s="200" t="s">
        <v>3565</v>
      </c>
      <c r="E2880" s="10">
        <v>31609</v>
      </c>
      <c r="F2880" s="201">
        <v>-10.6</v>
      </c>
      <c r="G2880" s="201">
        <v>10</v>
      </c>
    </row>
    <row r="2881" spans="4:7">
      <c r="D2881" s="200" t="s">
        <v>3566</v>
      </c>
      <c r="E2881" s="10">
        <v>31613</v>
      </c>
      <c r="F2881" s="201">
        <v>-10.6</v>
      </c>
      <c r="G2881" s="201">
        <v>9.9</v>
      </c>
    </row>
    <row r="2882" spans="4:7">
      <c r="D2882" s="200" t="s">
        <v>3567</v>
      </c>
      <c r="E2882" s="10">
        <v>31618</v>
      </c>
      <c r="F2882" s="201">
        <v>-10.6</v>
      </c>
      <c r="G2882" s="201">
        <v>10.1</v>
      </c>
    </row>
    <row r="2883" spans="4:7">
      <c r="D2883" s="200" t="s">
        <v>3568</v>
      </c>
      <c r="E2883" s="10">
        <v>31622</v>
      </c>
      <c r="F2883" s="201">
        <v>-10.6</v>
      </c>
      <c r="G2883" s="201">
        <v>9.9</v>
      </c>
    </row>
    <row r="2884" spans="4:7">
      <c r="D2884" s="200" t="s">
        <v>3569</v>
      </c>
      <c r="E2884" s="10">
        <v>31626</v>
      </c>
      <c r="F2884" s="201">
        <v>-10.6</v>
      </c>
      <c r="G2884" s="201">
        <v>9.8000000000000007</v>
      </c>
    </row>
    <row r="2885" spans="4:7">
      <c r="D2885" s="200" t="s">
        <v>3570</v>
      </c>
      <c r="E2885" s="10">
        <v>31627</v>
      </c>
      <c r="F2885" s="201">
        <v>-10.6</v>
      </c>
      <c r="G2885" s="201">
        <v>9.8000000000000007</v>
      </c>
    </row>
    <row r="2886" spans="4:7">
      <c r="D2886" s="200" t="s">
        <v>3571</v>
      </c>
      <c r="E2886" s="10">
        <v>31628</v>
      </c>
      <c r="F2886" s="201">
        <v>-10.6</v>
      </c>
      <c r="G2886" s="201">
        <v>10.1</v>
      </c>
    </row>
    <row r="2887" spans="4:7">
      <c r="D2887" s="200" t="s">
        <v>3572</v>
      </c>
      <c r="E2887" s="10">
        <v>31633</v>
      </c>
      <c r="F2887" s="201">
        <v>-10.6</v>
      </c>
      <c r="G2887" s="201">
        <v>10.199999999999999</v>
      </c>
    </row>
    <row r="2888" spans="4:7">
      <c r="D2888" s="200" t="s">
        <v>3573</v>
      </c>
      <c r="E2888" s="10">
        <v>31655</v>
      </c>
      <c r="F2888" s="201">
        <v>-10.6</v>
      </c>
      <c r="G2888" s="201">
        <v>10</v>
      </c>
    </row>
    <row r="2889" spans="4:7">
      <c r="D2889" s="200" t="s">
        <v>3574</v>
      </c>
      <c r="E2889" s="10">
        <v>31700</v>
      </c>
      <c r="F2889" s="201">
        <v>-10.6</v>
      </c>
      <c r="G2889" s="201">
        <v>10.1</v>
      </c>
    </row>
    <row r="2890" spans="4:7">
      <c r="D2890" s="200" t="s">
        <v>3575</v>
      </c>
      <c r="E2890" s="10">
        <v>31702</v>
      </c>
      <c r="F2890" s="201">
        <v>-10.6</v>
      </c>
      <c r="G2890" s="201">
        <v>10.1</v>
      </c>
    </row>
    <row r="2891" spans="4:7">
      <c r="D2891" s="200" t="s">
        <v>3576</v>
      </c>
      <c r="E2891" s="10">
        <v>31712</v>
      </c>
      <c r="F2891" s="201">
        <v>-10.6</v>
      </c>
      <c r="G2891" s="201">
        <v>10.199999999999999</v>
      </c>
    </row>
    <row r="2892" spans="4:7">
      <c r="D2892" s="200" t="s">
        <v>3577</v>
      </c>
      <c r="E2892" s="10">
        <v>31714</v>
      </c>
      <c r="F2892" s="201">
        <v>-10.6</v>
      </c>
      <c r="G2892" s="201">
        <v>10.1</v>
      </c>
    </row>
    <row r="2893" spans="4:7">
      <c r="D2893" s="200" t="s">
        <v>3578</v>
      </c>
      <c r="E2893" s="10">
        <v>31717</v>
      </c>
      <c r="F2893" s="201">
        <v>-10.6</v>
      </c>
      <c r="G2893" s="201">
        <v>10.199999999999999</v>
      </c>
    </row>
    <row r="2894" spans="4:7">
      <c r="D2894" s="200" t="s">
        <v>3579</v>
      </c>
      <c r="E2894" s="10">
        <v>31718</v>
      </c>
      <c r="F2894" s="201">
        <v>-10.6</v>
      </c>
      <c r="G2894" s="201">
        <v>10.199999999999999</v>
      </c>
    </row>
    <row r="2895" spans="4:7">
      <c r="D2895" s="200" t="s">
        <v>3580</v>
      </c>
      <c r="E2895" s="10">
        <v>31719</v>
      </c>
      <c r="F2895" s="201">
        <v>-10.6</v>
      </c>
      <c r="G2895" s="201">
        <v>10.199999999999999</v>
      </c>
    </row>
    <row r="2896" spans="4:7">
      <c r="D2896" s="200" t="s">
        <v>3260</v>
      </c>
      <c r="E2896" s="10">
        <v>31787</v>
      </c>
      <c r="F2896" s="201">
        <v>-10.6</v>
      </c>
      <c r="G2896" s="201">
        <v>10</v>
      </c>
    </row>
    <row r="2897" spans="4:7">
      <c r="D2897" s="200" t="s">
        <v>3581</v>
      </c>
      <c r="E2897" s="10">
        <v>32832</v>
      </c>
      <c r="F2897" s="201">
        <v>-10.6</v>
      </c>
      <c r="G2897" s="201">
        <v>9.4</v>
      </c>
    </row>
    <row r="2898" spans="4:7">
      <c r="D2898" s="200" t="s">
        <v>3582</v>
      </c>
      <c r="E2898" s="10">
        <v>33189</v>
      </c>
      <c r="F2898" s="201">
        <v>-10.6</v>
      </c>
      <c r="G2898" s="201">
        <v>9.5</v>
      </c>
    </row>
    <row r="2899" spans="4:7">
      <c r="D2899" s="200" t="s">
        <v>3018</v>
      </c>
      <c r="E2899" s="10">
        <v>34130</v>
      </c>
      <c r="F2899" s="201">
        <v>-10.6</v>
      </c>
      <c r="G2899" s="201">
        <v>9.6999999999999993</v>
      </c>
    </row>
    <row r="2900" spans="4:7">
      <c r="D2900" s="200" t="s">
        <v>3583</v>
      </c>
      <c r="E2900" s="10">
        <v>35410</v>
      </c>
      <c r="F2900" s="201">
        <v>-10.6</v>
      </c>
      <c r="G2900" s="201">
        <v>9.9</v>
      </c>
    </row>
    <row r="2901" spans="4:7">
      <c r="D2901" s="200" t="s">
        <v>3584</v>
      </c>
      <c r="E2901" s="10">
        <v>35576</v>
      </c>
      <c r="F2901" s="201">
        <v>-10.6</v>
      </c>
      <c r="G2901" s="201">
        <v>10</v>
      </c>
    </row>
    <row r="2902" spans="4:7">
      <c r="D2902" s="200" t="s">
        <v>3585</v>
      </c>
      <c r="E2902" s="10">
        <v>37073</v>
      </c>
      <c r="F2902" s="201">
        <v>-10.6</v>
      </c>
      <c r="G2902" s="201">
        <v>10.4</v>
      </c>
    </row>
    <row r="2903" spans="4:7" ht="30">
      <c r="D2903" s="200" t="s">
        <v>3586</v>
      </c>
      <c r="E2903" s="10">
        <v>53534</v>
      </c>
      <c r="F2903" s="201">
        <v>-10.6</v>
      </c>
      <c r="G2903" s="201">
        <v>8.8000000000000007</v>
      </c>
    </row>
    <row r="2904" spans="4:7">
      <c r="D2904" s="200" t="s">
        <v>3587</v>
      </c>
      <c r="E2904" s="10">
        <v>54424</v>
      </c>
      <c r="F2904" s="201">
        <v>-10.6</v>
      </c>
      <c r="G2904" s="201">
        <v>9</v>
      </c>
    </row>
    <row r="2905" spans="4:7">
      <c r="D2905" s="200" t="s">
        <v>3588</v>
      </c>
      <c r="E2905" s="10">
        <v>54472</v>
      </c>
      <c r="F2905" s="201">
        <v>-10.6</v>
      </c>
      <c r="G2905" s="201">
        <v>8.9</v>
      </c>
    </row>
    <row r="2906" spans="4:7">
      <c r="D2906" s="200" t="s">
        <v>3589</v>
      </c>
      <c r="E2906" s="10">
        <v>54531</v>
      </c>
      <c r="F2906" s="201">
        <v>-10.6</v>
      </c>
      <c r="G2906" s="201">
        <v>8.9</v>
      </c>
    </row>
    <row r="2907" spans="4:7">
      <c r="D2907" s="200" t="s">
        <v>3590</v>
      </c>
      <c r="E2907" s="10">
        <v>54587</v>
      </c>
      <c r="F2907" s="201">
        <v>-10.6</v>
      </c>
      <c r="G2907" s="201">
        <v>8.6999999999999993</v>
      </c>
    </row>
    <row r="2908" spans="4:7">
      <c r="D2908" s="200" t="s">
        <v>3591</v>
      </c>
      <c r="E2908" s="10">
        <v>55444</v>
      </c>
      <c r="F2908" s="201">
        <v>-10.6</v>
      </c>
      <c r="G2908" s="201">
        <v>9.1</v>
      </c>
    </row>
    <row r="2909" spans="4:7">
      <c r="D2909" s="200" t="s">
        <v>3592</v>
      </c>
      <c r="E2909" s="10">
        <v>55566</v>
      </c>
      <c r="F2909" s="201">
        <v>-10.6</v>
      </c>
      <c r="G2909" s="201">
        <v>9.1999999999999993</v>
      </c>
    </row>
    <row r="2910" spans="4:7">
      <c r="D2910" s="200" t="s">
        <v>3593</v>
      </c>
      <c r="E2910" s="10">
        <v>55606</v>
      </c>
      <c r="F2910" s="201">
        <v>-10.6</v>
      </c>
      <c r="G2910" s="201">
        <v>9.3000000000000007</v>
      </c>
    </row>
    <row r="2911" spans="4:7">
      <c r="D2911" s="200" t="s">
        <v>3594</v>
      </c>
      <c r="E2911" s="10">
        <v>56727</v>
      </c>
      <c r="F2911" s="201">
        <v>-10.6</v>
      </c>
      <c r="G2911" s="201">
        <v>8.8000000000000007</v>
      </c>
    </row>
    <row r="2912" spans="4:7">
      <c r="D2912" s="200" t="s">
        <v>3595</v>
      </c>
      <c r="E2912" s="10">
        <v>56745</v>
      </c>
      <c r="F2912" s="201">
        <v>-10.6</v>
      </c>
      <c r="G2912" s="201">
        <v>8.9</v>
      </c>
    </row>
    <row r="2913" spans="4:7">
      <c r="D2913" s="200" t="s">
        <v>3596</v>
      </c>
      <c r="E2913" s="10">
        <v>57413</v>
      </c>
      <c r="F2913" s="201">
        <v>-10.6</v>
      </c>
      <c r="G2913" s="201">
        <v>8.6</v>
      </c>
    </row>
    <row r="2914" spans="4:7">
      <c r="D2914" s="200" t="s">
        <v>3597</v>
      </c>
      <c r="E2914" s="10">
        <v>57578</v>
      </c>
      <c r="F2914" s="201">
        <v>-10.6</v>
      </c>
      <c r="G2914" s="201">
        <v>8.4</v>
      </c>
    </row>
    <row r="2915" spans="4:7">
      <c r="D2915" s="200" t="s">
        <v>3598</v>
      </c>
      <c r="E2915" s="10">
        <v>58849</v>
      </c>
      <c r="F2915" s="201">
        <v>-10.6</v>
      </c>
      <c r="G2915" s="201">
        <v>8.4</v>
      </c>
    </row>
    <row r="2916" spans="4:7">
      <c r="D2916" s="200" t="s">
        <v>2515</v>
      </c>
      <c r="E2916" s="10">
        <v>59823</v>
      </c>
      <c r="F2916" s="201">
        <v>-10.6</v>
      </c>
      <c r="G2916" s="201">
        <v>8.6</v>
      </c>
    </row>
    <row r="2917" spans="4:7">
      <c r="D2917" s="200" t="s">
        <v>3599</v>
      </c>
      <c r="E2917" s="10">
        <v>61200</v>
      </c>
      <c r="F2917" s="201">
        <v>-10.6</v>
      </c>
      <c r="G2917" s="201">
        <v>10.1</v>
      </c>
    </row>
    <row r="2918" spans="4:7">
      <c r="D2918" s="200" t="s">
        <v>3600</v>
      </c>
      <c r="E2918" s="10">
        <v>61231</v>
      </c>
      <c r="F2918" s="201">
        <v>-10.6</v>
      </c>
      <c r="G2918" s="201">
        <v>10.199999999999999</v>
      </c>
    </row>
    <row r="2919" spans="4:7">
      <c r="D2919" s="200" t="s">
        <v>3601</v>
      </c>
      <c r="E2919" s="10">
        <v>63694</v>
      </c>
      <c r="F2919" s="201">
        <v>-10.6</v>
      </c>
      <c r="G2919" s="201">
        <v>10.1</v>
      </c>
    </row>
    <row r="2920" spans="4:7">
      <c r="D2920" s="200" t="s">
        <v>3602</v>
      </c>
      <c r="E2920" s="10">
        <v>63773</v>
      </c>
      <c r="F2920" s="201">
        <v>-10.6</v>
      </c>
      <c r="G2920" s="201">
        <v>10.199999999999999</v>
      </c>
    </row>
    <row r="2921" spans="4:7">
      <c r="D2921" s="200" t="s">
        <v>3603</v>
      </c>
      <c r="E2921" s="10">
        <v>63839</v>
      </c>
      <c r="F2921" s="201">
        <v>-10.6</v>
      </c>
      <c r="G2921" s="201">
        <v>10.4</v>
      </c>
    </row>
    <row r="2922" spans="4:7">
      <c r="D2922" s="200" t="s">
        <v>3604</v>
      </c>
      <c r="E2922" s="10">
        <v>63868</v>
      </c>
      <c r="F2922" s="201">
        <v>-10.6</v>
      </c>
      <c r="G2922" s="201">
        <v>10.5</v>
      </c>
    </row>
    <row r="2923" spans="4:7">
      <c r="D2923" s="200" t="s">
        <v>3605</v>
      </c>
      <c r="E2923" s="10">
        <v>63906</v>
      </c>
      <c r="F2923" s="201">
        <v>-10.6</v>
      </c>
      <c r="G2923" s="201">
        <v>10.3</v>
      </c>
    </row>
    <row r="2924" spans="4:7">
      <c r="D2924" s="200" t="s">
        <v>3606</v>
      </c>
      <c r="E2924" s="10">
        <v>64372</v>
      </c>
      <c r="F2924" s="201">
        <v>-10.6</v>
      </c>
      <c r="G2924" s="201">
        <v>10.199999999999999</v>
      </c>
    </row>
    <row r="2925" spans="4:7">
      <c r="D2925" s="200" t="s">
        <v>3607</v>
      </c>
      <c r="E2925" s="10">
        <v>64395</v>
      </c>
      <c r="F2925" s="201">
        <v>-10.6</v>
      </c>
      <c r="G2925" s="201">
        <v>10</v>
      </c>
    </row>
    <row r="2926" spans="4:7">
      <c r="D2926" s="200" t="s">
        <v>3608</v>
      </c>
      <c r="E2926" s="10">
        <v>64401</v>
      </c>
      <c r="F2926" s="201">
        <v>-10.6</v>
      </c>
      <c r="G2926" s="201">
        <v>10.199999999999999</v>
      </c>
    </row>
    <row r="2927" spans="4:7">
      <c r="D2927" s="200" t="s">
        <v>3609</v>
      </c>
      <c r="E2927" s="10">
        <v>64653</v>
      </c>
      <c r="F2927" s="201">
        <v>-10.6</v>
      </c>
      <c r="G2927" s="201">
        <v>11</v>
      </c>
    </row>
    <row r="2928" spans="4:7">
      <c r="D2928" s="200" t="s">
        <v>3610</v>
      </c>
      <c r="E2928" s="10">
        <v>64686</v>
      </c>
      <c r="F2928" s="201">
        <v>-10.6</v>
      </c>
      <c r="G2928" s="201">
        <v>9.8000000000000007</v>
      </c>
    </row>
    <row r="2929" spans="4:7">
      <c r="D2929" s="200" t="s">
        <v>3611</v>
      </c>
      <c r="E2929" s="10">
        <v>64853</v>
      </c>
      <c r="F2929" s="201">
        <v>-10.6</v>
      </c>
      <c r="G2929" s="201">
        <v>10</v>
      </c>
    </row>
    <row r="2930" spans="4:7">
      <c r="D2930" s="200" t="s">
        <v>3612</v>
      </c>
      <c r="E2930" s="10">
        <v>65391</v>
      </c>
      <c r="F2930" s="201">
        <v>-10.6</v>
      </c>
      <c r="G2930" s="201">
        <v>9</v>
      </c>
    </row>
    <row r="2931" spans="4:7">
      <c r="D2931" s="200" t="s">
        <v>3613</v>
      </c>
      <c r="E2931" s="10">
        <v>65510</v>
      </c>
      <c r="F2931" s="201">
        <v>-10.6</v>
      </c>
      <c r="G2931" s="201">
        <v>9.3000000000000007</v>
      </c>
    </row>
    <row r="2932" spans="4:7">
      <c r="D2932" s="200" t="s">
        <v>3614</v>
      </c>
      <c r="E2932" s="10">
        <v>65520</v>
      </c>
      <c r="F2932" s="201">
        <v>-10.6</v>
      </c>
      <c r="G2932" s="201">
        <v>9.3000000000000007</v>
      </c>
    </row>
    <row r="2933" spans="4:7">
      <c r="D2933" s="200" t="s">
        <v>3615</v>
      </c>
      <c r="E2933" s="10">
        <v>66629</v>
      </c>
      <c r="F2933" s="201">
        <v>-10.6</v>
      </c>
      <c r="G2933" s="201">
        <v>9.1999999999999993</v>
      </c>
    </row>
    <row r="2934" spans="4:7">
      <c r="D2934" s="200" t="s">
        <v>3616</v>
      </c>
      <c r="E2934" s="10">
        <v>66957</v>
      </c>
      <c r="F2934" s="201">
        <v>-10.6</v>
      </c>
      <c r="G2934" s="201">
        <v>9.4</v>
      </c>
    </row>
    <row r="2935" spans="4:7">
      <c r="D2935" s="200" t="s">
        <v>3617</v>
      </c>
      <c r="E2935" s="10">
        <v>66978</v>
      </c>
      <c r="F2935" s="201">
        <v>-10.6</v>
      </c>
      <c r="G2935" s="201">
        <v>9.4</v>
      </c>
    </row>
    <row r="2936" spans="4:7">
      <c r="D2936" s="200" t="s">
        <v>3618</v>
      </c>
      <c r="E2936" s="10">
        <v>67141</v>
      </c>
      <c r="F2936" s="201">
        <v>-10.6</v>
      </c>
      <c r="G2936" s="201">
        <v>11</v>
      </c>
    </row>
    <row r="2937" spans="4:7">
      <c r="D2937" s="200" t="s">
        <v>3619</v>
      </c>
      <c r="E2937" s="10">
        <v>67166</v>
      </c>
      <c r="F2937" s="201">
        <v>-10.6</v>
      </c>
      <c r="G2937" s="201">
        <v>11.1</v>
      </c>
    </row>
    <row r="2938" spans="4:7">
      <c r="D2938" s="200" t="s">
        <v>3620</v>
      </c>
      <c r="E2938" s="10">
        <v>67240</v>
      </c>
      <c r="F2938" s="201">
        <v>-10.6</v>
      </c>
      <c r="G2938" s="201">
        <v>11</v>
      </c>
    </row>
    <row r="2939" spans="4:7">
      <c r="D2939" s="200" t="s">
        <v>3621</v>
      </c>
      <c r="E2939" s="10">
        <v>67472</v>
      </c>
      <c r="F2939" s="201">
        <v>-10.6</v>
      </c>
      <c r="G2939" s="201">
        <v>9.6</v>
      </c>
    </row>
    <row r="2940" spans="4:7">
      <c r="D2940" s="200" t="s">
        <v>3622</v>
      </c>
      <c r="E2940" s="10">
        <v>67705</v>
      </c>
      <c r="F2940" s="201">
        <v>-10.6</v>
      </c>
      <c r="G2940" s="201">
        <v>9.4</v>
      </c>
    </row>
    <row r="2941" spans="4:7">
      <c r="D2941" s="200" t="s">
        <v>3623</v>
      </c>
      <c r="E2941" s="10">
        <v>67707</v>
      </c>
      <c r="F2941" s="201">
        <v>-10.6</v>
      </c>
      <c r="G2941" s="201">
        <v>9.4</v>
      </c>
    </row>
    <row r="2942" spans="4:7">
      <c r="D2942" s="200" t="s">
        <v>3624</v>
      </c>
      <c r="E2942" s="10">
        <v>67745</v>
      </c>
      <c r="F2942" s="201">
        <v>-10.6</v>
      </c>
      <c r="G2942" s="201">
        <v>9.4</v>
      </c>
    </row>
    <row r="2943" spans="4:7">
      <c r="D2943" s="200" t="s">
        <v>3625</v>
      </c>
      <c r="E2943" s="10">
        <v>67819</v>
      </c>
      <c r="F2943" s="201">
        <v>-10.6</v>
      </c>
      <c r="G2943" s="201">
        <v>9.5</v>
      </c>
    </row>
    <row r="2944" spans="4:7">
      <c r="D2944" s="200" t="s">
        <v>2946</v>
      </c>
      <c r="E2944" s="10">
        <v>68259</v>
      </c>
      <c r="F2944" s="201">
        <v>-10.6</v>
      </c>
      <c r="G2944" s="201">
        <v>11.3</v>
      </c>
    </row>
    <row r="2945" spans="4:7">
      <c r="D2945" s="200" t="s">
        <v>3626</v>
      </c>
      <c r="E2945" s="10">
        <v>68623</v>
      </c>
      <c r="F2945" s="201">
        <v>-10.6</v>
      </c>
      <c r="G2945" s="201">
        <v>11</v>
      </c>
    </row>
    <row r="2946" spans="4:7">
      <c r="D2946" s="200" t="s">
        <v>3627</v>
      </c>
      <c r="E2946" s="10">
        <v>68642</v>
      </c>
      <c r="F2946" s="201">
        <v>-10.6</v>
      </c>
      <c r="G2946" s="201">
        <v>11</v>
      </c>
    </row>
    <row r="2947" spans="4:7">
      <c r="D2947" s="200" t="s">
        <v>3628</v>
      </c>
      <c r="E2947" s="10">
        <v>68647</v>
      </c>
      <c r="F2947" s="201">
        <v>-10.6</v>
      </c>
      <c r="G2947" s="201">
        <v>11</v>
      </c>
    </row>
    <row r="2948" spans="4:7">
      <c r="D2948" s="200" t="s">
        <v>3629</v>
      </c>
      <c r="E2948" s="10">
        <v>68775</v>
      </c>
      <c r="F2948" s="201">
        <v>-10.6</v>
      </c>
      <c r="G2948" s="201">
        <v>11</v>
      </c>
    </row>
    <row r="2949" spans="4:7">
      <c r="D2949" s="200" t="s">
        <v>3630</v>
      </c>
      <c r="E2949" s="10">
        <v>69214</v>
      </c>
      <c r="F2949" s="201">
        <v>-10.6</v>
      </c>
      <c r="G2949" s="201">
        <v>11.1</v>
      </c>
    </row>
    <row r="2950" spans="4:7">
      <c r="D2950" s="200" t="s">
        <v>3631</v>
      </c>
      <c r="E2950" s="10">
        <v>69234</v>
      </c>
      <c r="F2950" s="201">
        <v>-10.6</v>
      </c>
      <c r="G2950" s="201">
        <v>10.3</v>
      </c>
    </row>
    <row r="2951" spans="4:7">
      <c r="D2951" s="200" t="s">
        <v>3632</v>
      </c>
      <c r="E2951" s="10">
        <v>69257</v>
      </c>
      <c r="F2951" s="201">
        <v>-10.6</v>
      </c>
      <c r="G2951" s="201">
        <v>10.4</v>
      </c>
    </row>
    <row r="2952" spans="4:7">
      <c r="D2952" s="200" t="s">
        <v>3633</v>
      </c>
      <c r="E2952" s="10">
        <v>69437</v>
      </c>
      <c r="F2952" s="201">
        <v>-10.6</v>
      </c>
      <c r="G2952" s="201">
        <v>10.4</v>
      </c>
    </row>
    <row r="2953" spans="4:7">
      <c r="D2953" s="200" t="s">
        <v>3634</v>
      </c>
      <c r="E2953" s="10">
        <v>69502</v>
      </c>
      <c r="F2953" s="201">
        <v>-10.6</v>
      </c>
      <c r="G2953" s="201">
        <v>11</v>
      </c>
    </row>
    <row r="2954" spans="4:7">
      <c r="D2954" s="200" t="s">
        <v>2307</v>
      </c>
      <c r="E2954" s="10">
        <v>70186</v>
      </c>
      <c r="F2954" s="201">
        <v>-10.6</v>
      </c>
      <c r="G2954" s="201">
        <v>10.6</v>
      </c>
    </row>
    <row r="2955" spans="4:7">
      <c r="D2955" s="200" t="s">
        <v>3635</v>
      </c>
      <c r="E2955" s="10">
        <v>72622</v>
      </c>
      <c r="F2955" s="201">
        <v>-10.6</v>
      </c>
      <c r="G2955" s="201">
        <v>10.6</v>
      </c>
    </row>
    <row r="2956" spans="4:7">
      <c r="D2956" s="200" t="s">
        <v>3636</v>
      </c>
      <c r="E2956" s="10">
        <v>72760</v>
      </c>
      <c r="F2956" s="201">
        <v>-10.6</v>
      </c>
      <c r="G2956" s="201">
        <v>10.1</v>
      </c>
    </row>
    <row r="2957" spans="4:7">
      <c r="D2957" s="200" t="s">
        <v>3636</v>
      </c>
      <c r="E2957" s="10">
        <v>72762</v>
      </c>
      <c r="F2957" s="201">
        <v>-10.6</v>
      </c>
      <c r="G2957" s="201">
        <v>10.3</v>
      </c>
    </row>
    <row r="2958" spans="4:7">
      <c r="D2958" s="200" t="s">
        <v>3636</v>
      </c>
      <c r="E2958" s="10">
        <v>72764</v>
      </c>
      <c r="F2958" s="201">
        <v>-10.6</v>
      </c>
      <c r="G2958" s="201">
        <v>10.3</v>
      </c>
    </row>
    <row r="2959" spans="4:7">
      <c r="D2959" s="200" t="s">
        <v>2949</v>
      </c>
      <c r="E2959" s="10">
        <v>74080</v>
      </c>
      <c r="F2959" s="201">
        <v>-10.6</v>
      </c>
      <c r="G2959" s="201">
        <v>10.5</v>
      </c>
    </row>
    <row r="2960" spans="4:7">
      <c r="D2960" s="200" t="s">
        <v>2949</v>
      </c>
      <c r="E2960" s="10">
        <v>74081</v>
      </c>
      <c r="F2960" s="201">
        <v>-10.6</v>
      </c>
      <c r="G2960" s="201">
        <v>10.5</v>
      </c>
    </row>
    <row r="2961" spans="4:7">
      <c r="D2961" s="200" t="s">
        <v>3637</v>
      </c>
      <c r="E2961" s="10">
        <v>74182</v>
      </c>
      <c r="F2961" s="201">
        <v>-10.6</v>
      </c>
      <c r="G2961" s="201">
        <v>10.5</v>
      </c>
    </row>
    <row r="2962" spans="4:7">
      <c r="D2962" s="200" t="s">
        <v>3638</v>
      </c>
      <c r="E2962" s="10">
        <v>74189</v>
      </c>
      <c r="F2962" s="201">
        <v>-10.6</v>
      </c>
      <c r="G2962" s="201">
        <v>10.6</v>
      </c>
    </row>
    <row r="2963" spans="4:7">
      <c r="D2963" s="200" t="s">
        <v>3639</v>
      </c>
      <c r="E2963" s="10">
        <v>74229</v>
      </c>
      <c r="F2963" s="201">
        <v>-10.6</v>
      </c>
      <c r="G2963" s="201">
        <v>10.4</v>
      </c>
    </row>
    <row r="2964" spans="4:7">
      <c r="D2964" s="200" t="s">
        <v>3640</v>
      </c>
      <c r="E2964" s="10">
        <v>74246</v>
      </c>
      <c r="F2964" s="201">
        <v>-10.6</v>
      </c>
      <c r="G2964" s="201">
        <v>10.4</v>
      </c>
    </row>
    <row r="2965" spans="4:7">
      <c r="D2965" s="200" t="s">
        <v>3641</v>
      </c>
      <c r="E2965" s="10">
        <v>74248</v>
      </c>
      <c r="F2965" s="201">
        <v>-10.6</v>
      </c>
      <c r="G2965" s="201">
        <v>10.5</v>
      </c>
    </row>
    <row r="2966" spans="4:7">
      <c r="D2966" s="200" t="s">
        <v>3642</v>
      </c>
      <c r="E2966" s="10">
        <v>74249</v>
      </c>
      <c r="F2966" s="201">
        <v>-10.6</v>
      </c>
      <c r="G2966" s="201">
        <v>10.4</v>
      </c>
    </row>
    <row r="2967" spans="4:7">
      <c r="D2967" s="200" t="s">
        <v>3643</v>
      </c>
      <c r="E2967" s="10">
        <v>74613</v>
      </c>
      <c r="F2967" s="201">
        <v>-10.6</v>
      </c>
      <c r="G2967" s="201">
        <v>10.3</v>
      </c>
    </row>
    <row r="2968" spans="4:7">
      <c r="D2968" s="200" t="s">
        <v>3644</v>
      </c>
      <c r="E2968" s="10">
        <v>74626</v>
      </c>
      <c r="F2968" s="201">
        <v>-10.6</v>
      </c>
      <c r="G2968" s="201">
        <v>10.3</v>
      </c>
    </row>
    <row r="2969" spans="4:7">
      <c r="D2969" s="200" t="s">
        <v>3645</v>
      </c>
      <c r="E2969" s="10">
        <v>74629</v>
      </c>
      <c r="F2969" s="201">
        <v>-10.6</v>
      </c>
      <c r="G2969" s="201">
        <v>10.199999999999999</v>
      </c>
    </row>
    <row r="2970" spans="4:7">
      <c r="D2970" s="200" t="s">
        <v>3646</v>
      </c>
      <c r="E2970" s="10">
        <v>74915</v>
      </c>
      <c r="F2970" s="201">
        <v>-10.6</v>
      </c>
      <c r="G2970" s="201">
        <v>10.3</v>
      </c>
    </row>
    <row r="2971" spans="4:7">
      <c r="D2971" s="200" t="s">
        <v>3647</v>
      </c>
      <c r="E2971" s="10">
        <v>74918</v>
      </c>
      <c r="F2971" s="201">
        <v>-10.6</v>
      </c>
      <c r="G2971" s="201">
        <v>10.4</v>
      </c>
    </row>
    <row r="2972" spans="4:7">
      <c r="D2972" s="200" t="s">
        <v>3648</v>
      </c>
      <c r="E2972" s="10">
        <v>74930</v>
      </c>
      <c r="F2972" s="201">
        <v>-10.6</v>
      </c>
      <c r="G2972" s="201">
        <v>10.3</v>
      </c>
    </row>
    <row r="2973" spans="4:7">
      <c r="D2973" s="200" t="s">
        <v>3649</v>
      </c>
      <c r="E2973" s="10">
        <v>75031</v>
      </c>
      <c r="F2973" s="201">
        <v>-10.6</v>
      </c>
      <c r="G2973" s="201">
        <v>10.4</v>
      </c>
    </row>
    <row r="2974" spans="4:7">
      <c r="D2974" s="200" t="s">
        <v>3650</v>
      </c>
      <c r="E2974" s="10">
        <v>75053</v>
      </c>
      <c r="F2974" s="201">
        <v>-10.6</v>
      </c>
      <c r="G2974" s="201">
        <v>10.3</v>
      </c>
    </row>
    <row r="2975" spans="4:7">
      <c r="D2975" s="200" t="s">
        <v>3651</v>
      </c>
      <c r="E2975" s="10">
        <v>75056</v>
      </c>
      <c r="F2975" s="201">
        <v>-10.6</v>
      </c>
      <c r="G2975" s="201">
        <v>10.3</v>
      </c>
    </row>
    <row r="2976" spans="4:7">
      <c r="D2976" s="200" t="s">
        <v>3652</v>
      </c>
      <c r="E2976" s="10">
        <v>75059</v>
      </c>
      <c r="F2976" s="201">
        <v>-10.6</v>
      </c>
      <c r="G2976" s="201">
        <v>10.3</v>
      </c>
    </row>
    <row r="2977" spans="4:7">
      <c r="D2977" s="200" t="s">
        <v>3653</v>
      </c>
      <c r="E2977" s="10">
        <v>76337</v>
      </c>
      <c r="F2977" s="201">
        <v>-10.6</v>
      </c>
      <c r="G2977" s="201">
        <v>10.4</v>
      </c>
    </row>
    <row r="2978" spans="4:7">
      <c r="D2978" s="200" t="s">
        <v>3654</v>
      </c>
      <c r="E2978" s="10">
        <v>76684</v>
      </c>
      <c r="F2978" s="201">
        <v>-10.6</v>
      </c>
      <c r="G2978" s="201">
        <v>10.199999999999999</v>
      </c>
    </row>
    <row r="2979" spans="4:7">
      <c r="D2979" s="200" t="s">
        <v>3655</v>
      </c>
      <c r="E2979" s="10">
        <v>77830</v>
      </c>
      <c r="F2979" s="201">
        <v>-10.6</v>
      </c>
      <c r="G2979" s="201">
        <v>10.1</v>
      </c>
    </row>
    <row r="2980" spans="4:7">
      <c r="D2980" s="200" t="s">
        <v>3656</v>
      </c>
      <c r="E2980" s="10">
        <v>77978</v>
      </c>
      <c r="F2980" s="201">
        <v>-10.6</v>
      </c>
      <c r="G2980" s="201">
        <v>9.6999999999999993</v>
      </c>
    </row>
    <row r="2981" spans="4:7">
      <c r="D2981" s="200" t="s">
        <v>3657</v>
      </c>
      <c r="E2981" s="10">
        <v>79294</v>
      </c>
      <c r="F2981" s="201">
        <v>-10.6</v>
      </c>
      <c r="G2981" s="201">
        <v>10.3</v>
      </c>
    </row>
    <row r="2982" spans="4:7">
      <c r="D2982" s="200" t="s">
        <v>3658</v>
      </c>
      <c r="E2982" s="10">
        <v>79348</v>
      </c>
      <c r="F2982" s="201">
        <v>-10.6</v>
      </c>
      <c r="G2982" s="201">
        <v>9.8000000000000007</v>
      </c>
    </row>
    <row r="2983" spans="4:7">
      <c r="D2983" s="200" t="s">
        <v>3659</v>
      </c>
      <c r="E2983" s="10">
        <v>79774</v>
      </c>
      <c r="F2983" s="201">
        <v>-10.6</v>
      </c>
      <c r="G2983" s="201">
        <v>9.5</v>
      </c>
    </row>
    <row r="2984" spans="4:7">
      <c r="D2984" s="200" t="s">
        <v>3660</v>
      </c>
      <c r="E2984" s="10">
        <v>88069</v>
      </c>
      <c r="F2984" s="201">
        <v>-10.6</v>
      </c>
      <c r="G2984" s="201">
        <v>9.1</v>
      </c>
    </row>
    <row r="2985" spans="4:7">
      <c r="D2985" s="200" t="s">
        <v>2857</v>
      </c>
      <c r="E2985" s="10">
        <v>18055</v>
      </c>
      <c r="F2985" s="201">
        <v>-10.7</v>
      </c>
      <c r="G2985" s="201">
        <v>9.3000000000000007</v>
      </c>
    </row>
    <row r="2986" spans="4:7">
      <c r="D2986" s="200" t="s">
        <v>3661</v>
      </c>
      <c r="E2986" s="10">
        <v>18437</v>
      </c>
      <c r="F2986" s="201">
        <v>-10.7</v>
      </c>
      <c r="G2986" s="201">
        <v>9.1</v>
      </c>
    </row>
    <row r="2987" spans="4:7">
      <c r="D2987" s="200" t="s">
        <v>3662</v>
      </c>
      <c r="E2987" s="10">
        <v>21259</v>
      </c>
      <c r="F2987" s="201">
        <v>-10.7</v>
      </c>
      <c r="G2987" s="201">
        <v>9.1999999999999993</v>
      </c>
    </row>
    <row r="2988" spans="4:7">
      <c r="D2988" s="200" t="s">
        <v>3663</v>
      </c>
      <c r="E2988" s="10">
        <v>21274</v>
      </c>
      <c r="F2988" s="201">
        <v>-10.7</v>
      </c>
      <c r="G2988" s="201">
        <v>9</v>
      </c>
    </row>
    <row r="2989" spans="4:7">
      <c r="D2989" s="200" t="s">
        <v>3664</v>
      </c>
      <c r="E2989" s="10">
        <v>21337</v>
      </c>
      <c r="F2989" s="201">
        <v>-10.7</v>
      </c>
      <c r="G2989" s="201">
        <v>9.6</v>
      </c>
    </row>
    <row r="2990" spans="4:7">
      <c r="D2990" s="200" t="s">
        <v>3665</v>
      </c>
      <c r="E2990" s="10">
        <v>21382</v>
      </c>
      <c r="F2990" s="201">
        <v>-10.7</v>
      </c>
      <c r="G2990" s="201">
        <v>9.5</v>
      </c>
    </row>
    <row r="2991" spans="4:7">
      <c r="D2991" s="200" t="s">
        <v>3666</v>
      </c>
      <c r="E2991" s="10">
        <v>21445</v>
      </c>
      <c r="F2991" s="201">
        <v>-10.7</v>
      </c>
      <c r="G2991" s="201">
        <v>9.4</v>
      </c>
    </row>
    <row r="2992" spans="4:7">
      <c r="D2992" s="200" t="s">
        <v>3667</v>
      </c>
      <c r="E2992" s="10">
        <v>21502</v>
      </c>
      <c r="F2992" s="201">
        <v>-10.7</v>
      </c>
      <c r="G2992" s="201">
        <v>9.1999999999999993</v>
      </c>
    </row>
    <row r="2993" spans="4:7">
      <c r="D2993" s="200" t="s">
        <v>3668</v>
      </c>
      <c r="E2993" s="10">
        <v>21516</v>
      </c>
      <c r="F2993" s="201">
        <v>-10.7</v>
      </c>
      <c r="G2993" s="201">
        <v>9.4</v>
      </c>
    </row>
    <row r="2994" spans="4:7">
      <c r="D2994" s="200" t="s">
        <v>3669</v>
      </c>
      <c r="E2994" s="10">
        <v>21524</v>
      </c>
      <c r="F2994" s="201">
        <v>-10.7</v>
      </c>
      <c r="G2994" s="201">
        <v>9.3000000000000007</v>
      </c>
    </row>
    <row r="2995" spans="4:7">
      <c r="D2995" s="200" t="s">
        <v>3670</v>
      </c>
      <c r="E2995" s="10">
        <v>21529</v>
      </c>
      <c r="F2995" s="201">
        <v>-10.7</v>
      </c>
      <c r="G2995" s="201">
        <v>9.1</v>
      </c>
    </row>
    <row r="2996" spans="4:7" ht="30">
      <c r="D2996" s="200" t="s">
        <v>3671</v>
      </c>
      <c r="E2996" s="10">
        <v>22929</v>
      </c>
      <c r="F2996" s="201">
        <v>-10.7</v>
      </c>
      <c r="G2996" s="201">
        <v>9</v>
      </c>
    </row>
    <row r="2997" spans="4:7">
      <c r="D2997" s="200" t="s">
        <v>3672</v>
      </c>
      <c r="E2997" s="10">
        <v>22946</v>
      </c>
      <c r="F2997" s="201">
        <v>-10.7</v>
      </c>
      <c r="G2997" s="201">
        <v>9.1</v>
      </c>
    </row>
    <row r="2998" spans="4:7">
      <c r="D2998" s="200" t="s">
        <v>3552</v>
      </c>
      <c r="E2998" s="10">
        <v>22961</v>
      </c>
      <c r="F2998" s="201">
        <v>-10.7</v>
      </c>
      <c r="G2998" s="201">
        <v>9.1</v>
      </c>
    </row>
    <row r="2999" spans="4:7">
      <c r="D2999" s="200" t="s">
        <v>3673</v>
      </c>
      <c r="E2999" s="10">
        <v>22964</v>
      </c>
      <c r="F2999" s="201">
        <v>-10.7</v>
      </c>
      <c r="G2999" s="201">
        <v>9</v>
      </c>
    </row>
    <row r="3000" spans="4:7">
      <c r="D3000" s="200" t="s">
        <v>2062</v>
      </c>
      <c r="E3000" s="10">
        <v>23556</v>
      </c>
      <c r="F3000" s="201">
        <v>-10.7</v>
      </c>
      <c r="G3000" s="201">
        <v>9.1999999999999993</v>
      </c>
    </row>
    <row r="3001" spans="4:7">
      <c r="D3001" s="200" t="s">
        <v>3674</v>
      </c>
      <c r="E3001" s="10">
        <v>23818</v>
      </c>
      <c r="F3001" s="201">
        <v>-10.7</v>
      </c>
      <c r="G3001" s="201">
        <v>8.9</v>
      </c>
    </row>
    <row r="3002" spans="4:7">
      <c r="D3002" s="200" t="s">
        <v>3675</v>
      </c>
      <c r="E3002" s="10">
        <v>23923</v>
      </c>
      <c r="F3002" s="201">
        <v>-10.7</v>
      </c>
      <c r="G3002" s="201">
        <v>9.1</v>
      </c>
    </row>
    <row r="3003" spans="4:7">
      <c r="D3003" s="200" t="s">
        <v>3676</v>
      </c>
      <c r="E3003" s="10">
        <v>23970</v>
      </c>
      <c r="F3003" s="201">
        <v>-10.7</v>
      </c>
      <c r="G3003" s="201">
        <v>9</v>
      </c>
    </row>
    <row r="3004" spans="4:7">
      <c r="D3004" s="200" t="s">
        <v>3677</v>
      </c>
      <c r="E3004" s="10">
        <v>29221</v>
      </c>
      <c r="F3004" s="201">
        <v>-10.7</v>
      </c>
      <c r="G3004" s="201">
        <v>10.199999999999999</v>
      </c>
    </row>
    <row r="3005" spans="4:7">
      <c r="D3005" s="200" t="s">
        <v>2875</v>
      </c>
      <c r="E3005" s="10">
        <v>30161</v>
      </c>
      <c r="F3005" s="201">
        <v>-10.7</v>
      </c>
      <c r="G3005" s="201">
        <v>10.4</v>
      </c>
    </row>
    <row r="3006" spans="4:7">
      <c r="D3006" s="200" t="s">
        <v>2875</v>
      </c>
      <c r="E3006" s="10">
        <v>30163</v>
      </c>
      <c r="F3006" s="201">
        <v>-10.7</v>
      </c>
      <c r="G3006" s="201">
        <v>10.4</v>
      </c>
    </row>
    <row r="3007" spans="4:7">
      <c r="D3007" s="200" t="s">
        <v>2875</v>
      </c>
      <c r="E3007" s="10">
        <v>30167</v>
      </c>
      <c r="F3007" s="201">
        <v>-10.7</v>
      </c>
      <c r="G3007" s="201">
        <v>10.3</v>
      </c>
    </row>
    <row r="3008" spans="4:7">
      <c r="D3008" s="200" t="s">
        <v>2875</v>
      </c>
      <c r="E3008" s="10">
        <v>30173</v>
      </c>
      <c r="F3008" s="201">
        <v>-10.7</v>
      </c>
      <c r="G3008" s="201">
        <v>10.4</v>
      </c>
    </row>
    <row r="3009" spans="4:7">
      <c r="D3009" s="200" t="s">
        <v>2875</v>
      </c>
      <c r="E3009" s="10">
        <v>30175</v>
      </c>
      <c r="F3009" s="201">
        <v>-10.7</v>
      </c>
      <c r="G3009" s="201">
        <v>10.3</v>
      </c>
    </row>
    <row r="3010" spans="4:7">
      <c r="D3010" s="200" t="s">
        <v>2875</v>
      </c>
      <c r="E3010" s="10">
        <v>30177</v>
      </c>
      <c r="F3010" s="201">
        <v>-10.7</v>
      </c>
      <c r="G3010" s="201">
        <v>10.3</v>
      </c>
    </row>
    <row r="3011" spans="4:7">
      <c r="D3011" s="200" t="s">
        <v>2875</v>
      </c>
      <c r="E3011" s="10">
        <v>30449</v>
      </c>
      <c r="F3011" s="201">
        <v>-10.7</v>
      </c>
      <c r="G3011" s="201">
        <v>10.3</v>
      </c>
    </row>
    <row r="3012" spans="4:7">
      <c r="D3012" s="200" t="s">
        <v>2875</v>
      </c>
      <c r="E3012" s="10">
        <v>30455</v>
      </c>
      <c r="F3012" s="201">
        <v>-10.7</v>
      </c>
      <c r="G3012" s="201">
        <v>10.3</v>
      </c>
    </row>
    <row r="3013" spans="4:7">
      <c r="D3013" s="200" t="s">
        <v>2875</v>
      </c>
      <c r="E3013" s="10">
        <v>30457</v>
      </c>
      <c r="F3013" s="201">
        <v>-10.7</v>
      </c>
      <c r="G3013" s="201">
        <v>10.199999999999999</v>
      </c>
    </row>
    <row r="3014" spans="4:7">
      <c r="D3014" s="200" t="s">
        <v>2875</v>
      </c>
      <c r="E3014" s="10">
        <v>30459</v>
      </c>
      <c r="F3014" s="201">
        <v>-10.7</v>
      </c>
      <c r="G3014" s="201">
        <v>10.199999999999999</v>
      </c>
    </row>
    <row r="3015" spans="4:7">
      <c r="D3015" s="200" t="s">
        <v>2875</v>
      </c>
      <c r="E3015" s="10">
        <v>30519</v>
      </c>
      <c r="F3015" s="201">
        <v>-10.7</v>
      </c>
      <c r="G3015" s="201">
        <v>10.4</v>
      </c>
    </row>
    <row r="3016" spans="4:7">
      <c r="D3016" s="200" t="s">
        <v>2875</v>
      </c>
      <c r="E3016" s="10">
        <v>30521</v>
      </c>
      <c r="F3016" s="201">
        <v>-10.7</v>
      </c>
      <c r="G3016" s="201">
        <v>10.199999999999999</v>
      </c>
    </row>
    <row r="3017" spans="4:7">
      <c r="D3017" s="200" t="s">
        <v>2875</v>
      </c>
      <c r="E3017" s="10">
        <v>30625</v>
      </c>
      <c r="F3017" s="201">
        <v>-10.7</v>
      </c>
      <c r="G3017" s="201">
        <v>10.3</v>
      </c>
    </row>
    <row r="3018" spans="4:7">
      <c r="D3018" s="200" t="s">
        <v>2875</v>
      </c>
      <c r="E3018" s="10">
        <v>30655</v>
      </c>
      <c r="F3018" s="201">
        <v>-10.7</v>
      </c>
      <c r="G3018" s="201">
        <v>10.3</v>
      </c>
    </row>
    <row r="3019" spans="4:7">
      <c r="D3019" s="200" t="s">
        <v>3678</v>
      </c>
      <c r="E3019" s="10">
        <v>31134</v>
      </c>
      <c r="F3019" s="201">
        <v>-10.7</v>
      </c>
      <c r="G3019" s="201">
        <v>10.199999999999999</v>
      </c>
    </row>
    <row r="3020" spans="4:7">
      <c r="D3020" s="200" t="s">
        <v>3679</v>
      </c>
      <c r="E3020" s="10">
        <v>31547</v>
      </c>
      <c r="F3020" s="201">
        <v>-10.7</v>
      </c>
      <c r="G3020" s="201">
        <v>10.1</v>
      </c>
    </row>
    <row r="3021" spans="4:7">
      <c r="D3021" s="200" t="s">
        <v>3680</v>
      </c>
      <c r="E3021" s="10">
        <v>31552</v>
      </c>
      <c r="F3021" s="201">
        <v>-10.7</v>
      </c>
      <c r="G3021" s="201">
        <v>9.9</v>
      </c>
    </row>
    <row r="3022" spans="4:7">
      <c r="D3022" s="200" t="s">
        <v>3681</v>
      </c>
      <c r="E3022" s="10">
        <v>31553</v>
      </c>
      <c r="F3022" s="201">
        <v>-10.7</v>
      </c>
      <c r="G3022" s="201">
        <v>10.1</v>
      </c>
    </row>
    <row r="3023" spans="4:7">
      <c r="D3023" s="200" t="s">
        <v>3682</v>
      </c>
      <c r="E3023" s="10">
        <v>31556</v>
      </c>
      <c r="F3023" s="201">
        <v>-10.7</v>
      </c>
      <c r="G3023" s="201">
        <v>9.9</v>
      </c>
    </row>
    <row r="3024" spans="4:7">
      <c r="D3024" s="200" t="s">
        <v>3683</v>
      </c>
      <c r="E3024" s="10">
        <v>31623</v>
      </c>
      <c r="F3024" s="201">
        <v>-10.7</v>
      </c>
      <c r="G3024" s="201">
        <v>10</v>
      </c>
    </row>
    <row r="3025" spans="4:7">
      <c r="D3025" s="200" t="s">
        <v>2647</v>
      </c>
      <c r="E3025" s="10">
        <v>31629</v>
      </c>
      <c r="F3025" s="201">
        <v>-10.7</v>
      </c>
      <c r="G3025" s="201">
        <v>10.1</v>
      </c>
    </row>
    <row r="3026" spans="4:7">
      <c r="D3026" s="200" t="s">
        <v>3684</v>
      </c>
      <c r="E3026" s="10">
        <v>31634</v>
      </c>
      <c r="F3026" s="201">
        <v>-10.7</v>
      </c>
      <c r="G3026" s="201">
        <v>9.9</v>
      </c>
    </row>
    <row r="3027" spans="4:7">
      <c r="D3027" s="200" t="s">
        <v>3685</v>
      </c>
      <c r="E3027" s="10">
        <v>31637</v>
      </c>
      <c r="F3027" s="201">
        <v>-10.7</v>
      </c>
      <c r="G3027" s="201">
        <v>9.9</v>
      </c>
    </row>
    <row r="3028" spans="4:7">
      <c r="D3028" s="200" t="s">
        <v>3686</v>
      </c>
      <c r="E3028" s="10">
        <v>31698</v>
      </c>
      <c r="F3028" s="201">
        <v>-10.7</v>
      </c>
      <c r="G3028" s="201">
        <v>10.1</v>
      </c>
    </row>
    <row r="3029" spans="4:7">
      <c r="D3029" s="200" t="s">
        <v>3687</v>
      </c>
      <c r="E3029" s="10">
        <v>31699</v>
      </c>
      <c r="F3029" s="201">
        <v>-10.7</v>
      </c>
      <c r="G3029" s="201">
        <v>10.1</v>
      </c>
    </row>
    <row r="3030" spans="4:7">
      <c r="D3030" s="200" t="s">
        <v>3688</v>
      </c>
      <c r="E3030" s="10">
        <v>31840</v>
      </c>
      <c r="F3030" s="201">
        <v>-10.7</v>
      </c>
      <c r="G3030" s="201">
        <v>10</v>
      </c>
    </row>
    <row r="3031" spans="4:7">
      <c r="D3031" s="200" t="s">
        <v>3689</v>
      </c>
      <c r="E3031" s="10">
        <v>31848</v>
      </c>
      <c r="F3031" s="201">
        <v>-10.7</v>
      </c>
      <c r="G3031" s="201">
        <v>9.6999999999999993</v>
      </c>
    </row>
    <row r="3032" spans="4:7">
      <c r="D3032" s="200" t="s">
        <v>3690</v>
      </c>
      <c r="E3032" s="10">
        <v>32694</v>
      </c>
      <c r="F3032" s="201">
        <v>-10.7</v>
      </c>
      <c r="G3032" s="201">
        <v>9.4</v>
      </c>
    </row>
    <row r="3033" spans="4:7">
      <c r="D3033" s="200" t="s">
        <v>2568</v>
      </c>
      <c r="E3033" s="10">
        <v>32760</v>
      </c>
      <c r="F3033" s="201">
        <v>-10.7</v>
      </c>
      <c r="G3033" s="201">
        <v>9.5</v>
      </c>
    </row>
    <row r="3034" spans="4:7">
      <c r="D3034" s="200" t="s">
        <v>2477</v>
      </c>
      <c r="E3034" s="10">
        <v>33100</v>
      </c>
      <c r="F3034" s="201">
        <v>-10.7</v>
      </c>
      <c r="G3034" s="201">
        <v>9.4</v>
      </c>
    </row>
    <row r="3035" spans="4:7">
      <c r="D3035" s="200" t="s">
        <v>3018</v>
      </c>
      <c r="E3035" s="10">
        <v>34134</v>
      </c>
      <c r="F3035" s="201">
        <v>-10.7</v>
      </c>
      <c r="G3035" s="201">
        <v>9.6</v>
      </c>
    </row>
    <row r="3036" spans="4:7">
      <c r="D3036" s="200" t="s">
        <v>3691</v>
      </c>
      <c r="E3036" s="10">
        <v>35606</v>
      </c>
      <c r="F3036" s="201">
        <v>-10.7</v>
      </c>
      <c r="G3036" s="201">
        <v>9.6999999999999993</v>
      </c>
    </row>
    <row r="3037" spans="4:7">
      <c r="D3037" s="200" t="s">
        <v>3268</v>
      </c>
      <c r="E3037" s="10">
        <v>38102</v>
      </c>
      <c r="F3037" s="201">
        <v>-10.7</v>
      </c>
      <c r="G3037" s="201">
        <v>10.3</v>
      </c>
    </row>
    <row r="3038" spans="4:7">
      <c r="D3038" s="200" t="s">
        <v>3268</v>
      </c>
      <c r="E3038" s="10">
        <v>38118</v>
      </c>
      <c r="F3038" s="201">
        <v>-10.7</v>
      </c>
      <c r="G3038" s="201">
        <v>10.3</v>
      </c>
    </row>
    <row r="3039" spans="4:7">
      <c r="D3039" s="200" t="s">
        <v>3692</v>
      </c>
      <c r="E3039" s="10">
        <v>52152</v>
      </c>
      <c r="F3039" s="201">
        <v>-10.7</v>
      </c>
      <c r="G3039" s="201">
        <v>8.1999999999999993</v>
      </c>
    </row>
    <row r="3040" spans="4:7">
      <c r="D3040" s="200" t="s">
        <v>3693</v>
      </c>
      <c r="E3040" s="10">
        <v>54426</v>
      </c>
      <c r="F3040" s="201">
        <v>-10.7</v>
      </c>
      <c r="G3040" s="201">
        <v>8.9</v>
      </c>
    </row>
    <row r="3041" spans="4:7">
      <c r="D3041" s="200" t="s">
        <v>3694</v>
      </c>
      <c r="E3041" s="10">
        <v>54574</v>
      </c>
      <c r="F3041" s="201">
        <v>-10.7</v>
      </c>
      <c r="G3041" s="201">
        <v>8.8000000000000007</v>
      </c>
    </row>
    <row r="3042" spans="4:7">
      <c r="D3042" s="200" t="s">
        <v>3088</v>
      </c>
      <c r="E3042" s="10">
        <v>54576</v>
      </c>
      <c r="F3042" s="201">
        <v>-10.7</v>
      </c>
      <c r="G3042" s="201">
        <v>8.6</v>
      </c>
    </row>
    <row r="3043" spans="4:7">
      <c r="D3043" s="200" t="s">
        <v>3695</v>
      </c>
      <c r="E3043" s="10">
        <v>54584</v>
      </c>
      <c r="F3043" s="201">
        <v>-10.7</v>
      </c>
      <c r="G3043" s="201">
        <v>8.6</v>
      </c>
    </row>
    <row r="3044" spans="4:7">
      <c r="D3044" s="200" t="s">
        <v>3696</v>
      </c>
      <c r="E3044" s="10">
        <v>54617</v>
      </c>
      <c r="F3044" s="201">
        <v>-10.7</v>
      </c>
      <c r="G3044" s="201">
        <v>8.3000000000000007</v>
      </c>
    </row>
    <row r="3045" spans="4:7">
      <c r="D3045" s="200" t="s">
        <v>3697</v>
      </c>
      <c r="E3045" s="10">
        <v>54655</v>
      </c>
      <c r="F3045" s="201">
        <v>-10.7</v>
      </c>
      <c r="G3045" s="201">
        <v>8.8000000000000007</v>
      </c>
    </row>
    <row r="3046" spans="4:7">
      <c r="D3046" s="200" t="s">
        <v>3698</v>
      </c>
      <c r="E3046" s="10">
        <v>54673</v>
      </c>
      <c r="F3046" s="201">
        <v>-10.7</v>
      </c>
      <c r="G3046" s="201">
        <v>8.6</v>
      </c>
    </row>
    <row r="3047" spans="4:7">
      <c r="D3047" s="200" t="s">
        <v>3699</v>
      </c>
      <c r="E3047" s="10">
        <v>55481</v>
      </c>
      <c r="F3047" s="201">
        <v>-10.7</v>
      </c>
      <c r="G3047" s="201">
        <v>9</v>
      </c>
    </row>
    <row r="3048" spans="4:7">
      <c r="D3048" s="200" t="s">
        <v>3700</v>
      </c>
      <c r="E3048" s="10">
        <v>55483</v>
      </c>
      <c r="F3048" s="201">
        <v>-10.7</v>
      </c>
      <c r="G3048" s="201">
        <v>8.9</v>
      </c>
    </row>
    <row r="3049" spans="4:7">
      <c r="D3049" s="200" t="s">
        <v>3701</v>
      </c>
      <c r="E3049" s="10">
        <v>55487</v>
      </c>
      <c r="F3049" s="201">
        <v>-10.7</v>
      </c>
      <c r="G3049" s="201">
        <v>8.9</v>
      </c>
    </row>
    <row r="3050" spans="4:7">
      <c r="D3050" s="200" t="s">
        <v>3702</v>
      </c>
      <c r="E3050" s="10">
        <v>55618</v>
      </c>
      <c r="F3050" s="201">
        <v>-10.7</v>
      </c>
      <c r="G3050" s="201">
        <v>9.1999999999999993</v>
      </c>
    </row>
    <row r="3051" spans="4:7">
      <c r="D3051" s="200" t="s">
        <v>3703</v>
      </c>
      <c r="E3051" s="10">
        <v>55626</v>
      </c>
      <c r="F3051" s="201">
        <v>-10.7</v>
      </c>
      <c r="G3051" s="201">
        <v>8.9</v>
      </c>
    </row>
    <row r="3052" spans="4:7">
      <c r="D3052" s="200" t="s">
        <v>3704</v>
      </c>
      <c r="E3052" s="10">
        <v>55765</v>
      </c>
      <c r="F3052" s="201">
        <v>-10.7</v>
      </c>
      <c r="G3052" s="201">
        <v>8.9</v>
      </c>
    </row>
    <row r="3053" spans="4:7">
      <c r="D3053" s="200" t="s">
        <v>3705</v>
      </c>
      <c r="E3053" s="10">
        <v>56826</v>
      </c>
      <c r="F3053" s="201">
        <v>-10.7</v>
      </c>
      <c r="G3053" s="201">
        <v>8.8000000000000007</v>
      </c>
    </row>
    <row r="3054" spans="4:7">
      <c r="D3054" s="200" t="s">
        <v>3706</v>
      </c>
      <c r="E3054" s="10">
        <v>57234</v>
      </c>
      <c r="F3054" s="201">
        <v>-10.7</v>
      </c>
      <c r="G3054" s="201">
        <v>8.6</v>
      </c>
    </row>
    <row r="3055" spans="4:7">
      <c r="D3055" s="200" t="s">
        <v>3707</v>
      </c>
      <c r="E3055" s="10">
        <v>61239</v>
      </c>
      <c r="F3055" s="201">
        <v>-10.7</v>
      </c>
      <c r="G3055" s="201">
        <v>9.5</v>
      </c>
    </row>
    <row r="3056" spans="4:7">
      <c r="D3056" s="200" t="s">
        <v>2715</v>
      </c>
      <c r="E3056" s="10">
        <v>61350</v>
      </c>
      <c r="F3056" s="201">
        <v>-10.7</v>
      </c>
      <c r="G3056" s="201">
        <v>9.6</v>
      </c>
    </row>
    <row r="3057" spans="4:7">
      <c r="D3057" s="200" t="s">
        <v>3708</v>
      </c>
      <c r="E3057" s="10">
        <v>61381</v>
      </c>
      <c r="F3057" s="201">
        <v>-10.7</v>
      </c>
      <c r="G3057" s="201">
        <v>9.5</v>
      </c>
    </row>
    <row r="3058" spans="4:7">
      <c r="D3058" s="200" t="s">
        <v>3709</v>
      </c>
      <c r="E3058" s="10">
        <v>63579</v>
      </c>
      <c r="F3058" s="201">
        <v>-10.7</v>
      </c>
      <c r="G3058" s="201">
        <v>10.1</v>
      </c>
    </row>
    <row r="3059" spans="4:7">
      <c r="D3059" s="200" t="s">
        <v>3710</v>
      </c>
      <c r="E3059" s="10">
        <v>63636</v>
      </c>
      <c r="F3059" s="201">
        <v>-10.7</v>
      </c>
      <c r="G3059" s="201">
        <v>10</v>
      </c>
    </row>
    <row r="3060" spans="4:7">
      <c r="D3060" s="200" t="s">
        <v>2719</v>
      </c>
      <c r="E3060" s="10">
        <v>63743</v>
      </c>
      <c r="F3060" s="201">
        <v>-10.7</v>
      </c>
      <c r="G3060" s="201">
        <v>10.199999999999999</v>
      </c>
    </row>
    <row r="3061" spans="4:7">
      <c r="D3061" s="200" t="s">
        <v>3711</v>
      </c>
      <c r="E3061" s="10">
        <v>63834</v>
      </c>
      <c r="F3061" s="201">
        <v>-10.7</v>
      </c>
      <c r="G3061" s="201">
        <v>10.3</v>
      </c>
    </row>
    <row r="3062" spans="4:7">
      <c r="D3062" s="200" t="s">
        <v>3712</v>
      </c>
      <c r="E3062" s="10">
        <v>63911</v>
      </c>
      <c r="F3062" s="201">
        <v>-10.7</v>
      </c>
      <c r="G3062" s="201">
        <v>10.5</v>
      </c>
    </row>
    <row r="3063" spans="4:7">
      <c r="D3063" s="200" t="s">
        <v>3713</v>
      </c>
      <c r="E3063" s="10">
        <v>64405</v>
      </c>
      <c r="F3063" s="201">
        <v>-10.7</v>
      </c>
      <c r="G3063" s="201">
        <v>10</v>
      </c>
    </row>
    <row r="3064" spans="4:7">
      <c r="D3064" s="200" t="s">
        <v>3714</v>
      </c>
      <c r="E3064" s="10">
        <v>64683</v>
      </c>
      <c r="F3064" s="201">
        <v>-10.7</v>
      </c>
      <c r="G3064" s="201">
        <v>10.9</v>
      </c>
    </row>
    <row r="3065" spans="4:7">
      <c r="D3065" s="200" t="s">
        <v>3715</v>
      </c>
      <c r="E3065" s="10">
        <v>64747</v>
      </c>
      <c r="F3065" s="201">
        <v>-10.7</v>
      </c>
      <c r="G3065" s="201">
        <v>10.1</v>
      </c>
    </row>
    <row r="3066" spans="4:7">
      <c r="D3066" s="200" t="s">
        <v>3716</v>
      </c>
      <c r="E3066" s="10">
        <v>65527</v>
      </c>
      <c r="F3066" s="201">
        <v>-10.7</v>
      </c>
      <c r="G3066" s="201">
        <v>9.3000000000000007</v>
      </c>
    </row>
    <row r="3067" spans="4:7">
      <c r="D3067" s="200" t="s">
        <v>3717</v>
      </c>
      <c r="E3067" s="10">
        <v>65620</v>
      </c>
      <c r="F3067" s="201">
        <v>-10.7</v>
      </c>
      <c r="G3067" s="201">
        <v>9.1</v>
      </c>
    </row>
    <row r="3068" spans="4:7">
      <c r="D3068" s="200" t="s">
        <v>3718</v>
      </c>
      <c r="E3068" s="10">
        <v>65817</v>
      </c>
      <c r="F3068" s="201">
        <v>-10.7</v>
      </c>
      <c r="G3068" s="201">
        <v>9.5</v>
      </c>
    </row>
    <row r="3069" spans="4:7">
      <c r="D3069" s="200" t="s">
        <v>3719</v>
      </c>
      <c r="E3069" s="10">
        <v>67122</v>
      </c>
      <c r="F3069" s="201">
        <v>-10.7</v>
      </c>
      <c r="G3069" s="201">
        <v>11.1</v>
      </c>
    </row>
    <row r="3070" spans="4:7">
      <c r="D3070" s="200" t="s">
        <v>3720</v>
      </c>
      <c r="E3070" s="10">
        <v>67165</v>
      </c>
      <c r="F3070" s="201">
        <v>-10.7</v>
      </c>
      <c r="G3070" s="201">
        <v>11</v>
      </c>
    </row>
    <row r="3071" spans="4:7">
      <c r="D3071" s="200" t="s">
        <v>3721</v>
      </c>
      <c r="E3071" s="10">
        <v>67292</v>
      </c>
      <c r="F3071" s="201">
        <v>-10.7</v>
      </c>
      <c r="G3071" s="201">
        <v>9.4</v>
      </c>
    </row>
    <row r="3072" spans="4:7" ht="30">
      <c r="D3072" s="200" t="s">
        <v>3722</v>
      </c>
      <c r="E3072" s="10">
        <v>67808</v>
      </c>
      <c r="F3072" s="201">
        <v>-10.7</v>
      </c>
      <c r="G3072" s="201">
        <v>9.3000000000000007</v>
      </c>
    </row>
    <row r="3073" spans="4:7">
      <c r="D3073" s="200" t="s">
        <v>2946</v>
      </c>
      <c r="E3073" s="10">
        <v>68199</v>
      </c>
      <c r="F3073" s="201">
        <v>-10.7</v>
      </c>
      <c r="G3073" s="201">
        <v>11.2</v>
      </c>
    </row>
    <row r="3074" spans="4:7">
      <c r="D3074" s="200" t="s">
        <v>2946</v>
      </c>
      <c r="E3074" s="10">
        <v>68219</v>
      </c>
      <c r="F3074" s="201">
        <v>-10.7</v>
      </c>
      <c r="G3074" s="201">
        <v>11.1</v>
      </c>
    </row>
    <row r="3075" spans="4:7">
      <c r="D3075" s="200" t="s">
        <v>2946</v>
      </c>
      <c r="E3075" s="10">
        <v>68239</v>
      </c>
      <c r="F3075" s="201">
        <v>-10.7</v>
      </c>
      <c r="G3075" s="201">
        <v>11.1</v>
      </c>
    </row>
    <row r="3076" spans="4:7">
      <c r="D3076" s="200" t="s">
        <v>2946</v>
      </c>
      <c r="E3076" s="10">
        <v>68305</v>
      </c>
      <c r="F3076" s="201">
        <v>-10.7</v>
      </c>
      <c r="G3076" s="201">
        <v>11.1</v>
      </c>
    </row>
    <row r="3077" spans="4:7">
      <c r="D3077" s="200" t="s">
        <v>1783</v>
      </c>
      <c r="E3077" s="10">
        <v>68782</v>
      </c>
      <c r="F3077" s="201">
        <v>-10.7</v>
      </c>
      <c r="G3077" s="201">
        <v>11.1</v>
      </c>
    </row>
    <row r="3078" spans="4:7">
      <c r="D3078" s="200" t="s">
        <v>3098</v>
      </c>
      <c r="E3078" s="10">
        <v>69123</v>
      </c>
      <c r="F3078" s="201">
        <v>-10.7</v>
      </c>
      <c r="G3078" s="201">
        <v>11</v>
      </c>
    </row>
    <row r="3079" spans="4:7">
      <c r="D3079" s="200" t="s">
        <v>3723</v>
      </c>
      <c r="E3079" s="10">
        <v>69151</v>
      </c>
      <c r="F3079" s="201">
        <v>-10.7</v>
      </c>
      <c r="G3079" s="201">
        <v>10.1</v>
      </c>
    </row>
    <row r="3080" spans="4:7">
      <c r="D3080" s="200" t="s">
        <v>3724</v>
      </c>
      <c r="E3080" s="10">
        <v>69514</v>
      </c>
      <c r="F3080" s="201">
        <v>-10.7</v>
      </c>
      <c r="G3080" s="201">
        <v>11.1</v>
      </c>
    </row>
    <row r="3081" spans="4:7">
      <c r="D3081" s="200" t="s">
        <v>2307</v>
      </c>
      <c r="E3081" s="10">
        <v>70193</v>
      </c>
      <c r="F3081" s="201">
        <v>-10.7</v>
      </c>
      <c r="G3081" s="201">
        <v>10.4</v>
      </c>
    </row>
    <row r="3082" spans="4:7">
      <c r="D3082" s="200" t="s">
        <v>2307</v>
      </c>
      <c r="E3082" s="10">
        <v>70378</v>
      </c>
      <c r="F3082" s="201">
        <v>-10.7</v>
      </c>
      <c r="G3082" s="201">
        <v>10.5</v>
      </c>
    </row>
    <row r="3083" spans="4:7">
      <c r="D3083" s="200" t="s">
        <v>2307</v>
      </c>
      <c r="E3083" s="10">
        <v>70435</v>
      </c>
      <c r="F3083" s="201">
        <v>-10.7</v>
      </c>
      <c r="G3083" s="201">
        <v>10.6</v>
      </c>
    </row>
    <row r="3084" spans="4:7">
      <c r="D3084" s="200" t="s">
        <v>2307</v>
      </c>
      <c r="E3084" s="10">
        <v>70469</v>
      </c>
      <c r="F3084" s="201">
        <v>-10.7</v>
      </c>
      <c r="G3084" s="201">
        <v>10.5</v>
      </c>
    </row>
    <row r="3085" spans="4:7">
      <c r="D3085" s="200" t="s">
        <v>3526</v>
      </c>
      <c r="E3085" s="10">
        <v>71334</v>
      </c>
      <c r="F3085" s="201">
        <v>-10.7</v>
      </c>
      <c r="G3085" s="201">
        <v>10.5</v>
      </c>
    </row>
    <row r="3086" spans="4:7">
      <c r="D3086" s="200" t="s">
        <v>3725</v>
      </c>
      <c r="E3086" s="10">
        <v>72827</v>
      </c>
      <c r="F3086" s="201">
        <v>-10.7</v>
      </c>
      <c r="G3086" s="201">
        <v>10.3</v>
      </c>
    </row>
    <row r="3087" spans="4:7">
      <c r="D3087" s="200" t="s">
        <v>3726</v>
      </c>
      <c r="E3087" s="10">
        <v>74206</v>
      </c>
      <c r="F3087" s="201">
        <v>-10.7</v>
      </c>
      <c r="G3087" s="201">
        <v>10.4</v>
      </c>
    </row>
    <row r="3088" spans="4:7">
      <c r="D3088" s="200" t="s">
        <v>3727</v>
      </c>
      <c r="E3088" s="10">
        <v>74235</v>
      </c>
      <c r="F3088" s="201">
        <v>-10.7</v>
      </c>
      <c r="G3088" s="201">
        <v>10.3</v>
      </c>
    </row>
    <row r="3089" spans="4:7">
      <c r="D3089" s="200" t="s">
        <v>3728</v>
      </c>
      <c r="E3089" s="10">
        <v>74239</v>
      </c>
      <c r="F3089" s="201">
        <v>-10.7</v>
      </c>
      <c r="G3089" s="201">
        <v>10.3</v>
      </c>
    </row>
    <row r="3090" spans="4:7">
      <c r="D3090" s="200" t="s">
        <v>3729</v>
      </c>
      <c r="E3090" s="10">
        <v>74243</v>
      </c>
      <c r="F3090" s="201">
        <v>-10.7</v>
      </c>
      <c r="G3090" s="201">
        <v>10.3</v>
      </c>
    </row>
    <row r="3091" spans="4:7">
      <c r="D3091" s="200" t="s">
        <v>3730</v>
      </c>
      <c r="E3091" s="10">
        <v>74251</v>
      </c>
      <c r="F3091" s="201">
        <v>-10.7</v>
      </c>
      <c r="G3091" s="201">
        <v>10.3</v>
      </c>
    </row>
    <row r="3092" spans="4:7">
      <c r="D3092" s="200" t="s">
        <v>3731</v>
      </c>
      <c r="E3092" s="10">
        <v>74348</v>
      </c>
      <c r="F3092" s="201">
        <v>-10.7</v>
      </c>
      <c r="G3092" s="201">
        <v>10.5</v>
      </c>
    </row>
    <row r="3093" spans="4:7">
      <c r="D3093" s="200" t="s">
        <v>3732</v>
      </c>
      <c r="E3093" s="10">
        <v>74363</v>
      </c>
      <c r="F3093" s="201">
        <v>-10.7</v>
      </c>
      <c r="G3093" s="201">
        <v>10.4</v>
      </c>
    </row>
    <row r="3094" spans="4:7">
      <c r="D3094" s="200" t="s">
        <v>3733</v>
      </c>
      <c r="E3094" s="10">
        <v>74858</v>
      </c>
      <c r="F3094" s="201">
        <v>-10.7</v>
      </c>
      <c r="G3094" s="201">
        <v>10.199999999999999</v>
      </c>
    </row>
    <row r="3095" spans="4:7">
      <c r="D3095" s="200" t="s">
        <v>3734</v>
      </c>
      <c r="E3095" s="10">
        <v>74861</v>
      </c>
      <c r="F3095" s="201">
        <v>-10.7</v>
      </c>
      <c r="G3095" s="201">
        <v>10.4</v>
      </c>
    </row>
    <row r="3096" spans="4:7">
      <c r="D3096" s="200" t="s">
        <v>3735</v>
      </c>
      <c r="E3096" s="10">
        <v>74937</v>
      </c>
      <c r="F3096" s="201">
        <v>-10.7</v>
      </c>
      <c r="G3096" s="201">
        <v>10.199999999999999</v>
      </c>
    </row>
    <row r="3097" spans="4:7">
      <c r="D3097" s="200" t="s">
        <v>3736</v>
      </c>
      <c r="E3097" s="10">
        <v>75015</v>
      </c>
      <c r="F3097" s="201">
        <v>-10.7</v>
      </c>
      <c r="G3097" s="201">
        <v>10.199999999999999</v>
      </c>
    </row>
    <row r="3098" spans="4:7">
      <c r="D3098" s="200" t="s">
        <v>3737</v>
      </c>
      <c r="E3098" s="10">
        <v>75038</v>
      </c>
      <c r="F3098" s="201">
        <v>-10.7</v>
      </c>
      <c r="G3098" s="201">
        <v>10.3</v>
      </c>
    </row>
    <row r="3099" spans="4:7">
      <c r="D3099" s="200" t="s">
        <v>3738</v>
      </c>
      <c r="E3099" s="10">
        <v>75045</v>
      </c>
      <c r="F3099" s="201">
        <v>-10.7</v>
      </c>
      <c r="G3099" s="201">
        <v>10.3</v>
      </c>
    </row>
    <row r="3100" spans="4:7">
      <c r="D3100" s="200" t="s">
        <v>3739</v>
      </c>
      <c r="E3100" s="10">
        <v>75173</v>
      </c>
      <c r="F3100" s="201">
        <v>-10.7</v>
      </c>
      <c r="G3100" s="201">
        <v>10.3</v>
      </c>
    </row>
    <row r="3101" spans="4:7">
      <c r="D3101" s="200" t="s">
        <v>3740</v>
      </c>
      <c r="E3101" s="10">
        <v>75210</v>
      </c>
      <c r="F3101" s="201">
        <v>-10.7</v>
      </c>
      <c r="G3101" s="201">
        <v>10.4</v>
      </c>
    </row>
    <row r="3102" spans="4:7">
      <c r="D3102" s="200" t="s">
        <v>2308</v>
      </c>
      <c r="E3102" s="10">
        <v>76228</v>
      </c>
      <c r="F3102" s="201">
        <v>-10.7</v>
      </c>
      <c r="G3102" s="201">
        <v>10.1</v>
      </c>
    </row>
    <row r="3103" spans="4:7">
      <c r="D3103" s="200" t="s">
        <v>3741</v>
      </c>
      <c r="E3103" s="10">
        <v>76571</v>
      </c>
      <c r="F3103" s="201">
        <v>-10.7</v>
      </c>
      <c r="G3103" s="201">
        <v>10.1</v>
      </c>
    </row>
    <row r="3104" spans="4:7">
      <c r="D3104" s="200" t="s">
        <v>3742</v>
      </c>
      <c r="E3104" s="10">
        <v>77736</v>
      </c>
      <c r="F3104" s="201">
        <v>-10.7</v>
      </c>
      <c r="G3104" s="201">
        <v>10.1</v>
      </c>
    </row>
    <row r="3105" spans="4:7">
      <c r="D3105" s="200" t="s">
        <v>3743</v>
      </c>
      <c r="E3105" s="10">
        <v>77876</v>
      </c>
      <c r="F3105" s="201">
        <v>-10.7</v>
      </c>
      <c r="G3105" s="201">
        <v>9.8000000000000007</v>
      </c>
    </row>
    <row r="3106" spans="4:7">
      <c r="D3106" s="200" t="s">
        <v>3744</v>
      </c>
      <c r="E3106" s="10">
        <v>77883</v>
      </c>
      <c r="F3106" s="201">
        <v>-10.7</v>
      </c>
      <c r="G3106" s="201">
        <v>9.9</v>
      </c>
    </row>
    <row r="3107" spans="4:7">
      <c r="D3107" s="200" t="s">
        <v>3745</v>
      </c>
      <c r="E3107" s="10">
        <v>77886</v>
      </c>
      <c r="F3107" s="201">
        <v>-10.7</v>
      </c>
      <c r="G3107" s="201">
        <v>9.8000000000000007</v>
      </c>
    </row>
    <row r="3108" spans="4:7">
      <c r="D3108" s="200" t="s">
        <v>3746</v>
      </c>
      <c r="E3108" s="10">
        <v>79199</v>
      </c>
      <c r="F3108" s="201">
        <v>-10.7</v>
      </c>
      <c r="G3108" s="201">
        <v>10.199999999999999</v>
      </c>
    </row>
    <row r="3109" spans="4:7">
      <c r="D3109" s="200" t="s">
        <v>3747</v>
      </c>
      <c r="E3109" s="10">
        <v>79215</v>
      </c>
      <c r="F3109" s="201">
        <v>-10.7</v>
      </c>
      <c r="G3109" s="201">
        <v>10</v>
      </c>
    </row>
    <row r="3110" spans="4:7">
      <c r="D3110" s="200" t="s">
        <v>3748</v>
      </c>
      <c r="E3110" s="10">
        <v>79261</v>
      </c>
      <c r="F3110" s="201">
        <v>-10.7</v>
      </c>
      <c r="G3110" s="201">
        <v>9.6999999999999993</v>
      </c>
    </row>
    <row r="3111" spans="4:7">
      <c r="D3111" s="200" t="s">
        <v>3749</v>
      </c>
      <c r="E3111" s="10">
        <v>79263</v>
      </c>
      <c r="F3111" s="201">
        <v>-10.7</v>
      </c>
      <c r="G3111" s="201">
        <v>9.8000000000000007</v>
      </c>
    </row>
    <row r="3112" spans="4:7">
      <c r="D3112" s="200" t="s">
        <v>3750</v>
      </c>
      <c r="E3112" s="10">
        <v>79299</v>
      </c>
      <c r="F3112" s="201">
        <v>-10.7</v>
      </c>
      <c r="G3112" s="201">
        <v>10.199999999999999</v>
      </c>
    </row>
    <row r="3113" spans="4:7">
      <c r="D3113" s="200" t="s">
        <v>2963</v>
      </c>
      <c r="E3113" s="10">
        <v>88276</v>
      </c>
      <c r="F3113" s="201">
        <v>-10.7</v>
      </c>
      <c r="G3113" s="201">
        <v>9.1999999999999993</v>
      </c>
    </row>
    <row r="3114" spans="4:7">
      <c r="D3114" s="200" t="s">
        <v>3751</v>
      </c>
      <c r="E3114" s="10">
        <v>88284</v>
      </c>
      <c r="F3114" s="201">
        <v>-10.7</v>
      </c>
      <c r="G3114" s="201">
        <v>9.1999999999999993</v>
      </c>
    </row>
    <row r="3115" spans="4:7">
      <c r="D3115" s="200" t="s">
        <v>3752</v>
      </c>
      <c r="E3115" s="10">
        <v>97421</v>
      </c>
      <c r="F3115" s="201">
        <v>-10.7</v>
      </c>
      <c r="G3115" s="201">
        <v>10</v>
      </c>
    </row>
    <row r="3116" spans="4:7">
      <c r="D3116" s="200" t="s">
        <v>3753</v>
      </c>
      <c r="E3116" s="10">
        <v>18182</v>
      </c>
      <c r="F3116" s="201">
        <v>-10.8</v>
      </c>
      <c r="G3116" s="201">
        <v>9.1</v>
      </c>
    </row>
    <row r="3117" spans="4:7">
      <c r="D3117" s="200" t="s">
        <v>3661</v>
      </c>
      <c r="E3117" s="10">
        <v>18435</v>
      </c>
      <c r="F3117" s="201">
        <v>-10.8</v>
      </c>
      <c r="G3117" s="201">
        <v>8.9</v>
      </c>
    </row>
    <row r="3118" spans="4:7">
      <c r="D3118" s="200" t="s">
        <v>3661</v>
      </c>
      <c r="E3118" s="10">
        <v>18439</v>
      </c>
      <c r="F3118" s="201">
        <v>-10.8</v>
      </c>
      <c r="G3118" s="201">
        <v>8.9</v>
      </c>
    </row>
    <row r="3119" spans="4:7">
      <c r="D3119" s="200" t="s">
        <v>3754</v>
      </c>
      <c r="E3119" s="10">
        <v>18519</v>
      </c>
      <c r="F3119" s="201">
        <v>-10.8</v>
      </c>
      <c r="G3119" s="201">
        <v>8.8000000000000007</v>
      </c>
    </row>
    <row r="3120" spans="4:7">
      <c r="D3120" s="200" t="s">
        <v>3755</v>
      </c>
      <c r="E3120" s="10">
        <v>19053</v>
      </c>
      <c r="F3120" s="201">
        <v>-10.8</v>
      </c>
      <c r="G3120" s="201">
        <v>9.6</v>
      </c>
    </row>
    <row r="3121" spans="4:7">
      <c r="D3121" s="200" t="s">
        <v>3756</v>
      </c>
      <c r="E3121" s="10">
        <v>21271</v>
      </c>
      <c r="F3121" s="201">
        <v>-10.8</v>
      </c>
      <c r="G3121" s="201">
        <v>9.1999999999999993</v>
      </c>
    </row>
    <row r="3122" spans="4:7">
      <c r="D3122" s="200" t="s">
        <v>3757</v>
      </c>
      <c r="E3122" s="10">
        <v>21358</v>
      </c>
      <c r="F3122" s="201">
        <v>-10.8</v>
      </c>
      <c r="G3122" s="201">
        <v>9.5</v>
      </c>
    </row>
    <row r="3123" spans="4:7">
      <c r="D3123" s="200" t="s">
        <v>3758</v>
      </c>
      <c r="E3123" s="10">
        <v>21360</v>
      </c>
      <c r="F3123" s="201">
        <v>-10.8</v>
      </c>
      <c r="G3123" s="201">
        <v>9.4</v>
      </c>
    </row>
    <row r="3124" spans="4:7">
      <c r="D3124" s="200" t="s">
        <v>3759</v>
      </c>
      <c r="E3124" s="10">
        <v>21379</v>
      </c>
      <c r="F3124" s="201">
        <v>-10.8</v>
      </c>
      <c r="G3124" s="201">
        <v>9.5</v>
      </c>
    </row>
    <row r="3125" spans="4:7">
      <c r="D3125" s="200" t="s">
        <v>3760</v>
      </c>
      <c r="E3125" s="10">
        <v>21380</v>
      </c>
      <c r="F3125" s="201">
        <v>-10.8</v>
      </c>
      <c r="G3125" s="201">
        <v>9.5</v>
      </c>
    </row>
    <row r="3126" spans="4:7">
      <c r="D3126" s="200" t="s">
        <v>3761</v>
      </c>
      <c r="E3126" s="10">
        <v>21441</v>
      </c>
      <c r="F3126" s="201">
        <v>-10.8</v>
      </c>
      <c r="G3126" s="201">
        <v>9.3000000000000007</v>
      </c>
    </row>
    <row r="3127" spans="4:7">
      <c r="D3127" s="200" t="s">
        <v>3762</v>
      </c>
      <c r="E3127" s="10">
        <v>21442</v>
      </c>
      <c r="F3127" s="201">
        <v>-10.8</v>
      </c>
      <c r="G3127" s="201">
        <v>9.3000000000000007</v>
      </c>
    </row>
    <row r="3128" spans="4:7">
      <c r="D3128" s="200" t="s">
        <v>3763</v>
      </c>
      <c r="E3128" s="10">
        <v>21449</v>
      </c>
      <c r="F3128" s="201">
        <v>-10.8</v>
      </c>
      <c r="G3128" s="201">
        <v>9.4</v>
      </c>
    </row>
    <row r="3129" spans="4:7">
      <c r="D3129" s="200" t="s">
        <v>3764</v>
      </c>
      <c r="E3129" s="10">
        <v>21483</v>
      </c>
      <c r="F3129" s="201">
        <v>-10.8</v>
      </c>
      <c r="G3129" s="201">
        <v>9.4</v>
      </c>
    </row>
    <row r="3130" spans="4:7">
      <c r="D3130" s="200" t="s">
        <v>3765</v>
      </c>
      <c r="E3130" s="10">
        <v>21493</v>
      </c>
      <c r="F3130" s="201">
        <v>-10.8</v>
      </c>
      <c r="G3130" s="201">
        <v>9.1999999999999993</v>
      </c>
    </row>
    <row r="3131" spans="4:7">
      <c r="D3131" s="200" t="s">
        <v>3766</v>
      </c>
      <c r="E3131" s="10">
        <v>21514</v>
      </c>
      <c r="F3131" s="201">
        <v>-10.8</v>
      </c>
      <c r="G3131" s="201">
        <v>9.4</v>
      </c>
    </row>
    <row r="3132" spans="4:7">
      <c r="D3132" s="200" t="s">
        <v>3767</v>
      </c>
      <c r="E3132" s="10">
        <v>21522</v>
      </c>
      <c r="F3132" s="201">
        <v>-10.8</v>
      </c>
      <c r="G3132" s="201">
        <v>9.6</v>
      </c>
    </row>
    <row r="3133" spans="4:7">
      <c r="D3133" s="200" t="s">
        <v>3768</v>
      </c>
      <c r="E3133" s="10">
        <v>21526</v>
      </c>
      <c r="F3133" s="201">
        <v>-10.8</v>
      </c>
      <c r="G3133" s="201">
        <v>9.1999999999999993</v>
      </c>
    </row>
    <row r="3134" spans="4:7">
      <c r="D3134" s="200" t="s">
        <v>3769</v>
      </c>
      <c r="E3134" s="10">
        <v>21527</v>
      </c>
      <c r="F3134" s="201">
        <v>-10.8</v>
      </c>
      <c r="G3134" s="201">
        <v>9.3000000000000007</v>
      </c>
    </row>
    <row r="3135" spans="4:7">
      <c r="D3135" s="200" t="s">
        <v>3770</v>
      </c>
      <c r="E3135" s="10">
        <v>22952</v>
      </c>
      <c r="F3135" s="201">
        <v>-10.8</v>
      </c>
      <c r="G3135" s="201">
        <v>9.1</v>
      </c>
    </row>
    <row r="3136" spans="4:7">
      <c r="D3136" s="200" t="s">
        <v>3771</v>
      </c>
      <c r="E3136" s="10">
        <v>22956</v>
      </c>
      <c r="F3136" s="201">
        <v>-10.8</v>
      </c>
      <c r="G3136" s="201">
        <v>9.1</v>
      </c>
    </row>
    <row r="3137" spans="4:7">
      <c r="D3137" s="200" t="s">
        <v>3772</v>
      </c>
      <c r="E3137" s="10">
        <v>22959</v>
      </c>
      <c r="F3137" s="201">
        <v>-10.8</v>
      </c>
      <c r="G3137" s="201">
        <v>9.1</v>
      </c>
    </row>
    <row r="3138" spans="4:7">
      <c r="D3138" s="200" t="s">
        <v>3773</v>
      </c>
      <c r="E3138" s="10">
        <v>22969</v>
      </c>
      <c r="F3138" s="201">
        <v>-10.8</v>
      </c>
      <c r="G3138" s="201">
        <v>9.3000000000000007</v>
      </c>
    </row>
    <row r="3139" spans="4:7">
      <c r="D3139" s="200" t="s">
        <v>3774</v>
      </c>
      <c r="E3139" s="10">
        <v>23617</v>
      </c>
      <c r="F3139" s="201">
        <v>-10.8</v>
      </c>
      <c r="G3139" s="201">
        <v>9</v>
      </c>
    </row>
    <row r="3140" spans="4:7">
      <c r="D3140" s="200" t="s">
        <v>3775</v>
      </c>
      <c r="E3140" s="10">
        <v>23619</v>
      </c>
      <c r="F3140" s="201">
        <v>-10.8</v>
      </c>
      <c r="G3140" s="201">
        <v>9.1</v>
      </c>
    </row>
    <row r="3141" spans="4:7">
      <c r="D3141" s="200" t="s">
        <v>3776</v>
      </c>
      <c r="E3141" s="10">
        <v>23815</v>
      </c>
      <c r="F3141" s="201">
        <v>-10.8</v>
      </c>
      <c r="G3141" s="201">
        <v>8.9</v>
      </c>
    </row>
    <row r="3142" spans="4:7">
      <c r="D3142" s="200" t="s">
        <v>3777</v>
      </c>
      <c r="E3142" s="10">
        <v>23858</v>
      </c>
      <c r="F3142" s="201">
        <v>-10.8</v>
      </c>
      <c r="G3142" s="201">
        <v>9.1</v>
      </c>
    </row>
    <row r="3143" spans="4:7">
      <c r="D3143" s="200" t="s">
        <v>3778</v>
      </c>
      <c r="E3143" s="10">
        <v>23879</v>
      </c>
      <c r="F3143" s="201">
        <v>-10.8</v>
      </c>
      <c r="G3143" s="201">
        <v>9.3000000000000007</v>
      </c>
    </row>
    <row r="3144" spans="4:7">
      <c r="D3144" s="200" t="s">
        <v>3779</v>
      </c>
      <c r="E3144" s="10">
        <v>29646</v>
      </c>
      <c r="F3144" s="201">
        <v>-10.8</v>
      </c>
      <c r="G3144" s="201">
        <v>9.1</v>
      </c>
    </row>
    <row r="3145" spans="4:7">
      <c r="D3145" s="200" t="s">
        <v>3780</v>
      </c>
      <c r="E3145" s="10">
        <v>29690</v>
      </c>
      <c r="F3145" s="201">
        <v>-10.8</v>
      </c>
      <c r="G3145" s="201">
        <v>9.8000000000000007</v>
      </c>
    </row>
    <row r="3146" spans="4:7">
      <c r="D3146" s="200" t="s">
        <v>2875</v>
      </c>
      <c r="E3146" s="10">
        <v>30165</v>
      </c>
      <c r="F3146" s="201">
        <v>-10.8</v>
      </c>
      <c r="G3146" s="201">
        <v>10.1</v>
      </c>
    </row>
    <row r="3147" spans="4:7">
      <c r="D3147" s="200" t="s">
        <v>2875</v>
      </c>
      <c r="E3147" s="10">
        <v>30451</v>
      </c>
      <c r="F3147" s="201">
        <v>-10.8</v>
      </c>
      <c r="G3147" s="201">
        <v>10.199999999999999</v>
      </c>
    </row>
    <row r="3148" spans="4:7">
      <c r="D3148" s="200" t="s">
        <v>2875</v>
      </c>
      <c r="E3148" s="10">
        <v>30559</v>
      </c>
      <c r="F3148" s="201">
        <v>-10.8</v>
      </c>
      <c r="G3148" s="201">
        <v>10.1</v>
      </c>
    </row>
    <row r="3149" spans="4:7">
      <c r="D3149" s="200" t="s">
        <v>3781</v>
      </c>
      <c r="E3149" s="10">
        <v>30823</v>
      </c>
      <c r="F3149" s="201">
        <v>-10.8</v>
      </c>
      <c r="G3149" s="201">
        <v>10.1</v>
      </c>
    </row>
    <row r="3150" spans="4:7">
      <c r="D3150" s="200" t="s">
        <v>3678</v>
      </c>
      <c r="E3150" s="10">
        <v>31137</v>
      </c>
      <c r="F3150" s="201">
        <v>-10.8</v>
      </c>
      <c r="G3150" s="201">
        <v>10.1</v>
      </c>
    </row>
    <row r="3151" spans="4:7">
      <c r="D3151" s="200" t="s">
        <v>3782</v>
      </c>
      <c r="E3151" s="10">
        <v>31535</v>
      </c>
      <c r="F3151" s="201">
        <v>-10.8</v>
      </c>
      <c r="G3151" s="201">
        <v>10</v>
      </c>
    </row>
    <row r="3152" spans="4:7">
      <c r="D3152" s="200" t="s">
        <v>3783</v>
      </c>
      <c r="E3152" s="10">
        <v>31542</v>
      </c>
      <c r="F3152" s="201">
        <v>-10.8</v>
      </c>
      <c r="G3152" s="201">
        <v>10.1</v>
      </c>
    </row>
    <row r="3153" spans="4:7">
      <c r="D3153" s="200" t="s">
        <v>3784</v>
      </c>
      <c r="E3153" s="10">
        <v>31555</v>
      </c>
      <c r="F3153" s="201">
        <v>-10.8</v>
      </c>
      <c r="G3153" s="201">
        <v>10.1</v>
      </c>
    </row>
    <row r="3154" spans="4:7">
      <c r="D3154" s="200" t="s">
        <v>3785</v>
      </c>
      <c r="E3154" s="10">
        <v>31559</v>
      </c>
      <c r="F3154" s="201">
        <v>-10.8</v>
      </c>
      <c r="G3154" s="201">
        <v>10.1</v>
      </c>
    </row>
    <row r="3155" spans="4:7">
      <c r="D3155" s="200" t="s">
        <v>3786</v>
      </c>
      <c r="E3155" s="10">
        <v>31608</v>
      </c>
      <c r="F3155" s="201">
        <v>-10.8</v>
      </c>
      <c r="G3155" s="201">
        <v>9.9</v>
      </c>
    </row>
    <row r="3156" spans="4:7">
      <c r="D3156" s="200" t="s">
        <v>3787</v>
      </c>
      <c r="E3156" s="10">
        <v>31619</v>
      </c>
      <c r="F3156" s="201">
        <v>-10.8</v>
      </c>
      <c r="G3156" s="201">
        <v>10</v>
      </c>
    </row>
    <row r="3157" spans="4:7">
      <c r="D3157" s="200" t="s">
        <v>3788</v>
      </c>
      <c r="E3157" s="10">
        <v>31632</v>
      </c>
      <c r="F3157" s="201">
        <v>-10.8</v>
      </c>
      <c r="G3157" s="201">
        <v>10.1</v>
      </c>
    </row>
    <row r="3158" spans="4:7">
      <c r="D3158" s="200" t="s">
        <v>3789</v>
      </c>
      <c r="E3158" s="10">
        <v>31636</v>
      </c>
      <c r="F3158" s="201">
        <v>-10.8</v>
      </c>
      <c r="G3158" s="201">
        <v>10</v>
      </c>
    </row>
    <row r="3159" spans="4:7">
      <c r="D3159" s="200" t="s">
        <v>3790</v>
      </c>
      <c r="E3159" s="10">
        <v>31683</v>
      </c>
      <c r="F3159" s="201">
        <v>-10.8</v>
      </c>
      <c r="G3159" s="201">
        <v>9.6</v>
      </c>
    </row>
    <row r="3160" spans="4:7">
      <c r="D3160" s="200" t="s">
        <v>3791</v>
      </c>
      <c r="E3160" s="10">
        <v>31749</v>
      </c>
      <c r="F3160" s="201">
        <v>-10.8</v>
      </c>
      <c r="G3160" s="201">
        <v>9.6</v>
      </c>
    </row>
    <row r="3161" spans="4:7">
      <c r="D3161" s="200" t="s">
        <v>3260</v>
      </c>
      <c r="E3161" s="10">
        <v>31789</v>
      </c>
      <c r="F3161" s="201">
        <v>-10.8</v>
      </c>
      <c r="G3161" s="201">
        <v>9.9</v>
      </c>
    </row>
    <row r="3162" spans="4:7">
      <c r="D3162" s="200" t="s">
        <v>3792</v>
      </c>
      <c r="E3162" s="10">
        <v>31867</v>
      </c>
      <c r="F3162" s="201">
        <v>-10.8</v>
      </c>
      <c r="G3162" s="201">
        <v>10</v>
      </c>
    </row>
    <row r="3163" spans="4:7">
      <c r="D3163" s="200" t="s">
        <v>3018</v>
      </c>
      <c r="E3163" s="10">
        <v>34125</v>
      </c>
      <c r="F3163" s="201">
        <v>-10.8</v>
      </c>
      <c r="G3163" s="201">
        <v>9.6</v>
      </c>
    </row>
    <row r="3164" spans="4:7">
      <c r="D3164" s="200" t="s">
        <v>3793</v>
      </c>
      <c r="E3164" s="10">
        <v>34246</v>
      </c>
      <c r="F3164" s="201">
        <v>-10.8</v>
      </c>
      <c r="G3164" s="201">
        <v>9.5</v>
      </c>
    </row>
    <row r="3165" spans="4:7">
      <c r="D3165" s="200" t="s">
        <v>3794</v>
      </c>
      <c r="E3165" s="10">
        <v>35510</v>
      </c>
      <c r="F3165" s="201">
        <v>-10.8</v>
      </c>
      <c r="G3165" s="201">
        <v>9.3000000000000007</v>
      </c>
    </row>
    <row r="3166" spans="4:7">
      <c r="D3166" s="200" t="s">
        <v>3584</v>
      </c>
      <c r="E3166" s="10">
        <v>35578</v>
      </c>
      <c r="F3166" s="201">
        <v>-10.8</v>
      </c>
      <c r="G3166" s="201">
        <v>9.5</v>
      </c>
    </row>
    <row r="3167" spans="4:7">
      <c r="D3167" s="200" t="s">
        <v>3795</v>
      </c>
      <c r="E3167" s="10">
        <v>35641</v>
      </c>
      <c r="F3167" s="201">
        <v>-10.8</v>
      </c>
      <c r="G3167" s="201">
        <v>9.1999999999999993</v>
      </c>
    </row>
    <row r="3168" spans="4:7">
      <c r="D3168" s="200" t="s">
        <v>3796</v>
      </c>
      <c r="E3168" s="10">
        <v>35647</v>
      </c>
      <c r="F3168" s="201">
        <v>-10.8</v>
      </c>
      <c r="G3168" s="201">
        <v>9.1999999999999993</v>
      </c>
    </row>
    <row r="3169" spans="4:7">
      <c r="D3169" s="200" t="s">
        <v>3797</v>
      </c>
      <c r="E3169" s="10">
        <v>35781</v>
      </c>
      <c r="F3169" s="201">
        <v>-10.8</v>
      </c>
      <c r="G3169" s="201">
        <v>9.6999999999999993</v>
      </c>
    </row>
    <row r="3170" spans="4:7">
      <c r="D3170" s="200" t="s">
        <v>3798</v>
      </c>
      <c r="E3170" s="10">
        <v>35789</v>
      </c>
      <c r="F3170" s="201">
        <v>-10.8</v>
      </c>
      <c r="G3170" s="201">
        <v>9.3000000000000007</v>
      </c>
    </row>
    <row r="3171" spans="4:7">
      <c r="D3171" s="200" t="s">
        <v>3799</v>
      </c>
      <c r="E3171" s="10">
        <v>35796</v>
      </c>
      <c r="F3171" s="201">
        <v>-10.8</v>
      </c>
      <c r="G3171" s="201">
        <v>9.6</v>
      </c>
    </row>
    <row r="3172" spans="4:7">
      <c r="D3172" s="200" t="s">
        <v>3800</v>
      </c>
      <c r="E3172" s="10">
        <v>35799</v>
      </c>
      <c r="F3172" s="201">
        <v>-10.8</v>
      </c>
      <c r="G3172" s="201">
        <v>9.1999999999999993</v>
      </c>
    </row>
    <row r="3173" spans="4:7">
      <c r="D3173" s="200" t="s">
        <v>3268</v>
      </c>
      <c r="E3173" s="10">
        <v>38106</v>
      </c>
      <c r="F3173" s="201">
        <v>-10.8</v>
      </c>
      <c r="G3173" s="201">
        <v>10.199999999999999</v>
      </c>
    </row>
    <row r="3174" spans="4:7">
      <c r="D3174" s="200" t="s">
        <v>3801</v>
      </c>
      <c r="E3174" s="10">
        <v>52156</v>
      </c>
      <c r="F3174" s="201">
        <v>-10.8</v>
      </c>
      <c r="G3174" s="201">
        <v>8.1999999999999993</v>
      </c>
    </row>
    <row r="3175" spans="4:7">
      <c r="D3175" s="200" t="s">
        <v>3802</v>
      </c>
      <c r="E3175" s="10">
        <v>54429</v>
      </c>
      <c r="F3175" s="201">
        <v>-10.8</v>
      </c>
      <c r="G3175" s="201">
        <v>8.8000000000000007</v>
      </c>
    </row>
    <row r="3176" spans="4:7">
      <c r="D3176" s="200" t="s">
        <v>3803</v>
      </c>
      <c r="E3176" s="10">
        <v>54483</v>
      </c>
      <c r="F3176" s="201">
        <v>-10.8</v>
      </c>
      <c r="G3176" s="201">
        <v>8.6999999999999993</v>
      </c>
    </row>
    <row r="3177" spans="4:7">
      <c r="D3177" s="200" t="s">
        <v>3804</v>
      </c>
      <c r="E3177" s="10">
        <v>54558</v>
      </c>
      <c r="F3177" s="201">
        <v>-10.8</v>
      </c>
      <c r="G3177" s="201">
        <v>8.8000000000000007</v>
      </c>
    </row>
    <row r="3178" spans="4:7">
      <c r="D3178" s="200" t="s">
        <v>3805</v>
      </c>
      <c r="E3178" s="10">
        <v>54608</v>
      </c>
      <c r="F3178" s="201">
        <v>-10.8</v>
      </c>
      <c r="G3178" s="201">
        <v>8.5</v>
      </c>
    </row>
    <row r="3179" spans="4:7">
      <c r="D3179" s="200" t="s">
        <v>3806</v>
      </c>
      <c r="E3179" s="10">
        <v>54612</v>
      </c>
      <c r="F3179" s="201">
        <v>-10.8</v>
      </c>
      <c r="G3179" s="201">
        <v>8.6999999999999993</v>
      </c>
    </row>
    <row r="3180" spans="4:7">
      <c r="D3180" s="200" t="s">
        <v>3807</v>
      </c>
      <c r="E3180" s="10">
        <v>54616</v>
      </c>
      <c r="F3180" s="201">
        <v>-10.8</v>
      </c>
      <c r="G3180" s="201">
        <v>8.3000000000000007</v>
      </c>
    </row>
    <row r="3181" spans="4:7">
      <c r="D3181" s="200" t="s">
        <v>3808</v>
      </c>
      <c r="E3181" s="10">
        <v>54619</v>
      </c>
      <c r="F3181" s="201">
        <v>-10.8</v>
      </c>
      <c r="G3181" s="201">
        <v>8.3000000000000007</v>
      </c>
    </row>
    <row r="3182" spans="4:7">
      <c r="D3182" s="200" t="s">
        <v>3809</v>
      </c>
      <c r="E3182" s="10">
        <v>54687</v>
      </c>
      <c r="F3182" s="201">
        <v>-10.8</v>
      </c>
      <c r="G3182" s="201">
        <v>8.6</v>
      </c>
    </row>
    <row r="3183" spans="4:7">
      <c r="D3183" s="200" t="s">
        <v>3810</v>
      </c>
      <c r="E3183" s="10">
        <v>55491</v>
      </c>
      <c r="F3183" s="201">
        <v>-10.8</v>
      </c>
      <c r="G3183" s="201">
        <v>8.6999999999999993</v>
      </c>
    </row>
    <row r="3184" spans="4:7">
      <c r="D3184" s="200" t="s">
        <v>3811</v>
      </c>
      <c r="E3184" s="10">
        <v>55497</v>
      </c>
      <c r="F3184" s="201">
        <v>-10.8</v>
      </c>
      <c r="G3184" s="201">
        <v>8.8000000000000007</v>
      </c>
    </row>
    <row r="3185" spans="4:7">
      <c r="D3185" s="200" t="s">
        <v>3812</v>
      </c>
      <c r="E3185" s="10">
        <v>55595</v>
      </c>
      <c r="F3185" s="201">
        <v>-10.8</v>
      </c>
      <c r="G3185" s="201">
        <v>9</v>
      </c>
    </row>
    <row r="3186" spans="4:7">
      <c r="D3186" s="200" t="s">
        <v>3813</v>
      </c>
      <c r="E3186" s="10">
        <v>55619</v>
      </c>
      <c r="F3186" s="201">
        <v>-10.8</v>
      </c>
      <c r="G3186" s="201">
        <v>8.8000000000000007</v>
      </c>
    </row>
    <row r="3187" spans="4:7">
      <c r="D3187" s="200" t="s">
        <v>3814</v>
      </c>
      <c r="E3187" s="10">
        <v>55621</v>
      </c>
      <c r="F3187" s="201">
        <v>-10.8</v>
      </c>
      <c r="G3187" s="201">
        <v>9.1999999999999993</v>
      </c>
    </row>
    <row r="3188" spans="4:7">
      <c r="D3188" s="200" t="s">
        <v>3815</v>
      </c>
      <c r="E3188" s="10">
        <v>55629</v>
      </c>
      <c r="F3188" s="201">
        <v>-10.8</v>
      </c>
      <c r="G3188" s="201">
        <v>8.8000000000000007</v>
      </c>
    </row>
    <row r="3189" spans="4:7">
      <c r="D3189" s="200" t="s">
        <v>3816</v>
      </c>
      <c r="E3189" s="10">
        <v>55743</v>
      </c>
      <c r="F3189" s="201">
        <v>-10.8</v>
      </c>
      <c r="G3189" s="201">
        <v>9</v>
      </c>
    </row>
    <row r="3190" spans="4:7">
      <c r="D3190" s="200" t="s">
        <v>3817</v>
      </c>
      <c r="E3190" s="10">
        <v>55756</v>
      </c>
      <c r="F3190" s="201">
        <v>-10.8</v>
      </c>
      <c r="G3190" s="201">
        <v>8.9</v>
      </c>
    </row>
    <row r="3191" spans="4:7">
      <c r="D3191" s="200" t="s">
        <v>3818</v>
      </c>
      <c r="E3191" s="10">
        <v>55774</v>
      </c>
      <c r="F3191" s="201">
        <v>-10.8</v>
      </c>
      <c r="G3191" s="201">
        <v>8.9</v>
      </c>
    </row>
    <row r="3192" spans="4:7">
      <c r="D3192" s="200" t="s">
        <v>3819</v>
      </c>
      <c r="E3192" s="10">
        <v>55776</v>
      </c>
      <c r="F3192" s="201">
        <v>-10.8</v>
      </c>
      <c r="G3192" s="201">
        <v>9</v>
      </c>
    </row>
    <row r="3193" spans="4:7">
      <c r="D3193" s="200" t="s">
        <v>1990</v>
      </c>
      <c r="E3193" s="10">
        <v>55779</v>
      </c>
      <c r="F3193" s="201">
        <v>-10.8</v>
      </c>
      <c r="G3193" s="201">
        <v>9</v>
      </c>
    </row>
    <row r="3194" spans="4:7">
      <c r="D3194" s="200" t="s">
        <v>3820</v>
      </c>
      <c r="E3194" s="10">
        <v>56281</v>
      </c>
      <c r="F3194" s="201">
        <v>-10.8</v>
      </c>
      <c r="G3194" s="201">
        <v>8.6999999999999993</v>
      </c>
    </row>
    <row r="3195" spans="4:7">
      <c r="D3195" s="200" t="s">
        <v>3821</v>
      </c>
      <c r="E3195" s="10">
        <v>56459</v>
      </c>
      <c r="F3195" s="201">
        <v>-10.8</v>
      </c>
      <c r="G3195" s="201">
        <v>8.4</v>
      </c>
    </row>
    <row r="3196" spans="4:7">
      <c r="D3196" s="200" t="s">
        <v>3822</v>
      </c>
      <c r="E3196" s="10">
        <v>56825</v>
      </c>
      <c r="F3196" s="201">
        <v>-10.8</v>
      </c>
      <c r="G3196" s="201">
        <v>8.6999999999999993</v>
      </c>
    </row>
    <row r="3197" spans="4:7">
      <c r="D3197" s="200" t="s">
        <v>3823</v>
      </c>
      <c r="E3197" s="10">
        <v>56865</v>
      </c>
      <c r="F3197" s="201">
        <v>-10.8</v>
      </c>
      <c r="G3197" s="201">
        <v>8.8000000000000007</v>
      </c>
    </row>
    <row r="3198" spans="4:7">
      <c r="D3198" s="200" t="s">
        <v>3824</v>
      </c>
      <c r="E3198" s="10">
        <v>56869</v>
      </c>
      <c r="F3198" s="201">
        <v>-10.8</v>
      </c>
      <c r="G3198" s="201">
        <v>8.6999999999999993</v>
      </c>
    </row>
    <row r="3199" spans="4:7" ht="30">
      <c r="D3199" s="200" t="s">
        <v>3825</v>
      </c>
      <c r="E3199" s="10">
        <v>57520</v>
      </c>
      <c r="F3199" s="201">
        <v>-10.8</v>
      </c>
      <c r="G3199" s="201">
        <v>8.4</v>
      </c>
    </row>
    <row r="3200" spans="4:7">
      <c r="D3200" s="200" t="s">
        <v>3826</v>
      </c>
      <c r="E3200" s="10">
        <v>58540</v>
      </c>
      <c r="F3200" s="201">
        <v>-10.8</v>
      </c>
      <c r="G3200" s="201">
        <v>8.3000000000000007</v>
      </c>
    </row>
    <row r="3201" spans="4:7">
      <c r="D3201" s="200" t="s">
        <v>3827</v>
      </c>
      <c r="E3201" s="10">
        <v>58769</v>
      </c>
      <c r="F3201" s="201">
        <v>-10.8</v>
      </c>
      <c r="G3201" s="201">
        <v>8.3000000000000007</v>
      </c>
    </row>
    <row r="3202" spans="4:7">
      <c r="D3202" s="200" t="s">
        <v>3828</v>
      </c>
      <c r="E3202" s="10">
        <v>59581</v>
      </c>
      <c r="F3202" s="201">
        <v>-10.8</v>
      </c>
      <c r="G3202" s="201">
        <v>8.5</v>
      </c>
    </row>
    <row r="3203" spans="4:7">
      <c r="D3203" s="200" t="s">
        <v>3829</v>
      </c>
      <c r="E3203" s="10">
        <v>63571</v>
      </c>
      <c r="F3203" s="201">
        <v>-10.8</v>
      </c>
      <c r="G3203" s="201">
        <v>10</v>
      </c>
    </row>
    <row r="3204" spans="4:7">
      <c r="D3204" s="200" t="s">
        <v>3830</v>
      </c>
      <c r="E3204" s="10">
        <v>63589</v>
      </c>
      <c r="F3204" s="201">
        <v>-10.8</v>
      </c>
      <c r="G3204" s="201">
        <v>10</v>
      </c>
    </row>
    <row r="3205" spans="4:7">
      <c r="D3205" s="200" t="s">
        <v>3831</v>
      </c>
      <c r="E3205" s="10">
        <v>63820</v>
      </c>
      <c r="F3205" s="201">
        <v>-10.8</v>
      </c>
      <c r="G3205" s="201">
        <v>10.3</v>
      </c>
    </row>
    <row r="3206" spans="4:7">
      <c r="D3206" s="200" t="s">
        <v>3832</v>
      </c>
      <c r="E3206" s="10">
        <v>63937</v>
      </c>
      <c r="F3206" s="201">
        <v>-10.8</v>
      </c>
      <c r="G3206" s="201">
        <v>10.199999999999999</v>
      </c>
    </row>
    <row r="3207" spans="4:7">
      <c r="D3207" s="200" t="s">
        <v>3833</v>
      </c>
      <c r="E3207" s="10">
        <v>64385</v>
      </c>
      <c r="F3207" s="201">
        <v>-10.8</v>
      </c>
      <c r="G3207" s="201">
        <v>9.6</v>
      </c>
    </row>
    <row r="3208" spans="4:7">
      <c r="D3208" s="200" t="s">
        <v>3834</v>
      </c>
      <c r="E3208" s="10">
        <v>64711</v>
      </c>
      <c r="F3208" s="201">
        <v>-10.8</v>
      </c>
      <c r="G3208" s="201">
        <v>9.9</v>
      </c>
    </row>
    <row r="3209" spans="4:7">
      <c r="D3209" s="200" t="s">
        <v>3835</v>
      </c>
      <c r="E3209" s="10">
        <v>64739</v>
      </c>
      <c r="F3209" s="201">
        <v>-10.8</v>
      </c>
      <c r="G3209" s="201">
        <v>9.6999999999999993</v>
      </c>
    </row>
    <row r="3210" spans="4:7">
      <c r="D3210" s="200" t="s">
        <v>3836</v>
      </c>
      <c r="E3210" s="10">
        <v>65232</v>
      </c>
      <c r="F3210" s="201">
        <v>-10.8</v>
      </c>
      <c r="G3210" s="201">
        <v>9</v>
      </c>
    </row>
    <row r="3211" spans="4:7">
      <c r="D3211" s="200" t="s">
        <v>3837</v>
      </c>
      <c r="E3211" s="10">
        <v>65385</v>
      </c>
      <c r="F3211" s="201">
        <v>-10.8</v>
      </c>
      <c r="G3211" s="201">
        <v>8.8000000000000007</v>
      </c>
    </row>
    <row r="3212" spans="4:7">
      <c r="D3212" s="200" t="s">
        <v>3838</v>
      </c>
      <c r="E3212" s="10">
        <v>65529</v>
      </c>
      <c r="F3212" s="201">
        <v>-10.8</v>
      </c>
      <c r="G3212" s="201">
        <v>8.9</v>
      </c>
    </row>
    <row r="3213" spans="4:7">
      <c r="D3213" s="200" t="s">
        <v>3839</v>
      </c>
      <c r="E3213" s="10">
        <v>66625</v>
      </c>
      <c r="F3213" s="201">
        <v>-10.8</v>
      </c>
      <c r="G3213" s="201">
        <v>9</v>
      </c>
    </row>
    <row r="3214" spans="4:7">
      <c r="D3214" s="200" t="s">
        <v>2619</v>
      </c>
      <c r="E3214" s="10">
        <v>67434</v>
      </c>
      <c r="F3214" s="201">
        <v>-10.8</v>
      </c>
      <c r="G3214" s="201">
        <v>9.5</v>
      </c>
    </row>
    <row r="3215" spans="4:7">
      <c r="D3215" s="200" t="s">
        <v>3840</v>
      </c>
      <c r="E3215" s="10">
        <v>67487</v>
      </c>
      <c r="F3215" s="201">
        <v>-10.8</v>
      </c>
      <c r="G3215" s="201">
        <v>9.5</v>
      </c>
    </row>
    <row r="3216" spans="4:7">
      <c r="D3216" s="200" t="s">
        <v>3841</v>
      </c>
      <c r="E3216" s="10">
        <v>67759</v>
      </c>
      <c r="F3216" s="201">
        <v>-10.8</v>
      </c>
      <c r="G3216" s="201">
        <v>9.1999999999999993</v>
      </c>
    </row>
    <row r="3217" spans="4:7">
      <c r="D3217" s="200" t="s">
        <v>3842</v>
      </c>
      <c r="E3217" s="10">
        <v>67826</v>
      </c>
      <c r="F3217" s="201">
        <v>-10.8</v>
      </c>
      <c r="G3217" s="201">
        <v>9.1999999999999993</v>
      </c>
    </row>
    <row r="3218" spans="4:7">
      <c r="D3218" s="200" t="s">
        <v>3843</v>
      </c>
      <c r="E3218" s="10">
        <v>67827</v>
      </c>
      <c r="F3218" s="201">
        <v>-10.8</v>
      </c>
      <c r="G3218" s="201">
        <v>9.3000000000000007</v>
      </c>
    </row>
    <row r="3219" spans="4:7">
      <c r="D3219" s="200" t="s">
        <v>2946</v>
      </c>
      <c r="E3219" s="10">
        <v>68229</v>
      </c>
      <c r="F3219" s="201">
        <v>-10.8</v>
      </c>
      <c r="G3219" s="201">
        <v>11</v>
      </c>
    </row>
    <row r="3220" spans="4:7">
      <c r="D3220" s="200" t="s">
        <v>2946</v>
      </c>
      <c r="E3220" s="10">
        <v>68307</v>
      </c>
      <c r="F3220" s="201">
        <v>-10.8</v>
      </c>
      <c r="G3220" s="201">
        <v>11</v>
      </c>
    </row>
    <row r="3221" spans="4:7">
      <c r="D3221" s="200" t="s">
        <v>3844</v>
      </c>
      <c r="E3221" s="10">
        <v>68519</v>
      </c>
      <c r="F3221" s="201">
        <v>-10.8</v>
      </c>
      <c r="G3221" s="201">
        <v>10.9</v>
      </c>
    </row>
    <row r="3222" spans="4:7">
      <c r="D3222" s="200" t="s">
        <v>3845</v>
      </c>
      <c r="E3222" s="10">
        <v>68535</v>
      </c>
      <c r="F3222" s="201">
        <v>-10.8</v>
      </c>
      <c r="G3222" s="201">
        <v>11</v>
      </c>
    </row>
    <row r="3223" spans="4:7">
      <c r="D3223" s="200" t="s">
        <v>3846</v>
      </c>
      <c r="E3223" s="10">
        <v>68549</v>
      </c>
      <c r="F3223" s="201">
        <v>-10.8</v>
      </c>
      <c r="G3223" s="201">
        <v>11.1</v>
      </c>
    </row>
    <row r="3224" spans="4:7">
      <c r="D3224" s="200" t="s">
        <v>3847</v>
      </c>
      <c r="E3224" s="10">
        <v>69251</v>
      </c>
      <c r="F3224" s="201">
        <v>-10.8</v>
      </c>
      <c r="G3224" s="201">
        <v>9.6999999999999993</v>
      </c>
    </row>
    <row r="3225" spans="4:7">
      <c r="D3225" s="200" t="s">
        <v>3501</v>
      </c>
      <c r="E3225" s="10">
        <v>69439</v>
      </c>
      <c r="F3225" s="201">
        <v>-10.8</v>
      </c>
      <c r="G3225" s="201">
        <v>9.8000000000000007</v>
      </c>
    </row>
    <row r="3226" spans="4:7">
      <c r="D3226" s="200" t="s">
        <v>2307</v>
      </c>
      <c r="E3226" s="10">
        <v>70192</v>
      </c>
      <c r="F3226" s="201">
        <v>-10.8</v>
      </c>
      <c r="G3226" s="201">
        <v>10.3</v>
      </c>
    </row>
    <row r="3227" spans="4:7">
      <c r="D3227" s="200" t="s">
        <v>3848</v>
      </c>
      <c r="E3227" s="10">
        <v>70736</v>
      </c>
      <c r="F3227" s="201">
        <v>-10.8</v>
      </c>
      <c r="G3227" s="201">
        <v>10.4</v>
      </c>
    </row>
    <row r="3228" spans="4:7">
      <c r="D3228" s="200" t="s">
        <v>3526</v>
      </c>
      <c r="E3228" s="10">
        <v>71336</v>
      </c>
      <c r="F3228" s="201">
        <v>-10.8</v>
      </c>
      <c r="G3228" s="201">
        <v>10.4</v>
      </c>
    </row>
    <row r="3229" spans="4:7">
      <c r="D3229" s="200" t="s">
        <v>3849</v>
      </c>
      <c r="E3229" s="10">
        <v>71384</v>
      </c>
      <c r="F3229" s="201">
        <v>-10.8</v>
      </c>
      <c r="G3229" s="201">
        <v>10.4</v>
      </c>
    </row>
    <row r="3230" spans="4:7">
      <c r="D3230" s="200" t="s">
        <v>3850</v>
      </c>
      <c r="E3230" s="10">
        <v>71409</v>
      </c>
      <c r="F3230" s="201">
        <v>-10.8</v>
      </c>
      <c r="G3230" s="201">
        <v>10.4</v>
      </c>
    </row>
    <row r="3231" spans="4:7">
      <c r="D3231" s="200" t="s">
        <v>3851</v>
      </c>
      <c r="E3231" s="10">
        <v>71554</v>
      </c>
      <c r="F3231" s="201">
        <v>-10.8</v>
      </c>
      <c r="G3231" s="201">
        <v>10.3</v>
      </c>
    </row>
    <row r="3232" spans="4:7">
      <c r="D3232" s="200" t="s">
        <v>3527</v>
      </c>
      <c r="E3232" s="10">
        <v>71636</v>
      </c>
      <c r="F3232" s="201">
        <v>-10.8</v>
      </c>
      <c r="G3232" s="201">
        <v>10.4</v>
      </c>
    </row>
    <row r="3233" spans="4:7">
      <c r="D3233" s="200" t="s">
        <v>3527</v>
      </c>
      <c r="E3233" s="10">
        <v>71638</v>
      </c>
      <c r="F3233" s="201">
        <v>-10.8</v>
      </c>
      <c r="G3233" s="201">
        <v>10.5</v>
      </c>
    </row>
    <row r="3234" spans="4:7">
      <c r="D3234" s="200" t="s">
        <v>3527</v>
      </c>
      <c r="E3234" s="10">
        <v>71640</v>
      </c>
      <c r="F3234" s="201">
        <v>-10.8</v>
      </c>
      <c r="G3234" s="201">
        <v>10.5</v>
      </c>
    </row>
    <row r="3235" spans="4:7">
      <c r="D3235" s="200" t="s">
        <v>3852</v>
      </c>
      <c r="E3235" s="10">
        <v>71672</v>
      </c>
      <c r="F3235" s="201">
        <v>-10.8</v>
      </c>
      <c r="G3235" s="201">
        <v>10.3</v>
      </c>
    </row>
    <row r="3236" spans="4:7">
      <c r="D3236" s="200" t="s">
        <v>3853</v>
      </c>
      <c r="E3236" s="10">
        <v>71679</v>
      </c>
      <c r="F3236" s="201">
        <v>-10.8</v>
      </c>
      <c r="G3236" s="201">
        <v>10.4</v>
      </c>
    </row>
    <row r="3237" spans="4:7">
      <c r="D3237" s="200" t="s">
        <v>3854</v>
      </c>
      <c r="E3237" s="10">
        <v>71686</v>
      </c>
      <c r="F3237" s="201">
        <v>-10.8</v>
      </c>
      <c r="G3237" s="201">
        <v>10.5</v>
      </c>
    </row>
    <row r="3238" spans="4:7">
      <c r="D3238" s="200" t="s">
        <v>3855</v>
      </c>
      <c r="E3238" s="10">
        <v>72585</v>
      </c>
      <c r="F3238" s="201">
        <v>-10.8</v>
      </c>
      <c r="G3238" s="201">
        <v>10.199999999999999</v>
      </c>
    </row>
    <row r="3239" spans="4:7">
      <c r="D3239" s="200" t="s">
        <v>3856</v>
      </c>
      <c r="E3239" s="10">
        <v>72669</v>
      </c>
      <c r="F3239" s="201">
        <v>-10.8</v>
      </c>
      <c r="G3239" s="201">
        <v>10.199999999999999</v>
      </c>
    </row>
    <row r="3240" spans="4:7">
      <c r="D3240" s="200" t="s">
        <v>3857</v>
      </c>
      <c r="E3240" s="10">
        <v>73033</v>
      </c>
      <c r="F3240" s="201">
        <v>-10.8</v>
      </c>
      <c r="G3240" s="201">
        <v>10.199999999999999</v>
      </c>
    </row>
    <row r="3241" spans="4:7">
      <c r="D3241" s="200" t="s">
        <v>3858</v>
      </c>
      <c r="E3241" s="10">
        <v>73054</v>
      </c>
      <c r="F3241" s="201">
        <v>-10.8</v>
      </c>
      <c r="G3241" s="201">
        <v>10.1</v>
      </c>
    </row>
    <row r="3242" spans="4:7">
      <c r="D3242" s="200" t="s">
        <v>3859</v>
      </c>
      <c r="E3242" s="10">
        <v>73207</v>
      </c>
      <c r="F3242" s="201">
        <v>-10.8</v>
      </c>
      <c r="G3242" s="201">
        <v>10.3</v>
      </c>
    </row>
    <row r="3243" spans="4:7">
      <c r="D3243" s="200" t="s">
        <v>3860</v>
      </c>
      <c r="E3243" s="10">
        <v>73230</v>
      </c>
      <c r="F3243" s="201">
        <v>-10.8</v>
      </c>
      <c r="G3243" s="201">
        <v>10.3</v>
      </c>
    </row>
    <row r="3244" spans="4:7">
      <c r="D3244" s="200" t="s">
        <v>3861</v>
      </c>
      <c r="E3244" s="10">
        <v>73776</v>
      </c>
      <c r="F3244" s="201">
        <v>-10.8</v>
      </c>
      <c r="G3244" s="201">
        <v>10.4</v>
      </c>
    </row>
    <row r="3245" spans="4:7">
      <c r="D3245" s="200" t="s">
        <v>2949</v>
      </c>
      <c r="E3245" s="10">
        <v>74074</v>
      </c>
      <c r="F3245" s="201">
        <v>-10.8</v>
      </c>
      <c r="G3245" s="201">
        <v>10.199999999999999</v>
      </c>
    </row>
    <row r="3246" spans="4:7">
      <c r="D3246" s="200" t="s">
        <v>2949</v>
      </c>
      <c r="E3246" s="10">
        <v>74078</v>
      </c>
      <c r="F3246" s="201">
        <v>-10.8</v>
      </c>
      <c r="G3246" s="201">
        <v>10.3</v>
      </c>
    </row>
    <row r="3247" spans="4:7">
      <c r="D3247" s="200" t="s">
        <v>3862</v>
      </c>
      <c r="E3247" s="10">
        <v>74193</v>
      </c>
      <c r="F3247" s="201">
        <v>-10.8</v>
      </c>
      <c r="G3247" s="201">
        <v>10.199999999999999</v>
      </c>
    </row>
    <row r="3248" spans="4:7">
      <c r="D3248" s="200" t="s">
        <v>3863</v>
      </c>
      <c r="E3248" s="10">
        <v>74211</v>
      </c>
      <c r="F3248" s="201">
        <v>-10.8</v>
      </c>
      <c r="G3248" s="201">
        <v>10.4</v>
      </c>
    </row>
    <row r="3249" spans="4:7">
      <c r="D3249" s="200" t="s">
        <v>3864</v>
      </c>
      <c r="E3249" s="10">
        <v>74219</v>
      </c>
      <c r="F3249" s="201">
        <v>-10.8</v>
      </c>
      <c r="G3249" s="201">
        <v>10.3</v>
      </c>
    </row>
    <row r="3250" spans="4:7">
      <c r="D3250" s="200" t="s">
        <v>3865</v>
      </c>
      <c r="E3250" s="10">
        <v>74226</v>
      </c>
      <c r="F3250" s="201">
        <v>-10.8</v>
      </c>
      <c r="G3250" s="201">
        <v>10.3</v>
      </c>
    </row>
    <row r="3251" spans="4:7">
      <c r="D3251" s="200" t="s">
        <v>3866</v>
      </c>
      <c r="E3251" s="10">
        <v>74232</v>
      </c>
      <c r="F3251" s="201">
        <v>-10.8</v>
      </c>
      <c r="G3251" s="201">
        <v>10.199999999999999</v>
      </c>
    </row>
    <row r="3252" spans="4:7">
      <c r="D3252" s="200" t="s">
        <v>3867</v>
      </c>
      <c r="E3252" s="10">
        <v>74245</v>
      </c>
      <c r="F3252" s="201">
        <v>-10.8</v>
      </c>
      <c r="G3252" s="201">
        <v>10</v>
      </c>
    </row>
    <row r="3253" spans="4:7">
      <c r="D3253" s="200" t="s">
        <v>3868</v>
      </c>
      <c r="E3253" s="10">
        <v>74259</v>
      </c>
      <c r="F3253" s="201">
        <v>-10.8</v>
      </c>
      <c r="G3253" s="201">
        <v>10.3</v>
      </c>
    </row>
    <row r="3254" spans="4:7">
      <c r="D3254" s="200" t="s">
        <v>3869</v>
      </c>
      <c r="E3254" s="10">
        <v>74354</v>
      </c>
      <c r="F3254" s="201">
        <v>-10.8</v>
      </c>
      <c r="G3254" s="201">
        <v>10.4</v>
      </c>
    </row>
    <row r="3255" spans="4:7">
      <c r="D3255" s="200" t="s">
        <v>3870</v>
      </c>
      <c r="E3255" s="10">
        <v>74366</v>
      </c>
      <c r="F3255" s="201">
        <v>-10.8</v>
      </c>
      <c r="G3255" s="201">
        <v>10.4</v>
      </c>
    </row>
    <row r="3256" spans="4:7">
      <c r="D3256" s="200" t="s">
        <v>3871</v>
      </c>
      <c r="E3256" s="10">
        <v>74385</v>
      </c>
      <c r="F3256" s="201">
        <v>-10.8</v>
      </c>
      <c r="G3256" s="201">
        <v>10.4</v>
      </c>
    </row>
    <row r="3257" spans="4:7">
      <c r="D3257" s="200" t="s">
        <v>3872</v>
      </c>
      <c r="E3257" s="10">
        <v>74397</v>
      </c>
      <c r="F3257" s="201">
        <v>-10.8</v>
      </c>
      <c r="G3257" s="201">
        <v>10.199999999999999</v>
      </c>
    </row>
    <row r="3258" spans="4:7">
      <c r="D3258" s="200" t="s">
        <v>3873</v>
      </c>
      <c r="E3258" s="10">
        <v>74632</v>
      </c>
      <c r="F3258" s="201">
        <v>-10.8</v>
      </c>
      <c r="G3258" s="201">
        <v>10</v>
      </c>
    </row>
    <row r="3259" spans="4:7">
      <c r="D3259" s="200" t="s">
        <v>3874</v>
      </c>
      <c r="E3259" s="10">
        <v>74740</v>
      </c>
      <c r="F3259" s="201">
        <v>-10.8</v>
      </c>
      <c r="G3259" s="201">
        <v>10.3</v>
      </c>
    </row>
    <row r="3260" spans="4:7">
      <c r="D3260" s="200" t="s">
        <v>3875</v>
      </c>
      <c r="E3260" s="10">
        <v>74831</v>
      </c>
      <c r="F3260" s="201">
        <v>-10.8</v>
      </c>
      <c r="G3260" s="201">
        <v>10</v>
      </c>
    </row>
    <row r="3261" spans="4:7">
      <c r="D3261" s="200" t="s">
        <v>2520</v>
      </c>
      <c r="E3261" s="10">
        <v>74867</v>
      </c>
      <c r="F3261" s="201">
        <v>-10.8</v>
      </c>
      <c r="G3261" s="201">
        <v>9.6999999999999993</v>
      </c>
    </row>
    <row r="3262" spans="4:7">
      <c r="D3262" s="200" t="s">
        <v>3876</v>
      </c>
      <c r="E3262" s="10">
        <v>74912</v>
      </c>
      <c r="F3262" s="201">
        <v>-10.8</v>
      </c>
      <c r="G3262" s="201">
        <v>10.1</v>
      </c>
    </row>
    <row r="3263" spans="4:7">
      <c r="D3263" s="200" t="s">
        <v>3877</v>
      </c>
      <c r="E3263" s="10">
        <v>74921</v>
      </c>
      <c r="F3263" s="201">
        <v>-10.8</v>
      </c>
      <c r="G3263" s="201">
        <v>10.199999999999999</v>
      </c>
    </row>
    <row r="3264" spans="4:7">
      <c r="D3264" s="200" t="s">
        <v>3878</v>
      </c>
      <c r="E3264" s="10">
        <v>74924</v>
      </c>
      <c r="F3264" s="201">
        <v>-10.8</v>
      </c>
      <c r="G3264" s="201">
        <v>10.1</v>
      </c>
    </row>
    <row r="3265" spans="4:7">
      <c r="D3265" s="200" t="s">
        <v>3879</v>
      </c>
      <c r="E3265" s="10">
        <v>74925</v>
      </c>
      <c r="F3265" s="201">
        <v>-10.8</v>
      </c>
      <c r="G3265" s="201">
        <v>10.1</v>
      </c>
    </row>
    <row r="3266" spans="4:7">
      <c r="D3266" s="200" t="s">
        <v>3880</v>
      </c>
      <c r="E3266" s="10">
        <v>74928</v>
      </c>
      <c r="F3266" s="201">
        <v>-10.8</v>
      </c>
      <c r="G3266" s="201">
        <v>9.8000000000000007</v>
      </c>
    </row>
    <row r="3267" spans="4:7">
      <c r="D3267" s="200" t="s">
        <v>3881</v>
      </c>
      <c r="E3267" s="10">
        <v>74931</v>
      </c>
      <c r="F3267" s="201">
        <v>-10.8</v>
      </c>
      <c r="G3267" s="201">
        <v>10.1</v>
      </c>
    </row>
    <row r="3268" spans="4:7">
      <c r="D3268" s="200" t="s">
        <v>3882</v>
      </c>
      <c r="E3268" s="10">
        <v>75050</v>
      </c>
      <c r="F3268" s="201">
        <v>-10.8</v>
      </c>
      <c r="G3268" s="201">
        <v>10.199999999999999</v>
      </c>
    </row>
    <row r="3269" spans="4:7">
      <c r="D3269" s="200" t="s">
        <v>3883</v>
      </c>
      <c r="E3269" s="10">
        <v>75057</v>
      </c>
      <c r="F3269" s="201">
        <v>-10.8</v>
      </c>
      <c r="G3269" s="201">
        <v>10.199999999999999</v>
      </c>
    </row>
    <row r="3270" spans="4:7">
      <c r="D3270" s="200" t="s">
        <v>3884</v>
      </c>
      <c r="E3270" s="10">
        <v>75203</v>
      </c>
      <c r="F3270" s="201">
        <v>-10.8</v>
      </c>
      <c r="G3270" s="201">
        <v>10.1</v>
      </c>
    </row>
    <row r="3271" spans="4:7">
      <c r="D3271" s="200" t="s">
        <v>3885</v>
      </c>
      <c r="E3271" s="10">
        <v>76359</v>
      </c>
      <c r="F3271" s="201">
        <v>-10.8</v>
      </c>
      <c r="G3271" s="201">
        <v>10.1</v>
      </c>
    </row>
    <row r="3272" spans="4:7">
      <c r="D3272" s="200" t="s">
        <v>3886</v>
      </c>
      <c r="E3272" s="10">
        <v>76599</v>
      </c>
      <c r="F3272" s="201">
        <v>-10.8</v>
      </c>
      <c r="G3272" s="201">
        <v>10</v>
      </c>
    </row>
    <row r="3273" spans="4:7">
      <c r="D3273" s="200" t="s">
        <v>3887</v>
      </c>
      <c r="E3273" s="10">
        <v>76857</v>
      </c>
      <c r="F3273" s="201">
        <v>-10.8</v>
      </c>
      <c r="G3273" s="201">
        <v>9.5</v>
      </c>
    </row>
    <row r="3274" spans="4:7">
      <c r="D3274" s="200" t="s">
        <v>3888</v>
      </c>
      <c r="E3274" s="10">
        <v>77728</v>
      </c>
      <c r="F3274" s="201">
        <v>-10.8</v>
      </c>
      <c r="G3274" s="201">
        <v>9.9</v>
      </c>
    </row>
    <row r="3275" spans="4:7">
      <c r="D3275" s="200" t="s">
        <v>3889</v>
      </c>
      <c r="E3275" s="10">
        <v>77784</v>
      </c>
      <c r="F3275" s="201">
        <v>-10.8</v>
      </c>
      <c r="G3275" s="201">
        <v>10</v>
      </c>
    </row>
    <row r="3276" spans="4:7">
      <c r="D3276" s="200" t="s">
        <v>3890</v>
      </c>
      <c r="E3276" s="10">
        <v>77794</v>
      </c>
      <c r="F3276" s="201">
        <v>-10.8</v>
      </c>
      <c r="G3276" s="201">
        <v>9.9</v>
      </c>
    </row>
    <row r="3277" spans="4:7">
      <c r="D3277" s="200" t="s">
        <v>2439</v>
      </c>
      <c r="E3277" s="10">
        <v>79100</v>
      </c>
      <c r="F3277" s="201">
        <v>-10.8</v>
      </c>
      <c r="G3277" s="201">
        <v>9.6999999999999993</v>
      </c>
    </row>
    <row r="3278" spans="4:7">
      <c r="D3278" s="200" t="s">
        <v>3891</v>
      </c>
      <c r="E3278" s="10">
        <v>79256</v>
      </c>
      <c r="F3278" s="201">
        <v>-10.8</v>
      </c>
      <c r="G3278" s="201">
        <v>9.8000000000000007</v>
      </c>
    </row>
    <row r="3279" spans="4:7">
      <c r="D3279" s="200" t="s">
        <v>3892</v>
      </c>
      <c r="E3279" s="10">
        <v>79285</v>
      </c>
      <c r="F3279" s="201">
        <v>-10.8</v>
      </c>
      <c r="G3279" s="201">
        <v>9.9</v>
      </c>
    </row>
    <row r="3280" spans="4:7">
      <c r="D3280" s="200" t="s">
        <v>3893</v>
      </c>
      <c r="E3280" s="10">
        <v>79805</v>
      </c>
      <c r="F3280" s="201">
        <v>-10.8</v>
      </c>
      <c r="G3280" s="201">
        <v>9.3000000000000007</v>
      </c>
    </row>
    <row r="3281" spans="4:7">
      <c r="D3281" s="200" t="s">
        <v>3894</v>
      </c>
      <c r="E3281" s="10">
        <v>88662</v>
      </c>
      <c r="F3281" s="201">
        <v>-10.8</v>
      </c>
      <c r="G3281" s="201">
        <v>9</v>
      </c>
    </row>
    <row r="3282" spans="4:7">
      <c r="D3282" s="200" t="s">
        <v>3752</v>
      </c>
      <c r="E3282" s="10">
        <v>97424</v>
      </c>
      <c r="F3282" s="201">
        <v>-10.8</v>
      </c>
      <c r="G3282" s="201">
        <v>10.1</v>
      </c>
    </row>
    <row r="3283" spans="4:7">
      <c r="D3283" s="200" t="s">
        <v>3895</v>
      </c>
      <c r="E3283" s="10">
        <v>97688</v>
      </c>
      <c r="F3283" s="201">
        <v>-10.8</v>
      </c>
      <c r="G3283" s="201">
        <v>9.4</v>
      </c>
    </row>
    <row r="3284" spans="4:7">
      <c r="D3284" s="200" t="s">
        <v>3896</v>
      </c>
      <c r="E3284" s="10">
        <v>97708</v>
      </c>
      <c r="F3284" s="201">
        <v>-10.8</v>
      </c>
      <c r="G3284" s="201">
        <v>9.4</v>
      </c>
    </row>
    <row r="3285" spans="4:7">
      <c r="D3285" s="200" t="s">
        <v>3897</v>
      </c>
      <c r="E3285" s="10">
        <v>97717</v>
      </c>
      <c r="F3285" s="201">
        <v>-10.8</v>
      </c>
      <c r="G3285" s="201">
        <v>9.4</v>
      </c>
    </row>
    <row r="3286" spans="4:7">
      <c r="D3286" s="200" t="s">
        <v>3898</v>
      </c>
      <c r="E3286" s="10">
        <v>97725</v>
      </c>
      <c r="F3286" s="201">
        <v>-10.8</v>
      </c>
      <c r="G3286" s="201">
        <v>9.4</v>
      </c>
    </row>
    <row r="3287" spans="4:7">
      <c r="D3287" s="200" t="s">
        <v>3899</v>
      </c>
      <c r="E3287" s="10">
        <v>97855</v>
      </c>
      <c r="F3287" s="201">
        <v>-10.8</v>
      </c>
      <c r="G3287" s="201">
        <v>10</v>
      </c>
    </row>
    <row r="3288" spans="4:7">
      <c r="D3288" s="200" t="s">
        <v>3900</v>
      </c>
      <c r="E3288" s="10">
        <v>97877</v>
      </c>
      <c r="F3288" s="201">
        <v>-10.8</v>
      </c>
      <c r="G3288" s="201">
        <v>9.9</v>
      </c>
    </row>
    <row r="3289" spans="4:7">
      <c r="D3289" s="200" t="s">
        <v>3901</v>
      </c>
      <c r="E3289" s="10">
        <v>97906</v>
      </c>
      <c r="F3289" s="201">
        <v>-10.8</v>
      </c>
      <c r="G3289" s="201">
        <v>9.9</v>
      </c>
    </row>
    <row r="3290" spans="4:7">
      <c r="D3290" s="200" t="s">
        <v>3902</v>
      </c>
      <c r="E3290" s="10">
        <v>97922</v>
      </c>
      <c r="F3290" s="201">
        <v>-10.8</v>
      </c>
      <c r="G3290" s="201">
        <v>10.199999999999999</v>
      </c>
    </row>
    <row r="3291" spans="4:7" ht="30">
      <c r="D3291" s="200" t="s">
        <v>3903</v>
      </c>
      <c r="E3291" s="10">
        <v>18233</v>
      </c>
      <c r="F3291" s="201">
        <v>-10.9</v>
      </c>
      <c r="G3291" s="201">
        <v>9.1999999999999993</v>
      </c>
    </row>
    <row r="3292" spans="4:7">
      <c r="D3292" s="200" t="s">
        <v>3904</v>
      </c>
      <c r="E3292" s="10">
        <v>18236</v>
      </c>
      <c r="F3292" s="201">
        <v>-10.9</v>
      </c>
      <c r="G3292" s="201">
        <v>9.1</v>
      </c>
    </row>
    <row r="3293" spans="4:7">
      <c r="D3293" s="200" t="s">
        <v>3905</v>
      </c>
      <c r="E3293" s="10">
        <v>18374</v>
      </c>
      <c r="F3293" s="201">
        <v>-10.9</v>
      </c>
      <c r="G3293" s="201">
        <v>9</v>
      </c>
    </row>
    <row r="3294" spans="4:7">
      <c r="D3294" s="200" t="s">
        <v>3664</v>
      </c>
      <c r="E3294" s="10">
        <v>21339</v>
      </c>
      <c r="F3294" s="201">
        <v>-10.9</v>
      </c>
      <c r="G3294" s="201">
        <v>9.3000000000000007</v>
      </c>
    </row>
    <row r="3295" spans="4:7">
      <c r="D3295" s="200" t="s">
        <v>3906</v>
      </c>
      <c r="E3295" s="10">
        <v>21354</v>
      </c>
      <c r="F3295" s="201">
        <v>-10.9</v>
      </c>
      <c r="G3295" s="201">
        <v>9.5</v>
      </c>
    </row>
    <row r="3296" spans="4:7">
      <c r="D3296" s="200" t="s">
        <v>3907</v>
      </c>
      <c r="E3296" s="10">
        <v>21398</v>
      </c>
      <c r="F3296" s="201">
        <v>-10.9</v>
      </c>
      <c r="G3296" s="201">
        <v>9.5</v>
      </c>
    </row>
    <row r="3297" spans="4:7">
      <c r="D3297" s="200" t="s">
        <v>3908</v>
      </c>
      <c r="E3297" s="10">
        <v>21444</v>
      </c>
      <c r="F3297" s="201">
        <v>-10.9</v>
      </c>
      <c r="G3297" s="201">
        <v>9.4</v>
      </c>
    </row>
    <row r="3298" spans="4:7">
      <c r="D3298" s="200" t="s">
        <v>3909</v>
      </c>
      <c r="E3298" s="10">
        <v>21481</v>
      </c>
      <c r="F3298" s="201">
        <v>-10.9</v>
      </c>
      <c r="G3298" s="201">
        <v>9.4</v>
      </c>
    </row>
    <row r="3299" spans="4:7">
      <c r="D3299" s="200" t="s">
        <v>3910</v>
      </c>
      <c r="E3299" s="10">
        <v>21521</v>
      </c>
      <c r="F3299" s="201">
        <v>-10.9</v>
      </c>
      <c r="G3299" s="201">
        <v>9.1999999999999993</v>
      </c>
    </row>
    <row r="3300" spans="4:7">
      <c r="D3300" s="200" t="s">
        <v>3911</v>
      </c>
      <c r="E3300" s="10">
        <v>22958</v>
      </c>
      <c r="F3300" s="201">
        <v>-10.9</v>
      </c>
      <c r="G3300" s="201">
        <v>9.1999999999999993</v>
      </c>
    </row>
    <row r="3301" spans="4:7">
      <c r="D3301" s="200" t="s">
        <v>3912</v>
      </c>
      <c r="E3301" s="10">
        <v>23847</v>
      </c>
      <c r="F3301" s="201">
        <v>-10.9</v>
      </c>
      <c r="G3301" s="201">
        <v>9</v>
      </c>
    </row>
    <row r="3302" spans="4:7">
      <c r="D3302" s="200" t="s">
        <v>3913</v>
      </c>
      <c r="E3302" s="10">
        <v>23860</v>
      </c>
      <c r="F3302" s="201">
        <v>-10.9</v>
      </c>
      <c r="G3302" s="201">
        <v>9.1</v>
      </c>
    </row>
    <row r="3303" spans="4:7">
      <c r="D3303" s="200" t="s">
        <v>3914</v>
      </c>
      <c r="E3303" s="10">
        <v>23899</v>
      </c>
      <c r="F3303" s="201">
        <v>-10.9</v>
      </c>
      <c r="G3303" s="201">
        <v>9.3000000000000007</v>
      </c>
    </row>
    <row r="3304" spans="4:7">
      <c r="D3304" s="200" t="s">
        <v>3915</v>
      </c>
      <c r="E3304" s="10">
        <v>23909</v>
      </c>
      <c r="F3304" s="201">
        <v>-10.9</v>
      </c>
      <c r="G3304" s="201">
        <v>9.1999999999999993</v>
      </c>
    </row>
    <row r="3305" spans="4:7">
      <c r="D3305" s="200" t="s">
        <v>3916</v>
      </c>
      <c r="E3305" s="10">
        <v>23972</v>
      </c>
      <c r="F3305" s="201">
        <v>-10.9</v>
      </c>
      <c r="G3305" s="201">
        <v>9.1999999999999993</v>
      </c>
    </row>
    <row r="3306" spans="4:7">
      <c r="D3306" s="200" t="s">
        <v>3781</v>
      </c>
      <c r="E3306" s="10">
        <v>30827</v>
      </c>
      <c r="F3306" s="201">
        <v>-10.9</v>
      </c>
      <c r="G3306" s="201">
        <v>10</v>
      </c>
    </row>
    <row r="3307" spans="4:7">
      <c r="D3307" s="200" t="s">
        <v>3917</v>
      </c>
      <c r="E3307" s="10">
        <v>30890</v>
      </c>
      <c r="F3307" s="201">
        <v>-10.9</v>
      </c>
      <c r="G3307" s="201">
        <v>10</v>
      </c>
    </row>
    <row r="3308" spans="4:7">
      <c r="D3308" s="200" t="s">
        <v>3918</v>
      </c>
      <c r="E3308" s="10">
        <v>31157</v>
      </c>
      <c r="F3308" s="201">
        <v>-10.9</v>
      </c>
      <c r="G3308" s="201">
        <v>10</v>
      </c>
    </row>
    <row r="3309" spans="4:7">
      <c r="D3309" s="200" t="s">
        <v>3463</v>
      </c>
      <c r="E3309" s="10">
        <v>35392</v>
      </c>
      <c r="F3309" s="201">
        <v>-10.9</v>
      </c>
      <c r="G3309" s="201">
        <v>9.6999999999999993</v>
      </c>
    </row>
    <row r="3310" spans="4:7">
      <c r="D3310" s="200" t="s">
        <v>3919</v>
      </c>
      <c r="E3310" s="10">
        <v>35423</v>
      </c>
      <c r="F3310" s="201">
        <v>-10.9</v>
      </c>
      <c r="G3310" s="201">
        <v>9.6999999999999993</v>
      </c>
    </row>
    <row r="3311" spans="4:7">
      <c r="D3311" s="200" t="s">
        <v>3920</v>
      </c>
      <c r="E3311" s="10">
        <v>35516</v>
      </c>
      <c r="F3311" s="201">
        <v>-10.9</v>
      </c>
      <c r="G3311" s="201">
        <v>9.8000000000000007</v>
      </c>
    </row>
    <row r="3312" spans="4:7">
      <c r="D3312" s="200" t="s">
        <v>3921</v>
      </c>
      <c r="E3312" s="10">
        <v>35519</v>
      </c>
      <c r="F3312" s="201">
        <v>-10.9</v>
      </c>
      <c r="G3312" s="201">
        <v>9.8000000000000007</v>
      </c>
    </row>
    <row r="3313" spans="4:7">
      <c r="D3313" s="200" t="s">
        <v>3922</v>
      </c>
      <c r="E3313" s="10">
        <v>35583</v>
      </c>
      <c r="F3313" s="201">
        <v>-10.9</v>
      </c>
      <c r="G3313" s="201">
        <v>9.6</v>
      </c>
    </row>
    <row r="3314" spans="4:7">
      <c r="D3314" s="200" t="s">
        <v>3923</v>
      </c>
      <c r="E3314" s="10">
        <v>35630</v>
      </c>
      <c r="F3314" s="201">
        <v>-10.9</v>
      </c>
      <c r="G3314" s="201">
        <v>9.1999999999999993</v>
      </c>
    </row>
    <row r="3315" spans="4:7">
      <c r="D3315" s="200" t="s">
        <v>3924</v>
      </c>
      <c r="E3315" s="10">
        <v>35687</v>
      </c>
      <c r="F3315" s="201">
        <v>-10.9</v>
      </c>
      <c r="G3315" s="201">
        <v>9</v>
      </c>
    </row>
    <row r="3316" spans="4:7">
      <c r="D3316" s="200" t="s">
        <v>3925</v>
      </c>
      <c r="E3316" s="10">
        <v>35794</v>
      </c>
      <c r="F3316" s="201">
        <v>-10.9</v>
      </c>
      <c r="G3316" s="201">
        <v>8.8000000000000007</v>
      </c>
    </row>
    <row r="3317" spans="4:7">
      <c r="D3317" s="200" t="s">
        <v>3926</v>
      </c>
      <c r="E3317" s="10">
        <v>55494</v>
      </c>
      <c r="F3317" s="201">
        <v>-10.9</v>
      </c>
      <c r="G3317" s="201">
        <v>8.6999999999999993</v>
      </c>
    </row>
    <row r="3318" spans="4:7">
      <c r="D3318" s="200" t="s">
        <v>3927</v>
      </c>
      <c r="E3318" s="10">
        <v>56470</v>
      </c>
      <c r="F3318" s="201">
        <v>-10.9</v>
      </c>
      <c r="G3318" s="201">
        <v>8.1999999999999993</v>
      </c>
    </row>
    <row r="3319" spans="4:7">
      <c r="D3319" s="200" t="s">
        <v>3928</v>
      </c>
      <c r="E3319" s="10">
        <v>56767</v>
      </c>
      <c r="F3319" s="201">
        <v>-10.9</v>
      </c>
      <c r="G3319" s="201">
        <v>8.6</v>
      </c>
    </row>
    <row r="3320" spans="4:7">
      <c r="D3320" s="200" t="s">
        <v>3929</v>
      </c>
      <c r="E3320" s="10">
        <v>57271</v>
      </c>
      <c r="F3320" s="201">
        <v>-10.9</v>
      </c>
      <c r="G3320" s="201">
        <v>8.5</v>
      </c>
    </row>
    <row r="3321" spans="4:7">
      <c r="D3321" s="200" t="s">
        <v>3930</v>
      </c>
      <c r="E3321" s="10">
        <v>57586</v>
      </c>
      <c r="F3321" s="201">
        <v>-10.9</v>
      </c>
      <c r="G3321" s="201">
        <v>8.3000000000000007</v>
      </c>
    </row>
    <row r="3322" spans="4:7">
      <c r="D3322" s="200" t="s">
        <v>3931</v>
      </c>
      <c r="E3322" s="10">
        <v>61462</v>
      </c>
      <c r="F3322" s="201">
        <v>-10.9</v>
      </c>
      <c r="G3322" s="201">
        <v>9</v>
      </c>
    </row>
    <row r="3323" spans="4:7">
      <c r="D3323" s="200" t="s">
        <v>3932</v>
      </c>
      <c r="E3323" s="10">
        <v>63584</v>
      </c>
      <c r="F3323" s="201">
        <v>-10.9</v>
      </c>
      <c r="G3323" s="201">
        <v>9.8000000000000007</v>
      </c>
    </row>
    <row r="3324" spans="4:7">
      <c r="D3324" s="200" t="s">
        <v>3933</v>
      </c>
      <c r="E3324" s="10">
        <v>63840</v>
      </c>
      <c r="F3324" s="201">
        <v>-10.9</v>
      </c>
      <c r="G3324" s="201">
        <v>10</v>
      </c>
    </row>
    <row r="3325" spans="4:7">
      <c r="D3325" s="200" t="s">
        <v>3934</v>
      </c>
      <c r="E3325" s="10">
        <v>63864</v>
      </c>
      <c r="F3325" s="201">
        <v>-10.9</v>
      </c>
      <c r="G3325" s="201">
        <v>10</v>
      </c>
    </row>
    <row r="3326" spans="4:7">
      <c r="D3326" s="200" t="s">
        <v>3935</v>
      </c>
      <c r="E3326" s="10">
        <v>64732</v>
      </c>
      <c r="F3326" s="201">
        <v>-10.9</v>
      </c>
      <c r="G3326" s="201">
        <v>10</v>
      </c>
    </row>
    <row r="3327" spans="4:7">
      <c r="D3327" s="200" t="s">
        <v>3936</v>
      </c>
      <c r="E3327" s="10">
        <v>64750</v>
      </c>
      <c r="F3327" s="201">
        <v>-10.9</v>
      </c>
      <c r="G3327" s="201">
        <v>9.6</v>
      </c>
    </row>
    <row r="3328" spans="4:7">
      <c r="D3328" s="200" t="s">
        <v>3937</v>
      </c>
      <c r="E3328" s="10">
        <v>65307</v>
      </c>
      <c r="F3328" s="201">
        <v>-10.9</v>
      </c>
      <c r="G3328" s="201">
        <v>8.8000000000000007</v>
      </c>
    </row>
    <row r="3329" spans="4:7">
      <c r="D3329" s="200" t="s">
        <v>3938</v>
      </c>
      <c r="E3329" s="10">
        <v>65321</v>
      </c>
      <c r="F3329" s="201">
        <v>-10.9</v>
      </c>
      <c r="G3329" s="201">
        <v>8.6999999999999993</v>
      </c>
    </row>
    <row r="3330" spans="4:7">
      <c r="D3330" s="200" t="s">
        <v>3939</v>
      </c>
      <c r="E3330" s="10">
        <v>66851</v>
      </c>
      <c r="F3330" s="201">
        <v>-10.9</v>
      </c>
      <c r="G3330" s="201">
        <v>9.1</v>
      </c>
    </row>
    <row r="3331" spans="4:7">
      <c r="D3331" s="200" t="s">
        <v>3940</v>
      </c>
      <c r="E3331" s="10">
        <v>67718</v>
      </c>
      <c r="F3331" s="201">
        <v>-10.9</v>
      </c>
      <c r="G3331" s="201">
        <v>9.1999999999999993</v>
      </c>
    </row>
    <row r="3332" spans="4:7">
      <c r="D3332" s="200" t="s">
        <v>3941</v>
      </c>
      <c r="E3332" s="10">
        <v>67753</v>
      </c>
      <c r="F3332" s="201">
        <v>-10.9</v>
      </c>
      <c r="G3332" s="201">
        <v>9.1999999999999993</v>
      </c>
    </row>
    <row r="3333" spans="4:7">
      <c r="D3333" s="200" t="s">
        <v>3942</v>
      </c>
      <c r="E3333" s="10">
        <v>67817</v>
      </c>
      <c r="F3333" s="201">
        <v>-10.9</v>
      </c>
      <c r="G3333" s="201">
        <v>9.1999999999999993</v>
      </c>
    </row>
    <row r="3334" spans="4:7">
      <c r="D3334" s="200" t="s">
        <v>3943</v>
      </c>
      <c r="E3334" s="10">
        <v>69239</v>
      </c>
      <c r="F3334" s="201">
        <v>-10.9</v>
      </c>
      <c r="G3334" s="201">
        <v>9.6</v>
      </c>
    </row>
    <row r="3335" spans="4:7">
      <c r="D3335" s="200" t="s">
        <v>3944</v>
      </c>
      <c r="E3335" s="10">
        <v>69436</v>
      </c>
      <c r="F3335" s="201">
        <v>-10.9</v>
      </c>
      <c r="G3335" s="201">
        <v>9.6</v>
      </c>
    </row>
    <row r="3336" spans="4:7">
      <c r="D3336" s="200" t="s">
        <v>3945</v>
      </c>
      <c r="E3336" s="10">
        <v>69493</v>
      </c>
      <c r="F3336" s="201">
        <v>-10.9</v>
      </c>
      <c r="G3336" s="201">
        <v>10.9</v>
      </c>
    </row>
    <row r="3337" spans="4:7">
      <c r="D3337" s="200" t="s">
        <v>3946</v>
      </c>
      <c r="E3337" s="10">
        <v>71394</v>
      </c>
      <c r="F3337" s="201">
        <v>-10.9</v>
      </c>
      <c r="G3337" s="201">
        <v>10.3</v>
      </c>
    </row>
    <row r="3338" spans="4:7">
      <c r="D3338" s="200" t="s">
        <v>3527</v>
      </c>
      <c r="E3338" s="10">
        <v>71642</v>
      </c>
      <c r="F3338" s="201">
        <v>-10.9</v>
      </c>
      <c r="G3338" s="201">
        <v>10.4</v>
      </c>
    </row>
    <row r="3339" spans="4:7">
      <c r="D3339" s="200" t="s">
        <v>3947</v>
      </c>
      <c r="E3339" s="10">
        <v>71691</v>
      </c>
      <c r="F3339" s="201">
        <v>-10.9</v>
      </c>
      <c r="G3339" s="201">
        <v>10.3</v>
      </c>
    </row>
    <row r="3340" spans="4:7">
      <c r="D3340" s="200" t="s">
        <v>3948</v>
      </c>
      <c r="E3340" s="10">
        <v>71711</v>
      </c>
      <c r="F3340" s="201">
        <v>-10.9</v>
      </c>
      <c r="G3340" s="201">
        <v>10.3</v>
      </c>
    </row>
    <row r="3341" spans="4:7">
      <c r="D3341" s="200" t="s">
        <v>3949</v>
      </c>
      <c r="E3341" s="10">
        <v>72666</v>
      </c>
      <c r="F3341" s="201">
        <v>-10.9</v>
      </c>
      <c r="G3341" s="201">
        <v>10.199999999999999</v>
      </c>
    </row>
    <row r="3342" spans="4:7">
      <c r="D3342" s="200" t="s">
        <v>3950</v>
      </c>
      <c r="E3342" s="10">
        <v>73779</v>
      </c>
      <c r="F3342" s="201">
        <v>-10.9</v>
      </c>
      <c r="G3342" s="201">
        <v>10.199999999999999</v>
      </c>
    </row>
    <row r="3343" spans="4:7">
      <c r="D3343" s="200" t="s">
        <v>3951</v>
      </c>
      <c r="E3343" s="10">
        <v>74199</v>
      </c>
      <c r="F3343" s="201">
        <v>-10.9</v>
      </c>
      <c r="G3343" s="201">
        <v>10</v>
      </c>
    </row>
    <row r="3344" spans="4:7">
      <c r="D3344" s="200" t="s">
        <v>3952</v>
      </c>
      <c r="E3344" s="10">
        <v>74223</v>
      </c>
      <c r="F3344" s="201">
        <v>-10.9</v>
      </c>
      <c r="G3344" s="201">
        <v>10.199999999999999</v>
      </c>
    </row>
    <row r="3345" spans="4:7">
      <c r="D3345" s="200" t="s">
        <v>3953</v>
      </c>
      <c r="E3345" s="10">
        <v>74252</v>
      </c>
      <c r="F3345" s="201">
        <v>-10.9</v>
      </c>
      <c r="G3345" s="201">
        <v>10.1</v>
      </c>
    </row>
    <row r="3346" spans="4:7">
      <c r="D3346" s="200" t="s">
        <v>3954</v>
      </c>
      <c r="E3346" s="10">
        <v>74336</v>
      </c>
      <c r="F3346" s="201">
        <v>-10.9</v>
      </c>
      <c r="G3346" s="201">
        <v>10.199999999999999</v>
      </c>
    </row>
    <row r="3347" spans="4:7">
      <c r="D3347" s="200" t="s">
        <v>3955</v>
      </c>
      <c r="E3347" s="10">
        <v>74360</v>
      </c>
      <c r="F3347" s="201">
        <v>-10.9</v>
      </c>
      <c r="G3347" s="201">
        <v>10.1</v>
      </c>
    </row>
    <row r="3348" spans="4:7">
      <c r="D3348" s="200" t="s">
        <v>3956</v>
      </c>
      <c r="E3348" s="10">
        <v>74394</v>
      </c>
      <c r="F3348" s="201">
        <v>-10.9</v>
      </c>
      <c r="G3348" s="201">
        <v>10.3</v>
      </c>
    </row>
    <row r="3349" spans="4:7">
      <c r="D3349" s="200" t="s">
        <v>3957</v>
      </c>
      <c r="E3349" s="10">
        <v>74850</v>
      </c>
      <c r="F3349" s="201">
        <v>-10.9</v>
      </c>
      <c r="G3349" s="201">
        <v>9.8000000000000007</v>
      </c>
    </row>
    <row r="3350" spans="4:7">
      <c r="D3350" s="200" t="s">
        <v>3958</v>
      </c>
      <c r="E3350" s="10">
        <v>74862</v>
      </c>
      <c r="F3350" s="201">
        <v>-10.9</v>
      </c>
      <c r="G3350" s="201">
        <v>10.1</v>
      </c>
    </row>
    <row r="3351" spans="4:7">
      <c r="D3351" s="200" t="s">
        <v>3959</v>
      </c>
      <c r="E3351" s="10">
        <v>74934</v>
      </c>
      <c r="F3351" s="201">
        <v>-10.9</v>
      </c>
      <c r="G3351" s="201">
        <v>9.8000000000000007</v>
      </c>
    </row>
    <row r="3352" spans="4:7">
      <c r="D3352" s="200" t="s">
        <v>3960</v>
      </c>
      <c r="E3352" s="10">
        <v>77787</v>
      </c>
      <c r="F3352" s="201">
        <v>-10.9</v>
      </c>
      <c r="G3352" s="201">
        <v>9.9</v>
      </c>
    </row>
    <row r="3353" spans="4:7">
      <c r="D3353" s="200" t="s">
        <v>3961</v>
      </c>
      <c r="E3353" s="10">
        <v>79286</v>
      </c>
      <c r="F3353" s="201">
        <v>-10.9</v>
      </c>
      <c r="G3353" s="201">
        <v>9.6999999999999993</v>
      </c>
    </row>
    <row r="3354" spans="4:7">
      <c r="D3354" s="200" t="s">
        <v>3962</v>
      </c>
      <c r="E3354" s="10">
        <v>79295</v>
      </c>
      <c r="F3354" s="201">
        <v>-10.9</v>
      </c>
      <c r="G3354" s="201">
        <v>9.5</v>
      </c>
    </row>
    <row r="3355" spans="4:7">
      <c r="D3355" s="200" t="s">
        <v>3963</v>
      </c>
      <c r="E3355" s="10">
        <v>94032</v>
      </c>
      <c r="F3355" s="201">
        <v>-10.9</v>
      </c>
      <c r="G3355" s="201">
        <v>9.8000000000000007</v>
      </c>
    </row>
    <row r="3356" spans="4:7">
      <c r="D3356" s="200" t="s">
        <v>3964</v>
      </c>
      <c r="E3356" s="10">
        <v>97616</v>
      </c>
      <c r="F3356" s="201">
        <v>-10.9</v>
      </c>
      <c r="G3356" s="201">
        <v>9.4</v>
      </c>
    </row>
    <row r="3357" spans="4:7">
      <c r="D3357" s="200" t="s">
        <v>3965</v>
      </c>
      <c r="E3357" s="10">
        <v>97780</v>
      </c>
      <c r="F3357" s="201">
        <v>-10.9</v>
      </c>
      <c r="G3357" s="201">
        <v>9.9</v>
      </c>
    </row>
    <row r="3358" spans="4:7">
      <c r="D3358" s="200" t="s">
        <v>3966</v>
      </c>
      <c r="E3358" s="10">
        <v>97941</v>
      </c>
      <c r="F3358" s="201">
        <v>-10.9</v>
      </c>
      <c r="G3358" s="201">
        <v>10</v>
      </c>
    </row>
    <row r="3359" spans="4:7">
      <c r="D3359" s="200" t="s">
        <v>3967</v>
      </c>
      <c r="E3359" s="10">
        <v>19258</v>
      </c>
      <c r="F3359" s="201">
        <v>-11</v>
      </c>
      <c r="G3359" s="201">
        <v>9.4</v>
      </c>
    </row>
    <row r="3360" spans="4:7">
      <c r="D3360" s="200" t="s">
        <v>3968</v>
      </c>
      <c r="E3360" s="10">
        <v>19260</v>
      </c>
      <c r="F3360" s="201">
        <v>-11</v>
      </c>
      <c r="G3360" s="201">
        <v>9.3000000000000007</v>
      </c>
    </row>
    <row r="3361" spans="4:7">
      <c r="D3361" s="200" t="s">
        <v>3969</v>
      </c>
      <c r="E3361" s="10">
        <v>21272</v>
      </c>
      <c r="F3361" s="201">
        <v>-11</v>
      </c>
      <c r="G3361" s="201">
        <v>9.1</v>
      </c>
    </row>
    <row r="3362" spans="4:7">
      <c r="D3362" s="200" t="s">
        <v>3970</v>
      </c>
      <c r="E3362" s="10">
        <v>21365</v>
      </c>
      <c r="F3362" s="201">
        <v>-11</v>
      </c>
      <c r="G3362" s="201">
        <v>9.5</v>
      </c>
    </row>
    <row r="3363" spans="4:7">
      <c r="D3363" s="200" t="s">
        <v>3971</v>
      </c>
      <c r="E3363" s="10">
        <v>21376</v>
      </c>
      <c r="F3363" s="201">
        <v>-11</v>
      </c>
      <c r="G3363" s="201">
        <v>9.3000000000000007</v>
      </c>
    </row>
    <row r="3364" spans="4:7">
      <c r="D3364" s="200" t="s">
        <v>3972</v>
      </c>
      <c r="E3364" s="10">
        <v>21403</v>
      </c>
      <c r="F3364" s="201">
        <v>-11</v>
      </c>
      <c r="G3364" s="201">
        <v>9.1999999999999993</v>
      </c>
    </row>
    <row r="3365" spans="4:7">
      <c r="D3365" s="200" t="s">
        <v>2062</v>
      </c>
      <c r="E3365" s="10">
        <v>23560</v>
      </c>
      <c r="F3365" s="201">
        <v>-11</v>
      </c>
      <c r="G3365" s="201">
        <v>9.1</v>
      </c>
    </row>
    <row r="3366" spans="4:7">
      <c r="D3366" s="200" t="s">
        <v>2062</v>
      </c>
      <c r="E3366" s="10">
        <v>23562</v>
      </c>
      <c r="F3366" s="201">
        <v>-11</v>
      </c>
      <c r="G3366" s="201">
        <v>9.1</v>
      </c>
    </row>
    <row r="3367" spans="4:7">
      <c r="D3367" s="200" t="s">
        <v>3973</v>
      </c>
      <c r="E3367" s="10">
        <v>23628</v>
      </c>
      <c r="F3367" s="201">
        <v>-11</v>
      </c>
      <c r="G3367" s="201">
        <v>9.1</v>
      </c>
    </row>
    <row r="3368" spans="4:7">
      <c r="D3368" s="200" t="s">
        <v>3974</v>
      </c>
      <c r="E3368" s="10">
        <v>23883</v>
      </c>
      <c r="F3368" s="201">
        <v>-11</v>
      </c>
      <c r="G3368" s="201">
        <v>9.1999999999999993</v>
      </c>
    </row>
    <row r="3369" spans="4:7">
      <c r="D3369" s="200" t="s">
        <v>3975</v>
      </c>
      <c r="E3369" s="10">
        <v>23898</v>
      </c>
      <c r="F3369" s="201">
        <v>-11</v>
      </c>
      <c r="G3369" s="201">
        <v>9.1</v>
      </c>
    </row>
    <row r="3370" spans="4:7">
      <c r="D3370" s="200" t="s">
        <v>3976</v>
      </c>
      <c r="E3370" s="10">
        <v>23919</v>
      </c>
      <c r="F3370" s="201">
        <v>-11</v>
      </c>
      <c r="G3370" s="201">
        <v>9.1</v>
      </c>
    </row>
    <row r="3371" spans="4:7">
      <c r="D3371" s="200" t="s">
        <v>3677</v>
      </c>
      <c r="E3371" s="10">
        <v>29225</v>
      </c>
      <c r="F3371" s="201">
        <v>-11</v>
      </c>
      <c r="G3371" s="201">
        <v>9.9</v>
      </c>
    </row>
    <row r="3372" spans="4:7">
      <c r="D3372" s="200" t="s">
        <v>2875</v>
      </c>
      <c r="E3372" s="10">
        <v>30419</v>
      </c>
      <c r="F3372" s="201">
        <v>-11</v>
      </c>
      <c r="G3372" s="201">
        <v>10.1</v>
      </c>
    </row>
    <row r="3373" spans="4:7">
      <c r="D3373" s="200" t="s">
        <v>2875</v>
      </c>
      <c r="E3373" s="10">
        <v>30657</v>
      </c>
      <c r="F3373" s="201">
        <v>-11</v>
      </c>
      <c r="G3373" s="201">
        <v>10</v>
      </c>
    </row>
    <row r="3374" spans="4:7">
      <c r="D3374" s="200" t="s">
        <v>3781</v>
      </c>
      <c r="E3374" s="10">
        <v>30826</v>
      </c>
      <c r="F3374" s="201">
        <v>-11</v>
      </c>
      <c r="G3374" s="201">
        <v>10</v>
      </c>
    </row>
    <row r="3375" spans="4:7">
      <c r="D3375" s="200" t="s">
        <v>3561</v>
      </c>
      <c r="E3375" s="10">
        <v>30853</v>
      </c>
      <c r="F3375" s="201">
        <v>-11</v>
      </c>
      <c r="G3375" s="201">
        <v>10</v>
      </c>
    </row>
    <row r="3376" spans="4:7">
      <c r="D3376" s="200" t="s">
        <v>3977</v>
      </c>
      <c r="E3376" s="10">
        <v>30966</v>
      </c>
      <c r="F3376" s="201">
        <v>-11</v>
      </c>
      <c r="G3376" s="201">
        <v>9.9</v>
      </c>
    </row>
    <row r="3377" spans="4:7">
      <c r="D3377" s="200" t="s">
        <v>3978</v>
      </c>
      <c r="E3377" s="10">
        <v>31029</v>
      </c>
      <c r="F3377" s="201">
        <v>-11</v>
      </c>
      <c r="G3377" s="201">
        <v>9.6999999999999993</v>
      </c>
    </row>
    <row r="3378" spans="4:7">
      <c r="D3378" s="200" t="s">
        <v>3678</v>
      </c>
      <c r="E3378" s="10">
        <v>31135</v>
      </c>
      <c r="F3378" s="201">
        <v>-11</v>
      </c>
      <c r="G3378" s="201">
        <v>9.9</v>
      </c>
    </row>
    <row r="3379" spans="4:7">
      <c r="D3379" s="200" t="s">
        <v>3678</v>
      </c>
      <c r="E3379" s="10">
        <v>31141</v>
      </c>
      <c r="F3379" s="201">
        <v>-11</v>
      </c>
      <c r="G3379" s="201">
        <v>9.6</v>
      </c>
    </row>
    <row r="3380" spans="4:7">
      <c r="D3380" s="200" t="s">
        <v>3979</v>
      </c>
      <c r="E3380" s="10">
        <v>31638</v>
      </c>
      <c r="F3380" s="201">
        <v>-11</v>
      </c>
      <c r="G3380" s="201">
        <v>9.9</v>
      </c>
    </row>
    <row r="3381" spans="4:7">
      <c r="D3381" s="200" t="s">
        <v>3980</v>
      </c>
      <c r="E3381" s="10">
        <v>32699</v>
      </c>
      <c r="F3381" s="201">
        <v>-11</v>
      </c>
      <c r="G3381" s="201">
        <v>9.4</v>
      </c>
    </row>
    <row r="3382" spans="4:7">
      <c r="D3382" s="200" t="s">
        <v>3981</v>
      </c>
      <c r="E3382" s="10">
        <v>33813</v>
      </c>
      <c r="F3382" s="201">
        <v>-11</v>
      </c>
      <c r="G3382" s="201">
        <v>9</v>
      </c>
    </row>
    <row r="3383" spans="4:7">
      <c r="D3383" s="200" t="s">
        <v>3982</v>
      </c>
      <c r="E3383" s="10">
        <v>35102</v>
      </c>
      <c r="F3383" s="201">
        <v>-11</v>
      </c>
      <c r="G3383" s="201">
        <v>9.1</v>
      </c>
    </row>
    <row r="3384" spans="4:7">
      <c r="D3384" s="200" t="s">
        <v>3463</v>
      </c>
      <c r="E3384" s="10">
        <v>35394</v>
      </c>
      <c r="F3384" s="201">
        <v>-11</v>
      </c>
      <c r="G3384" s="201">
        <v>9.6</v>
      </c>
    </row>
    <row r="3385" spans="4:7">
      <c r="D3385" s="200" t="s">
        <v>3463</v>
      </c>
      <c r="E3385" s="10">
        <v>35396</v>
      </c>
      <c r="F3385" s="201">
        <v>-11</v>
      </c>
      <c r="G3385" s="201">
        <v>9.6</v>
      </c>
    </row>
    <row r="3386" spans="4:7">
      <c r="D3386" s="200" t="s">
        <v>3584</v>
      </c>
      <c r="E3386" s="10">
        <v>35580</v>
      </c>
      <c r="F3386" s="201">
        <v>-11</v>
      </c>
      <c r="G3386" s="201">
        <v>9.5</v>
      </c>
    </row>
    <row r="3387" spans="4:7">
      <c r="D3387" s="200" t="s">
        <v>3584</v>
      </c>
      <c r="E3387" s="10">
        <v>35586</v>
      </c>
      <c r="F3387" s="201">
        <v>-11</v>
      </c>
      <c r="G3387" s="201">
        <v>9.6</v>
      </c>
    </row>
    <row r="3388" spans="4:7">
      <c r="D3388" s="200" t="s">
        <v>3983</v>
      </c>
      <c r="E3388" s="10">
        <v>35638</v>
      </c>
      <c r="F3388" s="201">
        <v>-11</v>
      </c>
      <c r="G3388" s="201">
        <v>9.4</v>
      </c>
    </row>
    <row r="3389" spans="4:7">
      <c r="D3389" s="200" t="s">
        <v>3924</v>
      </c>
      <c r="E3389" s="10">
        <v>35683</v>
      </c>
      <c r="F3389" s="201">
        <v>-11</v>
      </c>
      <c r="G3389" s="201">
        <v>9.4</v>
      </c>
    </row>
    <row r="3390" spans="4:7">
      <c r="D3390" s="200" t="s">
        <v>3984</v>
      </c>
      <c r="E3390" s="10">
        <v>35708</v>
      </c>
      <c r="F3390" s="201">
        <v>-11</v>
      </c>
      <c r="G3390" s="201">
        <v>9</v>
      </c>
    </row>
    <row r="3391" spans="4:7">
      <c r="D3391" s="200" t="s">
        <v>3985</v>
      </c>
      <c r="E3391" s="10">
        <v>35745</v>
      </c>
      <c r="F3391" s="201">
        <v>-11</v>
      </c>
      <c r="G3391" s="201">
        <v>9.1999999999999993</v>
      </c>
    </row>
    <row r="3392" spans="4:7">
      <c r="D3392" s="200" t="s">
        <v>3986</v>
      </c>
      <c r="E3392" s="10">
        <v>36396</v>
      </c>
      <c r="F3392" s="201">
        <v>-11</v>
      </c>
      <c r="G3392" s="201">
        <v>9.9</v>
      </c>
    </row>
    <row r="3393" spans="4:7">
      <c r="D3393" s="200" t="s">
        <v>3268</v>
      </c>
      <c r="E3393" s="10">
        <v>38114</v>
      </c>
      <c r="F3393" s="201">
        <v>-11</v>
      </c>
      <c r="G3393" s="201">
        <v>10.1</v>
      </c>
    </row>
    <row r="3394" spans="4:7">
      <c r="D3394" s="200" t="s">
        <v>3987</v>
      </c>
      <c r="E3394" s="10">
        <v>38226</v>
      </c>
      <c r="F3394" s="201">
        <v>-11</v>
      </c>
      <c r="G3394" s="201">
        <v>10</v>
      </c>
    </row>
    <row r="3395" spans="4:7">
      <c r="D3395" s="200" t="s">
        <v>3988</v>
      </c>
      <c r="E3395" s="10">
        <v>53520</v>
      </c>
      <c r="F3395" s="201">
        <v>-11</v>
      </c>
      <c r="G3395" s="201">
        <v>8.4</v>
      </c>
    </row>
    <row r="3396" spans="4:7">
      <c r="D3396" s="200" t="s">
        <v>3989</v>
      </c>
      <c r="E3396" s="10">
        <v>53539</v>
      </c>
      <c r="F3396" s="201">
        <v>-11</v>
      </c>
      <c r="G3396" s="201">
        <v>8.4</v>
      </c>
    </row>
    <row r="3397" spans="4:7">
      <c r="D3397" s="200" t="s">
        <v>3990</v>
      </c>
      <c r="E3397" s="10">
        <v>53925</v>
      </c>
      <c r="F3397" s="201">
        <v>-11</v>
      </c>
      <c r="G3397" s="201">
        <v>8.3000000000000007</v>
      </c>
    </row>
    <row r="3398" spans="4:7">
      <c r="D3398" s="200" t="s">
        <v>3991</v>
      </c>
      <c r="E3398" s="10">
        <v>54427</v>
      </c>
      <c r="F3398" s="201">
        <v>-11</v>
      </c>
      <c r="G3398" s="201">
        <v>8.6999999999999993</v>
      </c>
    </row>
    <row r="3399" spans="4:7">
      <c r="D3399" s="200" t="s">
        <v>3992</v>
      </c>
      <c r="E3399" s="10">
        <v>54578</v>
      </c>
      <c r="F3399" s="201">
        <v>-11</v>
      </c>
      <c r="G3399" s="201">
        <v>8.3000000000000007</v>
      </c>
    </row>
    <row r="3400" spans="4:7">
      <c r="D3400" s="200" t="s">
        <v>3993</v>
      </c>
      <c r="E3400" s="10">
        <v>55499</v>
      </c>
      <c r="F3400" s="201">
        <v>-11</v>
      </c>
      <c r="G3400" s="201">
        <v>8.6999999999999993</v>
      </c>
    </row>
    <row r="3401" spans="4:7">
      <c r="D3401" s="200" t="s">
        <v>3994</v>
      </c>
      <c r="E3401" s="10">
        <v>56462</v>
      </c>
      <c r="F3401" s="201">
        <v>-11</v>
      </c>
      <c r="G3401" s="201">
        <v>8.1</v>
      </c>
    </row>
    <row r="3402" spans="4:7">
      <c r="D3402" s="200" t="s">
        <v>3995</v>
      </c>
      <c r="E3402" s="10">
        <v>56472</v>
      </c>
      <c r="F3402" s="201">
        <v>-11</v>
      </c>
      <c r="G3402" s="201">
        <v>8.1</v>
      </c>
    </row>
    <row r="3403" spans="4:7" ht="30">
      <c r="D3403" s="200" t="s">
        <v>3996</v>
      </c>
      <c r="E3403" s="10">
        <v>56477</v>
      </c>
      <c r="F3403" s="201">
        <v>-11</v>
      </c>
      <c r="G3403" s="201">
        <v>8.1</v>
      </c>
    </row>
    <row r="3404" spans="4:7">
      <c r="D3404" s="200" t="s">
        <v>3997</v>
      </c>
      <c r="E3404" s="10">
        <v>56479</v>
      </c>
      <c r="F3404" s="201">
        <v>-11</v>
      </c>
      <c r="G3404" s="201">
        <v>8.1</v>
      </c>
    </row>
    <row r="3405" spans="4:7">
      <c r="D3405" s="200" t="s">
        <v>3998</v>
      </c>
      <c r="E3405" s="10">
        <v>56729</v>
      </c>
      <c r="F3405" s="201">
        <v>-11</v>
      </c>
      <c r="G3405" s="201">
        <v>8.4</v>
      </c>
    </row>
    <row r="3406" spans="4:7">
      <c r="D3406" s="200" t="s">
        <v>3999</v>
      </c>
      <c r="E3406" s="10">
        <v>56828</v>
      </c>
      <c r="F3406" s="201">
        <v>-11</v>
      </c>
      <c r="G3406" s="201">
        <v>8.6</v>
      </c>
    </row>
    <row r="3407" spans="4:7">
      <c r="D3407" s="200" t="s">
        <v>4000</v>
      </c>
      <c r="E3407" s="10">
        <v>57250</v>
      </c>
      <c r="F3407" s="201">
        <v>-11</v>
      </c>
      <c r="G3407" s="201">
        <v>8.5</v>
      </c>
    </row>
    <row r="3408" spans="4:7">
      <c r="D3408" s="200" t="s">
        <v>4001</v>
      </c>
      <c r="E3408" s="10">
        <v>59602</v>
      </c>
      <c r="F3408" s="201">
        <v>-11</v>
      </c>
      <c r="G3408" s="201">
        <v>8.6999999999999993</v>
      </c>
    </row>
    <row r="3409" spans="4:7">
      <c r="D3409" s="200" t="s">
        <v>4002</v>
      </c>
      <c r="E3409" s="10">
        <v>61267</v>
      </c>
      <c r="F3409" s="201">
        <v>-11</v>
      </c>
      <c r="G3409" s="201">
        <v>9.1999999999999993</v>
      </c>
    </row>
    <row r="3410" spans="4:7">
      <c r="D3410" s="200" t="s">
        <v>4003</v>
      </c>
      <c r="E3410" s="10">
        <v>61273</v>
      </c>
      <c r="F3410" s="201">
        <v>-11</v>
      </c>
      <c r="G3410" s="201">
        <v>9.3000000000000007</v>
      </c>
    </row>
    <row r="3411" spans="4:7">
      <c r="D3411" s="200" t="s">
        <v>4004</v>
      </c>
      <c r="E3411" s="10">
        <v>61279</v>
      </c>
      <c r="F3411" s="201">
        <v>-11</v>
      </c>
      <c r="G3411" s="201">
        <v>9</v>
      </c>
    </row>
    <row r="3412" spans="4:7">
      <c r="D3412" s="200" t="s">
        <v>2527</v>
      </c>
      <c r="E3412" s="10">
        <v>63683</v>
      </c>
      <c r="F3412" s="201">
        <v>-11</v>
      </c>
      <c r="G3412" s="201">
        <v>9.3000000000000007</v>
      </c>
    </row>
    <row r="3413" spans="4:7">
      <c r="D3413" s="200" t="s">
        <v>4005</v>
      </c>
      <c r="E3413" s="10">
        <v>63768</v>
      </c>
      <c r="F3413" s="201">
        <v>-11</v>
      </c>
      <c r="G3413" s="201">
        <v>10.1</v>
      </c>
    </row>
    <row r="3414" spans="4:7">
      <c r="D3414" s="200" t="s">
        <v>4006</v>
      </c>
      <c r="E3414" s="10">
        <v>63808</v>
      </c>
      <c r="F3414" s="201">
        <v>-11</v>
      </c>
      <c r="G3414" s="201">
        <v>9.5</v>
      </c>
    </row>
    <row r="3415" spans="4:7">
      <c r="D3415" s="200" t="s">
        <v>3724</v>
      </c>
      <c r="E3415" s="10">
        <v>63925</v>
      </c>
      <c r="F3415" s="201">
        <v>-11</v>
      </c>
      <c r="G3415" s="201">
        <v>9.9</v>
      </c>
    </row>
    <row r="3416" spans="4:7">
      <c r="D3416" s="200" t="s">
        <v>4007</v>
      </c>
      <c r="E3416" s="10">
        <v>63939</v>
      </c>
      <c r="F3416" s="201">
        <v>-11</v>
      </c>
      <c r="G3416" s="201">
        <v>9.8000000000000007</v>
      </c>
    </row>
    <row r="3417" spans="4:7">
      <c r="D3417" s="200" t="s">
        <v>4008</v>
      </c>
      <c r="E3417" s="10">
        <v>64397</v>
      </c>
      <c r="F3417" s="201">
        <v>-11</v>
      </c>
      <c r="G3417" s="201">
        <v>9.4</v>
      </c>
    </row>
    <row r="3418" spans="4:7">
      <c r="D3418" s="200" t="s">
        <v>4009</v>
      </c>
      <c r="E3418" s="10">
        <v>64753</v>
      </c>
      <c r="F3418" s="201">
        <v>-11</v>
      </c>
      <c r="G3418" s="201">
        <v>9.5</v>
      </c>
    </row>
    <row r="3419" spans="4:7">
      <c r="D3419" s="200" t="s">
        <v>4010</v>
      </c>
      <c r="E3419" s="10">
        <v>64850</v>
      </c>
      <c r="F3419" s="201">
        <v>-11</v>
      </c>
      <c r="G3419" s="201">
        <v>9.9</v>
      </c>
    </row>
    <row r="3420" spans="4:7">
      <c r="D3420" s="200" t="s">
        <v>4011</v>
      </c>
      <c r="E3420" s="10">
        <v>67746</v>
      </c>
      <c r="F3420" s="201">
        <v>-11</v>
      </c>
      <c r="G3420" s="201">
        <v>9</v>
      </c>
    </row>
    <row r="3421" spans="4:7">
      <c r="D3421" s="200" t="s">
        <v>4012</v>
      </c>
      <c r="E3421" s="10">
        <v>68526</v>
      </c>
      <c r="F3421" s="201">
        <v>-11</v>
      </c>
      <c r="G3421" s="201">
        <v>11</v>
      </c>
    </row>
    <row r="3422" spans="4:7">
      <c r="D3422" s="200" t="s">
        <v>4013</v>
      </c>
      <c r="E3422" s="10">
        <v>68542</v>
      </c>
      <c r="F3422" s="201">
        <v>-11</v>
      </c>
      <c r="G3422" s="201">
        <v>11</v>
      </c>
    </row>
    <row r="3423" spans="4:7">
      <c r="D3423" s="200" t="s">
        <v>4014</v>
      </c>
      <c r="E3423" s="10">
        <v>69259</v>
      </c>
      <c r="F3423" s="201">
        <v>-11</v>
      </c>
      <c r="G3423" s="201">
        <v>9.5</v>
      </c>
    </row>
    <row r="3424" spans="4:7">
      <c r="D3424" s="200" t="s">
        <v>4015</v>
      </c>
      <c r="E3424" s="10">
        <v>69412</v>
      </c>
      <c r="F3424" s="201">
        <v>-11</v>
      </c>
      <c r="G3424" s="201">
        <v>9.8000000000000007</v>
      </c>
    </row>
    <row r="3425" spans="4:7">
      <c r="D3425" s="200" t="s">
        <v>4016</v>
      </c>
      <c r="E3425" s="10">
        <v>69483</v>
      </c>
      <c r="F3425" s="201">
        <v>-11</v>
      </c>
      <c r="G3425" s="201">
        <v>9.6999999999999993</v>
      </c>
    </row>
    <row r="3426" spans="4:7">
      <c r="D3426" s="200" t="s">
        <v>2307</v>
      </c>
      <c r="E3426" s="10">
        <v>70184</v>
      </c>
      <c r="F3426" s="201">
        <v>-11</v>
      </c>
      <c r="G3426" s="201">
        <v>9.9</v>
      </c>
    </row>
    <row r="3427" spans="4:7">
      <c r="D3427" s="200" t="s">
        <v>4017</v>
      </c>
      <c r="E3427" s="10">
        <v>71364</v>
      </c>
      <c r="F3427" s="201">
        <v>-11</v>
      </c>
      <c r="G3427" s="201">
        <v>10.199999999999999</v>
      </c>
    </row>
    <row r="3428" spans="4:7">
      <c r="D3428" s="200" t="s">
        <v>4018</v>
      </c>
      <c r="E3428" s="10">
        <v>71522</v>
      </c>
      <c r="F3428" s="201">
        <v>-11</v>
      </c>
      <c r="G3428" s="201">
        <v>10.199999999999999</v>
      </c>
    </row>
    <row r="3429" spans="4:7">
      <c r="D3429" s="200" t="s">
        <v>4019</v>
      </c>
      <c r="E3429" s="10">
        <v>71720</v>
      </c>
      <c r="F3429" s="201">
        <v>-11</v>
      </c>
      <c r="G3429" s="201">
        <v>10.1</v>
      </c>
    </row>
    <row r="3430" spans="4:7">
      <c r="D3430" s="200" t="s">
        <v>4020</v>
      </c>
      <c r="E3430" s="10">
        <v>71723</v>
      </c>
      <c r="F3430" s="201">
        <v>-11</v>
      </c>
      <c r="G3430" s="201">
        <v>10.3</v>
      </c>
    </row>
    <row r="3431" spans="4:7">
      <c r="D3431" s="200" t="s">
        <v>4021</v>
      </c>
      <c r="E3431" s="10">
        <v>72636</v>
      </c>
      <c r="F3431" s="201">
        <v>-11</v>
      </c>
      <c r="G3431" s="201">
        <v>10</v>
      </c>
    </row>
    <row r="3432" spans="4:7">
      <c r="D3432" s="200" t="s">
        <v>4022</v>
      </c>
      <c r="E3432" s="10">
        <v>72644</v>
      </c>
      <c r="F3432" s="201">
        <v>-11</v>
      </c>
      <c r="G3432" s="201">
        <v>10</v>
      </c>
    </row>
    <row r="3433" spans="4:7">
      <c r="D3433" s="200" t="s">
        <v>3857</v>
      </c>
      <c r="E3433" s="10">
        <v>73035</v>
      </c>
      <c r="F3433" s="201">
        <v>-11</v>
      </c>
      <c r="G3433" s="201">
        <v>10</v>
      </c>
    </row>
    <row r="3434" spans="4:7">
      <c r="D3434" s="200" t="s">
        <v>4023</v>
      </c>
      <c r="E3434" s="10">
        <v>73066</v>
      </c>
      <c r="F3434" s="201">
        <v>-11</v>
      </c>
      <c r="G3434" s="201">
        <v>10</v>
      </c>
    </row>
    <row r="3435" spans="4:7">
      <c r="D3435" s="200" t="s">
        <v>4024</v>
      </c>
      <c r="E3435" s="10">
        <v>73249</v>
      </c>
      <c r="F3435" s="201">
        <v>-11</v>
      </c>
      <c r="G3435" s="201">
        <v>10.199999999999999</v>
      </c>
    </row>
    <row r="3436" spans="4:7">
      <c r="D3436" s="200" t="s">
        <v>4025</v>
      </c>
      <c r="E3436" s="10">
        <v>73257</v>
      </c>
      <c r="F3436" s="201">
        <v>-11</v>
      </c>
      <c r="G3436" s="201">
        <v>10.1</v>
      </c>
    </row>
    <row r="3437" spans="4:7">
      <c r="D3437" s="200" t="s">
        <v>4026</v>
      </c>
      <c r="E3437" s="10">
        <v>73274</v>
      </c>
      <c r="F3437" s="201">
        <v>-11</v>
      </c>
      <c r="G3437" s="201">
        <v>10.1</v>
      </c>
    </row>
    <row r="3438" spans="4:7">
      <c r="D3438" s="200" t="s">
        <v>4027</v>
      </c>
      <c r="E3438" s="10">
        <v>73614</v>
      </c>
      <c r="F3438" s="201">
        <v>-11</v>
      </c>
      <c r="G3438" s="201">
        <v>10.4</v>
      </c>
    </row>
    <row r="3439" spans="4:7">
      <c r="D3439" s="200" t="s">
        <v>3361</v>
      </c>
      <c r="E3439" s="10">
        <v>73734</v>
      </c>
      <c r="F3439" s="201">
        <v>-11</v>
      </c>
      <c r="G3439" s="201">
        <v>10</v>
      </c>
    </row>
    <row r="3440" spans="4:7">
      <c r="D3440" s="200" t="s">
        <v>4028</v>
      </c>
      <c r="E3440" s="10">
        <v>74255</v>
      </c>
      <c r="F3440" s="201">
        <v>-11</v>
      </c>
      <c r="G3440" s="201">
        <v>10</v>
      </c>
    </row>
    <row r="3441" spans="4:7">
      <c r="D3441" s="200" t="s">
        <v>4029</v>
      </c>
      <c r="E3441" s="10">
        <v>74321</v>
      </c>
      <c r="F3441" s="201">
        <v>-11</v>
      </c>
      <c r="G3441" s="201">
        <v>10.199999999999999</v>
      </c>
    </row>
    <row r="3442" spans="4:7">
      <c r="D3442" s="200" t="s">
        <v>4030</v>
      </c>
      <c r="E3442" s="10">
        <v>74388</v>
      </c>
      <c r="F3442" s="201">
        <v>-11</v>
      </c>
      <c r="G3442" s="201">
        <v>10.1</v>
      </c>
    </row>
    <row r="3443" spans="4:7">
      <c r="D3443" s="200" t="s">
        <v>4031</v>
      </c>
      <c r="E3443" s="10">
        <v>74639</v>
      </c>
      <c r="F3443" s="201">
        <v>-11</v>
      </c>
      <c r="G3443" s="201">
        <v>9.8000000000000007</v>
      </c>
    </row>
    <row r="3444" spans="4:7">
      <c r="D3444" s="200" t="s">
        <v>4032</v>
      </c>
      <c r="E3444" s="10">
        <v>74677</v>
      </c>
      <c r="F3444" s="201">
        <v>-11</v>
      </c>
      <c r="G3444" s="201">
        <v>10.1</v>
      </c>
    </row>
    <row r="3445" spans="4:7">
      <c r="D3445" s="200" t="s">
        <v>4033</v>
      </c>
      <c r="E3445" s="10">
        <v>74679</v>
      </c>
      <c r="F3445" s="201">
        <v>-11</v>
      </c>
      <c r="G3445" s="201">
        <v>9.9</v>
      </c>
    </row>
    <row r="3446" spans="4:7">
      <c r="D3446" s="200" t="s">
        <v>4034</v>
      </c>
      <c r="E3446" s="10">
        <v>74706</v>
      </c>
      <c r="F3446" s="201">
        <v>-11</v>
      </c>
      <c r="G3446" s="201">
        <v>9.8000000000000007</v>
      </c>
    </row>
    <row r="3447" spans="4:7">
      <c r="D3447" s="200" t="s">
        <v>4035</v>
      </c>
      <c r="E3447" s="10">
        <v>74821</v>
      </c>
      <c r="F3447" s="201">
        <v>-11</v>
      </c>
      <c r="G3447" s="201">
        <v>9.9</v>
      </c>
    </row>
    <row r="3448" spans="4:7">
      <c r="D3448" s="200" t="s">
        <v>4036</v>
      </c>
      <c r="E3448" s="10">
        <v>74834</v>
      </c>
      <c r="F3448" s="201">
        <v>-11</v>
      </c>
      <c r="G3448" s="201">
        <v>10.1</v>
      </c>
    </row>
    <row r="3449" spans="4:7">
      <c r="D3449" s="200" t="s">
        <v>4037</v>
      </c>
      <c r="E3449" s="10">
        <v>74842</v>
      </c>
      <c r="F3449" s="201">
        <v>-11</v>
      </c>
      <c r="G3449" s="201">
        <v>10.1</v>
      </c>
    </row>
    <row r="3450" spans="4:7">
      <c r="D3450" s="200" t="s">
        <v>4038</v>
      </c>
      <c r="E3450" s="10">
        <v>74847</v>
      </c>
      <c r="F3450" s="201">
        <v>-11</v>
      </c>
      <c r="G3450" s="201">
        <v>9.8000000000000007</v>
      </c>
    </row>
    <row r="3451" spans="4:7">
      <c r="D3451" s="200" t="s">
        <v>4039</v>
      </c>
      <c r="E3451" s="10">
        <v>74865</v>
      </c>
      <c r="F3451" s="201">
        <v>-11</v>
      </c>
      <c r="G3451" s="201">
        <v>10</v>
      </c>
    </row>
    <row r="3452" spans="4:7">
      <c r="D3452" s="200" t="s">
        <v>4040</v>
      </c>
      <c r="E3452" s="10">
        <v>74869</v>
      </c>
      <c r="F3452" s="201">
        <v>-11</v>
      </c>
      <c r="G3452" s="201">
        <v>9.9</v>
      </c>
    </row>
    <row r="3453" spans="4:7">
      <c r="D3453" s="200" t="s">
        <v>4041</v>
      </c>
      <c r="E3453" s="10">
        <v>74906</v>
      </c>
      <c r="F3453" s="201">
        <v>-11</v>
      </c>
      <c r="G3453" s="201">
        <v>10.1</v>
      </c>
    </row>
    <row r="3454" spans="4:7">
      <c r="D3454" s="200" t="s">
        <v>3739</v>
      </c>
      <c r="E3454" s="10">
        <v>75172</v>
      </c>
      <c r="F3454" s="201">
        <v>-11</v>
      </c>
      <c r="G3454" s="201">
        <v>10.199999999999999</v>
      </c>
    </row>
    <row r="3455" spans="4:7">
      <c r="D3455" s="200" t="s">
        <v>4042</v>
      </c>
      <c r="E3455" s="10">
        <v>75438</v>
      </c>
      <c r="F3455" s="201">
        <v>-11</v>
      </c>
      <c r="G3455" s="201">
        <v>10</v>
      </c>
    </row>
    <row r="3456" spans="4:7">
      <c r="D3456" s="200" t="s">
        <v>2956</v>
      </c>
      <c r="E3456" s="10">
        <v>76534</v>
      </c>
      <c r="F3456" s="201">
        <v>-11</v>
      </c>
      <c r="G3456" s="201">
        <v>9.8000000000000007</v>
      </c>
    </row>
    <row r="3457" spans="4:7">
      <c r="D3457" s="200" t="s">
        <v>4043</v>
      </c>
      <c r="E3457" s="10">
        <v>76855</v>
      </c>
      <c r="F3457" s="201">
        <v>-11</v>
      </c>
      <c r="G3457" s="201">
        <v>9.4</v>
      </c>
    </row>
    <row r="3458" spans="4:7">
      <c r="D3458" s="200" t="s">
        <v>4044</v>
      </c>
      <c r="E3458" s="10">
        <v>77793</v>
      </c>
      <c r="F3458" s="201">
        <v>-11</v>
      </c>
      <c r="G3458" s="201">
        <v>9.8000000000000007</v>
      </c>
    </row>
    <row r="3459" spans="4:7">
      <c r="D3459" s="200" t="s">
        <v>2439</v>
      </c>
      <c r="E3459" s="10">
        <v>79117</v>
      </c>
      <c r="F3459" s="201">
        <v>-11</v>
      </c>
      <c r="G3459" s="201">
        <v>9.5</v>
      </c>
    </row>
    <row r="3460" spans="4:7">
      <c r="D3460" s="200" t="s">
        <v>4045</v>
      </c>
      <c r="E3460" s="10">
        <v>79183</v>
      </c>
      <c r="F3460" s="201">
        <v>-11</v>
      </c>
      <c r="G3460" s="201">
        <v>9.9</v>
      </c>
    </row>
    <row r="3461" spans="4:7">
      <c r="D3461" s="200" t="s">
        <v>4046</v>
      </c>
      <c r="E3461" s="10">
        <v>79252</v>
      </c>
      <c r="F3461" s="201">
        <v>-11</v>
      </c>
      <c r="G3461" s="201">
        <v>9.6</v>
      </c>
    </row>
    <row r="3462" spans="4:7">
      <c r="D3462" s="200" t="s">
        <v>4047</v>
      </c>
      <c r="E3462" s="10">
        <v>96450</v>
      </c>
      <c r="F3462" s="201">
        <v>-11</v>
      </c>
      <c r="G3462" s="201">
        <v>9.6</v>
      </c>
    </row>
    <row r="3463" spans="4:7">
      <c r="D3463" s="200" t="s">
        <v>3138</v>
      </c>
      <c r="E3463" s="10">
        <v>97080</v>
      </c>
      <c r="F3463" s="201">
        <v>-11</v>
      </c>
      <c r="G3463" s="201">
        <v>10.1</v>
      </c>
    </row>
    <row r="3464" spans="4:7">
      <c r="D3464" s="200" t="s">
        <v>4048</v>
      </c>
      <c r="E3464" s="10">
        <v>97292</v>
      </c>
      <c r="F3464" s="201">
        <v>-11</v>
      </c>
      <c r="G3464" s="201">
        <v>9.8000000000000007</v>
      </c>
    </row>
    <row r="3465" spans="4:7">
      <c r="D3465" s="200" t="s">
        <v>4049</v>
      </c>
      <c r="E3465" s="10">
        <v>97618</v>
      </c>
      <c r="F3465" s="201">
        <v>-11</v>
      </c>
      <c r="G3465" s="201">
        <v>9.3000000000000007</v>
      </c>
    </row>
    <row r="3466" spans="4:7">
      <c r="D3466" s="200" t="s">
        <v>4050</v>
      </c>
      <c r="E3466" s="10">
        <v>97737</v>
      </c>
      <c r="F3466" s="201">
        <v>-11</v>
      </c>
      <c r="G3466" s="201">
        <v>9.9</v>
      </c>
    </row>
    <row r="3467" spans="4:7">
      <c r="D3467" s="200" t="s">
        <v>4051</v>
      </c>
      <c r="E3467" s="10">
        <v>97775</v>
      </c>
      <c r="F3467" s="201">
        <v>-11</v>
      </c>
      <c r="G3467" s="201">
        <v>9.6</v>
      </c>
    </row>
    <row r="3468" spans="4:7">
      <c r="D3468" s="200" t="s">
        <v>4052</v>
      </c>
      <c r="E3468" s="10">
        <v>97776</v>
      </c>
      <c r="F3468" s="201">
        <v>-11</v>
      </c>
      <c r="G3468" s="201">
        <v>9.8000000000000007</v>
      </c>
    </row>
    <row r="3469" spans="4:7">
      <c r="D3469" s="200" t="s">
        <v>4053</v>
      </c>
      <c r="E3469" s="10">
        <v>97904</v>
      </c>
      <c r="F3469" s="201">
        <v>-11</v>
      </c>
      <c r="G3469" s="201">
        <v>10</v>
      </c>
    </row>
    <row r="3470" spans="4:7">
      <c r="D3470" s="200" t="s">
        <v>4054</v>
      </c>
      <c r="E3470" s="10">
        <v>97907</v>
      </c>
      <c r="F3470" s="201">
        <v>-11</v>
      </c>
      <c r="G3470" s="201">
        <v>9.6999999999999993</v>
      </c>
    </row>
    <row r="3471" spans="4:7">
      <c r="D3471" s="200" t="s">
        <v>4055</v>
      </c>
      <c r="E3471" s="10">
        <v>10115</v>
      </c>
      <c r="F3471" s="201">
        <v>-11.1</v>
      </c>
      <c r="G3471" s="201">
        <v>11</v>
      </c>
    </row>
    <row r="3472" spans="4:7">
      <c r="D3472" s="200" t="s">
        <v>4056</v>
      </c>
      <c r="E3472" s="10">
        <v>10585</v>
      </c>
      <c r="F3472" s="201">
        <v>-11.1</v>
      </c>
      <c r="G3472" s="201">
        <v>10.9</v>
      </c>
    </row>
    <row r="3473" spans="4:7">
      <c r="D3473" s="200" t="s">
        <v>4057</v>
      </c>
      <c r="E3473" s="10">
        <v>10965</v>
      </c>
      <c r="F3473" s="201">
        <v>-11.1</v>
      </c>
      <c r="G3473" s="201">
        <v>10.9</v>
      </c>
    </row>
    <row r="3474" spans="4:7">
      <c r="D3474" s="200" t="s">
        <v>4058</v>
      </c>
      <c r="E3474" s="10">
        <v>10967</v>
      </c>
      <c r="F3474" s="201">
        <v>-11.1</v>
      </c>
      <c r="G3474" s="201">
        <v>10.9</v>
      </c>
    </row>
    <row r="3475" spans="4:7">
      <c r="D3475" s="200" t="s">
        <v>4058</v>
      </c>
      <c r="E3475" s="10">
        <v>12047</v>
      </c>
      <c r="F3475" s="201">
        <v>-11.1</v>
      </c>
      <c r="G3475" s="201">
        <v>10.9</v>
      </c>
    </row>
    <row r="3476" spans="4:7">
      <c r="D3476" s="200" t="s">
        <v>4059</v>
      </c>
      <c r="E3476" s="10">
        <v>19205</v>
      </c>
      <c r="F3476" s="201">
        <v>-11.1</v>
      </c>
      <c r="G3476" s="201">
        <v>9.1999999999999993</v>
      </c>
    </row>
    <row r="3477" spans="4:7">
      <c r="D3477" s="200" t="s">
        <v>4060</v>
      </c>
      <c r="E3477" s="10">
        <v>19243</v>
      </c>
      <c r="F3477" s="201">
        <v>-11.1</v>
      </c>
      <c r="G3477" s="201">
        <v>9.3000000000000007</v>
      </c>
    </row>
    <row r="3478" spans="4:7">
      <c r="D3478" s="200" t="s">
        <v>4061</v>
      </c>
      <c r="E3478" s="10">
        <v>19246</v>
      </c>
      <c r="F3478" s="201">
        <v>-11.1</v>
      </c>
      <c r="G3478" s="201">
        <v>9.3000000000000007</v>
      </c>
    </row>
    <row r="3479" spans="4:7">
      <c r="D3479" s="200" t="s">
        <v>3664</v>
      </c>
      <c r="E3479" s="10">
        <v>21335</v>
      </c>
      <c r="F3479" s="201">
        <v>-11.1</v>
      </c>
      <c r="G3479" s="201">
        <v>9.4</v>
      </c>
    </row>
    <row r="3480" spans="4:7">
      <c r="D3480" s="200" t="s">
        <v>4062</v>
      </c>
      <c r="E3480" s="10">
        <v>21369</v>
      </c>
      <c r="F3480" s="201">
        <v>-11.1</v>
      </c>
      <c r="G3480" s="201">
        <v>9.1</v>
      </c>
    </row>
    <row r="3481" spans="4:7">
      <c r="D3481" s="200" t="s">
        <v>4063</v>
      </c>
      <c r="E3481" s="10">
        <v>21371</v>
      </c>
      <c r="F3481" s="201">
        <v>-11.1</v>
      </c>
      <c r="G3481" s="201">
        <v>9.1</v>
      </c>
    </row>
    <row r="3482" spans="4:7">
      <c r="D3482" s="200" t="s">
        <v>4064</v>
      </c>
      <c r="E3482" s="10">
        <v>21388</v>
      </c>
      <c r="F3482" s="201">
        <v>-11.1</v>
      </c>
      <c r="G3482" s="201">
        <v>9.1</v>
      </c>
    </row>
    <row r="3483" spans="4:7">
      <c r="D3483" s="200" t="s">
        <v>4065</v>
      </c>
      <c r="E3483" s="10">
        <v>21391</v>
      </c>
      <c r="F3483" s="201">
        <v>-11.1</v>
      </c>
      <c r="G3483" s="201">
        <v>9.3000000000000007</v>
      </c>
    </row>
    <row r="3484" spans="4:7">
      <c r="D3484" s="200" t="s">
        <v>4066</v>
      </c>
      <c r="E3484" s="10">
        <v>21397</v>
      </c>
      <c r="F3484" s="201">
        <v>-11.1</v>
      </c>
      <c r="G3484" s="201">
        <v>9.3000000000000007</v>
      </c>
    </row>
    <row r="3485" spans="4:7">
      <c r="D3485" s="200" t="s">
        <v>4067</v>
      </c>
      <c r="E3485" s="10">
        <v>21400</v>
      </c>
      <c r="F3485" s="201">
        <v>-11.1</v>
      </c>
      <c r="G3485" s="201">
        <v>9.1999999999999993</v>
      </c>
    </row>
    <row r="3486" spans="4:7">
      <c r="D3486" s="200" t="s">
        <v>4068</v>
      </c>
      <c r="E3486" s="10">
        <v>23627</v>
      </c>
      <c r="F3486" s="201">
        <v>-11.1</v>
      </c>
      <c r="G3486" s="201">
        <v>9</v>
      </c>
    </row>
    <row r="3487" spans="4:7">
      <c r="D3487" s="200" t="s">
        <v>4069</v>
      </c>
      <c r="E3487" s="10">
        <v>23881</v>
      </c>
      <c r="F3487" s="201">
        <v>-11.1</v>
      </c>
      <c r="G3487" s="201">
        <v>9.1999999999999993</v>
      </c>
    </row>
    <row r="3488" spans="4:7">
      <c r="D3488" s="200" t="s">
        <v>4070</v>
      </c>
      <c r="E3488" s="10">
        <v>23896</v>
      </c>
      <c r="F3488" s="201">
        <v>-11.1</v>
      </c>
      <c r="G3488" s="201">
        <v>9.1</v>
      </c>
    </row>
    <row r="3489" spans="4:7">
      <c r="D3489" s="200" t="s">
        <v>3677</v>
      </c>
      <c r="E3489" s="10">
        <v>29223</v>
      </c>
      <c r="F3489" s="201">
        <v>-11.1</v>
      </c>
      <c r="G3489" s="201">
        <v>9.9</v>
      </c>
    </row>
    <row r="3490" spans="4:7">
      <c r="D3490" s="200" t="s">
        <v>3677</v>
      </c>
      <c r="E3490" s="10">
        <v>29227</v>
      </c>
      <c r="F3490" s="201">
        <v>-11.1</v>
      </c>
      <c r="G3490" s="201">
        <v>9.8000000000000007</v>
      </c>
    </row>
    <row r="3491" spans="4:7">
      <c r="D3491" s="200" t="s">
        <v>4071</v>
      </c>
      <c r="E3491" s="10">
        <v>29308</v>
      </c>
      <c r="F3491" s="201">
        <v>-11.1</v>
      </c>
      <c r="G3491" s="201">
        <v>9.6</v>
      </c>
    </row>
    <row r="3492" spans="4:7">
      <c r="D3492" s="200" t="s">
        <v>4072</v>
      </c>
      <c r="E3492" s="10">
        <v>29313</v>
      </c>
      <c r="F3492" s="201">
        <v>-11.1</v>
      </c>
      <c r="G3492" s="201">
        <v>9.6999999999999993</v>
      </c>
    </row>
    <row r="3493" spans="4:7">
      <c r="D3493" s="200" t="s">
        <v>4073</v>
      </c>
      <c r="E3493" s="10">
        <v>29336</v>
      </c>
      <c r="F3493" s="201">
        <v>-11.1</v>
      </c>
      <c r="G3493" s="201">
        <v>9.8000000000000007</v>
      </c>
    </row>
    <row r="3494" spans="4:7">
      <c r="D3494" s="200" t="s">
        <v>4074</v>
      </c>
      <c r="E3494" s="10">
        <v>29342</v>
      </c>
      <c r="F3494" s="201">
        <v>-11.1</v>
      </c>
      <c r="G3494" s="201">
        <v>9.6999999999999993</v>
      </c>
    </row>
    <row r="3495" spans="4:7">
      <c r="D3495" s="200" t="s">
        <v>4075</v>
      </c>
      <c r="E3495" s="10">
        <v>29352</v>
      </c>
      <c r="F3495" s="201">
        <v>-11.1</v>
      </c>
      <c r="G3495" s="201">
        <v>9.8000000000000007</v>
      </c>
    </row>
    <row r="3496" spans="4:7">
      <c r="D3496" s="200" t="s">
        <v>4076</v>
      </c>
      <c r="E3496" s="10">
        <v>29358</v>
      </c>
      <c r="F3496" s="201">
        <v>-11.1</v>
      </c>
      <c r="G3496" s="201">
        <v>9.6999999999999993</v>
      </c>
    </row>
    <row r="3497" spans="4:7">
      <c r="D3497" s="200" t="s">
        <v>4077</v>
      </c>
      <c r="E3497" s="10">
        <v>29525</v>
      </c>
      <c r="F3497" s="201">
        <v>-11.1</v>
      </c>
      <c r="G3497" s="201">
        <v>9.5</v>
      </c>
    </row>
    <row r="3498" spans="4:7">
      <c r="D3498" s="200" t="s">
        <v>4078</v>
      </c>
      <c r="E3498" s="10">
        <v>29649</v>
      </c>
      <c r="F3498" s="201">
        <v>-11.1</v>
      </c>
      <c r="G3498" s="201">
        <v>9.1</v>
      </c>
    </row>
    <row r="3499" spans="4:7">
      <c r="D3499" s="200" t="s">
        <v>2875</v>
      </c>
      <c r="E3499" s="10">
        <v>30659</v>
      </c>
      <c r="F3499" s="201">
        <v>-11.1</v>
      </c>
      <c r="G3499" s="201">
        <v>9.9</v>
      </c>
    </row>
    <row r="3500" spans="4:7">
      <c r="D3500" s="200" t="s">
        <v>4079</v>
      </c>
      <c r="E3500" s="10">
        <v>30880</v>
      </c>
      <c r="F3500" s="201">
        <v>-11.1</v>
      </c>
      <c r="G3500" s="201">
        <v>9.8000000000000007</v>
      </c>
    </row>
    <row r="3501" spans="4:7">
      <c r="D3501" s="200" t="s">
        <v>4080</v>
      </c>
      <c r="E3501" s="10">
        <v>30900</v>
      </c>
      <c r="F3501" s="201">
        <v>-11.1</v>
      </c>
      <c r="G3501" s="201">
        <v>9.8000000000000007</v>
      </c>
    </row>
    <row r="3502" spans="4:7">
      <c r="D3502" s="200" t="s">
        <v>4081</v>
      </c>
      <c r="E3502" s="10">
        <v>30926</v>
      </c>
      <c r="F3502" s="201">
        <v>-11.1</v>
      </c>
      <c r="G3502" s="201">
        <v>9.9</v>
      </c>
    </row>
    <row r="3503" spans="4:7">
      <c r="D3503" s="200" t="s">
        <v>4082</v>
      </c>
      <c r="E3503" s="10">
        <v>30938</v>
      </c>
      <c r="F3503" s="201">
        <v>-11.1</v>
      </c>
      <c r="G3503" s="201">
        <v>9.8000000000000007</v>
      </c>
    </row>
    <row r="3504" spans="4:7">
      <c r="D3504" s="200" t="s">
        <v>4083</v>
      </c>
      <c r="E3504" s="10">
        <v>30952</v>
      </c>
      <c r="F3504" s="201">
        <v>-11.1</v>
      </c>
      <c r="G3504" s="201">
        <v>9.9</v>
      </c>
    </row>
    <row r="3505" spans="4:7">
      <c r="D3505" s="200" t="s">
        <v>4084</v>
      </c>
      <c r="E3505" s="10">
        <v>30974</v>
      </c>
      <c r="F3505" s="201">
        <v>-11.1</v>
      </c>
      <c r="G3505" s="201">
        <v>9.8000000000000007</v>
      </c>
    </row>
    <row r="3506" spans="4:7">
      <c r="D3506" s="200" t="s">
        <v>4085</v>
      </c>
      <c r="E3506" s="10">
        <v>30989</v>
      </c>
      <c r="F3506" s="201">
        <v>-11.1</v>
      </c>
      <c r="G3506" s="201">
        <v>9.9</v>
      </c>
    </row>
    <row r="3507" spans="4:7">
      <c r="D3507" s="200" t="s">
        <v>4086</v>
      </c>
      <c r="E3507" s="10">
        <v>31008</v>
      </c>
      <c r="F3507" s="201">
        <v>-11.1</v>
      </c>
      <c r="G3507" s="201">
        <v>9.6999999999999993</v>
      </c>
    </row>
    <row r="3508" spans="4:7">
      <c r="D3508" s="200" t="s">
        <v>4087</v>
      </c>
      <c r="E3508" s="10">
        <v>31036</v>
      </c>
      <c r="F3508" s="201">
        <v>-11.1</v>
      </c>
      <c r="G3508" s="201">
        <v>9.6</v>
      </c>
    </row>
    <row r="3509" spans="4:7">
      <c r="D3509" s="200" t="s">
        <v>4088</v>
      </c>
      <c r="E3509" s="10">
        <v>31061</v>
      </c>
      <c r="F3509" s="201">
        <v>-11.1</v>
      </c>
      <c r="G3509" s="201">
        <v>9.6</v>
      </c>
    </row>
    <row r="3510" spans="4:7">
      <c r="D3510" s="200" t="s">
        <v>4089</v>
      </c>
      <c r="E3510" s="10">
        <v>31174</v>
      </c>
      <c r="F3510" s="201">
        <v>-11.1</v>
      </c>
      <c r="G3510" s="201">
        <v>9.6999999999999993</v>
      </c>
    </row>
    <row r="3511" spans="4:7">
      <c r="D3511" s="200" t="s">
        <v>4090</v>
      </c>
      <c r="E3511" s="10">
        <v>31224</v>
      </c>
      <c r="F3511" s="201">
        <v>-11.1</v>
      </c>
      <c r="G3511" s="201">
        <v>9.8000000000000007</v>
      </c>
    </row>
    <row r="3512" spans="4:7">
      <c r="D3512" s="200" t="s">
        <v>4090</v>
      </c>
      <c r="E3512" s="10">
        <v>31226</v>
      </c>
      <c r="F3512" s="201">
        <v>-11.1</v>
      </c>
      <c r="G3512" s="201">
        <v>9.8000000000000007</v>
      </c>
    </row>
    <row r="3513" spans="4:7">
      <c r="D3513" s="200" t="s">
        <v>4090</v>
      </c>
      <c r="E3513" s="10">
        <v>31228</v>
      </c>
      <c r="F3513" s="201">
        <v>-11.1</v>
      </c>
      <c r="G3513" s="201">
        <v>9.8000000000000007</v>
      </c>
    </row>
    <row r="3514" spans="4:7">
      <c r="D3514" s="200" t="s">
        <v>4091</v>
      </c>
      <c r="E3514" s="10">
        <v>31241</v>
      </c>
      <c r="F3514" s="201">
        <v>-11.1</v>
      </c>
      <c r="G3514" s="201">
        <v>9.8000000000000007</v>
      </c>
    </row>
    <row r="3515" spans="4:7">
      <c r="D3515" s="200" t="s">
        <v>4092</v>
      </c>
      <c r="E3515" s="10">
        <v>31832</v>
      </c>
      <c r="F3515" s="201">
        <v>-11.1</v>
      </c>
      <c r="G3515" s="201">
        <v>9.8000000000000007</v>
      </c>
    </row>
    <row r="3516" spans="4:7">
      <c r="D3516" s="200" t="s">
        <v>4093</v>
      </c>
      <c r="E3516" s="10">
        <v>31860</v>
      </c>
      <c r="F3516" s="201">
        <v>-11.1</v>
      </c>
      <c r="G3516" s="201">
        <v>9.8000000000000007</v>
      </c>
    </row>
    <row r="3517" spans="4:7">
      <c r="D3517" s="200" t="s">
        <v>4094</v>
      </c>
      <c r="E3517" s="10">
        <v>32805</v>
      </c>
      <c r="F3517" s="201">
        <v>-11.1</v>
      </c>
      <c r="G3517" s="201">
        <v>9.1999999999999993</v>
      </c>
    </row>
    <row r="3518" spans="4:7">
      <c r="D3518" s="200" t="s">
        <v>4095</v>
      </c>
      <c r="E3518" s="10">
        <v>32839</v>
      </c>
      <c r="F3518" s="201">
        <v>-11.1</v>
      </c>
      <c r="G3518" s="201">
        <v>9.3000000000000007</v>
      </c>
    </row>
    <row r="3519" spans="4:7">
      <c r="D3519" s="200" t="s">
        <v>4096</v>
      </c>
      <c r="E3519" s="10">
        <v>33142</v>
      </c>
      <c r="F3519" s="201">
        <v>-11.1</v>
      </c>
      <c r="G3519" s="201">
        <v>8.8000000000000007</v>
      </c>
    </row>
    <row r="3520" spans="4:7">
      <c r="D3520" s="200" t="s">
        <v>4097</v>
      </c>
      <c r="E3520" s="10">
        <v>34225</v>
      </c>
      <c r="F3520" s="201">
        <v>-11.1</v>
      </c>
      <c r="G3520" s="201">
        <v>9.3000000000000007</v>
      </c>
    </row>
    <row r="3521" spans="4:7">
      <c r="D3521" s="200" t="s">
        <v>4098</v>
      </c>
      <c r="E3521" s="10">
        <v>35112</v>
      </c>
      <c r="F3521" s="201">
        <v>-11.1</v>
      </c>
      <c r="G3521" s="201">
        <v>9.6</v>
      </c>
    </row>
    <row r="3522" spans="4:7">
      <c r="D3522" s="200" t="s">
        <v>3463</v>
      </c>
      <c r="E3522" s="10">
        <v>35398</v>
      </c>
      <c r="F3522" s="201">
        <v>-11.1</v>
      </c>
      <c r="G3522" s="201">
        <v>9.6999999999999993</v>
      </c>
    </row>
    <row r="3523" spans="4:7">
      <c r="D3523" s="200" t="s">
        <v>4099</v>
      </c>
      <c r="E3523" s="10">
        <v>35418</v>
      </c>
      <c r="F3523" s="201">
        <v>-11.1</v>
      </c>
      <c r="G3523" s="201">
        <v>9.3000000000000007</v>
      </c>
    </row>
    <row r="3524" spans="4:7">
      <c r="D3524" s="200" t="s">
        <v>4100</v>
      </c>
      <c r="E3524" s="10">
        <v>35440</v>
      </c>
      <c r="F3524" s="201">
        <v>-11.1</v>
      </c>
      <c r="G3524" s="201">
        <v>9.6</v>
      </c>
    </row>
    <row r="3525" spans="4:7">
      <c r="D3525" s="200" t="s">
        <v>4101</v>
      </c>
      <c r="E3525" s="10">
        <v>35447</v>
      </c>
      <c r="F3525" s="201">
        <v>-11.1</v>
      </c>
      <c r="G3525" s="201">
        <v>9.5</v>
      </c>
    </row>
    <row r="3526" spans="4:7">
      <c r="D3526" s="200" t="s">
        <v>3584</v>
      </c>
      <c r="E3526" s="10">
        <v>35579</v>
      </c>
      <c r="F3526" s="201">
        <v>-11.1</v>
      </c>
      <c r="G3526" s="201">
        <v>9.5</v>
      </c>
    </row>
    <row r="3527" spans="4:7">
      <c r="D3527" s="200" t="s">
        <v>3584</v>
      </c>
      <c r="E3527" s="10">
        <v>35584</v>
      </c>
      <c r="F3527" s="201">
        <v>-11.1</v>
      </c>
      <c r="G3527" s="201">
        <v>9.4</v>
      </c>
    </row>
    <row r="3528" spans="4:7">
      <c r="D3528" s="200" t="s">
        <v>4102</v>
      </c>
      <c r="E3528" s="10">
        <v>35614</v>
      </c>
      <c r="F3528" s="201">
        <v>-11.1</v>
      </c>
      <c r="G3528" s="201">
        <v>9</v>
      </c>
    </row>
    <row r="3529" spans="4:7">
      <c r="D3529" s="200" t="s">
        <v>4103</v>
      </c>
      <c r="E3529" s="10">
        <v>35619</v>
      </c>
      <c r="F3529" s="201">
        <v>-11.1</v>
      </c>
      <c r="G3529" s="201">
        <v>9.5</v>
      </c>
    </row>
    <row r="3530" spans="4:7">
      <c r="D3530" s="200" t="s">
        <v>4104</v>
      </c>
      <c r="E3530" s="10">
        <v>35625</v>
      </c>
      <c r="F3530" s="201">
        <v>-11.1</v>
      </c>
      <c r="G3530" s="201">
        <v>9.1999999999999993</v>
      </c>
    </row>
    <row r="3531" spans="4:7">
      <c r="D3531" s="200" t="s">
        <v>4105</v>
      </c>
      <c r="E3531" s="10">
        <v>35644</v>
      </c>
      <c r="F3531" s="201">
        <v>-11.1</v>
      </c>
      <c r="G3531" s="201">
        <v>9</v>
      </c>
    </row>
    <row r="3532" spans="4:7">
      <c r="D3532" s="200" t="s">
        <v>3924</v>
      </c>
      <c r="E3532" s="10">
        <v>35684</v>
      </c>
      <c r="F3532" s="201">
        <v>-11.1</v>
      </c>
      <c r="G3532" s="201">
        <v>8.6</v>
      </c>
    </row>
    <row r="3533" spans="4:7">
      <c r="D3533" s="200" t="s">
        <v>3924</v>
      </c>
      <c r="E3533" s="10">
        <v>35685</v>
      </c>
      <c r="F3533" s="201">
        <v>-11.1</v>
      </c>
      <c r="G3533" s="201">
        <v>8.6999999999999993</v>
      </c>
    </row>
    <row r="3534" spans="4:7">
      <c r="D3534" s="200" t="s">
        <v>3924</v>
      </c>
      <c r="E3534" s="10">
        <v>35686</v>
      </c>
      <c r="F3534" s="201">
        <v>-11.1</v>
      </c>
      <c r="G3534" s="201">
        <v>8.6</v>
      </c>
    </row>
    <row r="3535" spans="4:7">
      <c r="D3535" s="200" t="s">
        <v>3924</v>
      </c>
      <c r="E3535" s="10">
        <v>35688</v>
      </c>
      <c r="F3535" s="201">
        <v>-11.1</v>
      </c>
      <c r="G3535" s="201">
        <v>8.8000000000000007</v>
      </c>
    </row>
    <row r="3536" spans="4:7">
      <c r="D3536" s="200" t="s">
        <v>4106</v>
      </c>
      <c r="E3536" s="10">
        <v>35753</v>
      </c>
      <c r="F3536" s="201">
        <v>-11.1</v>
      </c>
      <c r="G3536" s="201">
        <v>8.6999999999999993</v>
      </c>
    </row>
    <row r="3537" spans="4:7">
      <c r="D3537" s="200" t="s">
        <v>4107</v>
      </c>
      <c r="E3537" s="10">
        <v>35759</v>
      </c>
      <c r="F3537" s="201">
        <v>-11.1</v>
      </c>
      <c r="G3537" s="201">
        <v>8.1</v>
      </c>
    </row>
    <row r="3538" spans="4:7">
      <c r="D3538" s="200" t="s">
        <v>4108</v>
      </c>
      <c r="E3538" s="10">
        <v>35792</v>
      </c>
      <c r="F3538" s="201">
        <v>-11.1</v>
      </c>
      <c r="G3538" s="201">
        <v>9.4</v>
      </c>
    </row>
    <row r="3539" spans="4:7">
      <c r="D3539" s="200" t="s">
        <v>4109</v>
      </c>
      <c r="E3539" s="10">
        <v>38440</v>
      </c>
      <c r="F3539" s="201">
        <v>-11.1</v>
      </c>
      <c r="G3539" s="201">
        <v>10</v>
      </c>
    </row>
    <row r="3540" spans="4:7">
      <c r="D3540" s="200" t="s">
        <v>4110</v>
      </c>
      <c r="E3540" s="10">
        <v>39108</v>
      </c>
      <c r="F3540" s="201">
        <v>-11.1</v>
      </c>
      <c r="G3540" s="201">
        <v>10.6</v>
      </c>
    </row>
    <row r="3541" spans="4:7">
      <c r="D3541" s="200" t="s">
        <v>4111</v>
      </c>
      <c r="E3541" s="10">
        <v>53937</v>
      </c>
      <c r="F3541" s="201">
        <v>-11.1</v>
      </c>
      <c r="G3541" s="201">
        <v>8.1999999999999993</v>
      </c>
    </row>
    <row r="3542" spans="4:7">
      <c r="D3542" s="200" t="s">
        <v>4112</v>
      </c>
      <c r="E3542" s="10">
        <v>54421</v>
      </c>
      <c r="F3542" s="201">
        <v>-11.1</v>
      </c>
      <c r="G3542" s="201">
        <v>8.6</v>
      </c>
    </row>
    <row r="3543" spans="4:7">
      <c r="D3543" s="200" t="s">
        <v>4113</v>
      </c>
      <c r="E3543" s="10">
        <v>54538</v>
      </c>
      <c r="F3543" s="201">
        <v>-11.1</v>
      </c>
      <c r="G3543" s="201">
        <v>8.5</v>
      </c>
    </row>
    <row r="3544" spans="4:7">
      <c r="D3544" s="200" t="s">
        <v>4114</v>
      </c>
      <c r="E3544" s="10">
        <v>55432</v>
      </c>
      <c r="F3544" s="201">
        <v>-11.1</v>
      </c>
      <c r="G3544" s="201">
        <v>8.5</v>
      </c>
    </row>
    <row r="3545" spans="4:7">
      <c r="D3545" s="200" t="s">
        <v>4115</v>
      </c>
      <c r="E3545" s="10">
        <v>55608</v>
      </c>
      <c r="F3545" s="201">
        <v>-11.1</v>
      </c>
      <c r="G3545" s="201">
        <v>8.6999999999999993</v>
      </c>
    </row>
    <row r="3546" spans="4:7">
      <c r="D3546" s="200" t="s">
        <v>4116</v>
      </c>
      <c r="E3546" s="10">
        <v>56761</v>
      </c>
      <c r="F3546" s="201">
        <v>-11.1</v>
      </c>
      <c r="G3546" s="201">
        <v>8.5</v>
      </c>
    </row>
    <row r="3547" spans="4:7">
      <c r="D3547" s="200" t="s">
        <v>4117</v>
      </c>
      <c r="E3547" s="10">
        <v>56766</v>
      </c>
      <c r="F3547" s="201">
        <v>-11.1</v>
      </c>
      <c r="G3547" s="201">
        <v>8.5</v>
      </c>
    </row>
    <row r="3548" spans="4:7">
      <c r="D3548" s="200" t="s">
        <v>4118</v>
      </c>
      <c r="E3548" s="10">
        <v>56823</v>
      </c>
      <c r="F3548" s="201">
        <v>-11.1</v>
      </c>
      <c r="G3548" s="201">
        <v>8.5</v>
      </c>
    </row>
    <row r="3549" spans="4:7">
      <c r="D3549" s="200" t="s">
        <v>4119</v>
      </c>
      <c r="E3549" s="10">
        <v>57299</v>
      </c>
      <c r="F3549" s="201">
        <v>-11.1</v>
      </c>
      <c r="G3549" s="201">
        <v>8</v>
      </c>
    </row>
    <row r="3550" spans="4:7">
      <c r="D3550" s="200" t="s">
        <v>4120</v>
      </c>
      <c r="E3550" s="10">
        <v>57392</v>
      </c>
      <c r="F3550" s="201">
        <v>-11.1</v>
      </c>
      <c r="G3550" s="201">
        <v>8.3000000000000007</v>
      </c>
    </row>
    <row r="3551" spans="4:7">
      <c r="D3551" s="200" t="s">
        <v>4121</v>
      </c>
      <c r="E3551" s="10">
        <v>61250</v>
      </c>
      <c r="F3551" s="201">
        <v>-11.1</v>
      </c>
      <c r="G3551" s="201">
        <v>9.1</v>
      </c>
    </row>
    <row r="3552" spans="4:7">
      <c r="D3552" s="200" t="s">
        <v>4122</v>
      </c>
      <c r="E3552" s="10">
        <v>61276</v>
      </c>
      <c r="F3552" s="201">
        <v>-11.1</v>
      </c>
      <c r="G3552" s="201">
        <v>8.6999999999999993</v>
      </c>
    </row>
    <row r="3553" spans="4:7">
      <c r="D3553" s="200" t="s">
        <v>4123</v>
      </c>
      <c r="E3553" s="10">
        <v>63776</v>
      </c>
      <c r="F3553" s="201">
        <v>-11.1</v>
      </c>
      <c r="G3553" s="201">
        <v>9.6999999999999993</v>
      </c>
    </row>
    <row r="3554" spans="4:7">
      <c r="D3554" s="200" t="s">
        <v>4124</v>
      </c>
      <c r="E3554" s="10">
        <v>63856</v>
      </c>
      <c r="F3554" s="201">
        <v>-11.1</v>
      </c>
      <c r="G3554" s="201">
        <v>9.9</v>
      </c>
    </row>
    <row r="3555" spans="4:7">
      <c r="D3555" s="200" t="s">
        <v>4125</v>
      </c>
      <c r="E3555" s="10">
        <v>63916</v>
      </c>
      <c r="F3555" s="201">
        <v>-11.1</v>
      </c>
      <c r="G3555" s="201">
        <v>9.6999999999999993</v>
      </c>
    </row>
    <row r="3556" spans="4:7">
      <c r="D3556" s="200" t="s">
        <v>4126</v>
      </c>
      <c r="E3556" s="10">
        <v>63928</v>
      </c>
      <c r="F3556" s="201">
        <v>-11.1</v>
      </c>
      <c r="G3556" s="201">
        <v>9.8000000000000007</v>
      </c>
    </row>
    <row r="3557" spans="4:7">
      <c r="D3557" s="200" t="s">
        <v>4127</v>
      </c>
      <c r="E3557" s="10">
        <v>63931</v>
      </c>
      <c r="F3557" s="201">
        <v>-11.1</v>
      </c>
      <c r="G3557" s="201">
        <v>9.8000000000000007</v>
      </c>
    </row>
    <row r="3558" spans="4:7">
      <c r="D3558" s="200" t="s">
        <v>4128</v>
      </c>
      <c r="E3558" s="10">
        <v>63933</v>
      </c>
      <c r="F3558" s="201">
        <v>-11.1</v>
      </c>
      <c r="G3558" s="201">
        <v>9.9</v>
      </c>
    </row>
    <row r="3559" spans="4:7">
      <c r="D3559" s="200" t="s">
        <v>4129</v>
      </c>
      <c r="E3559" s="10">
        <v>63934</v>
      </c>
      <c r="F3559" s="201">
        <v>-11.1</v>
      </c>
      <c r="G3559" s="201">
        <v>9.8000000000000007</v>
      </c>
    </row>
    <row r="3560" spans="4:7">
      <c r="D3560" s="200" t="s">
        <v>4130</v>
      </c>
      <c r="E3560" s="10">
        <v>64757</v>
      </c>
      <c r="F3560" s="201">
        <v>-11.1</v>
      </c>
      <c r="G3560" s="201">
        <v>9.4</v>
      </c>
    </row>
    <row r="3561" spans="4:7">
      <c r="D3561" s="200" t="s">
        <v>4131</v>
      </c>
      <c r="E3561" s="10">
        <v>65388</v>
      </c>
      <c r="F3561" s="201">
        <v>-11.1</v>
      </c>
      <c r="G3561" s="201">
        <v>8.6999999999999993</v>
      </c>
    </row>
    <row r="3562" spans="4:7">
      <c r="D3562" s="200" t="s">
        <v>4132</v>
      </c>
      <c r="E3562" s="10">
        <v>67471</v>
      </c>
      <c r="F3562" s="201">
        <v>-11.1</v>
      </c>
      <c r="G3562" s="201">
        <v>9.3000000000000007</v>
      </c>
    </row>
    <row r="3563" spans="4:7">
      <c r="D3563" s="200" t="s">
        <v>4133</v>
      </c>
      <c r="E3563" s="10">
        <v>69434</v>
      </c>
      <c r="F3563" s="201">
        <v>-11.1</v>
      </c>
      <c r="G3563" s="201">
        <v>9.4</v>
      </c>
    </row>
    <row r="3564" spans="4:7">
      <c r="D3564" s="200" t="s">
        <v>2307</v>
      </c>
      <c r="E3564" s="10">
        <v>70439</v>
      </c>
      <c r="F3564" s="201">
        <v>-11.1</v>
      </c>
      <c r="G3564" s="201">
        <v>10.3</v>
      </c>
    </row>
    <row r="3565" spans="4:7">
      <c r="D3565" s="200" t="s">
        <v>2307</v>
      </c>
      <c r="E3565" s="10">
        <v>70567</v>
      </c>
      <c r="F3565" s="201">
        <v>-11.1</v>
      </c>
      <c r="G3565" s="201">
        <v>9.8000000000000007</v>
      </c>
    </row>
    <row r="3566" spans="4:7">
      <c r="D3566" s="200" t="s">
        <v>3848</v>
      </c>
      <c r="E3566" s="10">
        <v>70734</v>
      </c>
      <c r="F3566" s="201">
        <v>-11.1</v>
      </c>
      <c r="G3566" s="201">
        <v>10.1</v>
      </c>
    </row>
    <row r="3567" spans="4:7">
      <c r="D3567" s="200" t="s">
        <v>4134</v>
      </c>
      <c r="E3567" s="10">
        <v>71063</v>
      </c>
      <c r="F3567" s="201">
        <v>-11.1</v>
      </c>
      <c r="G3567" s="201">
        <v>9.9</v>
      </c>
    </row>
    <row r="3568" spans="4:7">
      <c r="D3568" s="200" t="s">
        <v>4135</v>
      </c>
      <c r="E3568" s="10">
        <v>71397</v>
      </c>
      <c r="F3568" s="201">
        <v>-11.1</v>
      </c>
      <c r="G3568" s="201">
        <v>10.199999999999999</v>
      </c>
    </row>
    <row r="3569" spans="4:7">
      <c r="D3569" s="200" t="s">
        <v>4136</v>
      </c>
      <c r="E3569" s="10">
        <v>71546</v>
      </c>
      <c r="F3569" s="201">
        <v>-11.1</v>
      </c>
      <c r="G3569" s="201">
        <v>10.1</v>
      </c>
    </row>
    <row r="3570" spans="4:7">
      <c r="D3570" s="200" t="s">
        <v>4137</v>
      </c>
      <c r="E3570" s="10">
        <v>71563</v>
      </c>
      <c r="F3570" s="201">
        <v>-11.1</v>
      </c>
      <c r="G3570" s="201">
        <v>10.199999999999999</v>
      </c>
    </row>
    <row r="3571" spans="4:7">
      <c r="D3571" s="200" t="s">
        <v>4138</v>
      </c>
      <c r="E3571" s="10">
        <v>71573</v>
      </c>
      <c r="F3571" s="201">
        <v>-11.1</v>
      </c>
      <c r="G3571" s="201">
        <v>10.1</v>
      </c>
    </row>
    <row r="3572" spans="4:7">
      <c r="D3572" s="200" t="s">
        <v>4139</v>
      </c>
      <c r="E3572" s="10">
        <v>71696</v>
      </c>
      <c r="F3572" s="201">
        <v>-11.1</v>
      </c>
      <c r="G3572" s="201">
        <v>10.199999999999999</v>
      </c>
    </row>
    <row r="3573" spans="4:7">
      <c r="D3573" s="200" t="s">
        <v>4140</v>
      </c>
      <c r="E3573" s="10">
        <v>71729</v>
      </c>
      <c r="F3573" s="201">
        <v>-11.1</v>
      </c>
      <c r="G3573" s="201">
        <v>10.199999999999999</v>
      </c>
    </row>
    <row r="3574" spans="4:7">
      <c r="D3574" s="200" t="s">
        <v>4141</v>
      </c>
      <c r="E3574" s="10">
        <v>71737</v>
      </c>
      <c r="F3574" s="201">
        <v>-11.1</v>
      </c>
      <c r="G3574" s="201">
        <v>10.1</v>
      </c>
    </row>
    <row r="3575" spans="4:7">
      <c r="D3575" s="200" t="s">
        <v>4142</v>
      </c>
      <c r="E3575" s="10">
        <v>72072</v>
      </c>
      <c r="F3575" s="201">
        <v>-11.1</v>
      </c>
      <c r="G3575" s="201">
        <v>9.9</v>
      </c>
    </row>
    <row r="3576" spans="4:7">
      <c r="D3576" s="200" t="s">
        <v>4143</v>
      </c>
      <c r="E3576" s="10">
        <v>72654</v>
      </c>
      <c r="F3576" s="201">
        <v>-11.1</v>
      </c>
      <c r="G3576" s="201">
        <v>10</v>
      </c>
    </row>
    <row r="3577" spans="4:7">
      <c r="D3577" s="200" t="s">
        <v>4144</v>
      </c>
      <c r="E3577" s="10">
        <v>72655</v>
      </c>
      <c r="F3577" s="201">
        <v>-11.1</v>
      </c>
      <c r="G3577" s="201">
        <v>10</v>
      </c>
    </row>
    <row r="3578" spans="4:7">
      <c r="D3578" s="200" t="s">
        <v>4145</v>
      </c>
      <c r="E3578" s="10">
        <v>72663</v>
      </c>
      <c r="F3578" s="201">
        <v>-11.1</v>
      </c>
      <c r="G3578" s="201">
        <v>9.9</v>
      </c>
    </row>
    <row r="3579" spans="4:7">
      <c r="D3579" s="200" t="s">
        <v>4146</v>
      </c>
      <c r="E3579" s="10">
        <v>73061</v>
      </c>
      <c r="F3579" s="201">
        <v>-11.1</v>
      </c>
      <c r="G3579" s="201">
        <v>10</v>
      </c>
    </row>
    <row r="3580" spans="4:7">
      <c r="D3580" s="200" t="s">
        <v>4147</v>
      </c>
      <c r="E3580" s="10">
        <v>73092</v>
      </c>
      <c r="F3580" s="201">
        <v>-11.1</v>
      </c>
      <c r="G3580" s="201">
        <v>9.6999999999999993</v>
      </c>
    </row>
    <row r="3581" spans="4:7">
      <c r="D3581" s="200" t="s">
        <v>4148</v>
      </c>
      <c r="E3581" s="10">
        <v>73098</v>
      </c>
      <c r="F3581" s="201">
        <v>-11.1</v>
      </c>
      <c r="G3581" s="201">
        <v>9.9</v>
      </c>
    </row>
    <row r="3582" spans="4:7">
      <c r="D3582" s="200" t="s">
        <v>4149</v>
      </c>
      <c r="E3582" s="10">
        <v>73269</v>
      </c>
      <c r="F3582" s="201">
        <v>-11.1</v>
      </c>
      <c r="G3582" s="201">
        <v>10</v>
      </c>
    </row>
    <row r="3583" spans="4:7">
      <c r="D3583" s="200" t="s">
        <v>4150</v>
      </c>
      <c r="E3583" s="10">
        <v>73630</v>
      </c>
      <c r="F3583" s="201">
        <v>-11.1</v>
      </c>
      <c r="G3583" s="201">
        <v>10.199999999999999</v>
      </c>
    </row>
    <row r="3584" spans="4:7">
      <c r="D3584" s="200" t="s">
        <v>2899</v>
      </c>
      <c r="E3584" s="10">
        <v>73660</v>
      </c>
      <c r="F3584" s="201">
        <v>-11.1</v>
      </c>
      <c r="G3584" s="201">
        <v>10.199999999999999</v>
      </c>
    </row>
    <row r="3585" spans="4:7">
      <c r="D3585" s="200" t="s">
        <v>4151</v>
      </c>
      <c r="E3585" s="10">
        <v>73663</v>
      </c>
      <c r="F3585" s="201">
        <v>-11.1</v>
      </c>
      <c r="G3585" s="201">
        <v>10.1</v>
      </c>
    </row>
    <row r="3586" spans="4:7">
      <c r="D3586" s="200" t="s">
        <v>4152</v>
      </c>
      <c r="E3586" s="10">
        <v>74214</v>
      </c>
      <c r="F3586" s="201">
        <v>-11.1</v>
      </c>
      <c r="G3586" s="201">
        <v>9.9</v>
      </c>
    </row>
    <row r="3587" spans="4:7">
      <c r="D3587" s="200" t="s">
        <v>4153</v>
      </c>
      <c r="E3587" s="10">
        <v>74238</v>
      </c>
      <c r="F3587" s="201">
        <v>-11.1</v>
      </c>
      <c r="G3587" s="201">
        <v>9.9</v>
      </c>
    </row>
    <row r="3588" spans="4:7">
      <c r="D3588" s="200" t="s">
        <v>4154</v>
      </c>
      <c r="E3588" s="10">
        <v>74382</v>
      </c>
      <c r="F3588" s="201">
        <v>-11.1</v>
      </c>
      <c r="G3588" s="201">
        <v>10</v>
      </c>
    </row>
    <row r="3589" spans="4:7">
      <c r="D3589" s="200" t="s">
        <v>4155</v>
      </c>
      <c r="E3589" s="10">
        <v>74743</v>
      </c>
      <c r="F3589" s="201">
        <v>-11.1</v>
      </c>
      <c r="G3589" s="201">
        <v>9.6999999999999993</v>
      </c>
    </row>
    <row r="3590" spans="4:7">
      <c r="D3590" s="200" t="s">
        <v>4156</v>
      </c>
      <c r="E3590" s="10">
        <v>74747</v>
      </c>
      <c r="F3590" s="201">
        <v>-11.1</v>
      </c>
      <c r="G3590" s="201">
        <v>9.8000000000000007</v>
      </c>
    </row>
    <row r="3591" spans="4:7">
      <c r="D3591" s="200" t="s">
        <v>4157</v>
      </c>
      <c r="E3591" s="10">
        <v>74749</v>
      </c>
      <c r="F3591" s="201">
        <v>-11.1</v>
      </c>
      <c r="G3591" s="201">
        <v>9.8000000000000007</v>
      </c>
    </row>
    <row r="3592" spans="4:7">
      <c r="D3592" s="200" t="s">
        <v>4158</v>
      </c>
      <c r="E3592" s="10">
        <v>74936</v>
      </c>
      <c r="F3592" s="201">
        <v>-11.1</v>
      </c>
      <c r="G3592" s="201">
        <v>9.9</v>
      </c>
    </row>
    <row r="3593" spans="4:7">
      <c r="D3593" s="200" t="s">
        <v>4159</v>
      </c>
      <c r="E3593" s="10">
        <v>77796</v>
      </c>
      <c r="F3593" s="201">
        <v>-11.1</v>
      </c>
      <c r="G3593" s="201">
        <v>9.6999999999999993</v>
      </c>
    </row>
    <row r="3594" spans="4:7">
      <c r="D3594" s="200" t="s">
        <v>4160</v>
      </c>
      <c r="E3594" s="10">
        <v>79283</v>
      </c>
      <c r="F3594" s="201">
        <v>-11.1</v>
      </c>
      <c r="G3594" s="201">
        <v>9.4</v>
      </c>
    </row>
    <row r="3595" spans="4:7">
      <c r="D3595" s="200" t="s">
        <v>4161</v>
      </c>
      <c r="E3595" s="10">
        <v>79289</v>
      </c>
      <c r="F3595" s="201">
        <v>-11.1</v>
      </c>
      <c r="G3595" s="201">
        <v>9.4</v>
      </c>
    </row>
    <row r="3596" spans="4:7">
      <c r="D3596" s="200" t="s">
        <v>4162</v>
      </c>
      <c r="E3596" s="10">
        <v>80331</v>
      </c>
      <c r="F3596" s="201">
        <v>-11.1</v>
      </c>
      <c r="G3596" s="201">
        <v>10.199999999999999</v>
      </c>
    </row>
    <row r="3597" spans="4:7">
      <c r="D3597" s="200" t="s">
        <v>4162</v>
      </c>
      <c r="E3597" s="10">
        <v>80333</v>
      </c>
      <c r="F3597" s="201">
        <v>-11.1</v>
      </c>
      <c r="G3597" s="201">
        <v>10.199999999999999</v>
      </c>
    </row>
    <row r="3598" spans="4:7">
      <c r="D3598" s="200" t="s">
        <v>4163</v>
      </c>
      <c r="E3598" s="10">
        <v>88099</v>
      </c>
      <c r="F3598" s="201">
        <v>-11.1</v>
      </c>
      <c r="G3598" s="201">
        <v>8.9</v>
      </c>
    </row>
    <row r="3599" spans="4:7">
      <c r="D3599" s="200" t="s">
        <v>4164</v>
      </c>
      <c r="E3599" s="10">
        <v>97246</v>
      </c>
      <c r="F3599" s="201">
        <v>-11.1</v>
      </c>
      <c r="G3599" s="201">
        <v>10.1</v>
      </c>
    </row>
    <row r="3600" spans="4:7">
      <c r="D3600" s="200" t="s">
        <v>4165</v>
      </c>
      <c r="E3600" s="10">
        <v>97286</v>
      </c>
      <c r="F3600" s="201">
        <v>-11.1</v>
      </c>
      <c r="G3600" s="201">
        <v>10.199999999999999</v>
      </c>
    </row>
    <row r="3601" spans="4:7">
      <c r="D3601" s="200" t="s">
        <v>4166</v>
      </c>
      <c r="E3601" s="10">
        <v>97289</v>
      </c>
      <c r="F3601" s="201">
        <v>-11.1</v>
      </c>
      <c r="G3601" s="201">
        <v>9.6999999999999993</v>
      </c>
    </row>
    <row r="3602" spans="4:7">
      <c r="D3602" s="200" t="s">
        <v>4167</v>
      </c>
      <c r="E3602" s="10">
        <v>97320</v>
      </c>
      <c r="F3602" s="201">
        <v>-11.1</v>
      </c>
      <c r="G3602" s="201">
        <v>10.1</v>
      </c>
    </row>
    <row r="3603" spans="4:7">
      <c r="D3603" s="200" t="s">
        <v>4168</v>
      </c>
      <c r="E3603" s="10">
        <v>97720</v>
      </c>
      <c r="F3603" s="201">
        <v>-11.1</v>
      </c>
      <c r="G3603" s="201">
        <v>9.1</v>
      </c>
    </row>
    <row r="3604" spans="4:7">
      <c r="D3604" s="200" t="s">
        <v>4169</v>
      </c>
      <c r="E3604" s="10">
        <v>97834</v>
      </c>
      <c r="F3604" s="201">
        <v>-11.1</v>
      </c>
      <c r="G3604" s="201">
        <v>9.8000000000000007</v>
      </c>
    </row>
    <row r="3605" spans="4:7">
      <c r="D3605" s="200" t="s">
        <v>4055</v>
      </c>
      <c r="E3605" s="10">
        <v>10119</v>
      </c>
      <c r="F3605" s="201">
        <v>-11.2</v>
      </c>
      <c r="G3605" s="201">
        <v>10.8</v>
      </c>
    </row>
    <row r="3606" spans="4:7">
      <c r="D3606" s="200" t="s">
        <v>4055</v>
      </c>
      <c r="E3606" s="10">
        <v>10178</v>
      </c>
      <c r="F3606" s="201">
        <v>-11.2</v>
      </c>
      <c r="G3606" s="201">
        <v>10.9</v>
      </c>
    </row>
    <row r="3607" spans="4:7">
      <c r="D3607" s="200" t="s">
        <v>4055</v>
      </c>
      <c r="E3607" s="10">
        <v>10179</v>
      </c>
      <c r="F3607" s="201">
        <v>-11.2</v>
      </c>
      <c r="G3607" s="201">
        <v>10.9</v>
      </c>
    </row>
    <row r="3608" spans="4:7">
      <c r="D3608" s="200" t="s">
        <v>4170</v>
      </c>
      <c r="E3608" s="10">
        <v>10405</v>
      </c>
      <c r="F3608" s="201">
        <v>-11.2</v>
      </c>
      <c r="G3608" s="201">
        <v>10.8</v>
      </c>
    </row>
    <row r="3609" spans="4:7">
      <c r="D3609" s="200" t="s">
        <v>4170</v>
      </c>
      <c r="E3609" s="10">
        <v>10435</v>
      </c>
      <c r="F3609" s="201">
        <v>-11.2</v>
      </c>
      <c r="G3609" s="201">
        <v>10.8</v>
      </c>
    </row>
    <row r="3610" spans="4:7">
      <c r="D3610" s="200" t="s">
        <v>4171</v>
      </c>
      <c r="E3610" s="10">
        <v>10559</v>
      </c>
      <c r="F3610" s="201">
        <v>-11.2</v>
      </c>
      <c r="G3610" s="201">
        <v>10.8</v>
      </c>
    </row>
    <row r="3611" spans="4:7">
      <c r="D3611" s="200" t="s">
        <v>4056</v>
      </c>
      <c r="E3611" s="10">
        <v>10625</v>
      </c>
      <c r="F3611" s="201">
        <v>-11.2</v>
      </c>
      <c r="G3611" s="201">
        <v>10.8</v>
      </c>
    </row>
    <row r="3612" spans="4:7">
      <c r="D3612" s="200" t="s">
        <v>4056</v>
      </c>
      <c r="E3612" s="10">
        <v>10627</v>
      </c>
      <c r="F3612" s="201">
        <v>-11.2</v>
      </c>
      <c r="G3612" s="201">
        <v>10.9</v>
      </c>
    </row>
    <row r="3613" spans="4:7">
      <c r="D3613" s="200" t="s">
        <v>4056</v>
      </c>
      <c r="E3613" s="10">
        <v>10629</v>
      </c>
      <c r="F3613" s="201">
        <v>-11.2</v>
      </c>
      <c r="G3613" s="201">
        <v>10.8</v>
      </c>
    </row>
    <row r="3614" spans="4:7">
      <c r="D3614" s="200" t="s">
        <v>4172</v>
      </c>
      <c r="E3614" s="10">
        <v>13357</v>
      </c>
      <c r="F3614" s="201">
        <v>-11.2</v>
      </c>
      <c r="G3614" s="201">
        <v>10.8</v>
      </c>
    </row>
    <row r="3615" spans="4:7">
      <c r="D3615" s="200" t="s">
        <v>4173</v>
      </c>
      <c r="E3615" s="10">
        <v>18311</v>
      </c>
      <c r="F3615" s="201">
        <v>-11.2</v>
      </c>
      <c r="G3615" s="201">
        <v>9.1</v>
      </c>
    </row>
    <row r="3616" spans="4:7">
      <c r="D3616" s="200" t="s">
        <v>3755</v>
      </c>
      <c r="E3616" s="10">
        <v>19059</v>
      </c>
      <c r="F3616" s="201">
        <v>-11.2</v>
      </c>
      <c r="G3616" s="201">
        <v>9.4</v>
      </c>
    </row>
    <row r="3617" spans="4:7">
      <c r="D3617" s="200" t="s">
        <v>4174</v>
      </c>
      <c r="E3617" s="10">
        <v>19217</v>
      </c>
      <c r="F3617" s="201">
        <v>-11.2</v>
      </c>
      <c r="G3617" s="201">
        <v>9</v>
      </c>
    </row>
    <row r="3618" spans="4:7">
      <c r="D3618" s="200" t="s">
        <v>4175</v>
      </c>
      <c r="E3618" s="10">
        <v>19273</v>
      </c>
      <c r="F3618" s="201">
        <v>-11.2</v>
      </c>
      <c r="G3618" s="201">
        <v>9.4</v>
      </c>
    </row>
    <row r="3619" spans="4:7">
      <c r="D3619" s="200" t="s">
        <v>4176</v>
      </c>
      <c r="E3619" s="10">
        <v>21368</v>
      </c>
      <c r="F3619" s="201">
        <v>-11.2</v>
      </c>
      <c r="G3619" s="201">
        <v>9.3000000000000007</v>
      </c>
    </row>
    <row r="3620" spans="4:7" ht="30">
      <c r="D3620" s="200" t="s">
        <v>4177</v>
      </c>
      <c r="E3620" s="10">
        <v>21394</v>
      </c>
      <c r="F3620" s="201">
        <v>-11.2</v>
      </c>
      <c r="G3620" s="201">
        <v>9.1</v>
      </c>
    </row>
    <row r="3621" spans="4:7">
      <c r="D3621" s="200" t="s">
        <v>4178</v>
      </c>
      <c r="E3621" s="10">
        <v>21401</v>
      </c>
      <c r="F3621" s="201">
        <v>-11.2</v>
      </c>
      <c r="G3621" s="201">
        <v>9.3000000000000007</v>
      </c>
    </row>
    <row r="3622" spans="4:7">
      <c r="D3622" s="200" t="s">
        <v>4179</v>
      </c>
      <c r="E3622" s="10">
        <v>21407</v>
      </c>
      <c r="F3622" s="201">
        <v>-11.2</v>
      </c>
      <c r="G3622" s="201">
        <v>9.4</v>
      </c>
    </row>
    <row r="3623" spans="4:7">
      <c r="D3623" s="200" t="s">
        <v>4180</v>
      </c>
      <c r="E3623" s="10">
        <v>23911</v>
      </c>
      <c r="F3623" s="201">
        <v>-11.2</v>
      </c>
      <c r="G3623" s="201">
        <v>9</v>
      </c>
    </row>
    <row r="3624" spans="4:7">
      <c r="D3624" s="200" t="s">
        <v>4181</v>
      </c>
      <c r="E3624" s="10">
        <v>23996</v>
      </c>
      <c r="F3624" s="201">
        <v>-11.2</v>
      </c>
      <c r="G3624" s="201">
        <v>9</v>
      </c>
    </row>
    <row r="3625" spans="4:7">
      <c r="D3625" s="200" t="s">
        <v>4182</v>
      </c>
      <c r="E3625" s="10">
        <v>29229</v>
      </c>
      <c r="F3625" s="201">
        <v>-11.2</v>
      </c>
      <c r="G3625" s="201">
        <v>9.6</v>
      </c>
    </row>
    <row r="3626" spans="4:7">
      <c r="D3626" s="200" t="s">
        <v>4183</v>
      </c>
      <c r="E3626" s="10">
        <v>29303</v>
      </c>
      <c r="F3626" s="201">
        <v>-11.2</v>
      </c>
      <c r="G3626" s="201">
        <v>9.1</v>
      </c>
    </row>
    <row r="3627" spans="4:7">
      <c r="D3627" s="200" t="s">
        <v>4184</v>
      </c>
      <c r="E3627" s="10">
        <v>29323</v>
      </c>
      <c r="F3627" s="201">
        <v>-11.2</v>
      </c>
      <c r="G3627" s="201">
        <v>9.6999999999999993</v>
      </c>
    </row>
    <row r="3628" spans="4:7">
      <c r="D3628" s="200" t="s">
        <v>4185</v>
      </c>
      <c r="E3628" s="10">
        <v>29339</v>
      </c>
      <c r="F3628" s="201">
        <v>-11.2</v>
      </c>
      <c r="G3628" s="201">
        <v>9.6999999999999993</v>
      </c>
    </row>
    <row r="3629" spans="4:7">
      <c r="D3629" s="200" t="s">
        <v>4186</v>
      </c>
      <c r="E3629" s="10">
        <v>29356</v>
      </c>
      <c r="F3629" s="201">
        <v>-11.2</v>
      </c>
      <c r="G3629" s="201">
        <v>9.6999999999999993</v>
      </c>
    </row>
    <row r="3630" spans="4:7">
      <c r="D3630" s="200" t="s">
        <v>4187</v>
      </c>
      <c r="E3630" s="10">
        <v>29364</v>
      </c>
      <c r="F3630" s="201">
        <v>-11.2</v>
      </c>
      <c r="G3630" s="201">
        <v>9.6999999999999993</v>
      </c>
    </row>
    <row r="3631" spans="4:7">
      <c r="D3631" s="200" t="s">
        <v>4188</v>
      </c>
      <c r="E3631" s="10">
        <v>29490</v>
      </c>
      <c r="F3631" s="201">
        <v>-11.2</v>
      </c>
      <c r="G3631" s="201">
        <v>9.1999999999999993</v>
      </c>
    </row>
    <row r="3632" spans="4:7">
      <c r="D3632" s="200" t="s">
        <v>4189</v>
      </c>
      <c r="E3632" s="10">
        <v>30982</v>
      </c>
      <c r="F3632" s="201">
        <v>-11.2</v>
      </c>
      <c r="G3632" s="201">
        <v>9.8000000000000007</v>
      </c>
    </row>
    <row r="3633" spans="4:7">
      <c r="D3633" s="200" t="s">
        <v>4190</v>
      </c>
      <c r="E3633" s="10">
        <v>31028</v>
      </c>
      <c r="F3633" s="201">
        <v>-11.2</v>
      </c>
      <c r="G3633" s="201">
        <v>9.8000000000000007</v>
      </c>
    </row>
    <row r="3634" spans="4:7">
      <c r="D3634" s="200" t="s">
        <v>4191</v>
      </c>
      <c r="E3634" s="10">
        <v>31035</v>
      </c>
      <c r="F3634" s="201">
        <v>-11.2</v>
      </c>
      <c r="G3634" s="201">
        <v>9.5</v>
      </c>
    </row>
    <row r="3635" spans="4:7">
      <c r="D3635" s="200" t="s">
        <v>4192</v>
      </c>
      <c r="E3635" s="10">
        <v>31039</v>
      </c>
      <c r="F3635" s="201">
        <v>-11.2</v>
      </c>
      <c r="G3635" s="201">
        <v>9.5</v>
      </c>
    </row>
    <row r="3636" spans="4:7">
      <c r="D3636" s="200" t="s">
        <v>4193</v>
      </c>
      <c r="E3636" s="10">
        <v>31171</v>
      </c>
      <c r="F3636" s="201">
        <v>-11.2</v>
      </c>
      <c r="G3636" s="201">
        <v>9.8000000000000007</v>
      </c>
    </row>
    <row r="3637" spans="4:7">
      <c r="D3637" s="200" t="s">
        <v>4194</v>
      </c>
      <c r="E3637" s="10">
        <v>31177</v>
      </c>
      <c r="F3637" s="201">
        <v>-11.2</v>
      </c>
      <c r="G3637" s="201">
        <v>9.6999999999999993</v>
      </c>
    </row>
    <row r="3638" spans="4:7">
      <c r="D3638" s="200" t="s">
        <v>4195</v>
      </c>
      <c r="E3638" s="10">
        <v>31180</v>
      </c>
      <c r="F3638" s="201">
        <v>-11.2</v>
      </c>
      <c r="G3638" s="201">
        <v>9.8000000000000007</v>
      </c>
    </row>
    <row r="3639" spans="4:7">
      <c r="D3639" s="200" t="s">
        <v>4196</v>
      </c>
      <c r="E3639" s="10">
        <v>31191</v>
      </c>
      <c r="F3639" s="201">
        <v>-11.2</v>
      </c>
      <c r="G3639" s="201">
        <v>9.8000000000000007</v>
      </c>
    </row>
    <row r="3640" spans="4:7">
      <c r="D3640" s="200" t="s">
        <v>4197</v>
      </c>
      <c r="E3640" s="10">
        <v>31249</v>
      </c>
      <c r="F3640" s="201">
        <v>-11.2</v>
      </c>
      <c r="G3640" s="201">
        <v>9.6999999999999993</v>
      </c>
    </row>
    <row r="3641" spans="4:7">
      <c r="D3641" s="200" t="s">
        <v>4198</v>
      </c>
      <c r="E3641" s="10">
        <v>31275</v>
      </c>
      <c r="F3641" s="201">
        <v>-11.2</v>
      </c>
      <c r="G3641" s="201">
        <v>9.8000000000000007</v>
      </c>
    </row>
    <row r="3642" spans="4:7">
      <c r="D3642" s="200" t="s">
        <v>4199</v>
      </c>
      <c r="E3642" s="10">
        <v>31303</v>
      </c>
      <c r="F3642" s="201">
        <v>-11.2</v>
      </c>
      <c r="G3642" s="201">
        <v>9.6999999999999993</v>
      </c>
    </row>
    <row r="3643" spans="4:7">
      <c r="D3643" s="200" t="s">
        <v>4200</v>
      </c>
      <c r="E3643" s="10">
        <v>31311</v>
      </c>
      <c r="F3643" s="201">
        <v>-11.2</v>
      </c>
      <c r="G3643" s="201">
        <v>9.6999999999999993</v>
      </c>
    </row>
    <row r="3644" spans="4:7">
      <c r="D3644" s="200" t="s">
        <v>4201</v>
      </c>
      <c r="E3644" s="10">
        <v>34253</v>
      </c>
      <c r="F3644" s="201">
        <v>-11.2</v>
      </c>
      <c r="G3644" s="201">
        <v>9.1999999999999993</v>
      </c>
    </row>
    <row r="3645" spans="4:7">
      <c r="D3645" s="200" t="s">
        <v>4202</v>
      </c>
      <c r="E3645" s="10">
        <v>34359</v>
      </c>
      <c r="F3645" s="201">
        <v>-11.2</v>
      </c>
      <c r="G3645" s="201">
        <v>9.4</v>
      </c>
    </row>
    <row r="3646" spans="4:7">
      <c r="D3646" s="200" t="s">
        <v>4203</v>
      </c>
      <c r="E3646" s="10">
        <v>35075</v>
      </c>
      <c r="F3646" s="201">
        <v>-11.2</v>
      </c>
      <c r="G3646" s="201">
        <v>9</v>
      </c>
    </row>
    <row r="3647" spans="4:7">
      <c r="D3647" s="200" t="s">
        <v>4204</v>
      </c>
      <c r="E3647" s="10">
        <v>35321</v>
      </c>
      <c r="F3647" s="201">
        <v>-11.2</v>
      </c>
      <c r="G3647" s="201">
        <v>9.3000000000000007</v>
      </c>
    </row>
    <row r="3648" spans="4:7">
      <c r="D3648" s="200" t="s">
        <v>4205</v>
      </c>
      <c r="E3648" s="10">
        <v>35415</v>
      </c>
      <c r="F3648" s="201">
        <v>-11.2</v>
      </c>
      <c r="G3648" s="201">
        <v>9.4</v>
      </c>
    </row>
    <row r="3649" spans="4:7">
      <c r="D3649" s="200" t="s">
        <v>4206</v>
      </c>
      <c r="E3649" s="10">
        <v>35428</v>
      </c>
      <c r="F3649" s="201">
        <v>-11.2</v>
      </c>
      <c r="G3649" s="201">
        <v>9.4</v>
      </c>
    </row>
    <row r="3650" spans="4:7">
      <c r="D3650" s="200" t="s">
        <v>4207</v>
      </c>
      <c r="E3650" s="10">
        <v>35435</v>
      </c>
      <c r="F3650" s="201">
        <v>-11.2</v>
      </c>
      <c r="G3650" s="201">
        <v>9.1999999999999993</v>
      </c>
    </row>
    <row r="3651" spans="4:7">
      <c r="D3651" s="200" t="s">
        <v>4208</v>
      </c>
      <c r="E3651" s="10">
        <v>35463</v>
      </c>
      <c r="F3651" s="201">
        <v>-11.2</v>
      </c>
      <c r="G3651" s="201">
        <v>9.4</v>
      </c>
    </row>
    <row r="3652" spans="4:7">
      <c r="D3652" s="200" t="s">
        <v>4209</v>
      </c>
      <c r="E3652" s="10">
        <v>35469</v>
      </c>
      <c r="F3652" s="201">
        <v>-11.2</v>
      </c>
      <c r="G3652" s="201">
        <v>9.4</v>
      </c>
    </row>
    <row r="3653" spans="4:7">
      <c r="D3653" s="200" t="s">
        <v>3584</v>
      </c>
      <c r="E3653" s="10">
        <v>35582</v>
      </c>
      <c r="F3653" s="201">
        <v>-11.2</v>
      </c>
      <c r="G3653" s="201">
        <v>9.6</v>
      </c>
    </row>
    <row r="3654" spans="4:7">
      <c r="D3654" s="200" t="s">
        <v>3584</v>
      </c>
      <c r="E3654" s="10">
        <v>35585</v>
      </c>
      <c r="F3654" s="201">
        <v>-11.2</v>
      </c>
      <c r="G3654" s="201">
        <v>8.9</v>
      </c>
    </row>
    <row r="3655" spans="4:7">
      <c r="D3655" s="200" t="s">
        <v>4210</v>
      </c>
      <c r="E3655" s="10">
        <v>35649</v>
      </c>
      <c r="F3655" s="201">
        <v>-11.2</v>
      </c>
      <c r="G3655" s="201">
        <v>9</v>
      </c>
    </row>
    <row r="3656" spans="4:7">
      <c r="D3656" s="200" t="s">
        <v>4211</v>
      </c>
      <c r="E3656" s="10">
        <v>35713</v>
      </c>
      <c r="F3656" s="201">
        <v>-11.2</v>
      </c>
      <c r="G3656" s="201">
        <v>8.9</v>
      </c>
    </row>
    <row r="3657" spans="4:7">
      <c r="D3657" s="200" t="s">
        <v>4212</v>
      </c>
      <c r="E3657" s="10">
        <v>35756</v>
      </c>
      <c r="F3657" s="201">
        <v>-11.2</v>
      </c>
      <c r="G3657" s="201">
        <v>9</v>
      </c>
    </row>
    <row r="3658" spans="4:7">
      <c r="D3658" s="200" t="s">
        <v>4213</v>
      </c>
      <c r="E3658" s="10">
        <v>35767</v>
      </c>
      <c r="F3658" s="201">
        <v>-11.2</v>
      </c>
      <c r="G3658" s="201">
        <v>8.3000000000000007</v>
      </c>
    </row>
    <row r="3659" spans="4:7">
      <c r="D3659" s="200" t="s">
        <v>3268</v>
      </c>
      <c r="E3659" s="10">
        <v>38124</v>
      </c>
      <c r="F3659" s="201">
        <v>-11.2</v>
      </c>
      <c r="G3659" s="201">
        <v>9.9</v>
      </c>
    </row>
    <row r="3660" spans="4:7">
      <c r="D3660" s="200" t="s">
        <v>4214</v>
      </c>
      <c r="E3660" s="10">
        <v>38268</v>
      </c>
      <c r="F3660" s="201">
        <v>-11.2</v>
      </c>
      <c r="G3660" s="201">
        <v>9.6999999999999993</v>
      </c>
    </row>
    <row r="3661" spans="4:7">
      <c r="D3661" s="200" t="s">
        <v>4215</v>
      </c>
      <c r="E3661" s="10">
        <v>38536</v>
      </c>
      <c r="F3661" s="201">
        <v>-11.2</v>
      </c>
      <c r="G3661" s="201">
        <v>9.6999999999999993</v>
      </c>
    </row>
    <row r="3662" spans="4:7">
      <c r="D3662" s="200" t="s">
        <v>4216</v>
      </c>
      <c r="E3662" s="10">
        <v>53902</v>
      </c>
      <c r="F3662" s="201">
        <v>-11.2</v>
      </c>
      <c r="G3662" s="201">
        <v>8.1999999999999993</v>
      </c>
    </row>
    <row r="3663" spans="4:7">
      <c r="D3663" s="200" t="s">
        <v>4217</v>
      </c>
      <c r="E3663" s="10">
        <v>53940</v>
      </c>
      <c r="F3663" s="201">
        <v>-11.2</v>
      </c>
      <c r="G3663" s="201">
        <v>8.1</v>
      </c>
    </row>
    <row r="3664" spans="4:7">
      <c r="D3664" s="200" t="s">
        <v>4218</v>
      </c>
      <c r="E3664" s="10">
        <v>54550</v>
      </c>
      <c r="F3664" s="201">
        <v>-11.2</v>
      </c>
      <c r="G3664" s="201">
        <v>8.3000000000000007</v>
      </c>
    </row>
    <row r="3665" spans="4:7">
      <c r="D3665" s="200" t="s">
        <v>4219</v>
      </c>
      <c r="E3665" s="10">
        <v>55758</v>
      </c>
      <c r="F3665" s="201">
        <v>-11.2</v>
      </c>
      <c r="G3665" s="201">
        <v>8.5</v>
      </c>
    </row>
    <row r="3666" spans="4:7">
      <c r="D3666" s="200" t="s">
        <v>4220</v>
      </c>
      <c r="E3666" s="10">
        <v>55767</v>
      </c>
      <c r="F3666" s="201">
        <v>-11.2</v>
      </c>
      <c r="G3666" s="201">
        <v>8.5</v>
      </c>
    </row>
    <row r="3667" spans="4:7">
      <c r="D3667" s="200" t="s">
        <v>4221</v>
      </c>
      <c r="E3667" s="10">
        <v>55777</v>
      </c>
      <c r="F3667" s="201">
        <v>-11.2</v>
      </c>
      <c r="G3667" s="201">
        <v>8.6</v>
      </c>
    </row>
    <row r="3668" spans="4:7">
      <c r="D3668" s="200" t="s">
        <v>4222</v>
      </c>
      <c r="E3668" s="10">
        <v>56288</v>
      </c>
      <c r="F3668" s="201">
        <v>-11.2</v>
      </c>
      <c r="G3668" s="201">
        <v>8.5</v>
      </c>
    </row>
    <row r="3669" spans="4:7">
      <c r="D3669" s="200" t="s">
        <v>4223</v>
      </c>
      <c r="E3669" s="10">
        <v>61389</v>
      </c>
      <c r="F3669" s="201">
        <v>-11.2</v>
      </c>
      <c r="G3669" s="201">
        <v>8.6</v>
      </c>
    </row>
    <row r="3670" spans="4:7">
      <c r="D3670" s="200" t="s">
        <v>4224</v>
      </c>
      <c r="E3670" s="10">
        <v>63826</v>
      </c>
      <c r="F3670" s="201">
        <v>-11.2</v>
      </c>
      <c r="G3670" s="201">
        <v>9.5</v>
      </c>
    </row>
    <row r="3671" spans="4:7">
      <c r="D3671" s="200" t="s">
        <v>4225</v>
      </c>
      <c r="E3671" s="10">
        <v>66649</v>
      </c>
      <c r="F3671" s="201">
        <v>-11.2</v>
      </c>
      <c r="G3671" s="201">
        <v>8.6</v>
      </c>
    </row>
    <row r="3672" spans="4:7">
      <c r="D3672" s="200" t="s">
        <v>2307</v>
      </c>
      <c r="E3672" s="10">
        <v>70499</v>
      </c>
      <c r="F3672" s="201">
        <v>-11.2</v>
      </c>
      <c r="G3672" s="201">
        <v>10.1</v>
      </c>
    </row>
    <row r="3673" spans="4:7">
      <c r="D3673" s="200" t="s">
        <v>4226</v>
      </c>
      <c r="E3673" s="10">
        <v>71404</v>
      </c>
      <c r="F3673" s="201">
        <v>-11.2</v>
      </c>
      <c r="G3673" s="201">
        <v>10.1</v>
      </c>
    </row>
    <row r="3674" spans="4:7">
      <c r="D3674" s="200" t="s">
        <v>4227</v>
      </c>
      <c r="E3674" s="10">
        <v>71549</v>
      </c>
      <c r="F3674" s="201">
        <v>-11.2</v>
      </c>
      <c r="G3674" s="201">
        <v>10.199999999999999</v>
      </c>
    </row>
    <row r="3675" spans="4:7">
      <c r="D3675" s="200" t="s">
        <v>4228</v>
      </c>
      <c r="E3675" s="10">
        <v>71570</v>
      </c>
      <c r="F3675" s="201">
        <v>-11.2</v>
      </c>
      <c r="G3675" s="201">
        <v>9.9</v>
      </c>
    </row>
    <row r="3676" spans="4:7">
      <c r="D3676" s="200" t="s">
        <v>4229</v>
      </c>
      <c r="E3676" s="10">
        <v>71576</v>
      </c>
      <c r="F3676" s="201">
        <v>-11.2</v>
      </c>
      <c r="G3676" s="201">
        <v>10.1</v>
      </c>
    </row>
    <row r="3677" spans="4:7">
      <c r="D3677" s="200" t="s">
        <v>4230</v>
      </c>
      <c r="E3677" s="10">
        <v>71701</v>
      </c>
      <c r="F3677" s="201">
        <v>-11.2</v>
      </c>
      <c r="G3677" s="201">
        <v>10.199999999999999</v>
      </c>
    </row>
    <row r="3678" spans="4:7">
      <c r="D3678" s="200" t="s">
        <v>4231</v>
      </c>
      <c r="E3678" s="10">
        <v>71717</v>
      </c>
      <c r="F3678" s="201">
        <v>-11.2</v>
      </c>
      <c r="G3678" s="201">
        <v>9.6999999999999993</v>
      </c>
    </row>
    <row r="3679" spans="4:7">
      <c r="D3679" s="200" t="s">
        <v>4232</v>
      </c>
      <c r="E3679" s="10">
        <v>71732</v>
      </c>
      <c r="F3679" s="201">
        <v>-11.2</v>
      </c>
      <c r="G3679" s="201">
        <v>10.1</v>
      </c>
    </row>
    <row r="3680" spans="4:7">
      <c r="D3680" s="200" t="s">
        <v>4142</v>
      </c>
      <c r="E3680" s="10">
        <v>72070</v>
      </c>
      <c r="F3680" s="201">
        <v>-11.2</v>
      </c>
      <c r="G3680" s="201">
        <v>9.9</v>
      </c>
    </row>
    <row r="3681" spans="4:7">
      <c r="D3681" s="200" t="s">
        <v>4233</v>
      </c>
      <c r="E3681" s="10">
        <v>72138</v>
      </c>
      <c r="F3681" s="201">
        <v>-11.2</v>
      </c>
      <c r="G3681" s="201">
        <v>9.8000000000000007</v>
      </c>
    </row>
    <row r="3682" spans="4:7">
      <c r="D3682" s="200" t="s">
        <v>4234</v>
      </c>
      <c r="E3682" s="10">
        <v>72555</v>
      </c>
      <c r="F3682" s="201">
        <v>-11.2</v>
      </c>
      <c r="G3682" s="201">
        <v>9.8000000000000007</v>
      </c>
    </row>
    <row r="3683" spans="4:7">
      <c r="D3683" s="200" t="s">
        <v>4235</v>
      </c>
      <c r="E3683" s="10">
        <v>72581</v>
      </c>
      <c r="F3683" s="201">
        <v>-11.2</v>
      </c>
      <c r="G3683" s="201">
        <v>9.6</v>
      </c>
    </row>
    <row r="3684" spans="4:7">
      <c r="D3684" s="200" t="s">
        <v>4236</v>
      </c>
      <c r="E3684" s="10">
        <v>72631</v>
      </c>
      <c r="F3684" s="201">
        <v>-11.2</v>
      </c>
      <c r="G3684" s="201">
        <v>9.9</v>
      </c>
    </row>
    <row r="3685" spans="4:7">
      <c r="D3685" s="200" t="s">
        <v>4237</v>
      </c>
      <c r="E3685" s="10">
        <v>72658</v>
      </c>
      <c r="F3685" s="201">
        <v>-11.2</v>
      </c>
      <c r="G3685" s="201">
        <v>9.8000000000000007</v>
      </c>
    </row>
    <row r="3686" spans="4:7">
      <c r="D3686" s="200" t="s">
        <v>3636</v>
      </c>
      <c r="E3686" s="10">
        <v>72766</v>
      </c>
      <c r="F3686" s="201">
        <v>-11.2</v>
      </c>
      <c r="G3686" s="201">
        <v>9.9</v>
      </c>
    </row>
    <row r="3687" spans="4:7">
      <c r="D3687" s="200" t="s">
        <v>4238</v>
      </c>
      <c r="E3687" s="10">
        <v>73079</v>
      </c>
      <c r="F3687" s="201">
        <v>-11.2</v>
      </c>
      <c r="G3687" s="201">
        <v>9.6999999999999993</v>
      </c>
    </row>
    <row r="3688" spans="4:7">
      <c r="D3688" s="200" t="s">
        <v>4239</v>
      </c>
      <c r="E3688" s="10">
        <v>73271</v>
      </c>
      <c r="F3688" s="201">
        <v>-11.2</v>
      </c>
      <c r="G3688" s="201">
        <v>9.8000000000000007</v>
      </c>
    </row>
    <row r="3689" spans="4:7">
      <c r="D3689" s="200" t="s">
        <v>4240</v>
      </c>
      <c r="E3689" s="10">
        <v>73278</v>
      </c>
      <c r="F3689" s="201">
        <v>-11.2</v>
      </c>
      <c r="G3689" s="201">
        <v>9.8000000000000007</v>
      </c>
    </row>
    <row r="3690" spans="4:7">
      <c r="D3690" s="200" t="s">
        <v>4241</v>
      </c>
      <c r="E3690" s="10">
        <v>73525</v>
      </c>
      <c r="F3690" s="201">
        <v>-11.2</v>
      </c>
      <c r="G3690" s="201">
        <v>9.9</v>
      </c>
    </row>
    <row r="3691" spans="4:7">
      <c r="D3691" s="200" t="s">
        <v>4242</v>
      </c>
      <c r="E3691" s="10">
        <v>73650</v>
      </c>
      <c r="F3691" s="201">
        <v>-11.2</v>
      </c>
      <c r="G3691" s="201">
        <v>10.1</v>
      </c>
    </row>
    <row r="3692" spans="4:7">
      <c r="D3692" s="200" t="s">
        <v>3361</v>
      </c>
      <c r="E3692" s="10">
        <v>73730</v>
      </c>
      <c r="F3692" s="201">
        <v>-11.2</v>
      </c>
      <c r="G3692" s="201">
        <v>9.8000000000000007</v>
      </c>
    </row>
    <row r="3693" spans="4:7">
      <c r="D3693" s="200" t="s">
        <v>3361</v>
      </c>
      <c r="E3693" s="10">
        <v>73733</v>
      </c>
      <c r="F3693" s="201">
        <v>-11.2</v>
      </c>
      <c r="G3693" s="201">
        <v>9.8000000000000007</v>
      </c>
    </row>
    <row r="3694" spans="4:7">
      <c r="D3694" s="200" t="s">
        <v>4243</v>
      </c>
      <c r="E3694" s="10">
        <v>73765</v>
      </c>
      <c r="F3694" s="201">
        <v>-11.2</v>
      </c>
      <c r="G3694" s="201">
        <v>9.9</v>
      </c>
    </row>
    <row r="3695" spans="4:7">
      <c r="D3695" s="200" t="s">
        <v>4244</v>
      </c>
      <c r="E3695" s="10">
        <v>73770</v>
      </c>
      <c r="F3695" s="201">
        <v>-11.2</v>
      </c>
      <c r="G3695" s="201">
        <v>10</v>
      </c>
    </row>
    <row r="3696" spans="4:7">
      <c r="D3696" s="200" t="s">
        <v>4245</v>
      </c>
      <c r="E3696" s="10">
        <v>74357</v>
      </c>
      <c r="F3696" s="201">
        <v>-11.2</v>
      </c>
      <c r="G3696" s="201">
        <v>10</v>
      </c>
    </row>
    <row r="3697" spans="4:7">
      <c r="D3697" s="200" t="s">
        <v>4246</v>
      </c>
      <c r="E3697" s="10">
        <v>74376</v>
      </c>
      <c r="F3697" s="201">
        <v>-11.2</v>
      </c>
      <c r="G3697" s="201">
        <v>10.1</v>
      </c>
    </row>
    <row r="3698" spans="4:7">
      <c r="D3698" s="200" t="s">
        <v>4247</v>
      </c>
      <c r="E3698" s="10">
        <v>74389</v>
      </c>
      <c r="F3698" s="201">
        <v>-11.2</v>
      </c>
      <c r="G3698" s="201">
        <v>9.9</v>
      </c>
    </row>
    <row r="3699" spans="4:7">
      <c r="D3699" s="200" t="s">
        <v>4248</v>
      </c>
      <c r="E3699" s="10">
        <v>74391</v>
      </c>
      <c r="F3699" s="201">
        <v>-11.2</v>
      </c>
      <c r="G3699" s="201">
        <v>10</v>
      </c>
    </row>
    <row r="3700" spans="4:7">
      <c r="D3700" s="200" t="s">
        <v>4249</v>
      </c>
      <c r="E3700" s="10">
        <v>74399</v>
      </c>
      <c r="F3700" s="201">
        <v>-11.2</v>
      </c>
      <c r="G3700" s="201">
        <v>10.1</v>
      </c>
    </row>
    <row r="3701" spans="4:7">
      <c r="D3701" s="200" t="s">
        <v>4250</v>
      </c>
      <c r="E3701" s="10">
        <v>74635</v>
      </c>
      <c r="F3701" s="201">
        <v>-11.2</v>
      </c>
      <c r="G3701" s="201">
        <v>9.8000000000000007</v>
      </c>
    </row>
    <row r="3702" spans="4:7">
      <c r="D3702" s="200" t="s">
        <v>4251</v>
      </c>
      <c r="E3702" s="10">
        <v>74670</v>
      </c>
      <c r="F3702" s="201">
        <v>-11.2</v>
      </c>
      <c r="G3702" s="201">
        <v>9.6999999999999993</v>
      </c>
    </row>
    <row r="3703" spans="4:7">
      <c r="D3703" s="200" t="s">
        <v>4252</v>
      </c>
      <c r="E3703" s="10">
        <v>74676</v>
      </c>
      <c r="F3703" s="201">
        <v>-11.2</v>
      </c>
      <c r="G3703" s="201">
        <v>9.6999999999999993</v>
      </c>
    </row>
    <row r="3704" spans="4:7">
      <c r="D3704" s="200" t="s">
        <v>4253</v>
      </c>
      <c r="E3704" s="10">
        <v>74736</v>
      </c>
      <c r="F3704" s="201">
        <v>-11.2</v>
      </c>
      <c r="G3704" s="201">
        <v>9.8000000000000007</v>
      </c>
    </row>
    <row r="3705" spans="4:7">
      <c r="D3705" s="200" t="s">
        <v>4254</v>
      </c>
      <c r="E3705" s="10">
        <v>74864</v>
      </c>
      <c r="F3705" s="201">
        <v>-11.2</v>
      </c>
      <c r="G3705" s="201">
        <v>9.6</v>
      </c>
    </row>
    <row r="3706" spans="4:7">
      <c r="D3706" s="200" t="s">
        <v>4255</v>
      </c>
      <c r="E3706" s="10">
        <v>76307</v>
      </c>
      <c r="F3706" s="201">
        <v>-11.2</v>
      </c>
      <c r="G3706" s="201">
        <v>9.8000000000000007</v>
      </c>
    </row>
    <row r="3707" spans="4:7">
      <c r="D3707" s="200" t="s">
        <v>4256</v>
      </c>
      <c r="E3707" s="10">
        <v>77709</v>
      </c>
      <c r="F3707" s="201">
        <v>-11.2</v>
      </c>
      <c r="G3707" s="201">
        <v>9.4</v>
      </c>
    </row>
    <row r="3708" spans="4:7">
      <c r="D3708" s="200" t="s">
        <v>4162</v>
      </c>
      <c r="E3708" s="10">
        <v>80335</v>
      </c>
      <c r="F3708" s="201">
        <v>-11.2</v>
      </c>
      <c r="G3708" s="201">
        <v>10.1</v>
      </c>
    </row>
    <row r="3709" spans="4:7">
      <c r="D3709" s="200" t="s">
        <v>4162</v>
      </c>
      <c r="E3709" s="10">
        <v>80337</v>
      </c>
      <c r="F3709" s="201">
        <v>-11.2</v>
      </c>
      <c r="G3709" s="201">
        <v>10.1</v>
      </c>
    </row>
    <row r="3710" spans="4:7">
      <c r="D3710" s="200" t="s">
        <v>4162</v>
      </c>
      <c r="E3710" s="10">
        <v>80539</v>
      </c>
      <c r="F3710" s="201">
        <v>-11.2</v>
      </c>
      <c r="G3710" s="201">
        <v>10.199999999999999</v>
      </c>
    </row>
    <row r="3711" spans="4:7">
      <c r="D3711" s="200" t="s">
        <v>4162</v>
      </c>
      <c r="E3711" s="10">
        <v>80636</v>
      </c>
      <c r="F3711" s="201">
        <v>-11.2</v>
      </c>
      <c r="G3711" s="201">
        <v>10.1</v>
      </c>
    </row>
    <row r="3712" spans="4:7">
      <c r="D3712" s="200" t="s">
        <v>4162</v>
      </c>
      <c r="E3712" s="10">
        <v>80799</v>
      </c>
      <c r="F3712" s="201">
        <v>-11.2</v>
      </c>
      <c r="G3712" s="201">
        <v>10.199999999999999</v>
      </c>
    </row>
    <row r="3713" spans="4:7">
      <c r="D3713" s="200" t="s">
        <v>4257</v>
      </c>
      <c r="E3713" s="10">
        <v>90443</v>
      </c>
      <c r="F3713" s="201">
        <v>-11.2</v>
      </c>
      <c r="G3713" s="201">
        <v>10.7</v>
      </c>
    </row>
    <row r="3714" spans="4:7">
      <c r="D3714" s="200" t="s">
        <v>4257</v>
      </c>
      <c r="E3714" s="10">
        <v>90459</v>
      </c>
      <c r="F3714" s="201">
        <v>-11.2</v>
      </c>
      <c r="G3714" s="201">
        <v>10.7</v>
      </c>
    </row>
    <row r="3715" spans="4:7">
      <c r="D3715" s="200" t="s">
        <v>4257</v>
      </c>
      <c r="E3715" s="10">
        <v>90489</v>
      </c>
      <c r="F3715" s="201">
        <v>-11.2</v>
      </c>
      <c r="G3715" s="201">
        <v>10.6</v>
      </c>
    </row>
    <row r="3716" spans="4:7">
      <c r="D3716" s="200" t="s">
        <v>3138</v>
      </c>
      <c r="E3716" s="10">
        <v>97074</v>
      </c>
      <c r="F3716" s="201">
        <v>-11.2</v>
      </c>
      <c r="G3716" s="201">
        <v>9.9</v>
      </c>
    </row>
    <row r="3717" spans="4:7">
      <c r="D3717" s="200" t="s">
        <v>3138</v>
      </c>
      <c r="E3717" s="10">
        <v>97076</v>
      </c>
      <c r="F3717" s="201">
        <v>-11.2</v>
      </c>
      <c r="G3717" s="201">
        <v>9.9</v>
      </c>
    </row>
    <row r="3718" spans="4:7">
      <c r="D3718" s="200" t="s">
        <v>4258</v>
      </c>
      <c r="E3718" s="10">
        <v>97762</v>
      </c>
      <c r="F3718" s="201">
        <v>-11.2</v>
      </c>
      <c r="G3718" s="201">
        <v>9.1</v>
      </c>
    </row>
    <row r="3719" spans="4:7">
      <c r="D3719" s="200" t="s">
        <v>4259</v>
      </c>
      <c r="E3719" s="10">
        <v>97782</v>
      </c>
      <c r="F3719" s="201">
        <v>-11.2</v>
      </c>
      <c r="G3719" s="201">
        <v>9.3000000000000007</v>
      </c>
    </row>
    <row r="3720" spans="4:7">
      <c r="D3720" s="200" t="s">
        <v>4260</v>
      </c>
      <c r="E3720" s="10">
        <v>97783</v>
      </c>
      <c r="F3720" s="201">
        <v>-11.2</v>
      </c>
      <c r="G3720" s="201">
        <v>9.6</v>
      </c>
    </row>
    <row r="3721" spans="4:7">
      <c r="D3721" s="200" t="s">
        <v>4261</v>
      </c>
      <c r="E3721" s="10">
        <v>97842</v>
      </c>
      <c r="F3721" s="201">
        <v>-11.2</v>
      </c>
      <c r="G3721" s="201">
        <v>9.6999999999999993</v>
      </c>
    </row>
    <row r="3722" spans="4:7">
      <c r="D3722" s="200" t="s">
        <v>4262</v>
      </c>
      <c r="E3722" s="10">
        <v>97857</v>
      </c>
      <c r="F3722" s="201">
        <v>-11.2</v>
      </c>
      <c r="G3722" s="201">
        <v>9.6</v>
      </c>
    </row>
    <row r="3723" spans="4:7">
      <c r="D3723" s="200" t="s">
        <v>4263</v>
      </c>
      <c r="E3723" s="10">
        <v>97892</v>
      </c>
      <c r="F3723" s="201">
        <v>-11.2</v>
      </c>
      <c r="G3723" s="201">
        <v>9.6</v>
      </c>
    </row>
    <row r="3724" spans="4:7">
      <c r="D3724" s="200" t="s">
        <v>4264</v>
      </c>
      <c r="E3724" s="10">
        <v>97957</v>
      </c>
      <c r="F3724" s="201">
        <v>-11.2</v>
      </c>
      <c r="G3724" s="201">
        <v>9.9</v>
      </c>
    </row>
    <row r="3725" spans="4:7">
      <c r="D3725" s="200" t="s">
        <v>4265</v>
      </c>
      <c r="E3725" s="10">
        <v>97990</v>
      </c>
      <c r="F3725" s="201">
        <v>-11.2</v>
      </c>
      <c r="G3725" s="201">
        <v>10.1</v>
      </c>
    </row>
    <row r="3726" spans="4:7">
      <c r="D3726" s="200" t="s">
        <v>4055</v>
      </c>
      <c r="E3726" s="10">
        <v>10117</v>
      </c>
      <c r="F3726" s="201">
        <v>-11.3</v>
      </c>
      <c r="G3726" s="201">
        <v>10.9</v>
      </c>
    </row>
    <row r="3727" spans="4:7">
      <c r="D3727" s="200" t="s">
        <v>4266</v>
      </c>
      <c r="E3727" s="10">
        <v>10247</v>
      </c>
      <c r="F3727" s="201">
        <v>-11.3</v>
      </c>
      <c r="G3727" s="201">
        <v>10.8</v>
      </c>
    </row>
    <row r="3728" spans="4:7">
      <c r="D3728" s="200" t="s">
        <v>4170</v>
      </c>
      <c r="E3728" s="10">
        <v>10437</v>
      </c>
      <c r="F3728" s="201">
        <v>-11.3</v>
      </c>
      <c r="G3728" s="201">
        <v>10.7</v>
      </c>
    </row>
    <row r="3729" spans="4:7">
      <c r="D3729" s="200" t="s">
        <v>4170</v>
      </c>
      <c r="E3729" s="10">
        <v>10439</v>
      </c>
      <c r="F3729" s="201">
        <v>-11.3</v>
      </c>
      <c r="G3729" s="201">
        <v>10.8</v>
      </c>
    </row>
    <row r="3730" spans="4:7">
      <c r="D3730" s="200" t="s">
        <v>4171</v>
      </c>
      <c r="E3730" s="10">
        <v>10551</v>
      </c>
      <c r="F3730" s="201">
        <v>-11.3</v>
      </c>
      <c r="G3730" s="201">
        <v>10.7</v>
      </c>
    </row>
    <row r="3731" spans="4:7">
      <c r="D3731" s="200" t="s">
        <v>4056</v>
      </c>
      <c r="E3731" s="10">
        <v>10623</v>
      </c>
      <c r="F3731" s="201">
        <v>-11.3</v>
      </c>
      <c r="G3731" s="201">
        <v>10.7</v>
      </c>
    </row>
    <row r="3732" spans="4:7">
      <c r="D3732" s="200" t="s">
        <v>4267</v>
      </c>
      <c r="E3732" s="10">
        <v>10707</v>
      </c>
      <c r="F3732" s="201">
        <v>-11.3</v>
      </c>
      <c r="G3732" s="201">
        <v>10.7</v>
      </c>
    </row>
    <row r="3733" spans="4:7">
      <c r="D3733" s="200" t="s">
        <v>4267</v>
      </c>
      <c r="E3733" s="10">
        <v>10713</v>
      </c>
      <c r="F3733" s="201">
        <v>-11.3</v>
      </c>
      <c r="G3733" s="201">
        <v>10.7</v>
      </c>
    </row>
    <row r="3734" spans="4:7">
      <c r="D3734" s="200" t="s">
        <v>4267</v>
      </c>
      <c r="E3734" s="10">
        <v>10719</v>
      </c>
      <c r="F3734" s="201">
        <v>-11.3</v>
      </c>
      <c r="G3734" s="201">
        <v>10.7</v>
      </c>
    </row>
    <row r="3735" spans="4:7">
      <c r="D3735" s="200" t="s">
        <v>4267</v>
      </c>
      <c r="E3735" s="10">
        <v>10777</v>
      </c>
      <c r="F3735" s="201">
        <v>-11.3</v>
      </c>
      <c r="G3735" s="201">
        <v>10.7</v>
      </c>
    </row>
    <row r="3736" spans="4:7">
      <c r="D3736" s="200" t="s">
        <v>4268</v>
      </c>
      <c r="E3736" s="10">
        <v>10781</v>
      </c>
      <c r="F3736" s="201">
        <v>-11.3</v>
      </c>
      <c r="G3736" s="201">
        <v>10.7</v>
      </c>
    </row>
    <row r="3737" spans="4:7">
      <c r="D3737" s="200" t="s">
        <v>4268</v>
      </c>
      <c r="E3737" s="10">
        <v>10783</v>
      </c>
      <c r="F3737" s="201">
        <v>-11.3</v>
      </c>
      <c r="G3737" s="201">
        <v>10.7</v>
      </c>
    </row>
    <row r="3738" spans="4:7">
      <c r="D3738" s="200" t="s">
        <v>4268</v>
      </c>
      <c r="E3738" s="10">
        <v>10789</v>
      </c>
      <c r="F3738" s="201">
        <v>-11.3</v>
      </c>
      <c r="G3738" s="201">
        <v>10.7</v>
      </c>
    </row>
    <row r="3739" spans="4:7">
      <c r="D3739" s="200" t="s">
        <v>4058</v>
      </c>
      <c r="E3739" s="10">
        <v>10961</v>
      </c>
      <c r="F3739" s="201">
        <v>-11.3</v>
      </c>
      <c r="G3739" s="201">
        <v>10.8</v>
      </c>
    </row>
    <row r="3740" spans="4:7">
      <c r="D3740" s="200" t="s">
        <v>4058</v>
      </c>
      <c r="E3740" s="10">
        <v>10999</v>
      </c>
      <c r="F3740" s="201">
        <v>-11.3</v>
      </c>
      <c r="G3740" s="201">
        <v>10.8</v>
      </c>
    </row>
    <row r="3741" spans="4:7">
      <c r="D3741" s="200" t="s">
        <v>4269</v>
      </c>
      <c r="E3741" s="10">
        <v>13347</v>
      </c>
      <c r="F3741" s="201">
        <v>-11.3</v>
      </c>
      <c r="G3741" s="201">
        <v>10.7</v>
      </c>
    </row>
    <row r="3742" spans="4:7">
      <c r="D3742" s="200" t="s">
        <v>4269</v>
      </c>
      <c r="E3742" s="10">
        <v>13349</v>
      </c>
      <c r="F3742" s="201">
        <v>-11.3</v>
      </c>
      <c r="G3742" s="201">
        <v>10.6</v>
      </c>
    </row>
    <row r="3743" spans="4:7">
      <c r="D3743" s="200" t="s">
        <v>4269</v>
      </c>
      <c r="E3743" s="10">
        <v>13353</v>
      </c>
      <c r="F3743" s="201">
        <v>-11.3</v>
      </c>
      <c r="G3743" s="201">
        <v>10.7</v>
      </c>
    </row>
    <row r="3744" spans="4:7">
      <c r="D3744" s="200" t="s">
        <v>4172</v>
      </c>
      <c r="E3744" s="10">
        <v>13359</v>
      </c>
      <c r="F3744" s="201">
        <v>-11.3</v>
      </c>
      <c r="G3744" s="201">
        <v>10.7</v>
      </c>
    </row>
    <row r="3745" spans="4:7">
      <c r="D3745" s="200" t="s">
        <v>4270</v>
      </c>
      <c r="E3745" s="10">
        <v>17449</v>
      </c>
      <c r="F3745" s="201">
        <v>-11.3</v>
      </c>
      <c r="G3745" s="201">
        <v>9</v>
      </c>
    </row>
    <row r="3746" spans="4:7">
      <c r="D3746" s="200" t="s">
        <v>4271</v>
      </c>
      <c r="E3746" s="10">
        <v>18337</v>
      </c>
      <c r="F3746" s="201">
        <v>-11.3</v>
      </c>
      <c r="G3746" s="201">
        <v>8.9</v>
      </c>
    </row>
    <row r="3747" spans="4:7">
      <c r="D3747" s="200" t="s">
        <v>4272</v>
      </c>
      <c r="E3747" s="10">
        <v>18445</v>
      </c>
      <c r="F3747" s="201">
        <v>-11.3</v>
      </c>
      <c r="G3747" s="201">
        <v>8.8000000000000007</v>
      </c>
    </row>
    <row r="3748" spans="4:7">
      <c r="D3748" s="200" t="s">
        <v>3755</v>
      </c>
      <c r="E3748" s="10">
        <v>19055</v>
      </c>
      <c r="F3748" s="201">
        <v>-11.3</v>
      </c>
      <c r="G3748" s="201">
        <v>9.3000000000000007</v>
      </c>
    </row>
    <row r="3749" spans="4:7">
      <c r="D3749" s="200" t="s">
        <v>3755</v>
      </c>
      <c r="E3749" s="10">
        <v>19057</v>
      </c>
      <c r="F3749" s="201">
        <v>-11.3</v>
      </c>
      <c r="G3749" s="201">
        <v>9.3000000000000007</v>
      </c>
    </row>
    <row r="3750" spans="4:7">
      <c r="D3750" s="200" t="s">
        <v>3755</v>
      </c>
      <c r="E3750" s="10">
        <v>19061</v>
      </c>
      <c r="F3750" s="201">
        <v>-11.3</v>
      </c>
      <c r="G3750" s="201">
        <v>9.1999999999999993</v>
      </c>
    </row>
    <row r="3751" spans="4:7">
      <c r="D3751" s="200" t="s">
        <v>4273</v>
      </c>
      <c r="E3751" s="10">
        <v>19069</v>
      </c>
      <c r="F3751" s="201">
        <v>-11.3</v>
      </c>
      <c r="G3751" s="201">
        <v>9.1999999999999993</v>
      </c>
    </row>
    <row r="3752" spans="4:7">
      <c r="D3752" s="200" t="s">
        <v>4274</v>
      </c>
      <c r="E3752" s="10">
        <v>19071</v>
      </c>
      <c r="F3752" s="201">
        <v>-11.3</v>
      </c>
      <c r="G3752" s="201">
        <v>9.1999999999999993</v>
      </c>
    </row>
    <row r="3753" spans="4:7">
      <c r="D3753" s="200" t="s">
        <v>4275</v>
      </c>
      <c r="E3753" s="10">
        <v>19073</v>
      </c>
      <c r="F3753" s="201">
        <v>-11.3</v>
      </c>
      <c r="G3753" s="201">
        <v>9.1999999999999993</v>
      </c>
    </row>
    <row r="3754" spans="4:7">
      <c r="D3754" s="200" t="s">
        <v>4276</v>
      </c>
      <c r="E3754" s="10">
        <v>19075</v>
      </c>
      <c r="F3754" s="201">
        <v>-11.3</v>
      </c>
      <c r="G3754" s="201">
        <v>9.3000000000000007</v>
      </c>
    </row>
    <row r="3755" spans="4:7">
      <c r="D3755" s="200" t="s">
        <v>4277</v>
      </c>
      <c r="E3755" s="10">
        <v>19209</v>
      </c>
      <c r="F3755" s="201">
        <v>-11.3</v>
      </c>
      <c r="G3755" s="201">
        <v>9.1</v>
      </c>
    </row>
    <row r="3756" spans="4:7">
      <c r="D3756" s="200" t="s">
        <v>4278</v>
      </c>
      <c r="E3756" s="10">
        <v>19249</v>
      </c>
      <c r="F3756" s="201">
        <v>-11.3</v>
      </c>
      <c r="G3756" s="201">
        <v>9.5</v>
      </c>
    </row>
    <row r="3757" spans="4:7" ht="30">
      <c r="D3757" s="200" t="s">
        <v>4279</v>
      </c>
      <c r="E3757" s="10">
        <v>21385</v>
      </c>
      <c r="F3757" s="201">
        <v>-11.3</v>
      </c>
      <c r="G3757" s="201">
        <v>9</v>
      </c>
    </row>
    <row r="3758" spans="4:7">
      <c r="D3758" s="200" t="s">
        <v>4280</v>
      </c>
      <c r="E3758" s="10">
        <v>21386</v>
      </c>
      <c r="F3758" s="201">
        <v>-11.3</v>
      </c>
      <c r="G3758" s="201">
        <v>9</v>
      </c>
    </row>
    <row r="3759" spans="4:7">
      <c r="D3759" s="200" t="s">
        <v>4281</v>
      </c>
      <c r="E3759" s="10">
        <v>21406</v>
      </c>
      <c r="F3759" s="201">
        <v>-11.3</v>
      </c>
      <c r="G3759" s="201">
        <v>9.3000000000000007</v>
      </c>
    </row>
    <row r="3760" spans="4:7">
      <c r="D3760" s="200" t="s">
        <v>4282</v>
      </c>
      <c r="E3760" s="10">
        <v>21409</v>
      </c>
      <c r="F3760" s="201">
        <v>-11.3</v>
      </c>
      <c r="G3760" s="201">
        <v>9.3000000000000007</v>
      </c>
    </row>
    <row r="3761" spans="4:7">
      <c r="D3761" s="200" t="s">
        <v>4283</v>
      </c>
      <c r="E3761" s="10">
        <v>23992</v>
      </c>
      <c r="F3761" s="201">
        <v>-11.3</v>
      </c>
      <c r="G3761" s="201">
        <v>9.1</v>
      </c>
    </row>
    <row r="3762" spans="4:7">
      <c r="D3762" s="200" t="s">
        <v>4284</v>
      </c>
      <c r="E3762" s="10">
        <v>29320</v>
      </c>
      <c r="F3762" s="201">
        <v>-11.3</v>
      </c>
      <c r="G3762" s="201">
        <v>9.1999999999999993</v>
      </c>
    </row>
    <row r="3763" spans="4:7">
      <c r="D3763" s="200" t="s">
        <v>4285</v>
      </c>
      <c r="E3763" s="10">
        <v>29331</v>
      </c>
      <c r="F3763" s="201">
        <v>-11.3</v>
      </c>
      <c r="G3763" s="201">
        <v>9.6</v>
      </c>
    </row>
    <row r="3764" spans="4:7">
      <c r="D3764" s="200" t="s">
        <v>4286</v>
      </c>
      <c r="E3764" s="10">
        <v>29351</v>
      </c>
      <c r="F3764" s="201">
        <v>-11.3</v>
      </c>
      <c r="G3764" s="201">
        <v>9.4</v>
      </c>
    </row>
    <row r="3765" spans="4:7">
      <c r="D3765" s="200" t="s">
        <v>4287</v>
      </c>
      <c r="E3765" s="10">
        <v>29353</v>
      </c>
      <c r="F3765" s="201">
        <v>-11.3</v>
      </c>
      <c r="G3765" s="201">
        <v>9.6</v>
      </c>
    </row>
    <row r="3766" spans="4:7">
      <c r="D3766" s="200" t="s">
        <v>4288</v>
      </c>
      <c r="E3766" s="10">
        <v>29355</v>
      </c>
      <c r="F3766" s="201">
        <v>-11.3</v>
      </c>
      <c r="G3766" s="201">
        <v>9.5</v>
      </c>
    </row>
    <row r="3767" spans="4:7">
      <c r="D3767" s="200" t="s">
        <v>4289</v>
      </c>
      <c r="E3767" s="10">
        <v>29359</v>
      </c>
      <c r="F3767" s="201">
        <v>-11.3</v>
      </c>
      <c r="G3767" s="201">
        <v>9.3000000000000007</v>
      </c>
    </row>
    <row r="3768" spans="4:7">
      <c r="D3768" s="200" t="s">
        <v>4290</v>
      </c>
      <c r="E3768" s="10">
        <v>29361</v>
      </c>
      <c r="F3768" s="201">
        <v>-11.3</v>
      </c>
      <c r="G3768" s="201">
        <v>9.4</v>
      </c>
    </row>
    <row r="3769" spans="4:7">
      <c r="D3769" s="200" t="s">
        <v>4291</v>
      </c>
      <c r="E3769" s="10">
        <v>29362</v>
      </c>
      <c r="F3769" s="201">
        <v>-11.3</v>
      </c>
      <c r="G3769" s="201">
        <v>9.6</v>
      </c>
    </row>
    <row r="3770" spans="4:7">
      <c r="D3770" s="200" t="s">
        <v>4292</v>
      </c>
      <c r="E3770" s="10">
        <v>29369</v>
      </c>
      <c r="F3770" s="201">
        <v>-11.3</v>
      </c>
      <c r="G3770" s="201">
        <v>9.5</v>
      </c>
    </row>
    <row r="3771" spans="4:7">
      <c r="D3771" s="200" t="s">
        <v>4293</v>
      </c>
      <c r="E3771" s="10">
        <v>29392</v>
      </c>
      <c r="F3771" s="201">
        <v>-11.3</v>
      </c>
      <c r="G3771" s="201">
        <v>9.5</v>
      </c>
    </row>
    <row r="3772" spans="4:7">
      <c r="D3772" s="200" t="s">
        <v>4294</v>
      </c>
      <c r="E3772" s="10">
        <v>29553</v>
      </c>
      <c r="F3772" s="201">
        <v>-11.3</v>
      </c>
      <c r="G3772" s="201">
        <v>9.4</v>
      </c>
    </row>
    <row r="3773" spans="4:7">
      <c r="D3773" s="200" t="s">
        <v>4295</v>
      </c>
      <c r="E3773" s="10">
        <v>29575</v>
      </c>
      <c r="F3773" s="201">
        <v>-11.3</v>
      </c>
      <c r="G3773" s="201">
        <v>9.1999999999999993</v>
      </c>
    </row>
    <row r="3774" spans="4:7">
      <c r="D3774" s="200" t="s">
        <v>2875</v>
      </c>
      <c r="E3774" s="10">
        <v>30539</v>
      </c>
      <c r="F3774" s="201">
        <v>-11.3</v>
      </c>
      <c r="G3774" s="201">
        <v>9.6999999999999993</v>
      </c>
    </row>
    <row r="3775" spans="4:7">
      <c r="D3775" s="200" t="s">
        <v>2875</v>
      </c>
      <c r="E3775" s="10">
        <v>30629</v>
      </c>
      <c r="F3775" s="201">
        <v>-11.3</v>
      </c>
      <c r="G3775" s="201">
        <v>9.8000000000000007</v>
      </c>
    </row>
    <row r="3776" spans="4:7">
      <c r="D3776" s="200" t="s">
        <v>4296</v>
      </c>
      <c r="E3776" s="10">
        <v>30669</v>
      </c>
      <c r="F3776" s="201">
        <v>-11.3</v>
      </c>
      <c r="G3776" s="201">
        <v>9.9</v>
      </c>
    </row>
    <row r="3777" spans="4:7">
      <c r="D3777" s="200" t="s">
        <v>3561</v>
      </c>
      <c r="E3777" s="10">
        <v>30855</v>
      </c>
      <c r="F3777" s="201">
        <v>-11.3</v>
      </c>
      <c r="G3777" s="201">
        <v>9.8000000000000007</v>
      </c>
    </row>
    <row r="3778" spans="4:7">
      <c r="D3778" s="200" t="s">
        <v>4297</v>
      </c>
      <c r="E3778" s="10">
        <v>30916</v>
      </c>
      <c r="F3778" s="201">
        <v>-11.3</v>
      </c>
      <c r="G3778" s="201">
        <v>9.8000000000000007</v>
      </c>
    </row>
    <row r="3779" spans="4:7">
      <c r="D3779" s="200" t="s">
        <v>4298</v>
      </c>
      <c r="E3779" s="10">
        <v>31032</v>
      </c>
      <c r="F3779" s="201">
        <v>-11.3</v>
      </c>
      <c r="G3779" s="201">
        <v>9.4</v>
      </c>
    </row>
    <row r="3780" spans="4:7">
      <c r="D3780" s="200" t="s">
        <v>4299</v>
      </c>
      <c r="E3780" s="10">
        <v>31185</v>
      </c>
      <c r="F3780" s="201">
        <v>-11.3</v>
      </c>
      <c r="G3780" s="201">
        <v>9.6999999999999993</v>
      </c>
    </row>
    <row r="3781" spans="4:7">
      <c r="D3781" s="200" t="s">
        <v>4300</v>
      </c>
      <c r="E3781" s="10">
        <v>31234</v>
      </c>
      <c r="F3781" s="201">
        <v>-11.3</v>
      </c>
      <c r="G3781" s="201">
        <v>9.6999999999999993</v>
      </c>
    </row>
    <row r="3782" spans="4:7">
      <c r="D3782" s="200" t="s">
        <v>4301</v>
      </c>
      <c r="E3782" s="10">
        <v>31246</v>
      </c>
      <c r="F3782" s="201">
        <v>-11.3</v>
      </c>
      <c r="G3782" s="201">
        <v>9.6999999999999993</v>
      </c>
    </row>
    <row r="3783" spans="4:7">
      <c r="D3783" s="200" t="s">
        <v>4302</v>
      </c>
      <c r="E3783" s="10">
        <v>31319</v>
      </c>
      <c r="F3783" s="201">
        <v>-11.3</v>
      </c>
      <c r="G3783" s="201">
        <v>9.8000000000000007</v>
      </c>
    </row>
    <row r="3784" spans="4:7">
      <c r="D3784" s="200" t="s">
        <v>4303</v>
      </c>
      <c r="E3784" s="10">
        <v>31812</v>
      </c>
      <c r="F3784" s="201">
        <v>-11.3</v>
      </c>
      <c r="G3784" s="201">
        <v>9.4</v>
      </c>
    </row>
    <row r="3785" spans="4:7">
      <c r="D3785" s="200" t="s">
        <v>4304</v>
      </c>
      <c r="E3785" s="10">
        <v>31855</v>
      </c>
      <c r="F3785" s="201">
        <v>-11.3</v>
      </c>
      <c r="G3785" s="201">
        <v>9.1999999999999993</v>
      </c>
    </row>
    <row r="3786" spans="4:7">
      <c r="D3786" s="200" t="s">
        <v>4305</v>
      </c>
      <c r="E3786" s="10">
        <v>32689</v>
      </c>
      <c r="F3786" s="201">
        <v>-11.3</v>
      </c>
      <c r="G3786" s="201">
        <v>8.9</v>
      </c>
    </row>
    <row r="3787" spans="4:7">
      <c r="D3787" s="200" t="s">
        <v>4306</v>
      </c>
      <c r="E3787" s="10">
        <v>32825</v>
      </c>
      <c r="F3787" s="201">
        <v>-11.3</v>
      </c>
      <c r="G3787" s="201">
        <v>9</v>
      </c>
    </row>
    <row r="3788" spans="4:7">
      <c r="D3788" s="200" t="s">
        <v>4307</v>
      </c>
      <c r="E3788" s="10">
        <v>33039</v>
      </c>
      <c r="F3788" s="201">
        <v>-11.3</v>
      </c>
      <c r="G3788" s="201">
        <v>9.1</v>
      </c>
    </row>
    <row r="3789" spans="4:7">
      <c r="D3789" s="200" t="s">
        <v>2762</v>
      </c>
      <c r="E3789" s="10">
        <v>33165</v>
      </c>
      <c r="F3789" s="201">
        <v>-11.3</v>
      </c>
      <c r="G3789" s="201">
        <v>8.8000000000000007</v>
      </c>
    </row>
    <row r="3790" spans="4:7">
      <c r="D3790" s="200" t="s">
        <v>4308</v>
      </c>
      <c r="E3790" s="10">
        <v>33181</v>
      </c>
      <c r="F3790" s="201">
        <v>-11.3</v>
      </c>
      <c r="G3790" s="201">
        <v>8.6999999999999993</v>
      </c>
    </row>
    <row r="3791" spans="4:7">
      <c r="D3791" s="200" t="s">
        <v>4309</v>
      </c>
      <c r="E3791" s="10">
        <v>33184</v>
      </c>
      <c r="F3791" s="201">
        <v>-11.3</v>
      </c>
      <c r="G3791" s="201">
        <v>8.6999999999999993</v>
      </c>
    </row>
    <row r="3792" spans="4:7">
      <c r="D3792" s="200" t="s">
        <v>3018</v>
      </c>
      <c r="E3792" s="10">
        <v>34128</v>
      </c>
      <c r="F3792" s="201">
        <v>-11.3</v>
      </c>
      <c r="G3792" s="201">
        <v>9.1</v>
      </c>
    </row>
    <row r="3793" spans="4:7">
      <c r="D3793" s="200" t="s">
        <v>4310</v>
      </c>
      <c r="E3793" s="10">
        <v>34396</v>
      </c>
      <c r="F3793" s="201">
        <v>-11.3</v>
      </c>
      <c r="G3793" s="201">
        <v>9.1</v>
      </c>
    </row>
    <row r="3794" spans="4:7">
      <c r="D3794" s="200" t="s">
        <v>4311</v>
      </c>
      <c r="E3794" s="10">
        <v>34471</v>
      </c>
      <c r="F3794" s="201">
        <v>-11.3</v>
      </c>
      <c r="G3794" s="201">
        <v>9.1</v>
      </c>
    </row>
    <row r="3795" spans="4:7">
      <c r="D3795" s="200" t="s">
        <v>4312</v>
      </c>
      <c r="E3795" s="10">
        <v>35088</v>
      </c>
      <c r="F3795" s="201">
        <v>-11.3</v>
      </c>
      <c r="G3795" s="201">
        <v>8.8000000000000007</v>
      </c>
    </row>
    <row r="3796" spans="4:7">
      <c r="D3796" s="200" t="s">
        <v>4313</v>
      </c>
      <c r="E3796" s="10">
        <v>35096</v>
      </c>
      <c r="F3796" s="201">
        <v>-11.3</v>
      </c>
      <c r="G3796" s="201">
        <v>9.4</v>
      </c>
    </row>
    <row r="3797" spans="4:7">
      <c r="D3797" s="200" t="s">
        <v>4314</v>
      </c>
      <c r="E3797" s="10">
        <v>35236</v>
      </c>
      <c r="F3797" s="201">
        <v>-11.3</v>
      </c>
      <c r="G3797" s="201">
        <v>8.3000000000000007</v>
      </c>
    </row>
    <row r="3798" spans="4:7">
      <c r="D3798" s="200" t="s">
        <v>4315</v>
      </c>
      <c r="E3798" s="10">
        <v>35305</v>
      </c>
      <c r="F3798" s="201">
        <v>-11.3</v>
      </c>
      <c r="G3798" s="201">
        <v>9</v>
      </c>
    </row>
    <row r="3799" spans="4:7">
      <c r="D3799" s="200" t="s">
        <v>4316</v>
      </c>
      <c r="E3799" s="10">
        <v>35444</v>
      </c>
      <c r="F3799" s="201">
        <v>-11.3</v>
      </c>
      <c r="G3799" s="201">
        <v>8.8000000000000007</v>
      </c>
    </row>
    <row r="3800" spans="4:7">
      <c r="D3800" s="200" t="s">
        <v>4317</v>
      </c>
      <c r="E3800" s="10">
        <v>35452</v>
      </c>
      <c r="F3800" s="201">
        <v>-11.3</v>
      </c>
      <c r="G3800" s="201">
        <v>9.5</v>
      </c>
    </row>
    <row r="3801" spans="4:7">
      <c r="D3801" s="200" t="s">
        <v>4318</v>
      </c>
      <c r="E3801" s="10">
        <v>35457</v>
      </c>
      <c r="F3801" s="201">
        <v>-11.3</v>
      </c>
      <c r="G3801" s="201">
        <v>9.3000000000000007</v>
      </c>
    </row>
    <row r="3802" spans="4:7">
      <c r="D3802" s="200" t="s">
        <v>4319</v>
      </c>
      <c r="E3802" s="10">
        <v>35460</v>
      </c>
      <c r="F3802" s="201">
        <v>-11.3</v>
      </c>
      <c r="G3802" s="201">
        <v>9.5</v>
      </c>
    </row>
    <row r="3803" spans="4:7">
      <c r="D3803" s="200" t="s">
        <v>4320</v>
      </c>
      <c r="E3803" s="10">
        <v>35466</v>
      </c>
      <c r="F3803" s="201">
        <v>-11.3</v>
      </c>
      <c r="G3803" s="201">
        <v>9.1</v>
      </c>
    </row>
    <row r="3804" spans="4:7">
      <c r="D3804" s="200" t="s">
        <v>3584</v>
      </c>
      <c r="E3804" s="10">
        <v>35581</v>
      </c>
      <c r="F3804" s="201">
        <v>-11.3</v>
      </c>
      <c r="G3804" s="201">
        <v>9.3000000000000007</v>
      </c>
    </row>
    <row r="3805" spans="4:7">
      <c r="D3805" s="200" t="s">
        <v>4321</v>
      </c>
      <c r="E3805" s="10">
        <v>35633</v>
      </c>
      <c r="F3805" s="201">
        <v>-11.3</v>
      </c>
      <c r="G3805" s="201">
        <v>9.4</v>
      </c>
    </row>
    <row r="3806" spans="4:7">
      <c r="D3806" s="200" t="s">
        <v>3924</v>
      </c>
      <c r="E3806" s="10">
        <v>35689</v>
      </c>
      <c r="F3806" s="201">
        <v>-11.3</v>
      </c>
      <c r="G3806" s="201">
        <v>8.6</v>
      </c>
    </row>
    <row r="3807" spans="4:7">
      <c r="D3807" s="200" t="s">
        <v>3924</v>
      </c>
      <c r="E3807" s="10">
        <v>35690</v>
      </c>
      <c r="F3807" s="201">
        <v>-11.3</v>
      </c>
      <c r="G3807" s="201">
        <v>8.3000000000000007</v>
      </c>
    </row>
    <row r="3808" spans="4:7">
      <c r="D3808" s="200" t="s">
        <v>4322</v>
      </c>
      <c r="E3808" s="10">
        <v>35719</v>
      </c>
      <c r="F3808" s="201">
        <v>-11.3</v>
      </c>
      <c r="G3808" s="201">
        <v>8.3000000000000007</v>
      </c>
    </row>
    <row r="3809" spans="4:7">
      <c r="D3809" s="200" t="s">
        <v>4323</v>
      </c>
      <c r="E3809" s="10">
        <v>35764</v>
      </c>
      <c r="F3809" s="201">
        <v>-11.3</v>
      </c>
      <c r="G3809" s="201">
        <v>9.4</v>
      </c>
    </row>
    <row r="3810" spans="4:7">
      <c r="D3810" s="200" t="s">
        <v>4324</v>
      </c>
      <c r="E3810" s="10">
        <v>35768</v>
      </c>
      <c r="F3810" s="201">
        <v>-11.3</v>
      </c>
      <c r="G3810" s="201">
        <v>8.4</v>
      </c>
    </row>
    <row r="3811" spans="4:7">
      <c r="D3811" s="200" t="s">
        <v>4325</v>
      </c>
      <c r="E3811" s="10">
        <v>36037</v>
      </c>
      <c r="F3811" s="201">
        <v>-11.3</v>
      </c>
      <c r="G3811" s="201">
        <v>9.4</v>
      </c>
    </row>
    <row r="3812" spans="4:7">
      <c r="D3812" s="200" t="s">
        <v>3585</v>
      </c>
      <c r="E3812" s="10">
        <v>37081</v>
      </c>
      <c r="F3812" s="201">
        <v>-11.3</v>
      </c>
      <c r="G3812" s="201">
        <v>9.6999999999999993</v>
      </c>
    </row>
    <row r="3813" spans="4:7">
      <c r="D3813" s="200" t="s">
        <v>3268</v>
      </c>
      <c r="E3813" s="10">
        <v>38112</v>
      </c>
      <c r="F3813" s="201">
        <v>-11.3</v>
      </c>
      <c r="G3813" s="201">
        <v>9.8000000000000007</v>
      </c>
    </row>
    <row r="3814" spans="4:7">
      <c r="D3814" s="200" t="s">
        <v>3268</v>
      </c>
      <c r="E3814" s="10">
        <v>38116</v>
      </c>
      <c r="F3814" s="201">
        <v>-11.3</v>
      </c>
      <c r="G3814" s="201">
        <v>9.8000000000000007</v>
      </c>
    </row>
    <row r="3815" spans="4:7">
      <c r="D3815" s="200" t="s">
        <v>4326</v>
      </c>
      <c r="E3815" s="10">
        <v>38159</v>
      </c>
      <c r="F3815" s="201">
        <v>-11.3</v>
      </c>
      <c r="G3815" s="201">
        <v>9.6999999999999993</v>
      </c>
    </row>
    <row r="3816" spans="4:7">
      <c r="D3816" s="200" t="s">
        <v>4327</v>
      </c>
      <c r="E3816" s="10">
        <v>38176</v>
      </c>
      <c r="F3816" s="201">
        <v>-11.3</v>
      </c>
      <c r="G3816" s="201">
        <v>9.6999999999999993</v>
      </c>
    </row>
    <row r="3817" spans="4:7">
      <c r="D3817" s="200" t="s">
        <v>4328</v>
      </c>
      <c r="E3817" s="10">
        <v>38518</v>
      </c>
      <c r="F3817" s="201">
        <v>-11.3</v>
      </c>
      <c r="G3817" s="201">
        <v>9.6999999999999993</v>
      </c>
    </row>
    <row r="3818" spans="4:7">
      <c r="D3818" s="200" t="s">
        <v>4329</v>
      </c>
      <c r="E3818" s="10">
        <v>38530</v>
      </c>
      <c r="F3818" s="201">
        <v>-11.3</v>
      </c>
      <c r="G3818" s="201">
        <v>9.8000000000000007</v>
      </c>
    </row>
    <row r="3819" spans="4:7">
      <c r="D3819" s="200" t="s">
        <v>4330</v>
      </c>
      <c r="E3819" s="10">
        <v>38539</v>
      </c>
      <c r="F3819" s="201">
        <v>-11.3</v>
      </c>
      <c r="G3819" s="201">
        <v>9.6999999999999993</v>
      </c>
    </row>
    <row r="3820" spans="4:7">
      <c r="D3820" s="200" t="s">
        <v>4331</v>
      </c>
      <c r="E3820" s="10">
        <v>38542</v>
      </c>
      <c r="F3820" s="201">
        <v>-11.3</v>
      </c>
      <c r="G3820" s="201">
        <v>9.6999999999999993</v>
      </c>
    </row>
    <row r="3821" spans="4:7">
      <c r="D3821" s="200" t="s">
        <v>4332</v>
      </c>
      <c r="E3821" s="10">
        <v>38543</v>
      </c>
      <c r="F3821" s="201">
        <v>-11.3</v>
      </c>
      <c r="G3821" s="201">
        <v>9.6999999999999993</v>
      </c>
    </row>
    <row r="3822" spans="4:7">
      <c r="D3822" s="200" t="s">
        <v>4333</v>
      </c>
      <c r="E3822" s="10">
        <v>38559</v>
      </c>
      <c r="F3822" s="201">
        <v>-11.3</v>
      </c>
      <c r="G3822" s="201">
        <v>9.6</v>
      </c>
    </row>
    <row r="3823" spans="4:7">
      <c r="D3823" s="200" t="s">
        <v>4334</v>
      </c>
      <c r="E3823" s="10">
        <v>53947</v>
      </c>
      <c r="F3823" s="201">
        <v>-11.3</v>
      </c>
      <c r="G3823" s="201">
        <v>8.1</v>
      </c>
    </row>
    <row r="3824" spans="4:7">
      <c r="D3824" s="200" t="s">
        <v>4335</v>
      </c>
      <c r="E3824" s="10">
        <v>54411</v>
      </c>
      <c r="F3824" s="201">
        <v>-11.3</v>
      </c>
      <c r="G3824" s="201">
        <v>8.5</v>
      </c>
    </row>
    <row r="3825" spans="4:7">
      <c r="D3825" s="200" t="s">
        <v>4336</v>
      </c>
      <c r="E3825" s="10">
        <v>54552</v>
      </c>
      <c r="F3825" s="201">
        <v>-11.3</v>
      </c>
      <c r="G3825" s="201">
        <v>8.1</v>
      </c>
    </row>
    <row r="3826" spans="4:7">
      <c r="D3826" s="200" t="s">
        <v>4337</v>
      </c>
      <c r="E3826" s="10">
        <v>54610</v>
      </c>
      <c r="F3826" s="201">
        <v>-11.3</v>
      </c>
      <c r="G3826" s="201">
        <v>8.1999999999999993</v>
      </c>
    </row>
    <row r="3827" spans="4:7">
      <c r="D3827" s="200" t="s">
        <v>4338</v>
      </c>
      <c r="E3827" s="10">
        <v>56291</v>
      </c>
      <c r="F3827" s="201">
        <v>-11.3</v>
      </c>
      <c r="G3827" s="201">
        <v>8.3000000000000007</v>
      </c>
    </row>
    <row r="3828" spans="4:7">
      <c r="D3828" s="200" t="s">
        <v>4339</v>
      </c>
      <c r="E3828" s="10">
        <v>56746</v>
      </c>
      <c r="F3828" s="201">
        <v>-11.3</v>
      </c>
      <c r="G3828" s="201">
        <v>8.1</v>
      </c>
    </row>
    <row r="3829" spans="4:7">
      <c r="D3829" s="200" t="s">
        <v>4340</v>
      </c>
      <c r="E3829" s="10">
        <v>57368</v>
      </c>
      <c r="F3829" s="201">
        <v>-11.3</v>
      </c>
      <c r="G3829" s="201">
        <v>7.8</v>
      </c>
    </row>
    <row r="3830" spans="4:7">
      <c r="D3830" s="200" t="s">
        <v>4341</v>
      </c>
      <c r="E3830" s="10">
        <v>59929</v>
      </c>
      <c r="F3830" s="201">
        <v>-11.3</v>
      </c>
      <c r="G3830" s="201">
        <v>8.4</v>
      </c>
    </row>
    <row r="3831" spans="4:7">
      <c r="D3831" s="200" t="s">
        <v>4342</v>
      </c>
      <c r="E3831" s="10">
        <v>61479</v>
      </c>
      <c r="F3831" s="201">
        <v>-11.3</v>
      </c>
      <c r="G3831" s="201">
        <v>8.6</v>
      </c>
    </row>
    <row r="3832" spans="4:7">
      <c r="D3832" s="200" t="s">
        <v>4343</v>
      </c>
      <c r="E3832" s="10">
        <v>63619</v>
      </c>
      <c r="F3832" s="201">
        <v>-11.3</v>
      </c>
      <c r="G3832" s="201">
        <v>9.6</v>
      </c>
    </row>
    <row r="3833" spans="4:7">
      <c r="D3833" s="200" t="s">
        <v>4344</v>
      </c>
      <c r="E3833" s="10">
        <v>63697</v>
      </c>
      <c r="F3833" s="201">
        <v>-11.3</v>
      </c>
      <c r="G3833" s="201">
        <v>9</v>
      </c>
    </row>
    <row r="3834" spans="4:7">
      <c r="D3834" s="200" t="s">
        <v>4345</v>
      </c>
      <c r="E3834" s="10">
        <v>63699</v>
      </c>
      <c r="F3834" s="201">
        <v>-11.3</v>
      </c>
      <c r="G3834" s="201">
        <v>9.1999999999999993</v>
      </c>
    </row>
    <row r="3835" spans="4:7">
      <c r="D3835" s="200" t="s">
        <v>4346</v>
      </c>
      <c r="E3835" s="10">
        <v>63828</v>
      </c>
      <c r="F3835" s="201">
        <v>-11.3</v>
      </c>
      <c r="G3835" s="201">
        <v>9.6999999999999993</v>
      </c>
    </row>
    <row r="3836" spans="4:7">
      <c r="D3836" s="200" t="s">
        <v>4347</v>
      </c>
      <c r="E3836" s="10">
        <v>63829</v>
      </c>
      <c r="F3836" s="201">
        <v>-11.3</v>
      </c>
      <c r="G3836" s="201">
        <v>9.5</v>
      </c>
    </row>
    <row r="3837" spans="4:7">
      <c r="D3837" s="200" t="s">
        <v>4348</v>
      </c>
      <c r="E3837" s="10">
        <v>63846</v>
      </c>
      <c r="F3837" s="201">
        <v>-11.3</v>
      </c>
      <c r="G3837" s="201">
        <v>9.6</v>
      </c>
    </row>
    <row r="3838" spans="4:7">
      <c r="D3838" s="200" t="s">
        <v>4349</v>
      </c>
      <c r="E3838" s="10">
        <v>63849</v>
      </c>
      <c r="F3838" s="201">
        <v>-11.3</v>
      </c>
      <c r="G3838" s="201">
        <v>9.6</v>
      </c>
    </row>
    <row r="3839" spans="4:7">
      <c r="D3839" s="200" t="s">
        <v>4350</v>
      </c>
      <c r="E3839" s="10">
        <v>63863</v>
      </c>
      <c r="F3839" s="201">
        <v>-11.3</v>
      </c>
      <c r="G3839" s="201">
        <v>9.4</v>
      </c>
    </row>
    <row r="3840" spans="4:7">
      <c r="D3840" s="200" t="s">
        <v>4351</v>
      </c>
      <c r="E3840" s="10">
        <v>63872</v>
      </c>
      <c r="F3840" s="201">
        <v>-11.3</v>
      </c>
      <c r="G3840" s="201">
        <v>9.5</v>
      </c>
    </row>
    <row r="3841" spans="4:7">
      <c r="D3841" s="200" t="s">
        <v>4352</v>
      </c>
      <c r="E3841" s="10">
        <v>64754</v>
      </c>
      <c r="F3841" s="201">
        <v>-11.3</v>
      </c>
      <c r="G3841" s="201">
        <v>9.6</v>
      </c>
    </row>
    <row r="3842" spans="4:7">
      <c r="D3842" s="200" t="s">
        <v>4353</v>
      </c>
      <c r="E3842" s="10">
        <v>64756</v>
      </c>
      <c r="F3842" s="201">
        <v>-11.3</v>
      </c>
      <c r="G3842" s="201">
        <v>9.1999999999999993</v>
      </c>
    </row>
    <row r="3843" spans="4:7">
      <c r="D3843" s="200" t="s">
        <v>4354</v>
      </c>
      <c r="E3843" s="10">
        <v>67480</v>
      </c>
      <c r="F3843" s="201">
        <v>-11.3</v>
      </c>
      <c r="G3843" s="201">
        <v>9.1999999999999993</v>
      </c>
    </row>
    <row r="3844" spans="4:7">
      <c r="D3844" s="200" t="s">
        <v>4355</v>
      </c>
      <c r="E3844" s="10">
        <v>69253</v>
      </c>
      <c r="F3844" s="201">
        <v>-11.3</v>
      </c>
      <c r="G3844" s="201">
        <v>9.1999999999999993</v>
      </c>
    </row>
    <row r="3845" spans="4:7">
      <c r="D3845" s="200" t="s">
        <v>2307</v>
      </c>
      <c r="E3845" s="10">
        <v>70565</v>
      </c>
      <c r="F3845" s="201">
        <v>-11.3</v>
      </c>
      <c r="G3845" s="201">
        <v>9.6999999999999993</v>
      </c>
    </row>
    <row r="3846" spans="4:7">
      <c r="D3846" s="200" t="s">
        <v>2307</v>
      </c>
      <c r="E3846" s="10">
        <v>70597</v>
      </c>
      <c r="F3846" s="201">
        <v>-11.3</v>
      </c>
      <c r="G3846" s="201">
        <v>9.5</v>
      </c>
    </row>
    <row r="3847" spans="4:7">
      <c r="D3847" s="200" t="s">
        <v>2307</v>
      </c>
      <c r="E3847" s="10">
        <v>70599</v>
      </c>
      <c r="F3847" s="201">
        <v>-11.3</v>
      </c>
      <c r="G3847" s="201">
        <v>9.6</v>
      </c>
    </row>
    <row r="3848" spans="4:7">
      <c r="D3848" s="200" t="s">
        <v>2307</v>
      </c>
      <c r="E3848" s="10">
        <v>70619</v>
      </c>
      <c r="F3848" s="201">
        <v>-11.3</v>
      </c>
      <c r="G3848" s="201">
        <v>9.5</v>
      </c>
    </row>
    <row r="3849" spans="4:7">
      <c r="D3849" s="200" t="s">
        <v>4356</v>
      </c>
      <c r="E3849" s="10">
        <v>70629</v>
      </c>
      <c r="F3849" s="201">
        <v>-11.3</v>
      </c>
      <c r="G3849" s="201">
        <v>9.6999999999999993</v>
      </c>
    </row>
    <row r="3850" spans="4:7">
      <c r="D3850" s="200" t="s">
        <v>4357</v>
      </c>
      <c r="E3850" s="10">
        <v>70794</v>
      </c>
      <c r="F3850" s="201">
        <v>-11.3</v>
      </c>
      <c r="G3850" s="201">
        <v>9.6</v>
      </c>
    </row>
    <row r="3851" spans="4:7">
      <c r="D3851" s="200" t="s">
        <v>4358</v>
      </c>
      <c r="E3851" s="10">
        <v>70825</v>
      </c>
      <c r="F3851" s="201">
        <v>-11.3</v>
      </c>
      <c r="G3851" s="201">
        <v>10.1</v>
      </c>
    </row>
    <row r="3852" spans="4:7">
      <c r="D3852" s="200" t="s">
        <v>4359</v>
      </c>
      <c r="E3852" s="10">
        <v>71540</v>
      </c>
      <c r="F3852" s="201">
        <v>-11.3</v>
      </c>
      <c r="G3852" s="201">
        <v>9.9</v>
      </c>
    </row>
    <row r="3853" spans="4:7">
      <c r="D3853" s="200" t="s">
        <v>4360</v>
      </c>
      <c r="E3853" s="10">
        <v>71560</v>
      </c>
      <c r="F3853" s="201">
        <v>-11.3</v>
      </c>
      <c r="G3853" s="201">
        <v>9.8000000000000007</v>
      </c>
    </row>
    <row r="3854" spans="4:7">
      <c r="D3854" s="200" t="s">
        <v>4361</v>
      </c>
      <c r="E3854" s="10">
        <v>71726</v>
      </c>
      <c r="F3854" s="201">
        <v>-11.3</v>
      </c>
      <c r="G3854" s="201">
        <v>10.1</v>
      </c>
    </row>
    <row r="3855" spans="4:7">
      <c r="D3855" s="200" t="s">
        <v>4362</v>
      </c>
      <c r="E3855" s="10">
        <v>72108</v>
      </c>
      <c r="F3855" s="201">
        <v>-11.3</v>
      </c>
      <c r="G3855" s="201">
        <v>9.4</v>
      </c>
    </row>
    <row r="3856" spans="4:7">
      <c r="D3856" s="200" t="s">
        <v>4363</v>
      </c>
      <c r="E3856" s="10">
        <v>72414</v>
      </c>
      <c r="F3856" s="201">
        <v>-11.3</v>
      </c>
      <c r="G3856" s="201">
        <v>9.6</v>
      </c>
    </row>
    <row r="3857" spans="4:7">
      <c r="D3857" s="200" t="s">
        <v>4364</v>
      </c>
      <c r="E3857" s="10">
        <v>72649</v>
      </c>
      <c r="F3857" s="201">
        <v>-11.3</v>
      </c>
      <c r="G3857" s="201">
        <v>9.6999999999999993</v>
      </c>
    </row>
    <row r="3858" spans="4:7">
      <c r="D3858" s="200" t="s">
        <v>3636</v>
      </c>
      <c r="E3858" s="10">
        <v>72768</v>
      </c>
      <c r="F3858" s="201">
        <v>-11.3</v>
      </c>
      <c r="G3858" s="201">
        <v>9.6999999999999993</v>
      </c>
    </row>
    <row r="3859" spans="4:7">
      <c r="D3859" s="200" t="s">
        <v>4365</v>
      </c>
      <c r="E3859" s="10">
        <v>72810</v>
      </c>
      <c r="F3859" s="201">
        <v>-11.3</v>
      </c>
      <c r="G3859" s="201">
        <v>9.5</v>
      </c>
    </row>
    <row r="3860" spans="4:7">
      <c r="D3860" s="200" t="s">
        <v>4366</v>
      </c>
      <c r="E3860" s="10">
        <v>73095</v>
      </c>
      <c r="F3860" s="201">
        <v>-11.3</v>
      </c>
      <c r="G3860" s="201">
        <v>9.6999999999999993</v>
      </c>
    </row>
    <row r="3861" spans="4:7">
      <c r="D3861" s="200" t="s">
        <v>4367</v>
      </c>
      <c r="E3861" s="10">
        <v>73101</v>
      </c>
      <c r="F3861" s="201">
        <v>-11.3</v>
      </c>
      <c r="G3861" s="201">
        <v>9.6</v>
      </c>
    </row>
    <row r="3862" spans="4:7">
      <c r="D3862" s="200" t="s">
        <v>4368</v>
      </c>
      <c r="E3862" s="10">
        <v>73105</v>
      </c>
      <c r="F3862" s="201">
        <v>-11.3</v>
      </c>
      <c r="G3862" s="201">
        <v>9.6</v>
      </c>
    </row>
    <row r="3863" spans="4:7">
      <c r="D3863" s="200" t="s">
        <v>4369</v>
      </c>
      <c r="E3863" s="10">
        <v>73107</v>
      </c>
      <c r="F3863" s="201">
        <v>-11.3</v>
      </c>
      <c r="G3863" s="201">
        <v>9.6</v>
      </c>
    </row>
    <row r="3864" spans="4:7">
      <c r="D3864" s="200" t="s">
        <v>4370</v>
      </c>
      <c r="E3864" s="10">
        <v>73110</v>
      </c>
      <c r="F3864" s="201">
        <v>-11.3</v>
      </c>
      <c r="G3864" s="201">
        <v>9.6999999999999993</v>
      </c>
    </row>
    <row r="3865" spans="4:7">
      <c r="D3865" s="200" t="s">
        <v>4371</v>
      </c>
      <c r="E3865" s="10">
        <v>73119</v>
      </c>
      <c r="F3865" s="201">
        <v>-11.3</v>
      </c>
      <c r="G3865" s="201">
        <v>9.6</v>
      </c>
    </row>
    <row r="3866" spans="4:7">
      <c r="D3866" s="200" t="s">
        <v>4372</v>
      </c>
      <c r="E3866" s="10">
        <v>73235</v>
      </c>
      <c r="F3866" s="201">
        <v>-11.3</v>
      </c>
      <c r="G3866" s="201">
        <v>9.5</v>
      </c>
    </row>
    <row r="3867" spans="4:7">
      <c r="D3867" s="200" t="s">
        <v>4373</v>
      </c>
      <c r="E3867" s="10">
        <v>73262</v>
      </c>
      <c r="F3867" s="201">
        <v>-11.3</v>
      </c>
      <c r="G3867" s="201">
        <v>9.6999999999999993</v>
      </c>
    </row>
    <row r="3868" spans="4:7">
      <c r="D3868" s="200" t="s">
        <v>4374</v>
      </c>
      <c r="E3868" s="10">
        <v>73265</v>
      </c>
      <c r="F3868" s="201">
        <v>-11.3</v>
      </c>
      <c r="G3868" s="201">
        <v>9.6</v>
      </c>
    </row>
    <row r="3869" spans="4:7">
      <c r="D3869" s="200" t="s">
        <v>4375</v>
      </c>
      <c r="E3869" s="10">
        <v>73275</v>
      </c>
      <c r="F3869" s="201">
        <v>-11.3</v>
      </c>
      <c r="G3869" s="201">
        <v>9.6999999999999993</v>
      </c>
    </row>
    <row r="3870" spans="4:7">
      <c r="D3870" s="200" t="s">
        <v>4376</v>
      </c>
      <c r="E3870" s="10">
        <v>73333</v>
      </c>
      <c r="F3870" s="201">
        <v>-11.3</v>
      </c>
      <c r="G3870" s="201">
        <v>9.6</v>
      </c>
    </row>
    <row r="3871" spans="4:7">
      <c r="D3871" s="200" t="s">
        <v>3612</v>
      </c>
      <c r="E3871" s="10">
        <v>73547</v>
      </c>
      <c r="F3871" s="201">
        <v>-11.3</v>
      </c>
      <c r="G3871" s="201">
        <v>9.9</v>
      </c>
    </row>
    <row r="3872" spans="4:7">
      <c r="D3872" s="200" t="s">
        <v>4377</v>
      </c>
      <c r="E3872" s="10">
        <v>73635</v>
      </c>
      <c r="F3872" s="201">
        <v>-11.3</v>
      </c>
      <c r="G3872" s="201">
        <v>10.1</v>
      </c>
    </row>
    <row r="3873" spans="4:7">
      <c r="D3873" s="200" t="s">
        <v>3361</v>
      </c>
      <c r="E3873" s="10">
        <v>73732</v>
      </c>
      <c r="F3873" s="201">
        <v>-11.3</v>
      </c>
      <c r="G3873" s="201">
        <v>9.6</v>
      </c>
    </row>
    <row r="3874" spans="4:7">
      <c r="D3874" s="200" t="s">
        <v>4378</v>
      </c>
      <c r="E3874" s="10">
        <v>73760</v>
      </c>
      <c r="F3874" s="201">
        <v>-11.3</v>
      </c>
      <c r="G3874" s="201">
        <v>9.8000000000000007</v>
      </c>
    </row>
    <row r="3875" spans="4:7">
      <c r="D3875" s="200" t="s">
        <v>4379</v>
      </c>
      <c r="E3875" s="10">
        <v>74379</v>
      </c>
      <c r="F3875" s="201">
        <v>-11.3</v>
      </c>
      <c r="G3875" s="201">
        <v>10.1</v>
      </c>
    </row>
    <row r="3876" spans="4:7">
      <c r="D3876" s="200" t="s">
        <v>4380</v>
      </c>
      <c r="E3876" s="10">
        <v>74395</v>
      </c>
      <c r="F3876" s="201">
        <v>-11.3</v>
      </c>
      <c r="G3876" s="201">
        <v>10</v>
      </c>
    </row>
    <row r="3877" spans="4:7">
      <c r="D3877" s="200" t="s">
        <v>3143</v>
      </c>
      <c r="E3877" s="10">
        <v>74538</v>
      </c>
      <c r="F3877" s="201">
        <v>-11.3</v>
      </c>
      <c r="G3877" s="201">
        <v>9.6999999999999993</v>
      </c>
    </row>
    <row r="3878" spans="4:7">
      <c r="D3878" s="200" t="s">
        <v>4381</v>
      </c>
      <c r="E3878" s="10">
        <v>74542</v>
      </c>
      <c r="F3878" s="201">
        <v>-11.3</v>
      </c>
      <c r="G3878" s="201">
        <v>9.8000000000000007</v>
      </c>
    </row>
    <row r="3879" spans="4:7">
      <c r="D3879" s="200" t="s">
        <v>4382</v>
      </c>
      <c r="E3879" s="10">
        <v>74673</v>
      </c>
      <c r="F3879" s="201">
        <v>-11.3</v>
      </c>
      <c r="G3879" s="201">
        <v>9.9</v>
      </c>
    </row>
    <row r="3880" spans="4:7">
      <c r="D3880" s="200" t="s">
        <v>4383</v>
      </c>
      <c r="E3880" s="10">
        <v>74722</v>
      </c>
      <c r="F3880" s="201">
        <v>-11.3</v>
      </c>
      <c r="G3880" s="201">
        <v>9.6</v>
      </c>
    </row>
    <row r="3881" spans="4:7">
      <c r="D3881" s="200" t="s">
        <v>3739</v>
      </c>
      <c r="E3881" s="10">
        <v>75175</v>
      </c>
      <c r="F3881" s="201">
        <v>-11.3</v>
      </c>
      <c r="G3881" s="201">
        <v>9.8000000000000007</v>
      </c>
    </row>
    <row r="3882" spans="4:7">
      <c r="D3882" s="200" t="s">
        <v>3739</v>
      </c>
      <c r="E3882" s="10">
        <v>75179</v>
      </c>
      <c r="F3882" s="201">
        <v>-11.3</v>
      </c>
      <c r="G3882" s="201">
        <v>9.6</v>
      </c>
    </row>
    <row r="3883" spans="4:7">
      <c r="D3883" s="200" t="s">
        <v>4384</v>
      </c>
      <c r="E3883" s="10">
        <v>75236</v>
      </c>
      <c r="F3883" s="201">
        <v>-11.3</v>
      </c>
      <c r="G3883" s="201">
        <v>9.6999999999999993</v>
      </c>
    </row>
    <row r="3884" spans="4:7">
      <c r="D3884" s="200" t="s">
        <v>4385</v>
      </c>
      <c r="E3884" s="10">
        <v>75239</v>
      </c>
      <c r="F3884" s="201">
        <v>-11.3</v>
      </c>
      <c r="G3884" s="201">
        <v>9.6999999999999993</v>
      </c>
    </row>
    <row r="3885" spans="4:7">
      <c r="D3885" s="200" t="s">
        <v>4386</v>
      </c>
      <c r="E3885" s="10">
        <v>75365</v>
      </c>
      <c r="F3885" s="201">
        <v>-11.3</v>
      </c>
      <c r="G3885" s="201">
        <v>9.9</v>
      </c>
    </row>
    <row r="3886" spans="4:7">
      <c r="D3886" s="200" t="s">
        <v>4387</v>
      </c>
      <c r="E3886" s="10">
        <v>78247</v>
      </c>
      <c r="F3886" s="201">
        <v>-11.3</v>
      </c>
      <c r="G3886" s="201">
        <v>8.6999999999999993</v>
      </c>
    </row>
    <row r="3887" spans="4:7">
      <c r="D3887" s="200" t="s">
        <v>4388</v>
      </c>
      <c r="E3887" s="10">
        <v>78250</v>
      </c>
      <c r="F3887" s="201">
        <v>-11.3</v>
      </c>
      <c r="G3887" s="201">
        <v>8.6999999999999993</v>
      </c>
    </row>
    <row r="3888" spans="4:7">
      <c r="D3888" s="200" t="s">
        <v>4389</v>
      </c>
      <c r="E3888" s="10">
        <v>78337</v>
      </c>
      <c r="F3888" s="201">
        <v>-11.3</v>
      </c>
      <c r="G3888" s="201">
        <v>8.9</v>
      </c>
    </row>
    <row r="3889" spans="4:7">
      <c r="D3889" s="200" t="s">
        <v>4390</v>
      </c>
      <c r="E3889" s="10">
        <v>79429</v>
      </c>
      <c r="F3889" s="201">
        <v>-11.3</v>
      </c>
      <c r="G3889" s="201">
        <v>9.1</v>
      </c>
    </row>
    <row r="3890" spans="4:7">
      <c r="D3890" s="200" t="s">
        <v>4162</v>
      </c>
      <c r="E3890" s="10">
        <v>80469</v>
      </c>
      <c r="F3890" s="201">
        <v>-11.3</v>
      </c>
      <c r="G3890" s="201">
        <v>10.1</v>
      </c>
    </row>
    <row r="3891" spans="4:7">
      <c r="D3891" s="200" t="s">
        <v>4162</v>
      </c>
      <c r="E3891" s="10">
        <v>80796</v>
      </c>
      <c r="F3891" s="201">
        <v>-11.3</v>
      </c>
      <c r="G3891" s="201">
        <v>10</v>
      </c>
    </row>
    <row r="3892" spans="4:7">
      <c r="D3892" s="200" t="s">
        <v>4162</v>
      </c>
      <c r="E3892" s="10">
        <v>80797</v>
      </c>
      <c r="F3892" s="201">
        <v>-11.3</v>
      </c>
      <c r="G3892" s="201">
        <v>10</v>
      </c>
    </row>
    <row r="3893" spans="4:7">
      <c r="D3893" s="200" t="s">
        <v>4162</v>
      </c>
      <c r="E3893" s="10">
        <v>80798</v>
      </c>
      <c r="F3893" s="201">
        <v>-11.3</v>
      </c>
      <c r="G3893" s="201">
        <v>10</v>
      </c>
    </row>
    <row r="3894" spans="4:7">
      <c r="D3894" s="200" t="s">
        <v>4162</v>
      </c>
      <c r="E3894" s="10">
        <v>80801</v>
      </c>
      <c r="F3894" s="201">
        <v>-11.3</v>
      </c>
      <c r="G3894" s="201">
        <v>10</v>
      </c>
    </row>
    <row r="3895" spans="4:7">
      <c r="D3895" s="200" t="s">
        <v>4391</v>
      </c>
      <c r="E3895" s="10">
        <v>88634</v>
      </c>
      <c r="F3895" s="201">
        <v>-11.3</v>
      </c>
      <c r="G3895" s="201">
        <v>8.6999999999999993</v>
      </c>
    </row>
    <row r="3896" spans="4:7">
      <c r="D3896" s="200" t="s">
        <v>4257</v>
      </c>
      <c r="E3896" s="10">
        <v>90402</v>
      </c>
      <c r="F3896" s="201">
        <v>-11.3</v>
      </c>
      <c r="G3896" s="201">
        <v>10.6</v>
      </c>
    </row>
    <row r="3897" spans="4:7">
      <c r="D3897" s="200" t="s">
        <v>4257</v>
      </c>
      <c r="E3897" s="10">
        <v>90403</v>
      </c>
      <c r="F3897" s="201">
        <v>-11.3</v>
      </c>
      <c r="G3897" s="201">
        <v>10.6</v>
      </c>
    </row>
    <row r="3898" spans="4:7">
      <c r="D3898" s="200" t="s">
        <v>4392</v>
      </c>
      <c r="E3898" s="10">
        <v>95444</v>
      </c>
      <c r="F3898" s="201">
        <v>-11.3</v>
      </c>
      <c r="G3898" s="201">
        <v>9.9</v>
      </c>
    </row>
    <row r="3899" spans="4:7">
      <c r="D3899" s="200" t="s">
        <v>3138</v>
      </c>
      <c r="E3899" s="10">
        <v>97082</v>
      </c>
      <c r="F3899" s="201">
        <v>-11.3</v>
      </c>
      <c r="G3899" s="201">
        <v>9.8000000000000007</v>
      </c>
    </row>
    <row r="3900" spans="4:7">
      <c r="D3900" s="200" t="s">
        <v>3138</v>
      </c>
      <c r="E3900" s="10">
        <v>97084</v>
      </c>
      <c r="F3900" s="201">
        <v>-11.3</v>
      </c>
      <c r="G3900" s="201">
        <v>9.9</v>
      </c>
    </row>
    <row r="3901" spans="4:7">
      <c r="D3901" s="200" t="s">
        <v>4393</v>
      </c>
      <c r="E3901" s="10">
        <v>97204</v>
      </c>
      <c r="F3901" s="201">
        <v>-11.3</v>
      </c>
      <c r="G3901" s="201">
        <v>9.6999999999999993</v>
      </c>
    </row>
    <row r="3902" spans="4:7">
      <c r="D3902" s="200" t="s">
        <v>4394</v>
      </c>
      <c r="E3902" s="10">
        <v>97225</v>
      </c>
      <c r="F3902" s="201">
        <v>-11.3</v>
      </c>
      <c r="G3902" s="201">
        <v>9.5</v>
      </c>
    </row>
    <row r="3903" spans="4:7">
      <c r="D3903" s="200" t="s">
        <v>4395</v>
      </c>
      <c r="E3903" s="10">
        <v>97237</v>
      </c>
      <c r="F3903" s="201">
        <v>-11.3</v>
      </c>
      <c r="G3903" s="201">
        <v>9.6999999999999993</v>
      </c>
    </row>
    <row r="3904" spans="4:7">
      <c r="D3904" s="200" t="s">
        <v>4396</v>
      </c>
      <c r="E3904" s="10">
        <v>97253</v>
      </c>
      <c r="F3904" s="201">
        <v>-11.3</v>
      </c>
      <c r="G3904" s="201">
        <v>9.8000000000000007</v>
      </c>
    </row>
    <row r="3905" spans="4:7">
      <c r="D3905" s="200" t="s">
        <v>4397</v>
      </c>
      <c r="E3905" s="10">
        <v>97267</v>
      </c>
      <c r="F3905" s="201">
        <v>-11.3</v>
      </c>
      <c r="G3905" s="201">
        <v>9.6</v>
      </c>
    </row>
    <row r="3906" spans="4:7">
      <c r="D3906" s="200" t="s">
        <v>4398</v>
      </c>
      <c r="E3906" s="10">
        <v>97280</v>
      </c>
      <c r="F3906" s="201">
        <v>-11.3</v>
      </c>
      <c r="G3906" s="201">
        <v>9.5</v>
      </c>
    </row>
    <row r="3907" spans="4:7">
      <c r="D3907" s="200" t="s">
        <v>4399</v>
      </c>
      <c r="E3907" s="10">
        <v>97318</v>
      </c>
      <c r="F3907" s="201">
        <v>-11.3</v>
      </c>
      <c r="G3907" s="201">
        <v>9.9</v>
      </c>
    </row>
    <row r="3908" spans="4:7">
      <c r="D3908" s="200" t="s">
        <v>4400</v>
      </c>
      <c r="E3908" s="10">
        <v>97332</v>
      </c>
      <c r="F3908" s="201">
        <v>-11.3</v>
      </c>
      <c r="G3908" s="201">
        <v>9.9</v>
      </c>
    </row>
    <row r="3909" spans="4:7">
      <c r="D3909" s="200" t="s">
        <v>4401</v>
      </c>
      <c r="E3909" s="10">
        <v>97359</v>
      </c>
      <c r="F3909" s="201">
        <v>-11.3</v>
      </c>
      <c r="G3909" s="201">
        <v>9.9</v>
      </c>
    </row>
    <row r="3910" spans="4:7">
      <c r="D3910" s="200" t="s">
        <v>3752</v>
      </c>
      <c r="E3910" s="10">
        <v>97422</v>
      </c>
      <c r="F3910" s="201">
        <v>-11.3</v>
      </c>
      <c r="G3910" s="201">
        <v>9.4</v>
      </c>
    </row>
    <row r="3911" spans="4:7">
      <c r="D3911" s="200" t="s">
        <v>4402</v>
      </c>
      <c r="E3911" s="10">
        <v>97450</v>
      </c>
      <c r="F3911" s="201">
        <v>-11.3</v>
      </c>
      <c r="G3911" s="201">
        <v>9.3000000000000007</v>
      </c>
    </row>
    <row r="3912" spans="4:7">
      <c r="D3912" s="200" t="s">
        <v>4403</v>
      </c>
      <c r="E3912" s="10">
        <v>97464</v>
      </c>
      <c r="F3912" s="201">
        <v>-11.3</v>
      </c>
      <c r="G3912" s="201">
        <v>9.6</v>
      </c>
    </row>
    <row r="3913" spans="4:7">
      <c r="D3913" s="200" t="s">
        <v>4404</v>
      </c>
      <c r="E3913" s="10">
        <v>97490</v>
      </c>
      <c r="F3913" s="201">
        <v>-11.3</v>
      </c>
      <c r="G3913" s="201">
        <v>9.3000000000000007</v>
      </c>
    </row>
    <row r="3914" spans="4:7">
      <c r="D3914" s="200" t="s">
        <v>4405</v>
      </c>
      <c r="E3914" s="10">
        <v>97505</v>
      </c>
      <c r="F3914" s="201">
        <v>-11.3</v>
      </c>
      <c r="G3914" s="201">
        <v>9.6</v>
      </c>
    </row>
    <row r="3915" spans="4:7">
      <c r="D3915" s="200" t="s">
        <v>4406</v>
      </c>
      <c r="E3915" s="10">
        <v>97537</v>
      </c>
      <c r="F3915" s="201">
        <v>-11.3</v>
      </c>
      <c r="G3915" s="201">
        <v>9.8000000000000007</v>
      </c>
    </row>
    <row r="3916" spans="4:7">
      <c r="D3916" s="200" t="s">
        <v>3651</v>
      </c>
      <c r="E3916" s="10">
        <v>97633</v>
      </c>
      <c r="F3916" s="201">
        <v>-11.3</v>
      </c>
      <c r="G3916" s="201">
        <v>9.1</v>
      </c>
    </row>
    <row r="3917" spans="4:7">
      <c r="D3917" s="200" t="s">
        <v>4407</v>
      </c>
      <c r="E3917" s="10">
        <v>97638</v>
      </c>
      <c r="F3917" s="201">
        <v>-11.3</v>
      </c>
      <c r="G3917" s="201">
        <v>9.1</v>
      </c>
    </row>
    <row r="3918" spans="4:7">
      <c r="D3918" s="200" t="s">
        <v>4408</v>
      </c>
      <c r="E3918" s="10">
        <v>97640</v>
      </c>
      <c r="F3918" s="201">
        <v>-11.3</v>
      </c>
      <c r="G3918" s="201">
        <v>9</v>
      </c>
    </row>
    <row r="3919" spans="4:7">
      <c r="D3919" s="200" t="s">
        <v>4409</v>
      </c>
      <c r="E3919" s="10">
        <v>97714</v>
      </c>
      <c r="F3919" s="201">
        <v>-11.3</v>
      </c>
      <c r="G3919" s="201">
        <v>8.9</v>
      </c>
    </row>
    <row r="3920" spans="4:7">
      <c r="D3920" s="200" t="s">
        <v>4410</v>
      </c>
      <c r="E3920" s="10">
        <v>97723</v>
      </c>
      <c r="F3920" s="201">
        <v>-11.3</v>
      </c>
      <c r="G3920" s="201">
        <v>8.9</v>
      </c>
    </row>
    <row r="3921" spans="4:7">
      <c r="D3921" s="200" t="s">
        <v>4411</v>
      </c>
      <c r="E3921" s="10">
        <v>97724</v>
      </c>
      <c r="F3921" s="201">
        <v>-11.3</v>
      </c>
      <c r="G3921" s="201">
        <v>8.8000000000000007</v>
      </c>
    </row>
    <row r="3922" spans="4:7">
      <c r="D3922" s="200" t="s">
        <v>4412</v>
      </c>
      <c r="E3922" s="10">
        <v>97727</v>
      </c>
      <c r="F3922" s="201">
        <v>-11.3</v>
      </c>
      <c r="G3922" s="201">
        <v>9</v>
      </c>
    </row>
    <row r="3923" spans="4:7">
      <c r="D3923" s="200" t="s">
        <v>4413</v>
      </c>
      <c r="E3923" s="10">
        <v>97785</v>
      </c>
      <c r="F3923" s="201">
        <v>-11.3</v>
      </c>
      <c r="G3923" s="201">
        <v>9.3000000000000007</v>
      </c>
    </row>
    <row r="3924" spans="4:7">
      <c r="D3924" s="200" t="s">
        <v>4414</v>
      </c>
      <c r="E3924" s="10">
        <v>97840</v>
      </c>
      <c r="F3924" s="201">
        <v>-11.3</v>
      </c>
      <c r="G3924" s="201">
        <v>9.5</v>
      </c>
    </row>
    <row r="3925" spans="4:7">
      <c r="D3925" s="200" t="s">
        <v>4415</v>
      </c>
      <c r="E3925" s="10">
        <v>97846</v>
      </c>
      <c r="F3925" s="201">
        <v>-11.3</v>
      </c>
      <c r="G3925" s="201">
        <v>9.4</v>
      </c>
    </row>
    <row r="3926" spans="4:7">
      <c r="D3926" s="200" t="s">
        <v>4416</v>
      </c>
      <c r="E3926" s="10">
        <v>97953</v>
      </c>
      <c r="F3926" s="201">
        <v>-11.3</v>
      </c>
      <c r="G3926" s="201">
        <v>9.6</v>
      </c>
    </row>
    <row r="3927" spans="4:7">
      <c r="D3927" s="200" t="s">
        <v>4417</v>
      </c>
      <c r="E3927" s="10">
        <v>97959</v>
      </c>
      <c r="F3927" s="201">
        <v>-11.3</v>
      </c>
      <c r="G3927" s="201">
        <v>9.6999999999999993</v>
      </c>
    </row>
    <row r="3928" spans="4:7">
      <c r="D3928" s="200" t="s">
        <v>4418</v>
      </c>
      <c r="E3928" s="10">
        <v>10825</v>
      </c>
      <c r="F3928" s="201">
        <v>-11.4</v>
      </c>
      <c r="G3928" s="201">
        <v>10.6</v>
      </c>
    </row>
    <row r="3929" spans="4:7">
      <c r="D3929" s="200" t="s">
        <v>4057</v>
      </c>
      <c r="E3929" s="10">
        <v>12045</v>
      </c>
      <c r="F3929" s="201">
        <v>-11.4</v>
      </c>
      <c r="G3929" s="201">
        <v>10.6</v>
      </c>
    </row>
    <row r="3930" spans="4:7">
      <c r="D3930" s="200" t="s">
        <v>4419</v>
      </c>
      <c r="E3930" s="10">
        <v>17459</v>
      </c>
      <c r="F3930" s="201">
        <v>-11.4</v>
      </c>
      <c r="G3930" s="201">
        <v>9</v>
      </c>
    </row>
    <row r="3931" spans="4:7">
      <c r="D3931" s="200" t="s">
        <v>4420</v>
      </c>
      <c r="E3931" s="10">
        <v>17509</v>
      </c>
      <c r="F3931" s="201">
        <v>-11.4</v>
      </c>
      <c r="G3931" s="201">
        <v>8.9</v>
      </c>
    </row>
    <row r="3932" spans="4:7">
      <c r="D3932" s="200" t="s">
        <v>3755</v>
      </c>
      <c r="E3932" s="10">
        <v>19063</v>
      </c>
      <c r="F3932" s="201">
        <v>-11.4</v>
      </c>
      <c r="G3932" s="201">
        <v>9.3000000000000007</v>
      </c>
    </row>
    <row r="3933" spans="4:7">
      <c r="D3933" s="200" t="s">
        <v>3442</v>
      </c>
      <c r="E3933" s="10">
        <v>19067</v>
      </c>
      <c r="F3933" s="201">
        <v>-11.4</v>
      </c>
      <c r="G3933" s="201">
        <v>9.1999999999999993</v>
      </c>
    </row>
    <row r="3934" spans="4:7">
      <c r="D3934" s="200" t="s">
        <v>4421</v>
      </c>
      <c r="E3934" s="10">
        <v>19230</v>
      </c>
      <c r="F3934" s="201">
        <v>-11.4</v>
      </c>
      <c r="G3934" s="201">
        <v>9.3000000000000007</v>
      </c>
    </row>
    <row r="3935" spans="4:7">
      <c r="D3935" s="200" t="s">
        <v>4422</v>
      </c>
      <c r="E3935" s="10">
        <v>29367</v>
      </c>
      <c r="F3935" s="201">
        <v>-11.4</v>
      </c>
      <c r="G3935" s="201">
        <v>9.3000000000000007</v>
      </c>
    </row>
    <row r="3936" spans="4:7">
      <c r="D3936" s="200" t="s">
        <v>4423</v>
      </c>
      <c r="E3936" s="10">
        <v>29393</v>
      </c>
      <c r="F3936" s="201">
        <v>-11.4</v>
      </c>
      <c r="G3936" s="201">
        <v>9.4</v>
      </c>
    </row>
    <row r="3937" spans="4:7">
      <c r="D3937" s="200" t="s">
        <v>4424</v>
      </c>
      <c r="E3937" s="10">
        <v>29399</v>
      </c>
      <c r="F3937" s="201">
        <v>-11.4</v>
      </c>
      <c r="G3937" s="201">
        <v>9.5</v>
      </c>
    </row>
    <row r="3938" spans="4:7">
      <c r="D3938" s="200" t="s">
        <v>4425</v>
      </c>
      <c r="E3938" s="10">
        <v>29473</v>
      </c>
      <c r="F3938" s="201">
        <v>-11.4</v>
      </c>
      <c r="G3938" s="201">
        <v>9.1</v>
      </c>
    </row>
    <row r="3939" spans="4:7">
      <c r="D3939" s="200" t="s">
        <v>4426</v>
      </c>
      <c r="E3939" s="10">
        <v>33034</v>
      </c>
      <c r="F3939" s="201">
        <v>-11.4</v>
      </c>
      <c r="G3939" s="201">
        <v>9.3000000000000007</v>
      </c>
    </row>
    <row r="3940" spans="4:7">
      <c r="D3940" s="200" t="s">
        <v>4427</v>
      </c>
      <c r="E3940" s="10">
        <v>34431</v>
      </c>
      <c r="F3940" s="201">
        <v>-11.4</v>
      </c>
      <c r="G3940" s="201">
        <v>8.9</v>
      </c>
    </row>
    <row r="3941" spans="4:7">
      <c r="D3941" s="200" t="s">
        <v>4428</v>
      </c>
      <c r="E3941" s="10">
        <v>35039</v>
      </c>
      <c r="F3941" s="201">
        <v>-11.4</v>
      </c>
      <c r="G3941" s="201">
        <v>9.4</v>
      </c>
    </row>
    <row r="3942" spans="4:7">
      <c r="D3942" s="200" t="s">
        <v>4429</v>
      </c>
      <c r="E3942" s="10">
        <v>35094</v>
      </c>
      <c r="F3942" s="201">
        <v>-11.4</v>
      </c>
      <c r="G3942" s="201">
        <v>9.3000000000000007</v>
      </c>
    </row>
    <row r="3943" spans="4:7">
      <c r="D3943" s="200" t="s">
        <v>4430</v>
      </c>
      <c r="E3943" s="10">
        <v>35232</v>
      </c>
      <c r="F3943" s="201">
        <v>-11.4</v>
      </c>
      <c r="G3943" s="201">
        <v>8.8000000000000007</v>
      </c>
    </row>
    <row r="3944" spans="4:7">
      <c r="D3944" s="200" t="s">
        <v>4431</v>
      </c>
      <c r="E3944" s="10">
        <v>35239</v>
      </c>
      <c r="F3944" s="201">
        <v>-11.4</v>
      </c>
      <c r="G3944" s="201">
        <v>8.5</v>
      </c>
    </row>
    <row r="3945" spans="4:7">
      <c r="D3945" s="200" t="s">
        <v>4432</v>
      </c>
      <c r="E3945" s="10">
        <v>36391</v>
      </c>
      <c r="F3945" s="201">
        <v>-11.4</v>
      </c>
      <c r="G3945" s="201">
        <v>9.1999999999999993</v>
      </c>
    </row>
    <row r="3946" spans="4:7" ht="30">
      <c r="D3946" s="200" t="s">
        <v>4433</v>
      </c>
      <c r="E3946" s="10">
        <v>37619</v>
      </c>
      <c r="F3946" s="201">
        <v>-11.4</v>
      </c>
      <c r="G3946" s="201">
        <v>9.6</v>
      </c>
    </row>
    <row r="3947" spans="4:7">
      <c r="D3947" s="200" t="s">
        <v>3268</v>
      </c>
      <c r="E3947" s="10">
        <v>38108</v>
      </c>
      <c r="F3947" s="201">
        <v>-11.4</v>
      </c>
      <c r="G3947" s="201">
        <v>9.8000000000000007</v>
      </c>
    </row>
    <row r="3948" spans="4:7">
      <c r="D3948" s="200" t="s">
        <v>3268</v>
      </c>
      <c r="E3948" s="10">
        <v>38110</v>
      </c>
      <c r="F3948" s="201">
        <v>-11.4</v>
      </c>
      <c r="G3948" s="201">
        <v>9.8000000000000007</v>
      </c>
    </row>
    <row r="3949" spans="4:7">
      <c r="D3949" s="200" t="s">
        <v>3268</v>
      </c>
      <c r="E3949" s="10">
        <v>38120</v>
      </c>
      <c r="F3949" s="201">
        <v>-11.4</v>
      </c>
      <c r="G3949" s="201">
        <v>9.6999999999999993</v>
      </c>
    </row>
    <row r="3950" spans="4:7">
      <c r="D3950" s="200" t="s">
        <v>4434</v>
      </c>
      <c r="E3950" s="10">
        <v>38179</v>
      </c>
      <c r="F3950" s="201">
        <v>-11.4</v>
      </c>
      <c r="G3950" s="201">
        <v>9.6999999999999993</v>
      </c>
    </row>
    <row r="3951" spans="4:7">
      <c r="D3951" s="200" t="s">
        <v>3987</v>
      </c>
      <c r="E3951" s="10">
        <v>38228</v>
      </c>
      <c r="F3951" s="201">
        <v>-11.4</v>
      </c>
      <c r="G3951" s="201">
        <v>9.6999999999999993</v>
      </c>
    </row>
    <row r="3952" spans="4:7">
      <c r="D3952" s="200" t="s">
        <v>3987</v>
      </c>
      <c r="E3952" s="10">
        <v>38239</v>
      </c>
      <c r="F3952" s="201">
        <v>-11.4</v>
      </c>
      <c r="G3952" s="201">
        <v>9.6999999999999993</v>
      </c>
    </row>
    <row r="3953" spans="4:7">
      <c r="D3953" s="200" t="s">
        <v>4435</v>
      </c>
      <c r="E3953" s="10">
        <v>38528</v>
      </c>
      <c r="F3953" s="201">
        <v>-11.4</v>
      </c>
      <c r="G3953" s="201">
        <v>9.6999999999999993</v>
      </c>
    </row>
    <row r="3954" spans="4:7">
      <c r="D3954" s="200" t="s">
        <v>4436</v>
      </c>
      <c r="E3954" s="10">
        <v>38531</v>
      </c>
      <c r="F3954" s="201">
        <v>-11.4</v>
      </c>
      <c r="G3954" s="201">
        <v>9.6999999999999993</v>
      </c>
    </row>
    <row r="3955" spans="4:7">
      <c r="D3955" s="200" t="s">
        <v>4437</v>
      </c>
      <c r="E3955" s="10">
        <v>38533</v>
      </c>
      <c r="F3955" s="201">
        <v>-11.4</v>
      </c>
      <c r="G3955" s="201">
        <v>9.6999999999999993</v>
      </c>
    </row>
    <row r="3956" spans="4:7">
      <c r="D3956" s="200" t="s">
        <v>4438</v>
      </c>
      <c r="E3956" s="10">
        <v>38550</v>
      </c>
      <c r="F3956" s="201">
        <v>-11.4</v>
      </c>
      <c r="G3956" s="201">
        <v>9.6999999999999993</v>
      </c>
    </row>
    <row r="3957" spans="4:7">
      <c r="D3957" s="200" t="s">
        <v>4439</v>
      </c>
      <c r="E3957" s="10">
        <v>38551</v>
      </c>
      <c r="F3957" s="201">
        <v>-11.4</v>
      </c>
      <c r="G3957" s="201">
        <v>9.6999999999999993</v>
      </c>
    </row>
    <row r="3958" spans="4:7">
      <c r="D3958" s="200" t="s">
        <v>4440</v>
      </c>
      <c r="E3958" s="10">
        <v>54413</v>
      </c>
      <c r="F3958" s="201">
        <v>-11.4</v>
      </c>
      <c r="G3958" s="201">
        <v>8.3000000000000007</v>
      </c>
    </row>
    <row r="3959" spans="4:7">
      <c r="D3959" s="200" t="s">
        <v>4441</v>
      </c>
      <c r="E3959" s="10">
        <v>63607</v>
      </c>
      <c r="F3959" s="201">
        <v>-11.4</v>
      </c>
      <c r="G3959" s="201">
        <v>9.1999999999999993</v>
      </c>
    </row>
    <row r="3960" spans="4:7">
      <c r="D3960" s="200" t="s">
        <v>4442</v>
      </c>
      <c r="E3960" s="10">
        <v>63867</v>
      </c>
      <c r="F3960" s="201">
        <v>-11.4</v>
      </c>
      <c r="G3960" s="201">
        <v>9.1</v>
      </c>
    </row>
    <row r="3961" spans="4:7">
      <c r="D3961" s="200" t="s">
        <v>4443</v>
      </c>
      <c r="E3961" s="10">
        <v>63877</v>
      </c>
      <c r="F3961" s="201">
        <v>-11.4</v>
      </c>
      <c r="G3961" s="201">
        <v>9.3000000000000007</v>
      </c>
    </row>
    <row r="3962" spans="4:7">
      <c r="D3962" s="200" t="s">
        <v>4444</v>
      </c>
      <c r="E3962" s="10">
        <v>70771</v>
      </c>
      <c r="F3962" s="201">
        <v>-11.4</v>
      </c>
      <c r="G3962" s="201">
        <v>9.5</v>
      </c>
    </row>
    <row r="3963" spans="4:7">
      <c r="D3963" s="200" t="s">
        <v>4445</v>
      </c>
      <c r="E3963" s="10">
        <v>71229</v>
      </c>
      <c r="F3963" s="201">
        <v>-11.4</v>
      </c>
      <c r="G3963" s="201">
        <v>9.6999999999999993</v>
      </c>
    </row>
    <row r="3964" spans="4:7">
      <c r="D3964" s="200" t="s">
        <v>3977</v>
      </c>
      <c r="E3964" s="10">
        <v>71282</v>
      </c>
      <c r="F3964" s="201">
        <v>-11.4</v>
      </c>
      <c r="G3964" s="201">
        <v>9.8000000000000007</v>
      </c>
    </row>
    <row r="3965" spans="4:7">
      <c r="D3965" s="200" t="s">
        <v>4446</v>
      </c>
      <c r="E3965" s="10">
        <v>71739</v>
      </c>
      <c r="F3965" s="201">
        <v>-11.4</v>
      </c>
      <c r="G3965" s="201">
        <v>9.6999999999999993</v>
      </c>
    </row>
    <row r="3966" spans="4:7">
      <c r="D3966" s="200" t="s">
        <v>4142</v>
      </c>
      <c r="E3966" s="10">
        <v>72074</v>
      </c>
      <c r="F3966" s="201">
        <v>-11.4</v>
      </c>
      <c r="G3966" s="201">
        <v>9.5</v>
      </c>
    </row>
    <row r="3967" spans="4:7">
      <c r="D3967" s="200" t="s">
        <v>4447</v>
      </c>
      <c r="E3967" s="10">
        <v>72119</v>
      </c>
      <c r="F3967" s="201">
        <v>-11.4</v>
      </c>
      <c r="G3967" s="201">
        <v>9.6</v>
      </c>
    </row>
    <row r="3968" spans="4:7">
      <c r="D3968" s="200" t="s">
        <v>4448</v>
      </c>
      <c r="E3968" s="10">
        <v>72127</v>
      </c>
      <c r="F3968" s="201">
        <v>-11.4</v>
      </c>
      <c r="G3968" s="201">
        <v>9.6</v>
      </c>
    </row>
    <row r="3969" spans="4:7">
      <c r="D3969" s="200" t="s">
        <v>4449</v>
      </c>
      <c r="E3969" s="10">
        <v>72147</v>
      </c>
      <c r="F3969" s="201">
        <v>-11.4</v>
      </c>
      <c r="G3969" s="201">
        <v>9.5</v>
      </c>
    </row>
    <row r="3970" spans="4:7">
      <c r="D3970" s="200" t="s">
        <v>4450</v>
      </c>
      <c r="E3970" s="10">
        <v>72661</v>
      </c>
      <c r="F3970" s="201">
        <v>-11.4</v>
      </c>
      <c r="G3970" s="201">
        <v>9.6</v>
      </c>
    </row>
    <row r="3971" spans="4:7">
      <c r="D3971" s="200" t="s">
        <v>4451</v>
      </c>
      <c r="E3971" s="10">
        <v>72667</v>
      </c>
      <c r="F3971" s="201">
        <v>-11.4</v>
      </c>
      <c r="G3971" s="201">
        <v>9.6</v>
      </c>
    </row>
    <row r="3972" spans="4:7">
      <c r="D3972" s="200" t="s">
        <v>4452</v>
      </c>
      <c r="E3972" s="10">
        <v>74369</v>
      </c>
      <c r="F3972" s="201">
        <v>-11.4</v>
      </c>
      <c r="G3972" s="201">
        <v>9.9</v>
      </c>
    </row>
    <row r="3973" spans="4:7">
      <c r="D3973" s="200" t="s">
        <v>4453</v>
      </c>
      <c r="E3973" s="10">
        <v>74372</v>
      </c>
      <c r="F3973" s="201">
        <v>-11.4</v>
      </c>
      <c r="G3973" s="201">
        <v>9.8000000000000007</v>
      </c>
    </row>
    <row r="3974" spans="4:7">
      <c r="D3974" s="200" t="s">
        <v>4169</v>
      </c>
      <c r="E3974" s="10">
        <v>75217</v>
      </c>
      <c r="F3974" s="201">
        <v>-11.4</v>
      </c>
      <c r="G3974" s="201">
        <v>9.5</v>
      </c>
    </row>
    <row r="3975" spans="4:7">
      <c r="D3975" s="200" t="s">
        <v>4454</v>
      </c>
      <c r="E3975" s="10">
        <v>75223</v>
      </c>
      <c r="F3975" s="201">
        <v>-11.4</v>
      </c>
      <c r="G3975" s="201">
        <v>9.6</v>
      </c>
    </row>
    <row r="3976" spans="4:7">
      <c r="D3976" s="200" t="s">
        <v>4455</v>
      </c>
      <c r="E3976" s="10">
        <v>75339</v>
      </c>
      <c r="F3976" s="201">
        <v>-11.4</v>
      </c>
      <c r="G3976" s="201">
        <v>9.6</v>
      </c>
    </row>
    <row r="3977" spans="4:7">
      <c r="D3977" s="200" t="s">
        <v>4456</v>
      </c>
      <c r="E3977" s="10">
        <v>77740</v>
      </c>
      <c r="F3977" s="201">
        <v>-11.4</v>
      </c>
      <c r="G3977" s="201">
        <v>9.4</v>
      </c>
    </row>
    <row r="3978" spans="4:7">
      <c r="D3978" s="200" t="s">
        <v>4457</v>
      </c>
      <c r="E3978" s="10">
        <v>77761</v>
      </c>
      <c r="F3978" s="201">
        <v>-11.4</v>
      </c>
      <c r="G3978" s="201">
        <v>9.1999999999999993</v>
      </c>
    </row>
    <row r="3979" spans="4:7">
      <c r="D3979" s="200" t="s">
        <v>4162</v>
      </c>
      <c r="E3979" s="10">
        <v>80803</v>
      </c>
      <c r="F3979" s="201">
        <v>-11.4</v>
      </c>
      <c r="G3979" s="201">
        <v>9.9</v>
      </c>
    </row>
    <row r="3980" spans="4:7">
      <c r="D3980" s="200" t="s">
        <v>4162</v>
      </c>
      <c r="E3980" s="10">
        <v>80804</v>
      </c>
      <c r="F3980" s="201">
        <v>-11.4</v>
      </c>
      <c r="G3980" s="201">
        <v>9.9</v>
      </c>
    </row>
    <row r="3981" spans="4:7">
      <c r="D3981" s="200" t="s">
        <v>3138</v>
      </c>
      <c r="E3981" s="10">
        <v>97078</v>
      </c>
      <c r="F3981" s="201">
        <v>-11.4</v>
      </c>
      <c r="G3981" s="201">
        <v>9.8000000000000007</v>
      </c>
    </row>
    <row r="3982" spans="4:7">
      <c r="D3982" s="200" t="s">
        <v>4458</v>
      </c>
      <c r="E3982" s="10">
        <v>97228</v>
      </c>
      <c r="F3982" s="201">
        <v>-11.4</v>
      </c>
      <c r="G3982" s="201">
        <v>9.8000000000000007</v>
      </c>
    </row>
    <row r="3983" spans="4:7">
      <c r="D3983" s="200" t="s">
        <v>4459</v>
      </c>
      <c r="E3983" s="10">
        <v>97230</v>
      </c>
      <c r="F3983" s="201">
        <v>-11.4</v>
      </c>
      <c r="G3983" s="201">
        <v>9.6999999999999993</v>
      </c>
    </row>
    <row r="3984" spans="4:7">
      <c r="D3984" s="200" t="s">
        <v>4460</v>
      </c>
      <c r="E3984" s="10">
        <v>97247</v>
      </c>
      <c r="F3984" s="201">
        <v>-11.4</v>
      </c>
      <c r="G3984" s="201">
        <v>9.6999999999999993</v>
      </c>
    </row>
    <row r="3985" spans="4:7">
      <c r="D3985" s="200" t="s">
        <v>4461</v>
      </c>
      <c r="E3985" s="10">
        <v>97261</v>
      </c>
      <c r="F3985" s="201">
        <v>-11.4</v>
      </c>
      <c r="G3985" s="201">
        <v>9.6999999999999993</v>
      </c>
    </row>
    <row r="3986" spans="4:7">
      <c r="D3986" s="200" t="s">
        <v>4462</v>
      </c>
      <c r="E3986" s="10">
        <v>97262</v>
      </c>
      <c r="F3986" s="201">
        <v>-11.4</v>
      </c>
      <c r="G3986" s="201">
        <v>9.4</v>
      </c>
    </row>
    <row r="3987" spans="4:7">
      <c r="D3987" s="200" t="s">
        <v>4463</v>
      </c>
      <c r="E3987" s="10">
        <v>97264</v>
      </c>
      <c r="F3987" s="201">
        <v>-11.4</v>
      </c>
      <c r="G3987" s="201">
        <v>9.5</v>
      </c>
    </row>
    <row r="3988" spans="4:7">
      <c r="D3988" s="200" t="s">
        <v>4464</v>
      </c>
      <c r="E3988" s="10">
        <v>97277</v>
      </c>
      <c r="F3988" s="201">
        <v>-11.4</v>
      </c>
      <c r="G3988" s="201">
        <v>9.5</v>
      </c>
    </row>
    <row r="3989" spans="4:7">
      <c r="D3989" s="200" t="s">
        <v>4465</v>
      </c>
      <c r="E3989" s="10">
        <v>97282</v>
      </c>
      <c r="F3989" s="201">
        <v>-11.4</v>
      </c>
      <c r="G3989" s="201">
        <v>9.4</v>
      </c>
    </row>
    <row r="3990" spans="4:7">
      <c r="D3990" s="200" t="s">
        <v>4466</v>
      </c>
      <c r="E3990" s="10">
        <v>97295</v>
      </c>
      <c r="F3990" s="201">
        <v>-11.4</v>
      </c>
      <c r="G3990" s="201">
        <v>9.5</v>
      </c>
    </row>
    <row r="3991" spans="4:7">
      <c r="D3991" s="200" t="s">
        <v>4467</v>
      </c>
      <c r="E3991" s="10">
        <v>97297</v>
      </c>
      <c r="F3991" s="201">
        <v>-11.4</v>
      </c>
      <c r="G3991" s="201">
        <v>9.5</v>
      </c>
    </row>
    <row r="3992" spans="4:7">
      <c r="D3992" s="200" t="s">
        <v>4468</v>
      </c>
      <c r="E3992" s="10">
        <v>97299</v>
      </c>
      <c r="F3992" s="201">
        <v>-11.4</v>
      </c>
      <c r="G3992" s="201">
        <v>9.6999999999999993</v>
      </c>
    </row>
    <row r="3993" spans="4:7">
      <c r="D3993" s="200" t="s">
        <v>4469</v>
      </c>
      <c r="E3993" s="10">
        <v>97342</v>
      </c>
      <c r="F3993" s="201">
        <v>-11.4</v>
      </c>
      <c r="G3993" s="201">
        <v>9.6999999999999993</v>
      </c>
    </row>
    <row r="3994" spans="4:7">
      <c r="D3994" s="200" t="s">
        <v>4470</v>
      </c>
      <c r="E3994" s="10">
        <v>97348</v>
      </c>
      <c r="F3994" s="201">
        <v>-11.4</v>
      </c>
      <c r="G3994" s="201">
        <v>9.8000000000000007</v>
      </c>
    </row>
    <row r="3995" spans="4:7">
      <c r="D3995" s="200" t="s">
        <v>4471</v>
      </c>
      <c r="E3995" s="10">
        <v>97350</v>
      </c>
      <c r="F3995" s="201">
        <v>-11.4</v>
      </c>
      <c r="G3995" s="201">
        <v>9.8000000000000007</v>
      </c>
    </row>
    <row r="3996" spans="4:7">
      <c r="D3996" s="200" t="s">
        <v>4472</v>
      </c>
      <c r="E3996" s="10">
        <v>97493</v>
      </c>
      <c r="F3996" s="201">
        <v>-11.4</v>
      </c>
      <c r="G3996" s="201">
        <v>9.6999999999999993</v>
      </c>
    </row>
    <row r="3997" spans="4:7">
      <c r="D3997" s="200" t="s">
        <v>4473</v>
      </c>
      <c r="E3997" s="10">
        <v>97520</v>
      </c>
      <c r="F3997" s="201">
        <v>-11.4</v>
      </c>
      <c r="G3997" s="201">
        <v>9.6999999999999993</v>
      </c>
    </row>
    <row r="3998" spans="4:7">
      <c r="D3998" s="200" t="s">
        <v>4474</v>
      </c>
      <c r="E3998" s="10">
        <v>97523</v>
      </c>
      <c r="F3998" s="201">
        <v>-11.4</v>
      </c>
      <c r="G3998" s="201">
        <v>9.6</v>
      </c>
    </row>
    <row r="3999" spans="4:7">
      <c r="D3999" s="200" t="s">
        <v>4475</v>
      </c>
      <c r="E3999" s="10">
        <v>97534</v>
      </c>
      <c r="F3999" s="201">
        <v>-11.4</v>
      </c>
      <c r="G3999" s="201">
        <v>9.6</v>
      </c>
    </row>
    <row r="4000" spans="4:7">
      <c r="D4000" s="200" t="s">
        <v>4476</v>
      </c>
      <c r="E4000" s="10">
        <v>97535</v>
      </c>
      <c r="F4000" s="201">
        <v>-11.4</v>
      </c>
      <c r="G4000" s="201">
        <v>9.1</v>
      </c>
    </row>
    <row r="4001" spans="4:7">
      <c r="D4001" s="200" t="s">
        <v>4477</v>
      </c>
      <c r="E4001" s="10">
        <v>97711</v>
      </c>
      <c r="F4001" s="201">
        <v>-11.4</v>
      </c>
      <c r="G4001" s="201">
        <v>8.9</v>
      </c>
    </row>
    <row r="4002" spans="4:7">
      <c r="D4002" s="200" t="s">
        <v>4478</v>
      </c>
      <c r="E4002" s="10">
        <v>97778</v>
      </c>
      <c r="F4002" s="201">
        <v>-11.4</v>
      </c>
      <c r="G4002" s="201">
        <v>9.1</v>
      </c>
    </row>
    <row r="4003" spans="4:7">
      <c r="D4003" s="200" t="s">
        <v>4479</v>
      </c>
      <c r="E4003" s="10">
        <v>97837</v>
      </c>
      <c r="F4003" s="201">
        <v>-11.4</v>
      </c>
      <c r="G4003" s="201">
        <v>9.4</v>
      </c>
    </row>
    <row r="4004" spans="4:7">
      <c r="D4004" s="200" t="s">
        <v>4480</v>
      </c>
      <c r="E4004" s="10">
        <v>97859</v>
      </c>
      <c r="F4004" s="201">
        <v>-11.4</v>
      </c>
      <c r="G4004" s="201">
        <v>9.3000000000000007</v>
      </c>
    </row>
    <row r="4005" spans="4:7">
      <c r="D4005" s="200" t="s">
        <v>4481</v>
      </c>
      <c r="E4005" s="10">
        <v>97944</v>
      </c>
      <c r="F4005" s="201">
        <v>-11.4</v>
      </c>
      <c r="G4005" s="201">
        <v>9.6</v>
      </c>
    </row>
    <row r="4006" spans="4:7">
      <c r="D4006" s="200" t="s">
        <v>4056</v>
      </c>
      <c r="E4006" s="10">
        <v>14057</v>
      </c>
      <c r="F4006" s="201">
        <v>-11.5</v>
      </c>
      <c r="G4006" s="201">
        <v>10.5</v>
      </c>
    </row>
    <row r="4007" spans="4:7">
      <c r="D4007" s="200" t="s">
        <v>4482</v>
      </c>
      <c r="E4007" s="10">
        <v>17424</v>
      </c>
      <c r="F4007" s="201">
        <v>-11.5</v>
      </c>
      <c r="G4007" s="201">
        <v>9</v>
      </c>
    </row>
    <row r="4008" spans="4:7">
      <c r="D4008" s="200" t="s">
        <v>4483</v>
      </c>
      <c r="E4008" s="10">
        <v>17440</v>
      </c>
      <c r="F4008" s="201">
        <v>-11.5</v>
      </c>
      <c r="G4008" s="201">
        <v>9</v>
      </c>
    </row>
    <row r="4009" spans="4:7">
      <c r="D4009" s="200" t="s">
        <v>4484</v>
      </c>
      <c r="E4009" s="10">
        <v>17454</v>
      </c>
      <c r="F4009" s="201">
        <v>-11.5</v>
      </c>
      <c r="G4009" s="201">
        <v>9</v>
      </c>
    </row>
    <row r="4010" spans="4:7">
      <c r="D4010" s="200" t="s">
        <v>4485</v>
      </c>
      <c r="E4010" s="10">
        <v>17489</v>
      </c>
      <c r="F4010" s="201">
        <v>-11.5</v>
      </c>
      <c r="G4010" s="201">
        <v>9</v>
      </c>
    </row>
    <row r="4011" spans="4:7">
      <c r="D4011" s="200" t="s">
        <v>4485</v>
      </c>
      <c r="E4011" s="10">
        <v>17491</v>
      </c>
      <c r="F4011" s="201">
        <v>-11.5</v>
      </c>
      <c r="G4011" s="201">
        <v>9</v>
      </c>
    </row>
    <row r="4012" spans="4:7">
      <c r="D4012" s="200" t="s">
        <v>1796</v>
      </c>
      <c r="E4012" s="10">
        <v>17498</v>
      </c>
      <c r="F4012" s="201">
        <v>-11.5</v>
      </c>
      <c r="G4012" s="201">
        <v>9</v>
      </c>
    </row>
    <row r="4013" spans="4:7">
      <c r="D4013" s="200" t="s">
        <v>4486</v>
      </c>
      <c r="E4013" s="10">
        <v>18198</v>
      </c>
      <c r="F4013" s="201">
        <v>-11.5</v>
      </c>
      <c r="G4013" s="201">
        <v>9</v>
      </c>
    </row>
    <row r="4014" spans="4:7">
      <c r="D4014" s="200" t="s">
        <v>4487</v>
      </c>
      <c r="E4014" s="10">
        <v>18239</v>
      </c>
      <c r="F4014" s="201">
        <v>-11.5</v>
      </c>
      <c r="G4014" s="201">
        <v>9</v>
      </c>
    </row>
    <row r="4015" spans="4:7">
      <c r="D4015" s="200" t="s">
        <v>4488</v>
      </c>
      <c r="E4015" s="10">
        <v>18442</v>
      </c>
      <c r="F4015" s="201">
        <v>-11.5</v>
      </c>
      <c r="G4015" s="201">
        <v>8.8000000000000007</v>
      </c>
    </row>
    <row r="4016" spans="4:7">
      <c r="D4016" s="200" t="s">
        <v>4489</v>
      </c>
      <c r="E4016" s="10">
        <v>18510</v>
      </c>
      <c r="F4016" s="201">
        <v>-11.5</v>
      </c>
      <c r="G4016" s="201">
        <v>8.8000000000000007</v>
      </c>
    </row>
    <row r="4017" spans="4:7">
      <c r="D4017" s="200" t="s">
        <v>4490</v>
      </c>
      <c r="E4017" s="10">
        <v>19065</v>
      </c>
      <c r="F4017" s="201">
        <v>-11.5</v>
      </c>
      <c r="G4017" s="201">
        <v>9.1999999999999993</v>
      </c>
    </row>
    <row r="4018" spans="4:7">
      <c r="D4018" s="200" t="s">
        <v>4491</v>
      </c>
      <c r="E4018" s="10">
        <v>19086</v>
      </c>
      <c r="F4018" s="201">
        <v>-11.5</v>
      </c>
      <c r="G4018" s="201">
        <v>9.1999999999999993</v>
      </c>
    </row>
    <row r="4019" spans="4:7">
      <c r="D4019" s="200" t="s">
        <v>4492</v>
      </c>
      <c r="E4019" s="10">
        <v>19370</v>
      </c>
      <c r="F4019" s="201">
        <v>-11.5</v>
      </c>
      <c r="G4019" s="201">
        <v>9.6999999999999993</v>
      </c>
    </row>
    <row r="4020" spans="4:7">
      <c r="D4020" s="200" t="s">
        <v>4493</v>
      </c>
      <c r="E4020" s="10">
        <v>19417</v>
      </c>
      <c r="F4020" s="201">
        <v>-11.5</v>
      </c>
      <c r="G4020" s="201">
        <v>9.1999999999999993</v>
      </c>
    </row>
    <row r="4021" spans="4:7">
      <c r="D4021" s="200" t="s">
        <v>4494</v>
      </c>
      <c r="E4021" s="10">
        <v>29348</v>
      </c>
      <c r="F4021" s="201">
        <v>-11.5</v>
      </c>
      <c r="G4021" s="201">
        <v>9.1999999999999993</v>
      </c>
    </row>
    <row r="4022" spans="4:7">
      <c r="D4022" s="200" t="s">
        <v>4495</v>
      </c>
      <c r="E4022" s="10">
        <v>29396</v>
      </c>
      <c r="F4022" s="201">
        <v>-11.5</v>
      </c>
      <c r="G4022" s="201">
        <v>9.5</v>
      </c>
    </row>
    <row r="4023" spans="4:7">
      <c r="D4023" s="200" t="s">
        <v>4496</v>
      </c>
      <c r="E4023" s="10">
        <v>31020</v>
      </c>
      <c r="F4023" s="201">
        <v>-11.5</v>
      </c>
      <c r="G4023" s="201">
        <v>9.4</v>
      </c>
    </row>
    <row r="4024" spans="4:7">
      <c r="D4024" s="200" t="s">
        <v>3678</v>
      </c>
      <c r="E4024" s="10">
        <v>31139</v>
      </c>
      <c r="F4024" s="201">
        <v>-11.5</v>
      </c>
      <c r="G4024" s="201">
        <v>9.1</v>
      </c>
    </row>
    <row r="4025" spans="4:7">
      <c r="D4025" s="200" t="s">
        <v>4497</v>
      </c>
      <c r="E4025" s="10">
        <v>31162</v>
      </c>
      <c r="F4025" s="201">
        <v>-11.5</v>
      </c>
      <c r="G4025" s="201">
        <v>9.6</v>
      </c>
    </row>
    <row r="4026" spans="4:7">
      <c r="D4026" s="200" t="s">
        <v>4498</v>
      </c>
      <c r="E4026" s="10">
        <v>31188</v>
      </c>
      <c r="F4026" s="201">
        <v>-11.5</v>
      </c>
      <c r="G4026" s="201">
        <v>9.6</v>
      </c>
    </row>
    <row r="4027" spans="4:7">
      <c r="D4027" s="200" t="s">
        <v>4499</v>
      </c>
      <c r="E4027" s="10">
        <v>32683</v>
      </c>
      <c r="F4027" s="201">
        <v>-11.5</v>
      </c>
      <c r="G4027" s="201">
        <v>8.9</v>
      </c>
    </row>
    <row r="4028" spans="4:7">
      <c r="D4028" s="200" t="s">
        <v>4500</v>
      </c>
      <c r="E4028" s="10">
        <v>33014</v>
      </c>
      <c r="F4028" s="201">
        <v>-11.5</v>
      </c>
      <c r="G4028" s="201">
        <v>9.1</v>
      </c>
    </row>
    <row r="4029" spans="4:7">
      <c r="D4029" s="200" t="s">
        <v>3018</v>
      </c>
      <c r="E4029" s="10">
        <v>34132</v>
      </c>
      <c r="F4029" s="201">
        <v>-11.5</v>
      </c>
      <c r="G4029" s="201">
        <v>8.9</v>
      </c>
    </row>
    <row r="4030" spans="4:7">
      <c r="D4030" s="200" t="s">
        <v>4501</v>
      </c>
      <c r="E4030" s="10">
        <v>34379</v>
      </c>
      <c r="F4030" s="201">
        <v>-11.5</v>
      </c>
      <c r="G4030" s="201">
        <v>8.9</v>
      </c>
    </row>
    <row r="4031" spans="4:7">
      <c r="D4031" s="200" t="s">
        <v>4502</v>
      </c>
      <c r="E4031" s="10">
        <v>34393</v>
      </c>
      <c r="F4031" s="201">
        <v>-11.5</v>
      </c>
      <c r="G4031" s="201">
        <v>9.1</v>
      </c>
    </row>
    <row r="4032" spans="4:7">
      <c r="D4032" s="200" t="s">
        <v>4503</v>
      </c>
      <c r="E4032" s="10">
        <v>34399</v>
      </c>
      <c r="F4032" s="201">
        <v>-11.5</v>
      </c>
      <c r="G4032" s="201">
        <v>9.1999999999999993</v>
      </c>
    </row>
    <row r="4033" spans="4:7">
      <c r="D4033" s="200" t="s">
        <v>4504</v>
      </c>
      <c r="E4033" s="10">
        <v>34434</v>
      </c>
      <c r="F4033" s="201">
        <v>-11.5</v>
      </c>
      <c r="G4033" s="201">
        <v>9</v>
      </c>
    </row>
    <row r="4034" spans="4:7">
      <c r="D4034" s="200" t="s">
        <v>4505</v>
      </c>
      <c r="E4034" s="10">
        <v>34466</v>
      </c>
      <c r="F4034" s="201">
        <v>-11.5</v>
      </c>
      <c r="G4034" s="201">
        <v>8.9</v>
      </c>
    </row>
    <row r="4035" spans="4:7">
      <c r="D4035" s="200" t="s">
        <v>4506</v>
      </c>
      <c r="E4035" s="10">
        <v>34637</v>
      </c>
      <c r="F4035" s="201">
        <v>-11.5</v>
      </c>
      <c r="G4035" s="201">
        <v>9.1</v>
      </c>
    </row>
    <row r="4036" spans="4:7">
      <c r="D4036" s="200" t="s">
        <v>4428</v>
      </c>
      <c r="E4036" s="10">
        <v>35037</v>
      </c>
      <c r="F4036" s="201">
        <v>-11.5</v>
      </c>
      <c r="G4036" s="201">
        <v>9.5</v>
      </c>
    </row>
    <row r="4037" spans="4:7">
      <c r="D4037" s="200" t="s">
        <v>4428</v>
      </c>
      <c r="E4037" s="10">
        <v>35041</v>
      </c>
      <c r="F4037" s="201">
        <v>-11.5</v>
      </c>
      <c r="G4037" s="201">
        <v>9.1999999999999993</v>
      </c>
    </row>
    <row r="4038" spans="4:7">
      <c r="D4038" s="200" t="s">
        <v>4428</v>
      </c>
      <c r="E4038" s="10">
        <v>35043</v>
      </c>
      <c r="F4038" s="201">
        <v>-11.5</v>
      </c>
      <c r="G4038" s="201">
        <v>9.1</v>
      </c>
    </row>
    <row r="4039" spans="4:7">
      <c r="D4039" s="200" t="s">
        <v>4507</v>
      </c>
      <c r="E4039" s="10">
        <v>35085</v>
      </c>
      <c r="F4039" s="201">
        <v>-11.5</v>
      </c>
      <c r="G4039" s="201">
        <v>9.3000000000000007</v>
      </c>
    </row>
    <row r="4040" spans="4:7">
      <c r="D4040" s="200" t="s">
        <v>4209</v>
      </c>
      <c r="E4040" s="10">
        <v>35108</v>
      </c>
      <c r="F4040" s="201">
        <v>-11.5</v>
      </c>
      <c r="G4040" s="201">
        <v>8.8000000000000007</v>
      </c>
    </row>
    <row r="4041" spans="4:7">
      <c r="D4041" s="200" t="s">
        <v>4508</v>
      </c>
      <c r="E4041" s="10">
        <v>35216</v>
      </c>
      <c r="F4041" s="201">
        <v>-11.5</v>
      </c>
      <c r="G4041" s="201">
        <v>8.4</v>
      </c>
    </row>
    <row r="4042" spans="4:7">
      <c r="D4042" s="200" t="s">
        <v>4509</v>
      </c>
      <c r="E4042" s="10">
        <v>35274</v>
      </c>
      <c r="F4042" s="201">
        <v>-11.5</v>
      </c>
      <c r="G4042" s="201">
        <v>9.3000000000000007</v>
      </c>
    </row>
    <row r="4043" spans="4:7">
      <c r="D4043" s="200" t="s">
        <v>4510</v>
      </c>
      <c r="E4043" s="10">
        <v>35716</v>
      </c>
      <c r="F4043" s="201">
        <v>-11.5</v>
      </c>
      <c r="G4043" s="201">
        <v>7.7</v>
      </c>
    </row>
    <row r="4044" spans="4:7">
      <c r="D4044" s="200" t="s">
        <v>4511</v>
      </c>
      <c r="E4044" s="10">
        <v>36381</v>
      </c>
      <c r="F4044" s="201">
        <v>-11.5</v>
      </c>
      <c r="G4044" s="201">
        <v>9.3000000000000007</v>
      </c>
    </row>
    <row r="4045" spans="4:7">
      <c r="D4045" s="200" t="s">
        <v>4512</v>
      </c>
      <c r="E4045" s="10">
        <v>37213</v>
      </c>
      <c r="F4045" s="201">
        <v>-11.5</v>
      </c>
      <c r="G4045" s="201">
        <v>9.1999999999999993</v>
      </c>
    </row>
    <row r="4046" spans="4:7">
      <c r="D4046" s="200" t="s">
        <v>4513</v>
      </c>
      <c r="E4046" s="10">
        <v>37671</v>
      </c>
      <c r="F4046" s="201">
        <v>-11.5</v>
      </c>
      <c r="G4046" s="201">
        <v>9.1999999999999993</v>
      </c>
    </row>
    <row r="4047" spans="4:7">
      <c r="D4047" s="200" t="s">
        <v>4514</v>
      </c>
      <c r="E4047" s="10">
        <v>37699</v>
      </c>
      <c r="F4047" s="201">
        <v>-11.5</v>
      </c>
      <c r="G4047" s="201">
        <v>8.9</v>
      </c>
    </row>
    <row r="4048" spans="4:7">
      <c r="D4048" s="200" t="s">
        <v>3268</v>
      </c>
      <c r="E4048" s="10">
        <v>38104</v>
      </c>
      <c r="F4048" s="201">
        <v>-11.5</v>
      </c>
      <c r="G4048" s="201">
        <v>9.6999999999999993</v>
      </c>
    </row>
    <row r="4049" spans="4:7">
      <c r="D4049" s="200" t="s">
        <v>3268</v>
      </c>
      <c r="E4049" s="10">
        <v>38122</v>
      </c>
      <c r="F4049" s="201">
        <v>-11.5</v>
      </c>
      <c r="G4049" s="201">
        <v>9.6999999999999993</v>
      </c>
    </row>
    <row r="4050" spans="4:7">
      <c r="D4050" s="200" t="s">
        <v>3268</v>
      </c>
      <c r="E4050" s="10">
        <v>38126</v>
      </c>
      <c r="F4050" s="201">
        <v>-11.5</v>
      </c>
      <c r="G4050" s="201">
        <v>9.6999999999999993</v>
      </c>
    </row>
    <row r="4051" spans="4:7">
      <c r="D4051" s="200" t="s">
        <v>3987</v>
      </c>
      <c r="E4051" s="10">
        <v>38229</v>
      </c>
      <c r="F4051" s="201">
        <v>-11.5</v>
      </c>
      <c r="G4051" s="201">
        <v>9.6999999999999993</v>
      </c>
    </row>
    <row r="4052" spans="4:7">
      <c r="D4052" s="200" t="s">
        <v>4515</v>
      </c>
      <c r="E4052" s="10">
        <v>38271</v>
      </c>
      <c r="F4052" s="201">
        <v>-11.5</v>
      </c>
      <c r="G4052" s="201">
        <v>9.6999999999999993</v>
      </c>
    </row>
    <row r="4053" spans="4:7">
      <c r="D4053" s="200" t="s">
        <v>4199</v>
      </c>
      <c r="E4053" s="10">
        <v>38272</v>
      </c>
      <c r="F4053" s="201">
        <v>-11.5</v>
      </c>
      <c r="G4053" s="201">
        <v>9.6</v>
      </c>
    </row>
    <row r="4054" spans="4:7">
      <c r="D4054" s="200" t="s">
        <v>4516</v>
      </c>
      <c r="E4054" s="10">
        <v>38300</v>
      </c>
      <c r="F4054" s="201">
        <v>-11.5</v>
      </c>
      <c r="G4054" s="201">
        <v>9.8000000000000007</v>
      </c>
    </row>
    <row r="4055" spans="4:7">
      <c r="D4055" s="200" t="s">
        <v>4516</v>
      </c>
      <c r="E4055" s="10">
        <v>38302</v>
      </c>
      <c r="F4055" s="201">
        <v>-11.5</v>
      </c>
      <c r="G4055" s="201">
        <v>9.6999999999999993</v>
      </c>
    </row>
    <row r="4056" spans="4:7">
      <c r="D4056" s="200" t="s">
        <v>4109</v>
      </c>
      <c r="E4056" s="10">
        <v>38442</v>
      </c>
      <c r="F4056" s="201">
        <v>-11.5</v>
      </c>
      <c r="G4056" s="201">
        <v>9.6999999999999993</v>
      </c>
    </row>
    <row r="4057" spans="4:7">
      <c r="D4057" s="200" t="s">
        <v>4517</v>
      </c>
      <c r="E4057" s="10">
        <v>38524</v>
      </c>
      <c r="F4057" s="201">
        <v>-11.5</v>
      </c>
      <c r="G4057" s="201">
        <v>9.6</v>
      </c>
    </row>
    <row r="4058" spans="4:7">
      <c r="D4058" s="200" t="s">
        <v>4518</v>
      </c>
      <c r="E4058" s="10">
        <v>38527</v>
      </c>
      <c r="F4058" s="201">
        <v>-11.5</v>
      </c>
      <c r="G4058" s="201">
        <v>9.6999999999999993</v>
      </c>
    </row>
    <row r="4059" spans="4:7">
      <c r="D4059" s="200" t="s">
        <v>4519</v>
      </c>
      <c r="E4059" s="10">
        <v>38547</v>
      </c>
      <c r="F4059" s="201">
        <v>-11.5</v>
      </c>
      <c r="G4059" s="201">
        <v>9.6999999999999993</v>
      </c>
    </row>
    <row r="4060" spans="4:7">
      <c r="D4060" s="200" t="s">
        <v>4520</v>
      </c>
      <c r="E4060" s="10">
        <v>38553</v>
      </c>
      <c r="F4060" s="201">
        <v>-11.5</v>
      </c>
      <c r="G4060" s="201">
        <v>9.6999999999999993</v>
      </c>
    </row>
    <row r="4061" spans="4:7">
      <c r="D4061" s="200" t="s">
        <v>4521</v>
      </c>
      <c r="E4061" s="10">
        <v>38557</v>
      </c>
      <c r="F4061" s="201">
        <v>-11.5</v>
      </c>
      <c r="G4061" s="201">
        <v>9.6</v>
      </c>
    </row>
    <row r="4062" spans="4:7">
      <c r="D4062" s="200" t="s">
        <v>4522</v>
      </c>
      <c r="E4062" s="10">
        <v>54595</v>
      </c>
      <c r="F4062" s="201">
        <v>-11.5</v>
      </c>
      <c r="G4062" s="201">
        <v>8.1</v>
      </c>
    </row>
    <row r="4063" spans="4:7">
      <c r="D4063" s="200" t="s">
        <v>4523</v>
      </c>
      <c r="E4063" s="10">
        <v>54597</v>
      </c>
      <c r="F4063" s="201">
        <v>-11.5</v>
      </c>
      <c r="G4063" s="201">
        <v>8</v>
      </c>
    </row>
    <row r="4064" spans="4:7">
      <c r="D4064" s="200" t="s">
        <v>4524</v>
      </c>
      <c r="E4064" s="10">
        <v>56759</v>
      </c>
      <c r="F4064" s="201">
        <v>-11.5</v>
      </c>
      <c r="G4064" s="201">
        <v>8</v>
      </c>
    </row>
    <row r="4065" spans="4:7">
      <c r="D4065" s="200" t="s">
        <v>4525</v>
      </c>
      <c r="E4065" s="10">
        <v>56769</v>
      </c>
      <c r="F4065" s="201">
        <v>-11.5</v>
      </c>
      <c r="G4065" s="201">
        <v>8</v>
      </c>
    </row>
    <row r="4066" spans="4:7">
      <c r="D4066" s="200" t="s">
        <v>4526</v>
      </c>
      <c r="E4066" s="10">
        <v>59939</v>
      </c>
      <c r="F4066" s="201">
        <v>-11.5</v>
      </c>
      <c r="G4066" s="201">
        <v>8</v>
      </c>
    </row>
    <row r="4067" spans="4:7">
      <c r="D4067" s="200" t="s">
        <v>4527</v>
      </c>
      <c r="E4067" s="10">
        <v>63628</v>
      </c>
      <c r="F4067" s="201">
        <v>-11.5</v>
      </c>
      <c r="G4067" s="201">
        <v>9.1999999999999993</v>
      </c>
    </row>
    <row r="4068" spans="4:7">
      <c r="D4068" s="200" t="s">
        <v>4528</v>
      </c>
      <c r="E4068" s="10">
        <v>63633</v>
      </c>
      <c r="F4068" s="201">
        <v>-11.5</v>
      </c>
      <c r="G4068" s="201">
        <v>8.6999999999999993</v>
      </c>
    </row>
    <row r="4069" spans="4:7">
      <c r="D4069" s="200" t="s">
        <v>4529</v>
      </c>
      <c r="E4069" s="10">
        <v>63688</v>
      </c>
      <c r="F4069" s="201">
        <v>-11.5</v>
      </c>
      <c r="G4069" s="201">
        <v>8.6</v>
      </c>
    </row>
    <row r="4070" spans="4:7">
      <c r="D4070" s="200" t="s">
        <v>4530</v>
      </c>
      <c r="E4070" s="10">
        <v>63825</v>
      </c>
      <c r="F4070" s="201">
        <v>-11.5</v>
      </c>
      <c r="G4070" s="201">
        <v>9.3000000000000007</v>
      </c>
    </row>
    <row r="4071" spans="4:7">
      <c r="D4071" s="200" t="s">
        <v>4531</v>
      </c>
      <c r="E4071" s="10">
        <v>63897</v>
      </c>
      <c r="F4071" s="201">
        <v>-11.5</v>
      </c>
      <c r="G4071" s="201">
        <v>9.3000000000000007</v>
      </c>
    </row>
    <row r="4072" spans="4:7">
      <c r="D4072" s="200" t="s">
        <v>2520</v>
      </c>
      <c r="E4072" s="10">
        <v>63930</v>
      </c>
      <c r="F4072" s="201">
        <v>-11.5</v>
      </c>
      <c r="G4072" s="201">
        <v>9.3000000000000007</v>
      </c>
    </row>
    <row r="4073" spans="4:7">
      <c r="D4073" s="200" t="s">
        <v>4532</v>
      </c>
      <c r="E4073" s="10">
        <v>65375</v>
      </c>
      <c r="F4073" s="201">
        <v>-11.5</v>
      </c>
      <c r="G4073" s="201">
        <v>8.1999999999999993</v>
      </c>
    </row>
    <row r="4074" spans="4:7">
      <c r="D4074" s="200" t="s">
        <v>2307</v>
      </c>
      <c r="E4074" s="10">
        <v>70563</v>
      </c>
      <c r="F4074" s="201">
        <v>-11.5</v>
      </c>
      <c r="G4074" s="201">
        <v>9.5</v>
      </c>
    </row>
    <row r="4075" spans="4:7">
      <c r="D4075" s="200" t="s">
        <v>4533</v>
      </c>
      <c r="E4075" s="10">
        <v>71034</v>
      </c>
      <c r="F4075" s="201">
        <v>-11.5</v>
      </c>
      <c r="G4075" s="201">
        <v>9.4</v>
      </c>
    </row>
    <row r="4076" spans="4:7">
      <c r="D4076" s="200" t="s">
        <v>4534</v>
      </c>
      <c r="E4076" s="10">
        <v>71088</v>
      </c>
      <c r="F4076" s="201">
        <v>-11.5</v>
      </c>
      <c r="G4076" s="201">
        <v>9.4</v>
      </c>
    </row>
    <row r="4077" spans="4:7">
      <c r="D4077" s="200" t="s">
        <v>4535</v>
      </c>
      <c r="E4077" s="10">
        <v>71263</v>
      </c>
      <c r="F4077" s="201">
        <v>-11.5</v>
      </c>
      <c r="G4077" s="201">
        <v>9.6</v>
      </c>
    </row>
    <row r="4078" spans="4:7">
      <c r="D4078" s="200" t="s">
        <v>4536</v>
      </c>
      <c r="E4078" s="10">
        <v>71665</v>
      </c>
      <c r="F4078" s="201">
        <v>-11.5</v>
      </c>
      <c r="G4078" s="201">
        <v>9.6999999999999993</v>
      </c>
    </row>
    <row r="4079" spans="4:7">
      <c r="D4079" s="200" t="s">
        <v>4537</v>
      </c>
      <c r="E4079" s="10">
        <v>71735</v>
      </c>
      <c r="F4079" s="201">
        <v>-11.5</v>
      </c>
      <c r="G4079" s="201">
        <v>9.6999999999999993</v>
      </c>
    </row>
    <row r="4080" spans="4:7">
      <c r="D4080" s="200" t="s">
        <v>4538</v>
      </c>
      <c r="E4080" s="10">
        <v>72124</v>
      </c>
      <c r="F4080" s="201">
        <v>-11.5</v>
      </c>
      <c r="G4080" s="201">
        <v>9.6</v>
      </c>
    </row>
    <row r="4081" spans="4:7">
      <c r="D4081" s="200" t="s">
        <v>4539</v>
      </c>
      <c r="E4081" s="10">
        <v>72172</v>
      </c>
      <c r="F4081" s="201">
        <v>-11.5</v>
      </c>
      <c r="G4081" s="201">
        <v>9.5</v>
      </c>
    </row>
    <row r="4082" spans="4:7">
      <c r="D4082" s="200" t="s">
        <v>4540</v>
      </c>
      <c r="E4082" s="10">
        <v>72657</v>
      </c>
      <c r="F4082" s="201">
        <v>-11.5</v>
      </c>
      <c r="G4082" s="201">
        <v>9.5</v>
      </c>
    </row>
    <row r="4083" spans="4:7">
      <c r="D4083" s="200" t="s">
        <v>3857</v>
      </c>
      <c r="E4083" s="10">
        <v>73037</v>
      </c>
      <c r="F4083" s="201">
        <v>-11.5</v>
      </c>
      <c r="G4083" s="201">
        <v>9.5</v>
      </c>
    </row>
    <row r="4084" spans="4:7">
      <c r="D4084" s="200" t="s">
        <v>4541</v>
      </c>
      <c r="E4084" s="10">
        <v>73108</v>
      </c>
      <c r="F4084" s="201">
        <v>-11.5</v>
      </c>
      <c r="G4084" s="201">
        <v>9.4</v>
      </c>
    </row>
    <row r="4085" spans="4:7">
      <c r="D4085" s="200" t="s">
        <v>4542</v>
      </c>
      <c r="E4085" s="10">
        <v>73113</v>
      </c>
      <c r="F4085" s="201">
        <v>-11.5</v>
      </c>
      <c r="G4085" s="201">
        <v>9.5</v>
      </c>
    </row>
    <row r="4086" spans="4:7">
      <c r="D4086" s="200" t="s">
        <v>4543</v>
      </c>
      <c r="E4086" s="10">
        <v>73277</v>
      </c>
      <c r="F4086" s="201">
        <v>-11.5</v>
      </c>
      <c r="G4086" s="201">
        <v>9.6</v>
      </c>
    </row>
    <row r="4087" spans="4:7">
      <c r="D4087" s="200" t="s">
        <v>4544</v>
      </c>
      <c r="E4087" s="10">
        <v>73655</v>
      </c>
      <c r="F4087" s="201">
        <v>-11.5</v>
      </c>
      <c r="G4087" s="201">
        <v>9.8000000000000007</v>
      </c>
    </row>
    <row r="4088" spans="4:7">
      <c r="D4088" s="200" t="s">
        <v>4545</v>
      </c>
      <c r="E4088" s="10">
        <v>74374</v>
      </c>
      <c r="F4088" s="201">
        <v>-11.5</v>
      </c>
      <c r="G4088" s="201">
        <v>9.6</v>
      </c>
    </row>
    <row r="4089" spans="4:7">
      <c r="D4089" s="200" t="s">
        <v>4546</v>
      </c>
      <c r="E4089" s="10">
        <v>74392</v>
      </c>
      <c r="F4089" s="201">
        <v>-11.5</v>
      </c>
      <c r="G4089" s="201">
        <v>9.8000000000000007</v>
      </c>
    </row>
    <row r="4090" spans="4:7">
      <c r="D4090" s="200" t="s">
        <v>4547</v>
      </c>
      <c r="E4090" s="10">
        <v>74405</v>
      </c>
      <c r="F4090" s="201">
        <v>-11.5</v>
      </c>
      <c r="G4090" s="201">
        <v>9.6999999999999993</v>
      </c>
    </row>
    <row r="4091" spans="4:7">
      <c r="D4091" s="200" t="s">
        <v>4548</v>
      </c>
      <c r="E4091" s="10">
        <v>74427</v>
      </c>
      <c r="F4091" s="201">
        <v>-11.5</v>
      </c>
      <c r="G4091" s="201">
        <v>9.6999999999999993</v>
      </c>
    </row>
    <row r="4092" spans="4:7">
      <c r="D4092" s="200" t="s">
        <v>4549</v>
      </c>
      <c r="E4092" s="10">
        <v>74653</v>
      </c>
      <c r="F4092" s="201">
        <v>-11.5</v>
      </c>
      <c r="G4092" s="201">
        <v>9.6</v>
      </c>
    </row>
    <row r="4093" spans="4:7">
      <c r="D4093" s="200" t="s">
        <v>4550</v>
      </c>
      <c r="E4093" s="10">
        <v>75228</v>
      </c>
      <c r="F4093" s="201">
        <v>-11.5</v>
      </c>
      <c r="G4093" s="201">
        <v>9.5</v>
      </c>
    </row>
    <row r="4094" spans="4:7">
      <c r="D4094" s="200" t="s">
        <v>4551</v>
      </c>
      <c r="E4094" s="10">
        <v>75245</v>
      </c>
      <c r="F4094" s="201">
        <v>-11.5</v>
      </c>
      <c r="G4094" s="201">
        <v>9.5</v>
      </c>
    </row>
    <row r="4095" spans="4:7">
      <c r="D4095" s="200" t="s">
        <v>4552</v>
      </c>
      <c r="E4095" s="10">
        <v>75248</v>
      </c>
      <c r="F4095" s="201">
        <v>-11.5</v>
      </c>
      <c r="G4095" s="201">
        <v>9.6</v>
      </c>
    </row>
    <row r="4096" spans="4:7">
      <c r="D4096" s="200" t="s">
        <v>4553</v>
      </c>
      <c r="E4096" s="10">
        <v>75249</v>
      </c>
      <c r="F4096" s="201">
        <v>-11.5</v>
      </c>
      <c r="G4096" s="201">
        <v>9.5</v>
      </c>
    </row>
    <row r="4097" spans="4:7">
      <c r="D4097" s="200" t="s">
        <v>4554</v>
      </c>
      <c r="E4097" s="10">
        <v>75334</v>
      </c>
      <c r="F4097" s="201">
        <v>-11.5</v>
      </c>
      <c r="G4097" s="201">
        <v>9.5</v>
      </c>
    </row>
    <row r="4098" spans="4:7">
      <c r="D4098" s="200" t="s">
        <v>4555</v>
      </c>
      <c r="E4098" s="10">
        <v>75417</v>
      </c>
      <c r="F4098" s="201">
        <v>-11.5</v>
      </c>
      <c r="G4098" s="201">
        <v>9.6</v>
      </c>
    </row>
    <row r="4099" spans="4:7">
      <c r="D4099" s="200" t="s">
        <v>4556</v>
      </c>
      <c r="E4099" s="10">
        <v>75433</v>
      </c>
      <c r="F4099" s="201">
        <v>-11.5</v>
      </c>
      <c r="G4099" s="201">
        <v>9.6</v>
      </c>
    </row>
    <row r="4100" spans="4:7">
      <c r="D4100" s="200" t="s">
        <v>4557</v>
      </c>
      <c r="E4100" s="10">
        <v>76332</v>
      </c>
      <c r="F4100" s="201">
        <v>-11.5</v>
      </c>
      <c r="G4100" s="201">
        <v>9.4</v>
      </c>
    </row>
    <row r="4101" spans="4:7">
      <c r="D4101" s="200" t="s">
        <v>4558</v>
      </c>
      <c r="E4101" s="10">
        <v>76597</v>
      </c>
      <c r="F4101" s="201">
        <v>-11.5</v>
      </c>
      <c r="G4101" s="201">
        <v>9.4</v>
      </c>
    </row>
    <row r="4102" spans="4:7">
      <c r="D4102" s="200" t="s">
        <v>4559</v>
      </c>
      <c r="E4102" s="10">
        <v>78253</v>
      </c>
      <c r="F4102" s="201">
        <v>-11.5</v>
      </c>
      <c r="G4102" s="201">
        <v>8.6</v>
      </c>
    </row>
    <row r="4103" spans="4:7">
      <c r="D4103" s="200" t="s">
        <v>4560</v>
      </c>
      <c r="E4103" s="10">
        <v>79694</v>
      </c>
      <c r="F4103" s="201">
        <v>-11.5</v>
      </c>
      <c r="G4103" s="201">
        <v>9</v>
      </c>
    </row>
    <row r="4104" spans="4:7">
      <c r="D4104" s="200" t="s">
        <v>4162</v>
      </c>
      <c r="E4104" s="10">
        <v>80634</v>
      </c>
      <c r="F4104" s="201">
        <v>-11.5</v>
      </c>
      <c r="G4104" s="201">
        <v>9.9</v>
      </c>
    </row>
    <row r="4105" spans="4:7">
      <c r="D4105" s="200" t="s">
        <v>4162</v>
      </c>
      <c r="E4105" s="10">
        <v>80637</v>
      </c>
      <c r="F4105" s="201">
        <v>-11.5</v>
      </c>
      <c r="G4105" s="201">
        <v>9.8000000000000007</v>
      </c>
    </row>
    <row r="4106" spans="4:7">
      <c r="D4106" s="200" t="s">
        <v>4162</v>
      </c>
      <c r="E4106" s="10">
        <v>81667</v>
      </c>
      <c r="F4106" s="201">
        <v>-11.5</v>
      </c>
      <c r="G4106" s="201">
        <v>9.8000000000000007</v>
      </c>
    </row>
    <row r="4107" spans="4:7">
      <c r="D4107" s="200" t="s">
        <v>4561</v>
      </c>
      <c r="E4107" s="10">
        <v>88696</v>
      </c>
      <c r="F4107" s="201">
        <v>-11.5</v>
      </c>
      <c r="G4107" s="201">
        <v>8.6</v>
      </c>
    </row>
    <row r="4108" spans="4:7">
      <c r="D4108" s="200" t="s">
        <v>4562</v>
      </c>
      <c r="E4108" s="10">
        <v>97199</v>
      </c>
      <c r="F4108" s="201">
        <v>-11.5</v>
      </c>
      <c r="G4108" s="201">
        <v>9.6999999999999993</v>
      </c>
    </row>
    <row r="4109" spans="4:7">
      <c r="D4109" s="200" t="s">
        <v>4563</v>
      </c>
      <c r="E4109" s="10">
        <v>97209</v>
      </c>
      <c r="F4109" s="201">
        <v>-11.5</v>
      </c>
      <c r="G4109" s="201">
        <v>9.6999999999999993</v>
      </c>
    </row>
    <row r="4110" spans="4:7">
      <c r="D4110" s="200" t="s">
        <v>4564</v>
      </c>
      <c r="E4110" s="10">
        <v>97232</v>
      </c>
      <c r="F4110" s="201">
        <v>-11.5</v>
      </c>
      <c r="G4110" s="201">
        <v>9.6</v>
      </c>
    </row>
    <row r="4111" spans="4:7">
      <c r="D4111" s="200" t="s">
        <v>4565</v>
      </c>
      <c r="E4111" s="10">
        <v>97239</v>
      </c>
      <c r="F4111" s="201">
        <v>-11.5</v>
      </c>
      <c r="G4111" s="201">
        <v>9.6999999999999993</v>
      </c>
    </row>
    <row r="4112" spans="4:7">
      <c r="D4112" s="200" t="s">
        <v>4566</v>
      </c>
      <c r="E4112" s="10">
        <v>97241</v>
      </c>
      <c r="F4112" s="201">
        <v>-11.5</v>
      </c>
      <c r="G4112" s="201">
        <v>9.6</v>
      </c>
    </row>
    <row r="4113" spans="4:7">
      <c r="D4113" s="200" t="s">
        <v>4567</v>
      </c>
      <c r="E4113" s="10">
        <v>97265</v>
      </c>
      <c r="F4113" s="201">
        <v>-11.5</v>
      </c>
      <c r="G4113" s="201">
        <v>9.4</v>
      </c>
    </row>
    <row r="4114" spans="4:7">
      <c r="D4114" s="200" t="s">
        <v>4568</v>
      </c>
      <c r="E4114" s="10">
        <v>97273</v>
      </c>
      <c r="F4114" s="201">
        <v>-11.5</v>
      </c>
      <c r="G4114" s="201">
        <v>9.6999999999999993</v>
      </c>
    </row>
    <row r="4115" spans="4:7">
      <c r="D4115" s="200" t="s">
        <v>4569</v>
      </c>
      <c r="E4115" s="10">
        <v>97274</v>
      </c>
      <c r="F4115" s="201">
        <v>-11.5</v>
      </c>
      <c r="G4115" s="201">
        <v>9.4</v>
      </c>
    </row>
    <row r="4116" spans="4:7">
      <c r="D4116" s="200" t="s">
        <v>4570</v>
      </c>
      <c r="E4116" s="10">
        <v>97276</v>
      </c>
      <c r="F4116" s="201">
        <v>-11.5</v>
      </c>
      <c r="G4116" s="201">
        <v>9.4</v>
      </c>
    </row>
    <row r="4117" spans="4:7">
      <c r="D4117" s="200" t="s">
        <v>4571</v>
      </c>
      <c r="E4117" s="10">
        <v>97285</v>
      </c>
      <c r="F4117" s="201">
        <v>-11.5</v>
      </c>
      <c r="G4117" s="201">
        <v>9.6999999999999993</v>
      </c>
    </row>
    <row r="4118" spans="4:7">
      <c r="D4118" s="200" t="s">
        <v>4572</v>
      </c>
      <c r="E4118" s="10">
        <v>97291</v>
      </c>
      <c r="F4118" s="201">
        <v>-11.5</v>
      </c>
      <c r="G4118" s="201">
        <v>9.4</v>
      </c>
    </row>
    <row r="4119" spans="4:7">
      <c r="D4119" s="200" t="s">
        <v>4573</v>
      </c>
      <c r="E4119" s="10">
        <v>97340</v>
      </c>
      <c r="F4119" s="201">
        <v>-11.5</v>
      </c>
      <c r="G4119" s="201">
        <v>9.6</v>
      </c>
    </row>
    <row r="4120" spans="4:7">
      <c r="D4120" s="200" t="s">
        <v>4574</v>
      </c>
      <c r="E4120" s="10">
        <v>97353</v>
      </c>
      <c r="F4120" s="201">
        <v>-11.5</v>
      </c>
      <c r="G4120" s="201">
        <v>9.6</v>
      </c>
    </row>
    <row r="4121" spans="4:7">
      <c r="D4121" s="200" t="s">
        <v>4575</v>
      </c>
      <c r="E4121" s="10">
        <v>97357</v>
      </c>
      <c r="F4121" s="201">
        <v>-11.5</v>
      </c>
      <c r="G4121" s="201">
        <v>9.6</v>
      </c>
    </row>
    <row r="4122" spans="4:7">
      <c r="D4122" s="200" t="s">
        <v>4576</v>
      </c>
      <c r="E4122" s="10">
        <v>97440</v>
      </c>
      <c r="F4122" s="201">
        <v>-11.5</v>
      </c>
      <c r="G4122" s="201">
        <v>9.5</v>
      </c>
    </row>
    <row r="4123" spans="4:7">
      <c r="D4123" s="200" t="s">
        <v>4577</v>
      </c>
      <c r="E4123" s="10">
        <v>97447</v>
      </c>
      <c r="F4123" s="201">
        <v>-11.5</v>
      </c>
      <c r="G4123" s="201">
        <v>9.6</v>
      </c>
    </row>
    <row r="4124" spans="4:7">
      <c r="D4124" s="200" t="s">
        <v>4578</v>
      </c>
      <c r="E4124" s="10">
        <v>97502</v>
      </c>
      <c r="F4124" s="201">
        <v>-11.5</v>
      </c>
      <c r="G4124" s="201">
        <v>9.1</v>
      </c>
    </row>
    <row r="4125" spans="4:7">
      <c r="D4125" s="200" t="s">
        <v>4579</v>
      </c>
      <c r="E4125" s="10">
        <v>97506</v>
      </c>
      <c r="F4125" s="201">
        <v>-11.5</v>
      </c>
      <c r="G4125" s="201">
        <v>9.6999999999999993</v>
      </c>
    </row>
    <row r="4126" spans="4:7">
      <c r="D4126" s="200" t="s">
        <v>4580</v>
      </c>
      <c r="E4126" s="10">
        <v>97509</v>
      </c>
      <c r="F4126" s="201">
        <v>-11.5</v>
      </c>
      <c r="G4126" s="201">
        <v>9.6</v>
      </c>
    </row>
    <row r="4127" spans="4:7">
      <c r="D4127" s="200" t="s">
        <v>4581</v>
      </c>
      <c r="E4127" s="10">
        <v>97517</v>
      </c>
      <c r="F4127" s="201">
        <v>-11.5</v>
      </c>
      <c r="G4127" s="201">
        <v>8.8000000000000007</v>
      </c>
    </row>
    <row r="4128" spans="4:7">
      <c r="D4128" s="200" t="s">
        <v>4582</v>
      </c>
      <c r="E4128" s="10">
        <v>97525</v>
      </c>
      <c r="F4128" s="201">
        <v>-11.5</v>
      </c>
      <c r="G4128" s="201">
        <v>9.6</v>
      </c>
    </row>
    <row r="4129" spans="4:7">
      <c r="D4129" s="200" t="s">
        <v>4583</v>
      </c>
      <c r="E4129" s="10">
        <v>97526</v>
      </c>
      <c r="F4129" s="201">
        <v>-11.5</v>
      </c>
      <c r="G4129" s="201">
        <v>9.6</v>
      </c>
    </row>
    <row r="4130" spans="4:7">
      <c r="D4130" s="200" t="s">
        <v>4584</v>
      </c>
      <c r="E4130" s="10">
        <v>97729</v>
      </c>
      <c r="F4130" s="201">
        <v>-11.5</v>
      </c>
      <c r="G4130" s="201">
        <v>8.8000000000000007</v>
      </c>
    </row>
    <row r="4131" spans="4:7">
      <c r="D4131" s="200" t="s">
        <v>4585</v>
      </c>
      <c r="E4131" s="10">
        <v>97753</v>
      </c>
      <c r="F4131" s="201">
        <v>-11.5</v>
      </c>
      <c r="G4131" s="201">
        <v>9.3000000000000007</v>
      </c>
    </row>
    <row r="4132" spans="4:7">
      <c r="D4132" s="200" t="s">
        <v>4586</v>
      </c>
      <c r="E4132" s="10">
        <v>97828</v>
      </c>
      <c r="F4132" s="201">
        <v>-11.5</v>
      </c>
      <c r="G4132" s="201">
        <v>9.3000000000000007</v>
      </c>
    </row>
    <row r="4133" spans="4:7">
      <c r="D4133" s="200" t="s">
        <v>4587</v>
      </c>
      <c r="E4133" s="10">
        <v>97833</v>
      </c>
      <c r="F4133" s="201">
        <v>-11.5</v>
      </c>
      <c r="G4133" s="201">
        <v>9.1999999999999993</v>
      </c>
    </row>
    <row r="4134" spans="4:7">
      <c r="D4134" s="200" t="s">
        <v>4588</v>
      </c>
      <c r="E4134" s="10">
        <v>97849</v>
      </c>
      <c r="F4134" s="201">
        <v>-11.5</v>
      </c>
      <c r="G4134" s="201">
        <v>9.3000000000000007</v>
      </c>
    </row>
    <row r="4135" spans="4:7">
      <c r="D4135" s="200" t="s">
        <v>4589</v>
      </c>
      <c r="E4135" s="10">
        <v>97903</v>
      </c>
      <c r="F4135" s="201">
        <v>-11.5</v>
      </c>
      <c r="G4135" s="201">
        <v>9.3000000000000007</v>
      </c>
    </row>
    <row r="4136" spans="4:7">
      <c r="D4136" s="200" t="s">
        <v>4590</v>
      </c>
      <c r="E4136" s="10">
        <v>97909</v>
      </c>
      <c r="F4136" s="201">
        <v>-11.5</v>
      </c>
      <c r="G4136" s="201">
        <v>9.3000000000000007</v>
      </c>
    </row>
    <row r="4137" spans="4:7">
      <c r="D4137" s="200" t="s">
        <v>4591</v>
      </c>
      <c r="E4137" s="10">
        <v>97950</v>
      </c>
      <c r="F4137" s="201">
        <v>-11.5</v>
      </c>
      <c r="G4137" s="201">
        <v>9.6</v>
      </c>
    </row>
    <row r="4138" spans="4:7">
      <c r="D4138" s="200" t="s">
        <v>4592</v>
      </c>
      <c r="E4138" s="10">
        <v>97980</v>
      </c>
      <c r="F4138" s="201">
        <v>-11.5</v>
      </c>
      <c r="G4138" s="201">
        <v>9.6999999999999993</v>
      </c>
    </row>
    <row r="4139" spans="4:7">
      <c r="D4139" s="200" t="s">
        <v>4593</v>
      </c>
      <c r="E4139" s="10">
        <v>4315</v>
      </c>
      <c r="F4139" s="201">
        <v>-11.6</v>
      </c>
      <c r="G4139" s="201">
        <v>11.1</v>
      </c>
    </row>
    <row r="4140" spans="4:7">
      <c r="D4140" s="200" t="s">
        <v>4594</v>
      </c>
      <c r="E4140" s="10">
        <v>17438</v>
      </c>
      <c r="F4140" s="201">
        <v>-11.6</v>
      </c>
      <c r="G4140" s="201">
        <v>8.8000000000000007</v>
      </c>
    </row>
    <row r="4141" spans="4:7">
      <c r="D4141" s="200" t="s">
        <v>4595</v>
      </c>
      <c r="E4141" s="10">
        <v>18184</v>
      </c>
      <c r="F4141" s="201">
        <v>-11.6</v>
      </c>
      <c r="G4141" s="201">
        <v>9</v>
      </c>
    </row>
    <row r="4142" spans="4:7">
      <c r="D4142" s="200" t="s">
        <v>4596</v>
      </c>
      <c r="E4142" s="10">
        <v>18317</v>
      </c>
      <c r="F4142" s="201">
        <v>-11.6</v>
      </c>
      <c r="G4142" s="201">
        <v>8.9</v>
      </c>
    </row>
    <row r="4143" spans="4:7">
      <c r="D4143" s="200" t="s">
        <v>4597</v>
      </c>
      <c r="E4143" s="10">
        <v>18334</v>
      </c>
      <c r="F4143" s="201">
        <v>-11.6</v>
      </c>
      <c r="G4143" s="201">
        <v>9.1</v>
      </c>
    </row>
    <row r="4144" spans="4:7">
      <c r="D4144" s="200" t="s">
        <v>4598</v>
      </c>
      <c r="E4144" s="10">
        <v>18461</v>
      </c>
      <c r="F4144" s="201">
        <v>-11.6</v>
      </c>
      <c r="G4144" s="201">
        <v>8.8000000000000007</v>
      </c>
    </row>
    <row r="4145" spans="4:7">
      <c r="D4145" s="200" t="s">
        <v>4599</v>
      </c>
      <c r="E4145" s="10">
        <v>18507</v>
      </c>
      <c r="F4145" s="201">
        <v>-11.6</v>
      </c>
      <c r="G4145" s="201">
        <v>9</v>
      </c>
    </row>
    <row r="4146" spans="4:7">
      <c r="D4146" s="200" t="s">
        <v>4600</v>
      </c>
      <c r="E4146" s="10">
        <v>19077</v>
      </c>
      <c r="F4146" s="201">
        <v>-11.6</v>
      </c>
      <c r="G4146" s="201">
        <v>9.1999999999999993</v>
      </c>
    </row>
    <row r="4147" spans="4:7">
      <c r="D4147" s="200" t="s">
        <v>4601</v>
      </c>
      <c r="E4147" s="10">
        <v>19079</v>
      </c>
      <c r="F4147" s="201">
        <v>-11.6</v>
      </c>
      <c r="G4147" s="201">
        <v>9.3000000000000007</v>
      </c>
    </row>
    <row r="4148" spans="4:7">
      <c r="D4148" s="200" t="s">
        <v>4602</v>
      </c>
      <c r="E4148" s="10">
        <v>29379</v>
      </c>
      <c r="F4148" s="201">
        <v>-11.6</v>
      </c>
      <c r="G4148" s="201">
        <v>9.4</v>
      </c>
    </row>
    <row r="4149" spans="4:7">
      <c r="D4149" s="200" t="s">
        <v>4603</v>
      </c>
      <c r="E4149" s="10">
        <v>29386</v>
      </c>
      <c r="F4149" s="201">
        <v>-11.6</v>
      </c>
      <c r="G4149" s="201">
        <v>9.1999999999999993</v>
      </c>
    </row>
    <row r="4150" spans="4:7">
      <c r="D4150" s="200" t="s">
        <v>4604</v>
      </c>
      <c r="E4150" s="10">
        <v>29439</v>
      </c>
      <c r="F4150" s="201">
        <v>-11.6</v>
      </c>
      <c r="G4150" s="201">
        <v>9.5</v>
      </c>
    </row>
    <row r="4151" spans="4:7">
      <c r="D4151" s="200" t="s">
        <v>4605</v>
      </c>
      <c r="E4151" s="10">
        <v>29451</v>
      </c>
      <c r="F4151" s="201">
        <v>-11.6</v>
      </c>
      <c r="G4151" s="201">
        <v>9.5</v>
      </c>
    </row>
    <row r="4152" spans="4:7">
      <c r="D4152" s="200" t="s">
        <v>4606</v>
      </c>
      <c r="E4152" s="10">
        <v>29456</v>
      </c>
      <c r="F4152" s="201">
        <v>-11.6</v>
      </c>
      <c r="G4152" s="201">
        <v>9.4</v>
      </c>
    </row>
    <row r="4153" spans="4:7">
      <c r="D4153" s="200" t="s">
        <v>4607</v>
      </c>
      <c r="E4153" s="10">
        <v>29462</v>
      </c>
      <c r="F4153" s="201">
        <v>-11.6</v>
      </c>
      <c r="G4153" s="201">
        <v>9.4</v>
      </c>
    </row>
    <row r="4154" spans="4:7">
      <c r="D4154" s="200" t="s">
        <v>4608</v>
      </c>
      <c r="E4154" s="10">
        <v>29472</v>
      </c>
      <c r="F4154" s="201">
        <v>-11.6</v>
      </c>
      <c r="G4154" s="201">
        <v>9.5</v>
      </c>
    </row>
    <row r="4155" spans="4:7">
      <c r="D4155" s="200" t="s">
        <v>4609</v>
      </c>
      <c r="E4155" s="10">
        <v>29479</v>
      </c>
      <c r="F4155" s="201">
        <v>-11.6</v>
      </c>
      <c r="G4155" s="201">
        <v>9.4</v>
      </c>
    </row>
    <row r="4156" spans="4:7">
      <c r="D4156" s="200" t="s">
        <v>4610</v>
      </c>
      <c r="E4156" s="10">
        <v>29481</v>
      </c>
      <c r="F4156" s="201">
        <v>-11.6</v>
      </c>
      <c r="G4156" s="201">
        <v>9.3000000000000007</v>
      </c>
    </row>
    <row r="4157" spans="4:7">
      <c r="D4157" s="200" t="s">
        <v>4611</v>
      </c>
      <c r="E4157" s="10">
        <v>29482</v>
      </c>
      <c r="F4157" s="201">
        <v>-11.6</v>
      </c>
      <c r="G4157" s="201">
        <v>9.4</v>
      </c>
    </row>
    <row r="4158" spans="4:7">
      <c r="D4158" s="200" t="s">
        <v>4612</v>
      </c>
      <c r="E4158" s="10">
        <v>29499</v>
      </c>
      <c r="F4158" s="201">
        <v>-11.6</v>
      </c>
      <c r="G4158" s="201">
        <v>9.1</v>
      </c>
    </row>
    <row r="4159" spans="4:7">
      <c r="D4159" s="200" t="s">
        <v>4613</v>
      </c>
      <c r="E4159" s="10">
        <v>29549</v>
      </c>
      <c r="F4159" s="201">
        <v>-11.6</v>
      </c>
      <c r="G4159" s="201">
        <v>9.3000000000000007</v>
      </c>
    </row>
    <row r="4160" spans="4:7">
      <c r="D4160" s="200" t="s">
        <v>4614</v>
      </c>
      <c r="E4160" s="10">
        <v>29571</v>
      </c>
      <c r="F4160" s="201">
        <v>-11.6</v>
      </c>
      <c r="G4160" s="201">
        <v>9.1</v>
      </c>
    </row>
    <row r="4161" spans="4:7">
      <c r="D4161" s="200" t="s">
        <v>4615</v>
      </c>
      <c r="E4161" s="10">
        <v>29584</v>
      </c>
      <c r="F4161" s="201">
        <v>-11.6</v>
      </c>
      <c r="G4161" s="201">
        <v>9.1999999999999993</v>
      </c>
    </row>
    <row r="4162" spans="4:7">
      <c r="D4162" s="200" t="s">
        <v>4616</v>
      </c>
      <c r="E4162" s="10">
        <v>29591</v>
      </c>
      <c r="F4162" s="201">
        <v>-11.6</v>
      </c>
      <c r="G4162" s="201">
        <v>9.1999999999999993</v>
      </c>
    </row>
    <row r="4163" spans="4:7">
      <c r="D4163" s="200" t="s">
        <v>4617</v>
      </c>
      <c r="E4163" s="10">
        <v>29633</v>
      </c>
      <c r="F4163" s="201">
        <v>-11.6</v>
      </c>
      <c r="G4163" s="201">
        <v>9.1</v>
      </c>
    </row>
    <row r="4164" spans="4:7">
      <c r="D4164" s="200" t="s">
        <v>1838</v>
      </c>
      <c r="E4164" s="10">
        <v>31033</v>
      </c>
      <c r="F4164" s="201">
        <v>-11.6</v>
      </c>
      <c r="G4164" s="201">
        <v>9.3000000000000007</v>
      </c>
    </row>
    <row r="4165" spans="4:7">
      <c r="D4165" s="200" t="s">
        <v>4618</v>
      </c>
      <c r="E4165" s="10">
        <v>31863</v>
      </c>
      <c r="F4165" s="201">
        <v>-11.6</v>
      </c>
      <c r="G4165" s="201">
        <v>8.6999999999999993</v>
      </c>
    </row>
    <row r="4166" spans="4:7">
      <c r="D4166" s="200" t="s">
        <v>4619</v>
      </c>
      <c r="E4166" s="10">
        <v>32676</v>
      </c>
      <c r="F4166" s="201">
        <v>-11.6</v>
      </c>
      <c r="G4166" s="201">
        <v>9.1</v>
      </c>
    </row>
    <row r="4167" spans="4:7">
      <c r="D4167" s="200" t="s">
        <v>4620</v>
      </c>
      <c r="E4167" s="10">
        <v>32816</v>
      </c>
      <c r="F4167" s="201">
        <v>-11.6</v>
      </c>
      <c r="G4167" s="201">
        <v>8.8000000000000007</v>
      </c>
    </row>
    <row r="4168" spans="4:7">
      <c r="D4168" s="200" t="s">
        <v>4621</v>
      </c>
      <c r="E4168" s="10">
        <v>34260</v>
      </c>
      <c r="F4168" s="201">
        <v>-11.6</v>
      </c>
      <c r="G4168" s="201">
        <v>9.1</v>
      </c>
    </row>
    <row r="4169" spans="4:7">
      <c r="D4169" s="200" t="s">
        <v>4622</v>
      </c>
      <c r="E4169" s="10">
        <v>34266</v>
      </c>
      <c r="F4169" s="201">
        <v>-11.6</v>
      </c>
      <c r="G4169" s="201">
        <v>9.1</v>
      </c>
    </row>
    <row r="4170" spans="4:7">
      <c r="D4170" s="200" t="s">
        <v>4623</v>
      </c>
      <c r="E4170" s="10">
        <v>34277</v>
      </c>
      <c r="F4170" s="201">
        <v>-11.6</v>
      </c>
      <c r="G4170" s="201">
        <v>9.1999999999999993</v>
      </c>
    </row>
    <row r="4171" spans="4:7">
      <c r="D4171" s="200" t="s">
        <v>4624</v>
      </c>
      <c r="E4171" s="10">
        <v>34295</v>
      </c>
      <c r="F4171" s="201">
        <v>-11.6</v>
      </c>
      <c r="G4171" s="201">
        <v>9.1</v>
      </c>
    </row>
    <row r="4172" spans="4:7">
      <c r="D4172" s="200" t="s">
        <v>4625</v>
      </c>
      <c r="E4172" s="10">
        <v>34346</v>
      </c>
      <c r="F4172" s="201">
        <v>-11.6</v>
      </c>
      <c r="G4172" s="201">
        <v>9</v>
      </c>
    </row>
    <row r="4173" spans="4:7">
      <c r="D4173" s="200" t="s">
        <v>4626</v>
      </c>
      <c r="E4173" s="10">
        <v>34385</v>
      </c>
      <c r="F4173" s="201">
        <v>-11.6</v>
      </c>
      <c r="G4173" s="201">
        <v>9.1999999999999993</v>
      </c>
    </row>
    <row r="4174" spans="4:7">
      <c r="D4174" s="200" t="s">
        <v>4627</v>
      </c>
      <c r="E4174" s="10">
        <v>34388</v>
      </c>
      <c r="F4174" s="201">
        <v>-11.6</v>
      </c>
      <c r="G4174" s="201">
        <v>8.9</v>
      </c>
    </row>
    <row r="4175" spans="4:7">
      <c r="D4175" s="200" t="s">
        <v>4628</v>
      </c>
      <c r="E4175" s="10">
        <v>34414</v>
      </c>
      <c r="F4175" s="201">
        <v>-11.6</v>
      </c>
      <c r="G4175" s="201">
        <v>9.1</v>
      </c>
    </row>
    <row r="4176" spans="4:7">
      <c r="D4176" s="200" t="s">
        <v>4629</v>
      </c>
      <c r="E4176" s="10">
        <v>34454</v>
      </c>
      <c r="F4176" s="201">
        <v>-11.6</v>
      </c>
      <c r="G4176" s="201">
        <v>8.8000000000000007</v>
      </c>
    </row>
    <row r="4177" spans="4:7">
      <c r="D4177" s="200" t="s">
        <v>4630</v>
      </c>
      <c r="E4177" s="10">
        <v>34477</v>
      </c>
      <c r="F4177" s="201">
        <v>-11.6</v>
      </c>
      <c r="G4177" s="201">
        <v>8.8000000000000007</v>
      </c>
    </row>
    <row r="4178" spans="4:7">
      <c r="D4178" s="200" t="s">
        <v>4631</v>
      </c>
      <c r="E4178" s="10">
        <v>34613</v>
      </c>
      <c r="F4178" s="201">
        <v>-11.6</v>
      </c>
      <c r="G4178" s="201">
        <v>9.1999999999999993</v>
      </c>
    </row>
    <row r="4179" spans="4:7">
      <c r="D4179" s="200" t="s">
        <v>4632</v>
      </c>
      <c r="E4179" s="10">
        <v>34628</v>
      </c>
      <c r="F4179" s="201">
        <v>-11.6</v>
      </c>
      <c r="G4179" s="201">
        <v>9.1</v>
      </c>
    </row>
    <row r="4180" spans="4:7">
      <c r="D4180" s="200" t="s">
        <v>4633</v>
      </c>
      <c r="E4180" s="10">
        <v>35066</v>
      </c>
      <c r="F4180" s="201">
        <v>-11.6</v>
      </c>
      <c r="G4180" s="201">
        <v>8.6</v>
      </c>
    </row>
    <row r="4181" spans="4:7">
      <c r="D4181" s="200" t="s">
        <v>4634</v>
      </c>
      <c r="E4181" s="10">
        <v>35080</v>
      </c>
      <c r="F4181" s="201">
        <v>-11.6</v>
      </c>
      <c r="G4181" s="201">
        <v>8.5</v>
      </c>
    </row>
    <row r="4182" spans="4:7">
      <c r="D4182" s="200" t="s">
        <v>4635</v>
      </c>
      <c r="E4182" s="10">
        <v>35083</v>
      </c>
      <c r="F4182" s="201">
        <v>-11.6</v>
      </c>
      <c r="G4182" s="201">
        <v>8.9</v>
      </c>
    </row>
    <row r="4183" spans="4:7">
      <c r="D4183" s="200" t="s">
        <v>4636</v>
      </c>
      <c r="E4183" s="10">
        <v>35091</v>
      </c>
      <c r="F4183" s="201">
        <v>-11.6</v>
      </c>
      <c r="G4183" s="201">
        <v>9.1999999999999993</v>
      </c>
    </row>
    <row r="4184" spans="4:7">
      <c r="D4184" s="200" t="s">
        <v>4637</v>
      </c>
      <c r="E4184" s="10">
        <v>35116</v>
      </c>
      <c r="F4184" s="201">
        <v>-11.6</v>
      </c>
      <c r="G4184" s="201">
        <v>8.3000000000000007</v>
      </c>
    </row>
    <row r="4185" spans="4:7">
      <c r="D4185" s="200" t="s">
        <v>4638</v>
      </c>
      <c r="E4185" s="10">
        <v>35117</v>
      </c>
      <c r="F4185" s="201">
        <v>-11.6</v>
      </c>
      <c r="G4185" s="201">
        <v>8.8000000000000007</v>
      </c>
    </row>
    <row r="4186" spans="4:7">
      <c r="D4186" s="200" t="s">
        <v>4639</v>
      </c>
      <c r="E4186" s="10">
        <v>35287</v>
      </c>
      <c r="F4186" s="201">
        <v>-11.6</v>
      </c>
      <c r="G4186" s="201">
        <v>9.3000000000000007</v>
      </c>
    </row>
    <row r="4187" spans="4:7">
      <c r="D4187" s="200" t="s">
        <v>4640</v>
      </c>
      <c r="E4187" s="10">
        <v>35315</v>
      </c>
      <c r="F4187" s="201">
        <v>-11.6</v>
      </c>
      <c r="G4187" s="201">
        <v>9.1</v>
      </c>
    </row>
    <row r="4188" spans="4:7">
      <c r="D4188" s="200" t="s">
        <v>4641</v>
      </c>
      <c r="E4188" s="10">
        <v>35325</v>
      </c>
      <c r="F4188" s="201">
        <v>-11.6</v>
      </c>
      <c r="G4188" s="201">
        <v>9.1</v>
      </c>
    </row>
    <row r="4189" spans="4:7">
      <c r="D4189" s="200" t="s">
        <v>4642</v>
      </c>
      <c r="E4189" s="10">
        <v>37620</v>
      </c>
      <c r="F4189" s="201">
        <v>-11.6</v>
      </c>
      <c r="G4189" s="201">
        <v>9.5</v>
      </c>
    </row>
    <row r="4190" spans="4:7">
      <c r="D4190" s="200" t="s">
        <v>4643</v>
      </c>
      <c r="E4190" s="10">
        <v>37639</v>
      </c>
      <c r="F4190" s="201">
        <v>-11.6</v>
      </c>
      <c r="G4190" s="201">
        <v>9.3000000000000007</v>
      </c>
    </row>
    <row r="4191" spans="4:7">
      <c r="D4191" s="200" t="s">
        <v>4644</v>
      </c>
      <c r="E4191" s="10">
        <v>37647</v>
      </c>
      <c r="F4191" s="201">
        <v>-11.6</v>
      </c>
      <c r="G4191" s="201">
        <v>9.3000000000000007</v>
      </c>
    </row>
    <row r="4192" spans="4:7">
      <c r="D4192" s="200" t="s">
        <v>4645</v>
      </c>
      <c r="E4192" s="10">
        <v>37688</v>
      </c>
      <c r="F4192" s="201">
        <v>-11.6</v>
      </c>
      <c r="G4192" s="201">
        <v>8.6999999999999993</v>
      </c>
    </row>
    <row r="4193" spans="4:7">
      <c r="D4193" s="200" t="s">
        <v>4646</v>
      </c>
      <c r="E4193" s="10">
        <v>37696</v>
      </c>
      <c r="F4193" s="201">
        <v>-11.6</v>
      </c>
      <c r="G4193" s="201">
        <v>8.8000000000000007</v>
      </c>
    </row>
    <row r="4194" spans="4:7">
      <c r="D4194" s="200" t="s">
        <v>4647</v>
      </c>
      <c r="E4194" s="10">
        <v>37697</v>
      </c>
      <c r="F4194" s="201">
        <v>-11.6</v>
      </c>
      <c r="G4194" s="201">
        <v>9.1</v>
      </c>
    </row>
    <row r="4195" spans="4:7">
      <c r="D4195" s="200" t="s">
        <v>4648</v>
      </c>
      <c r="E4195" s="10">
        <v>38165</v>
      </c>
      <c r="F4195" s="201">
        <v>-11.6</v>
      </c>
      <c r="G4195" s="201">
        <v>9.6999999999999993</v>
      </c>
    </row>
    <row r="4196" spans="4:7">
      <c r="D4196" s="200" t="s">
        <v>4649</v>
      </c>
      <c r="E4196" s="10">
        <v>38312</v>
      </c>
      <c r="F4196" s="201">
        <v>-11.6</v>
      </c>
      <c r="G4196" s="201">
        <v>9.6999999999999993</v>
      </c>
    </row>
    <row r="4197" spans="4:7">
      <c r="D4197" s="200" t="s">
        <v>4650</v>
      </c>
      <c r="E4197" s="10">
        <v>38321</v>
      </c>
      <c r="F4197" s="201">
        <v>-11.6</v>
      </c>
      <c r="G4197" s="201">
        <v>9.6999999999999993</v>
      </c>
    </row>
    <row r="4198" spans="4:7">
      <c r="D4198" s="200" t="s">
        <v>4651</v>
      </c>
      <c r="E4198" s="10">
        <v>38468</v>
      </c>
      <c r="F4198" s="201">
        <v>-11.6</v>
      </c>
      <c r="G4198" s="201">
        <v>9.5</v>
      </c>
    </row>
    <row r="4199" spans="4:7">
      <c r="D4199" s="200" t="s">
        <v>4652</v>
      </c>
      <c r="E4199" s="10">
        <v>38476</v>
      </c>
      <c r="F4199" s="201">
        <v>-11.6</v>
      </c>
      <c r="G4199" s="201">
        <v>9.6</v>
      </c>
    </row>
    <row r="4200" spans="4:7">
      <c r="D4200" s="200" t="s">
        <v>4653</v>
      </c>
      <c r="E4200" s="10">
        <v>38477</v>
      </c>
      <c r="F4200" s="201">
        <v>-11.6</v>
      </c>
      <c r="G4200" s="201">
        <v>9.6</v>
      </c>
    </row>
    <row r="4201" spans="4:7">
      <c r="D4201" s="200" t="s">
        <v>4654</v>
      </c>
      <c r="E4201" s="10">
        <v>38479</v>
      </c>
      <c r="F4201" s="201">
        <v>-11.6</v>
      </c>
      <c r="G4201" s="201">
        <v>9.6</v>
      </c>
    </row>
    <row r="4202" spans="4:7">
      <c r="D4202" s="200" t="s">
        <v>4655</v>
      </c>
      <c r="E4202" s="10">
        <v>38554</v>
      </c>
      <c r="F4202" s="201">
        <v>-11.6</v>
      </c>
      <c r="G4202" s="201">
        <v>9.6</v>
      </c>
    </row>
    <row r="4203" spans="4:7">
      <c r="D4203" s="200" t="s">
        <v>4656</v>
      </c>
      <c r="E4203" s="10">
        <v>38556</v>
      </c>
      <c r="F4203" s="201">
        <v>-11.6</v>
      </c>
      <c r="G4203" s="201">
        <v>9.6</v>
      </c>
    </row>
    <row r="4204" spans="4:7">
      <c r="D4204" s="200" t="s">
        <v>4657</v>
      </c>
      <c r="E4204" s="10">
        <v>53949</v>
      </c>
      <c r="F4204" s="201">
        <v>-11.6</v>
      </c>
      <c r="G4204" s="201">
        <v>7.9</v>
      </c>
    </row>
    <row r="4205" spans="4:7">
      <c r="D4205" s="200" t="s">
        <v>4658</v>
      </c>
      <c r="E4205" s="10">
        <v>54585</v>
      </c>
      <c r="F4205" s="201">
        <v>-11.6</v>
      </c>
      <c r="G4205" s="201">
        <v>7.9</v>
      </c>
    </row>
    <row r="4206" spans="4:7">
      <c r="D4206" s="200" t="s">
        <v>4659</v>
      </c>
      <c r="E4206" s="10">
        <v>54586</v>
      </c>
      <c r="F4206" s="201">
        <v>-11.6</v>
      </c>
      <c r="G4206" s="201">
        <v>7.9</v>
      </c>
    </row>
    <row r="4207" spans="4:7">
      <c r="D4207" s="200" t="s">
        <v>4660</v>
      </c>
      <c r="E4207" s="10">
        <v>55496</v>
      </c>
      <c r="F4207" s="201">
        <v>-11.6</v>
      </c>
      <c r="G4207" s="201">
        <v>8.1999999999999993</v>
      </c>
    </row>
    <row r="4208" spans="4:7">
      <c r="D4208" s="200" t="s">
        <v>4661</v>
      </c>
      <c r="E4208" s="10">
        <v>63679</v>
      </c>
      <c r="F4208" s="201">
        <v>-11.6</v>
      </c>
      <c r="G4208" s="201">
        <v>8.3000000000000007</v>
      </c>
    </row>
    <row r="4209" spans="4:7">
      <c r="D4209" s="200" t="s">
        <v>4662</v>
      </c>
      <c r="E4209" s="10">
        <v>63874</v>
      </c>
      <c r="F4209" s="201">
        <v>-11.6</v>
      </c>
      <c r="G4209" s="201">
        <v>9.3000000000000007</v>
      </c>
    </row>
    <row r="4210" spans="4:7">
      <c r="D4210" s="200" t="s">
        <v>4663</v>
      </c>
      <c r="E4210" s="10">
        <v>64720</v>
      </c>
      <c r="F4210" s="201">
        <v>-11.6</v>
      </c>
      <c r="G4210" s="201">
        <v>9.1999999999999993</v>
      </c>
    </row>
    <row r="4211" spans="4:7">
      <c r="D4211" s="200" t="s">
        <v>4664</v>
      </c>
      <c r="E4211" s="10">
        <v>64759</v>
      </c>
      <c r="F4211" s="201">
        <v>-11.6</v>
      </c>
      <c r="G4211" s="201">
        <v>9</v>
      </c>
    </row>
    <row r="4212" spans="4:7">
      <c r="D4212" s="200" t="s">
        <v>2307</v>
      </c>
      <c r="E4212" s="10">
        <v>70195</v>
      </c>
      <c r="F4212" s="201">
        <v>-11.6</v>
      </c>
      <c r="G4212" s="201">
        <v>9.5</v>
      </c>
    </row>
    <row r="4213" spans="4:7">
      <c r="D4213" s="200" t="s">
        <v>2307</v>
      </c>
      <c r="E4213" s="10">
        <v>70569</v>
      </c>
      <c r="F4213" s="201">
        <v>-11.6</v>
      </c>
      <c r="G4213" s="201">
        <v>9.4</v>
      </c>
    </row>
    <row r="4214" spans="4:7">
      <c r="D4214" s="200" t="s">
        <v>4665</v>
      </c>
      <c r="E4214" s="10">
        <v>71083</v>
      </c>
      <c r="F4214" s="201">
        <v>-11.6</v>
      </c>
      <c r="G4214" s="201">
        <v>9.3000000000000007</v>
      </c>
    </row>
    <row r="4215" spans="4:7">
      <c r="D4215" s="200" t="s">
        <v>4666</v>
      </c>
      <c r="E4215" s="10">
        <v>71101</v>
      </c>
      <c r="F4215" s="201">
        <v>-11.6</v>
      </c>
      <c r="G4215" s="201">
        <v>9.3000000000000007</v>
      </c>
    </row>
    <row r="4216" spans="4:7">
      <c r="D4216" s="200" t="s">
        <v>4667</v>
      </c>
      <c r="E4216" s="10">
        <v>71111</v>
      </c>
      <c r="F4216" s="201">
        <v>-11.6</v>
      </c>
      <c r="G4216" s="201">
        <v>9.5</v>
      </c>
    </row>
    <row r="4217" spans="4:7">
      <c r="D4217" s="200" t="s">
        <v>4668</v>
      </c>
      <c r="E4217" s="10">
        <v>71120</v>
      </c>
      <c r="F4217" s="201">
        <v>-11.6</v>
      </c>
      <c r="G4217" s="201">
        <v>9.5</v>
      </c>
    </row>
    <row r="4218" spans="4:7">
      <c r="D4218" s="200" t="s">
        <v>4669</v>
      </c>
      <c r="E4218" s="10">
        <v>71139</v>
      </c>
      <c r="F4218" s="201">
        <v>-11.6</v>
      </c>
      <c r="G4218" s="201">
        <v>9.4</v>
      </c>
    </row>
    <row r="4219" spans="4:7">
      <c r="D4219" s="200" t="s">
        <v>4670</v>
      </c>
      <c r="E4219" s="10">
        <v>71272</v>
      </c>
      <c r="F4219" s="201">
        <v>-11.6</v>
      </c>
      <c r="G4219" s="201">
        <v>9.5</v>
      </c>
    </row>
    <row r="4220" spans="4:7">
      <c r="D4220" s="200" t="s">
        <v>4671</v>
      </c>
      <c r="E4220" s="10">
        <v>71297</v>
      </c>
      <c r="F4220" s="201">
        <v>-11.6</v>
      </c>
      <c r="G4220" s="201">
        <v>9.5</v>
      </c>
    </row>
    <row r="4221" spans="4:7">
      <c r="D4221" s="200" t="s">
        <v>4672</v>
      </c>
      <c r="E4221" s="10">
        <v>71706</v>
      </c>
      <c r="F4221" s="201">
        <v>-11.6</v>
      </c>
      <c r="G4221" s="201">
        <v>9.9</v>
      </c>
    </row>
    <row r="4222" spans="4:7">
      <c r="D4222" s="200" t="s">
        <v>4673</v>
      </c>
      <c r="E4222" s="10">
        <v>72144</v>
      </c>
      <c r="F4222" s="201">
        <v>-11.6</v>
      </c>
      <c r="G4222" s="201">
        <v>9.4</v>
      </c>
    </row>
    <row r="4223" spans="4:7">
      <c r="D4223" s="200" t="s">
        <v>4674</v>
      </c>
      <c r="E4223" s="10">
        <v>72145</v>
      </c>
      <c r="F4223" s="201">
        <v>-11.6</v>
      </c>
      <c r="G4223" s="201">
        <v>9.3000000000000007</v>
      </c>
    </row>
    <row r="4224" spans="4:7">
      <c r="D4224" s="200" t="s">
        <v>4675</v>
      </c>
      <c r="E4224" s="10">
        <v>72149</v>
      </c>
      <c r="F4224" s="201">
        <v>-11.6</v>
      </c>
      <c r="G4224" s="201">
        <v>9.1999999999999993</v>
      </c>
    </row>
    <row r="4225" spans="4:7">
      <c r="D4225" s="200" t="s">
        <v>4676</v>
      </c>
      <c r="E4225" s="10">
        <v>73072</v>
      </c>
      <c r="F4225" s="201">
        <v>-11.6</v>
      </c>
      <c r="G4225" s="201">
        <v>9.4</v>
      </c>
    </row>
    <row r="4226" spans="4:7">
      <c r="D4226" s="200" t="s">
        <v>4677</v>
      </c>
      <c r="E4226" s="10">
        <v>73114</v>
      </c>
      <c r="F4226" s="201">
        <v>-11.6</v>
      </c>
      <c r="G4226" s="201">
        <v>9.3000000000000007</v>
      </c>
    </row>
    <row r="4227" spans="4:7">
      <c r="D4227" s="200" t="s">
        <v>4678</v>
      </c>
      <c r="E4227" s="10">
        <v>73560</v>
      </c>
      <c r="F4227" s="201">
        <v>-11.6</v>
      </c>
      <c r="G4227" s="201">
        <v>9.6</v>
      </c>
    </row>
    <row r="4228" spans="4:7">
      <c r="D4228" s="200" t="s">
        <v>4679</v>
      </c>
      <c r="E4228" s="10">
        <v>74343</v>
      </c>
      <c r="F4228" s="201">
        <v>-11.6</v>
      </c>
      <c r="G4228" s="201">
        <v>9.6999999999999993</v>
      </c>
    </row>
    <row r="4229" spans="4:7">
      <c r="D4229" s="200" t="s">
        <v>4680</v>
      </c>
      <c r="E4229" s="10">
        <v>74420</v>
      </c>
      <c r="F4229" s="201">
        <v>-11.6</v>
      </c>
      <c r="G4229" s="201">
        <v>9.6</v>
      </c>
    </row>
    <row r="4230" spans="4:7">
      <c r="D4230" s="200" t="s">
        <v>4681</v>
      </c>
      <c r="E4230" s="10">
        <v>74429</v>
      </c>
      <c r="F4230" s="201">
        <v>-11.6</v>
      </c>
      <c r="G4230" s="201">
        <v>9.6999999999999993</v>
      </c>
    </row>
    <row r="4231" spans="4:7">
      <c r="D4231" s="200" t="s">
        <v>4682</v>
      </c>
      <c r="E4231" s="10">
        <v>74523</v>
      </c>
      <c r="F4231" s="201">
        <v>-11.6</v>
      </c>
      <c r="G4231" s="201">
        <v>9.5</v>
      </c>
    </row>
    <row r="4232" spans="4:7">
      <c r="D4232" s="200" t="s">
        <v>4683</v>
      </c>
      <c r="E4232" s="10">
        <v>74544</v>
      </c>
      <c r="F4232" s="201">
        <v>-11.6</v>
      </c>
      <c r="G4232" s="201">
        <v>9.6</v>
      </c>
    </row>
    <row r="4233" spans="4:7">
      <c r="D4233" s="200" t="s">
        <v>4684</v>
      </c>
      <c r="E4233" s="10">
        <v>74744</v>
      </c>
      <c r="F4233" s="201">
        <v>-11.6</v>
      </c>
      <c r="G4233" s="201">
        <v>9.5</v>
      </c>
    </row>
    <row r="4234" spans="4:7">
      <c r="D4234" s="200" t="s">
        <v>3739</v>
      </c>
      <c r="E4234" s="10">
        <v>75177</v>
      </c>
      <c r="F4234" s="201">
        <v>-11.6</v>
      </c>
      <c r="G4234" s="201">
        <v>9.5</v>
      </c>
    </row>
    <row r="4235" spans="4:7">
      <c r="D4235" s="200" t="s">
        <v>2733</v>
      </c>
      <c r="E4235" s="10">
        <v>75428</v>
      </c>
      <c r="F4235" s="201">
        <v>-11.6</v>
      </c>
      <c r="G4235" s="201">
        <v>9.5</v>
      </c>
    </row>
    <row r="4236" spans="4:7">
      <c r="D4236" s="200" t="s">
        <v>4685</v>
      </c>
      <c r="E4236" s="10">
        <v>76848</v>
      </c>
      <c r="F4236" s="201">
        <v>-11.6</v>
      </c>
      <c r="G4236" s="201">
        <v>8.9</v>
      </c>
    </row>
    <row r="4237" spans="4:7">
      <c r="D4237" s="200" t="s">
        <v>4686</v>
      </c>
      <c r="E4237" s="10">
        <v>77880</v>
      </c>
      <c r="F4237" s="201">
        <v>-11.6</v>
      </c>
      <c r="G4237" s="201">
        <v>9.1</v>
      </c>
    </row>
    <row r="4238" spans="4:7">
      <c r="D4238" s="200" t="s">
        <v>4687</v>
      </c>
      <c r="E4238" s="10">
        <v>79669</v>
      </c>
      <c r="F4238" s="201">
        <v>-11.6</v>
      </c>
      <c r="G4238" s="201">
        <v>9</v>
      </c>
    </row>
    <row r="4239" spans="4:7">
      <c r="D4239" s="200" t="s">
        <v>4688</v>
      </c>
      <c r="E4239" s="10">
        <v>79780</v>
      </c>
      <c r="F4239" s="201">
        <v>-11.6</v>
      </c>
      <c r="G4239" s="201">
        <v>8.6999999999999993</v>
      </c>
    </row>
    <row r="4240" spans="4:7">
      <c r="D4240" s="200" t="s">
        <v>4689</v>
      </c>
      <c r="E4240" s="10">
        <v>97218</v>
      </c>
      <c r="F4240" s="201">
        <v>-11.6</v>
      </c>
      <c r="G4240" s="201">
        <v>9.6</v>
      </c>
    </row>
    <row r="4241" spans="4:7">
      <c r="D4241" s="200" t="s">
        <v>4690</v>
      </c>
      <c r="E4241" s="10">
        <v>97234</v>
      </c>
      <c r="F4241" s="201">
        <v>-11.6</v>
      </c>
      <c r="G4241" s="201">
        <v>9.6</v>
      </c>
    </row>
    <row r="4242" spans="4:7">
      <c r="D4242" s="200" t="s">
        <v>4691</v>
      </c>
      <c r="E4242" s="10">
        <v>97236</v>
      </c>
      <c r="F4242" s="201">
        <v>-11.6</v>
      </c>
      <c r="G4242" s="201">
        <v>9.6</v>
      </c>
    </row>
    <row r="4243" spans="4:7">
      <c r="D4243" s="200" t="s">
        <v>4692</v>
      </c>
      <c r="E4243" s="10">
        <v>97243</v>
      </c>
      <c r="F4243" s="201">
        <v>-11.6</v>
      </c>
      <c r="G4243" s="201">
        <v>9.6</v>
      </c>
    </row>
    <row r="4244" spans="4:7">
      <c r="D4244" s="200" t="s">
        <v>4693</v>
      </c>
      <c r="E4244" s="10">
        <v>97244</v>
      </c>
      <c r="F4244" s="201">
        <v>-11.6</v>
      </c>
      <c r="G4244" s="201">
        <v>9.6</v>
      </c>
    </row>
    <row r="4245" spans="4:7">
      <c r="D4245" s="200" t="s">
        <v>4385</v>
      </c>
      <c r="E4245" s="10">
        <v>97249</v>
      </c>
      <c r="F4245" s="201">
        <v>-11.6</v>
      </c>
      <c r="G4245" s="201">
        <v>9.3000000000000007</v>
      </c>
    </row>
    <row r="4246" spans="4:7">
      <c r="D4246" s="200" t="s">
        <v>4694</v>
      </c>
      <c r="E4246" s="10">
        <v>97250</v>
      </c>
      <c r="F4246" s="201">
        <v>-11.6</v>
      </c>
      <c r="G4246" s="201">
        <v>9.4</v>
      </c>
    </row>
    <row r="4247" spans="4:7">
      <c r="D4247" s="200" t="s">
        <v>4021</v>
      </c>
      <c r="E4247" s="10">
        <v>97252</v>
      </c>
      <c r="F4247" s="201">
        <v>-11.6</v>
      </c>
      <c r="G4247" s="201">
        <v>9.6</v>
      </c>
    </row>
    <row r="4248" spans="4:7">
      <c r="D4248" s="200" t="s">
        <v>4695</v>
      </c>
      <c r="E4248" s="10">
        <v>97255</v>
      </c>
      <c r="F4248" s="201">
        <v>-11.6</v>
      </c>
      <c r="G4248" s="201">
        <v>9.6</v>
      </c>
    </row>
    <row r="4249" spans="4:7">
      <c r="D4249" s="200" t="s">
        <v>4696</v>
      </c>
      <c r="E4249" s="10">
        <v>97256</v>
      </c>
      <c r="F4249" s="201">
        <v>-11.6</v>
      </c>
      <c r="G4249" s="201">
        <v>9.5</v>
      </c>
    </row>
    <row r="4250" spans="4:7">
      <c r="D4250" s="200" t="s">
        <v>4697</v>
      </c>
      <c r="E4250" s="10">
        <v>97268</v>
      </c>
      <c r="F4250" s="201">
        <v>-11.6</v>
      </c>
      <c r="G4250" s="201">
        <v>9.6</v>
      </c>
    </row>
    <row r="4251" spans="4:7">
      <c r="D4251" s="200" t="s">
        <v>4698</v>
      </c>
      <c r="E4251" s="10">
        <v>97271</v>
      </c>
      <c r="F4251" s="201">
        <v>-11.6</v>
      </c>
      <c r="G4251" s="201">
        <v>9.4</v>
      </c>
    </row>
    <row r="4252" spans="4:7">
      <c r="D4252" s="200" t="s">
        <v>4699</v>
      </c>
      <c r="E4252" s="10">
        <v>97279</v>
      </c>
      <c r="F4252" s="201">
        <v>-11.6</v>
      </c>
      <c r="G4252" s="201">
        <v>9.6</v>
      </c>
    </row>
    <row r="4253" spans="4:7">
      <c r="D4253" s="200" t="s">
        <v>4700</v>
      </c>
      <c r="E4253" s="10">
        <v>97288</v>
      </c>
      <c r="F4253" s="201">
        <v>-11.6</v>
      </c>
      <c r="G4253" s="201">
        <v>9.6</v>
      </c>
    </row>
    <row r="4254" spans="4:7">
      <c r="D4254" s="200" t="s">
        <v>4701</v>
      </c>
      <c r="E4254" s="10">
        <v>97294</v>
      </c>
      <c r="F4254" s="201">
        <v>-11.6</v>
      </c>
      <c r="G4254" s="201">
        <v>9.6</v>
      </c>
    </row>
    <row r="4255" spans="4:7">
      <c r="D4255" s="200" t="s">
        <v>4702</v>
      </c>
      <c r="E4255" s="10">
        <v>97334</v>
      </c>
      <c r="F4255" s="201">
        <v>-11.6</v>
      </c>
      <c r="G4255" s="201">
        <v>9.5</v>
      </c>
    </row>
    <row r="4256" spans="4:7">
      <c r="D4256" s="200" t="s">
        <v>4703</v>
      </c>
      <c r="E4256" s="10">
        <v>97337</v>
      </c>
      <c r="F4256" s="201">
        <v>-11.6</v>
      </c>
      <c r="G4256" s="201">
        <v>9.6</v>
      </c>
    </row>
    <row r="4257" spans="4:7">
      <c r="D4257" s="200" t="s">
        <v>4704</v>
      </c>
      <c r="E4257" s="10">
        <v>97355</v>
      </c>
      <c r="F4257" s="201">
        <v>-11.6</v>
      </c>
      <c r="G4257" s="201">
        <v>9.6</v>
      </c>
    </row>
    <row r="4258" spans="4:7">
      <c r="D4258" s="200" t="s">
        <v>4705</v>
      </c>
      <c r="E4258" s="10">
        <v>97453</v>
      </c>
      <c r="F4258" s="201">
        <v>-11.6</v>
      </c>
      <c r="G4258" s="201">
        <v>8.6999999999999993</v>
      </c>
    </row>
    <row r="4259" spans="4:7">
      <c r="D4259" s="200" t="s">
        <v>4706</v>
      </c>
      <c r="E4259" s="10">
        <v>97456</v>
      </c>
      <c r="F4259" s="201">
        <v>-11.6</v>
      </c>
      <c r="G4259" s="201">
        <v>8.6999999999999993</v>
      </c>
    </row>
    <row r="4260" spans="4:7">
      <c r="D4260" s="200" t="s">
        <v>4707</v>
      </c>
      <c r="E4260" s="10">
        <v>97469</v>
      </c>
      <c r="F4260" s="201">
        <v>-11.6</v>
      </c>
      <c r="G4260" s="201">
        <v>9.5</v>
      </c>
    </row>
    <row r="4261" spans="4:7">
      <c r="D4261" s="200" t="s">
        <v>4708</v>
      </c>
      <c r="E4261" s="10">
        <v>97488</v>
      </c>
      <c r="F4261" s="201">
        <v>-11.6</v>
      </c>
      <c r="G4261" s="201">
        <v>9</v>
      </c>
    </row>
    <row r="4262" spans="4:7">
      <c r="D4262" s="200" t="s">
        <v>4709</v>
      </c>
      <c r="E4262" s="10">
        <v>97511</v>
      </c>
      <c r="F4262" s="201">
        <v>-11.6</v>
      </c>
      <c r="G4262" s="201">
        <v>9.6</v>
      </c>
    </row>
    <row r="4263" spans="4:7">
      <c r="D4263" s="200" t="s">
        <v>4710</v>
      </c>
      <c r="E4263" s="10">
        <v>97529</v>
      </c>
      <c r="F4263" s="201">
        <v>-11.6</v>
      </c>
      <c r="G4263" s="201">
        <v>9.6</v>
      </c>
    </row>
    <row r="4264" spans="4:7">
      <c r="D4264" s="200" t="s">
        <v>4711</v>
      </c>
      <c r="E4264" s="10">
        <v>97631</v>
      </c>
      <c r="F4264" s="201">
        <v>-11.6</v>
      </c>
      <c r="G4264" s="201">
        <v>8.9</v>
      </c>
    </row>
    <row r="4265" spans="4:7">
      <c r="D4265" s="200" t="s">
        <v>4712</v>
      </c>
      <c r="E4265" s="10">
        <v>97791</v>
      </c>
      <c r="F4265" s="201">
        <v>-11.6</v>
      </c>
      <c r="G4265" s="201">
        <v>9</v>
      </c>
    </row>
    <row r="4266" spans="4:7">
      <c r="D4266" s="200" t="s">
        <v>4713</v>
      </c>
      <c r="E4266" s="10">
        <v>97794</v>
      </c>
      <c r="F4266" s="201">
        <v>-11.6</v>
      </c>
      <c r="G4266" s="201">
        <v>9</v>
      </c>
    </row>
    <row r="4267" spans="4:7">
      <c r="D4267" s="200" t="s">
        <v>4714</v>
      </c>
      <c r="E4267" s="10">
        <v>97839</v>
      </c>
      <c r="F4267" s="201">
        <v>-11.6</v>
      </c>
      <c r="G4267" s="201">
        <v>9.1999999999999993</v>
      </c>
    </row>
    <row r="4268" spans="4:7">
      <c r="D4268" s="200" t="s">
        <v>1858</v>
      </c>
      <c r="E4268" s="10">
        <v>97854</v>
      </c>
      <c r="F4268" s="201">
        <v>-11.6</v>
      </c>
      <c r="G4268" s="201">
        <v>9.3000000000000007</v>
      </c>
    </row>
    <row r="4269" spans="4:7">
      <c r="D4269" s="200" t="s">
        <v>4715</v>
      </c>
      <c r="E4269" s="10">
        <v>97900</v>
      </c>
      <c r="F4269" s="201">
        <v>-11.6</v>
      </c>
      <c r="G4269" s="201">
        <v>9.3000000000000007</v>
      </c>
    </row>
    <row r="4270" spans="4:7">
      <c r="D4270" s="200" t="s">
        <v>4716</v>
      </c>
      <c r="E4270" s="10">
        <v>97947</v>
      </c>
      <c r="F4270" s="201">
        <v>-11.6</v>
      </c>
      <c r="G4270" s="201">
        <v>9.5</v>
      </c>
    </row>
    <row r="4271" spans="4:7">
      <c r="D4271" s="200" t="s">
        <v>4717</v>
      </c>
      <c r="E4271" s="10">
        <v>97956</v>
      </c>
      <c r="F4271" s="201">
        <v>-11.6</v>
      </c>
      <c r="G4271" s="201">
        <v>9.4</v>
      </c>
    </row>
    <row r="4272" spans="4:7">
      <c r="D4272" s="200" t="s">
        <v>4718</v>
      </c>
      <c r="E4272" s="10">
        <v>97993</v>
      </c>
      <c r="F4272" s="201">
        <v>-11.6</v>
      </c>
      <c r="G4272" s="201">
        <v>9.6</v>
      </c>
    </row>
    <row r="4273" spans="4:7">
      <c r="D4273" s="200" t="s">
        <v>4593</v>
      </c>
      <c r="E4273" s="10">
        <v>4109</v>
      </c>
      <c r="F4273" s="201">
        <v>-11.7</v>
      </c>
      <c r="G4273" s="201">
        <v>10.9</v>
      </c>
    </row>
    <row r="4274" spans="4:7">
      <c r="D4274" s="200" t="s">
        <v>4266</v>
      </c>
      <c r="E4274" s="10">
        <v>10245</v>
      </c>
      <c r="F4274" s="201">
        <v>-11.7</v>
      </c>
      <c r="G4274" s="201">
        <v>10.5</v>
      </c>
    </row>
    <row r="4275" spans="4:7">
      <c r="D4275" s="200" t="s">
        <v>4719</v>
      </c>
      <c r="E4275" s="10">
        <v>17495</v>
      </c>
      <c r="F4275" s="201">
        <v>-11.7</v>
      </c>
      <c r="G4275" s="201">
        <v>8.8000000000000007</v>
      </c>
    </row>
    <row r="4276" spans="4:7">
      <c r="D4276" s="200" t="s">
        <v>4720</v>
      </c>
      <c r="E4276" s="10">
        <v>18375</v>
      </c>
      <c r="F4276" s="201">
        <v>-11.7</v>
      </c>
      <c r="G4276" s="201">
        <v>8.8000000000000007</v>
      </c>
    </row>
    <row r="4277" spans="4:7">
      <c r="D4277" s="200" t="s">
        <v>4721</v>
      </c>
      <c r="E4277" s="10">
        <v>18516</v>
      </c>
      <c r="F4277" s="201">
        <v>-11.7</v>
      </c>
      <c r="G4277" s="201">
        <v>8.9</v>
      </c>
    </row>
    <row r="4278" spans="4:7">
      <c r="D4278" s="200" t="s">
        <v>4722</v>
      </c>
      <c r="E4278" s="10">
        <v>19303</v>
      </c>
      <c r="F4278" s="201">
        <v>-11.7</v>
      </c>
      <c r="G4278" s="201">
        <v>9.4</v>
      </c>
    </row>
    <row r="4279" spans="4:7">
      <c r="D4279" s="200" t="s">
        <v>4723</v>
      </c>
      <c r="E4279" s="10">
        <v>19412</v>
      </c>
      <c r="F4279" s="201">
        <v>-11.7</v>
      </c>
      <c r="G4279" s="201">
        <v>9.1999999999999993</v>
      </c>
    </row>
    <row r="4280" spans="4:7">
      <c r="D4280" s="200" t="s">
        <v>4724</v>
      </c>
      <c r="E4280" s="10">
        <v>29328</v>
      </c>
      <c r="F4280" s="201">
        <v>-11.7</v>
      </c>
      <c r="G4280" s="201">
        <v>9.1</v>
      </c>
    </row>
    <row r="4281" spans="4:7">
      <c r="D4281" s="200" t="s">
        <v>4725</v>
      </c>
      <c r="E4281" s="10">
        <v>29345</v>
      </c>
      <c r="F4281" s="201">
        <v>-11.7</v>
      </c>
      <c r="G4281" s="201">
        <v>9</v>
      </c>
    </row>
    <row r="4282" spans="4:7">
      <c r="D4282" s="200" t="s">
        <v>4726</v>
      </c>
      <c r="E4282" s="10">
        <v>29365</v>
      </c>
      <c r="F4282" s="201">
        <v>-11.7</v>
      </c>
      <c r="G4282" s="201">
        <v>9.1</v>
      </c>
    </row>
    <row r="4283" spans="4:7">
      <c r="D4283" s="200" t="s">
        <v>4727</v>
      </c>
      <c r="E4283" s="10">
        <v>29410</v>
      </c>
      <c r="F4283" s="201">
        <v>-11.7</v>
      </c>
      <c r="G4283" s="201">
        <v>9.6</v>
      </c>
    </row>
    <row r="4284" spans="4:7">
      <c r="D4284" s="200" t="s">
        <v>4728</v>
      </c>
      <c r="E4284" s="10">
        <v>29476</v>
      </c>
      <c r="F4284" s="201">
        <v>-11.7</v>
      </c>
      <c r="G4284" s="201">
        <v>9.5</v>
      </c>
    </row>
    <row r="4285" spans="4:7">
      <c r="D4285" s="200" t="s">
        <v>4729</v>
      </c>
      <c r="E4285" s="10">
        <v>29484</v>
      </c>
      <c r="F4285" s="201">
        <v>-11.7</v>
      </c>
      <c r="G4285" s="201">
        <v>9.4</v>
      </c>
    </row>
    <row r="4286" spans="4:7">
      <c r="D4286" s="200" t="s">
        <v>4730</v>
      </c>
      <c r="E4286" s="10">
        <v>29487</v>
      </c>
      <c r="F4286" s="201">
        <v>-11.7</v>
      </c>
      <c r="G4286" s="201">
        <v>9.4</v>
      </c>
    </row>
    <row r="4287" spans="4:7">
      <c r="D4287" s="200" t="s">
        <v>4731</v>
      </c>
      <c r="E4287" s="10">
        <v>29488</v>
      </c>
      <c r="F4287" s="201">
        <v>-11.7</v>
      </c>
      <c r="G4287" s="201">
        <v>9.4</v>
      </c>
    </row>
    <row r="4288" spans="4:7">
      <c r="D4288" s="200" t="s">
        <v>4732</v>
      </c>
      <c r="E4288" s="10">
        <v>29496</v>
      </c>
      <c r="F4288" s="201">
        <v>-11.7</v>
      </c>
      <c r="G4288" s="201">
        <v>9.3000000000000007</v>
      </c>
    </row>
    <row r="4289" spans="4:7">
      <c r="D4289" s="200" t="s">
        <v>4733</v>
      </c>
      <c r="E4289" s="10">
        <v>29497</v>
      </c>
      <c r="F4289" s="201">
        <v>-11.7</v>
      </c>
      <c r="G4289" s="201">
        <v>9.4</v>
      </c>
    </row>
    <row r="4290" spans="4:7">
      <c r="D4290" s="200" t="s">
        <v>4734</v>
      </c>
      <c r="E4290" s="10">
        <v>29578</v>
      </c>
      <c r="F4290" s="201">
        <v>-11.7</v>
      </c>
      <c r="G4290" s="201">
        <v>9</v>
      </c>
    </row>
    <row r="4291" spans="4:7">
      <c r="D4291" s="200" t="s">
        <v>4735</v>
      </c>
      <c r="E4291" s="10">
        <v>29585</v>
      </c>
      <c r="F4291" s="201">
        <v>-11.7</v>
      </c>
      <c r="G4291" s="201">
        <v>9.1999999999999993</v>
      </c>
    </row>
    <row r="4292" spans="4:7">
      <c r="D4292" s="200" t="s">
        <v>4736</v>
      </c>
      <c r="E4292" s="10">
        <v>29594</v>
      </c>
      <c r="F4292" s="201">
        <v>-11.7</v>
      </c>
      <c r="G4292" s="201">
        <v>9.1999999999999993</v>
      </c>
    </row>
    <row r="4293" spans="4:7">
      <c r="D4293" s="200" t="s">
        <v>4737</v>
      </c>
      <c r="E4293" s="10">
        <v>29597</v>
      </c>
      <c r="F4293" s="201">
        <v>-11.7</v>
      </c>
      <c r="G4293" s="201">
        <v>9.1</v>
      </c>
    </row>
    <row r="4294" spans="4:7">
      <c r="D4294" s="200" t="s">
        <v>4738</v>
      </c>
      <c r="E4294" s="10">
        <v>29599</v>
      </c>
      <c r="F4294" s="201">
        <v>-11.7</v>
      </c>
      <c r="G4294" s="201">
        <v>9.1999999999999993</v>
      </c>
    </row>
    <row r="4295" spans="4:7">
      <c r="D4295" s="200" t="s">
        <v>4739</v>
      </c>
      <c r="E4295" s="10">
        <v>31167</v>
      </c>
      <c r="F4295" s="201">
        <v>-11.7</v>
      </c>
      <c r="G4295" s="201">
        <v>9.6</v>
      </c>
    </row>
    <row r="4296" spans="4:7">
      <c r="D4296" s="200" t="s">
        <v>4740</v>
      </c>
      <c r="E4296" s="10">
        <v>31199</v>
      </c>
      <c r="F4296" s="201">
        <v>-11.7</v>
      </c>
      <c r="G4296" s="201">
        <v>9</v>
      </c>
    </row>
    <row r="4297" spans="4:7">
      <c r="D4297" s="200" t="s">
        <v>4741</v>
      </c>
      <c r="E4297" s="10">
        <v>34233</v>
      </c>
      <c r="F4297" s="201">
        <v>-11.7</v>
      </c>
      <c r="G4297" s="201">
        <v>8.9</v>
      </c>
    </row>
    <row r="4298" spans="4:7">
      <c r="D4298" s="200" t="s">
        <v>4742</v>
      </c>
      <c r="E4298" s="10">
        <v>34289</v>
      </c>
      <c r="F4298" s="201">
        <v>-11.7</v>
      </c>
      <c r="G4298" s="201">
        <v>8.6999999999999993</v>
      </c>
    </row>
    <row r="4299" spans="4:7">
      <c r="D4299" s="200" t="s">
        <v>4743</v>
      </c>
      <c r="E4299" s="10">
        <v>34292</v>
      </c>
      <c r="F4299" s="201">
        <v>-11.7</v>
      </c>
      <c r="G4299" s="201">
        <v>8.9</v>
      </c>
    </row>
    <row r="4300" spans="4:7">
      <c r="D4300" s="200" t="s">
        <v>4744</v>
      </c>
      <c r="E4300" s="10">
        <v>34314</v>
      </c>
      <c r="F4300" s="201">
        <v>-11.7</v>
      </c>
      <c r="G4300" s="201">
        <v>9</v>
      </c>
    </row>
    <row r="4301" spans="4:7">
      <c r="D4301" s="200" t="s">
        <v>4745</v>
      </c>
      <c r="E4301" s="10">
        <v>34326</v>
      </c>
      <c r="F4301" s="201">
        <v>-11.7</v>
      </c>
      <c r="G4301" s="201">
        <v>9.1999999999999993</v>
      </c>
    </row>
    <row r="4302" spans="4:7">
      <c r="D4302" s="200" t="s">
        <v>4746</v>
      </c>
      <c r="E4302" s="10">
        <v>34327</v>
      </c>
      <c r="F4302" s="201">
        <v>-11.7</v>
      </c>
      <c r="G4302" s="201">
        <v>8.9</v>
      </c>
    </row>
    <row r="4303" spans="4:7">
      <c r="D4303" s="200" t="s">
        <v>4747</v>
      </c>
      <c r="E4303" s="10">
        <v>34369</v>
      </c>
      <c r="F4303" s="201">
        <v>-11.7</v>
      </c>
      <c r="G4303" s="201">
        <v>8.6</v>
      </c>
    </row>
    <row r="4304" spans="4:7">
      <c r="D4304" s="200" t="s">
        <v>4748</v>
      </c>
      <c r="E4304" s="10">
        <v>34376</v>
      </c>
      <c r="F4304" s="201">
        <v>-11.7</v>
      </c>
      <c r="G4304" s="201">
        <v>8.6</v>
      </c>
    </row>
    <row r="4305" spans="4:7">
      <c r="D4305" s="200" t="s">
        <v>4749</v>
      </c>
      <c r="E4305" s="10">
        <v>34439</v>
      </c>
      <c r="F4305" s="201">
        <v>-11.7</v>
      </c>
      <c r="G4305" s="201">
        <v>8.6</v>
      </c>
    </row>
    <row r="4306" spans="4:7">
      <c r="D4306" s="200" t="s">
        <v>4750</v>
      </c>
      <c r="E4306" s="10">
        <v>34519</v>
      </c>
      <c r="F4306" s="201">
        <v>-11.7</v>
      </c>
      <c r="G4306" s="201">
        <v>8.4</v>
      </c>
    </row>
    <row r="4307" spans="4:7">
      <c r="D4307" s="200" t="s">
        <v>4751</v>
      </c>
      <c r="E4307" s="10">
        <v>34599</v>
      </c>
      <c r="F4307" s="201">
        <v>-11.7</v>
      </c>
      <c r="G4307" s="201">
        <v>9.1</v>
      </c>
    </row>
    <row r="4308" spans="4:7">
      <c r="D4308" s="200" t="s">
        <v>4752</v>
      </c>
      <c r="E4308" s="10">
        <v>35119</v>
      </c>
      <c r="F4308" s="201">
        <v>-11.7</v>
      </c>
      <c r="G4308" s="201">
        <v>8.6</v>
      </c>
    </row>
    <row r="4309" spans="4:7">
      <c r="D4309" s="200" t="s">
        <v>4753</v>
      </c>
      <c r="E4309" s="10">
        <v>35288</v>
      </c>
      <c r="F4309" s="201">
        <v>-11.7</v>
      </c>
      <c r="G4309" s="201">
        <v>9.1</v>
      </c>
    </row>
    <row r="4310" spans="4:7">
      <c r="D4310" s="200" t="s">
        <v>4754</v>
      </c>
      <c r="E4310" s="10">
        <v>35329</v>
      </c>
      <c r="F4310" s="201">
        <v>-11.7</v>
      </c>
      <c r="G4310" s="201">
        <v>8.9</v>
      </c>
    </row>
    <row r="4311" spans="4:7">
      <c r="D4311" s="200" t="s">
        <v>4755</v>
      </c>
      <c r="E4311" s="10">
        <v>36304</v>
      </c>
      <c r="F4311" s="201">
        <v>-11.7</v>
      </c>
      <c r="G4311" s="201">
        <v>8.9</v>
      </c>
    </row>
    <row r="4312" spans="4:7">
      <c r="D4312" s="200" t="s">
        <v>4756</v>
      </c>
      <c r="E4312" s="10">
        <v>36326</v>
      </c>
      <c r="F4312" s="201">
        <v>-11.7</v>
      </c>
      <c r="G4312" s="201">
        <v>9</v>
      </c>
    </row>
    <row r="4313" spans="4:7">
      <c r="D4313" s="200" t="s">
        <v>4757</v>
      </c>
      <c r="E4313" s="10">
        <v>37154</v>
      </c>
      <c r="F4313" s="201">
        <v>-11.7</v>
      </c>
      <c r="G4313" s="201">
        <v>9.4</v>
      </c>
    </row>
    <row r="4314" spans="4:7">
      <c r="D4314" s="200" t="s">
        <v>4758</v>
      </c>
      <c r="E4314" s="10">
        <v>37170</v>
      </c>
      <c r="F4314" s="201">
        <v>-11.7</v>
      </c>
      <c r="G4314" s="201">
        <v>9.1</v>
      </c>
    </row>
    <row r="4315" spans="4:7">
      <c r="D4315" s="200" t="s">
        <v>4512</v>
      </c>
      <c r="E4315" s="10">
        <v>37218</v>
      </c>
      <c r="F4315" s="201">
        <v>-11.7</v>
      </c>
      <c r="G4315" s="201">
        <v>9</v>
      </c>
    </row>
    <row r="4316" spans="4:7">
      <c r="D4316" s="200" t="s">
        <v>4759</v>
      </c>
      <c r="E4316" s="10">
        <v>37633</v>
      </c>
      <c r="F4316" s="201">
        <v>-11.7</v>
      </c>
      <c r="G4316" s="201">
        <v>9.4</v>
      </c>
    </row>
    <row r="4317" spans="4:7">
      <c r="D4317" s="200" t="s">
        <v>4760</v>
      </c>
      <c r="E4317" s="10">
        <v>37640</v>
      </c>
      <c r="F4317" s="201">
        <v>-11.7</v>
      </c>
      <c r="G4317" s="201">
        <v>9.1999999999999993</v>
      </c>
    </row>
    <row r="4318" spans="4:7">
      <c r="D4318" s="200" t="s">
        <v>4761</v>
      </c>
      <c r="E4318" s="10">
        <v>38162</v>
      </c>
      <c r="F4318" s="201">
        <v>-11.7</v>
      </c>
      <c r="G4318" s="201">
        <v>9.5</v>
      </c>
    </row>
    <row r="4319" spans="4:7">
      <c r="D4319" s="200" t="s">
        <v>4762</v>
      </c>
      <c r="E4319" s="10">
        <v>38173</v>
      </c>
      <c r="F4319" s="201">
        <v>-11.7</v>
      </c>
      <c r="G4319" s="201">
        <v>9.6</v>
      </c>
    </row>
    <row r="4320" spans="4:7">
      <c r="D4320" s="200" t="s">
        <v>4763</v>
      </c>
      <c r="E4320" s="10">
        <v>38274</v>
      </c>
      <c r="F4320" s="201">
        <v>-11.7</v>
      </c>
      <c r="G4320" s="201">
        <v>9.6</v>
      </c>
    </row>
    <row r="4321" spans="4:7">
      <c r="D4321" s="200" t="s">
        <v>4516</v>
      </c>
      <c r="E4321" s="10">
        <v>38304</v>
      </c>
      <c r="F4321" s="201">
        <v>-11.7</v>
      </c>
      <c r="G4321" s="201">
        <v>9.5</v>
      </c>
    </row>
    <row r="4322" spans="4:7">
      <c r="D4322" s="200" t="s">
        <v>4109</v>
      </c>
      <c r="E4322" s="10">
        <v>38448</v>
      </c>
      <c r="F4322" s="201">
        <v>-11.7</v>
      </c>
      <c r="G4322" s="201">
        <v>9.6</v>
      </c>
    </row>
    <row r="4323" spans="4:7">
      <c r="D4323" s="200" t="s">
        <v>4110</v>
      </c>
      <c r="E4323" s="10">
        <v>39106</v>
      </c>
      <c r="F4323" s="201">
        <v>-11.7</v>
      </c>
      <c r="G4323" s="201">
        <v>10.1</v>
      </c>
    </row>
    <row r="4324" spans="4:7">
      <c r="D4324" s="200" t="s">
        <v>4110</v>
      </c>
      <c r="E4324" s="10">
        <v>39112</v>
      </c>
      <c r="F4324" s="201">
        <v>-11.7</v>
      </c>
      <c r="G4324" s="201">
        <v>10.199999999999999</v>
      </c>
    </row>
    <row r="4325" spans="4:7">
      <c r="D4325" s="200" t="s">
        <v>4764</v>
      </c>
      <c r="E4325" s="10">
        <v>54611</v>
      </c>
      <c r="F4325" s="201">
        <v>-11.7</v>
      </c>
      <c r="G4325" s="201">
        <v>7.8</v>
      </c>
    </row>
    <row r="4326" spans="4:7">
      <c r="D4326" s="200" t="s">
        <v>4765</v>
      </c>
      <c r="E4326" s="10">
        <v>57334</v>
      </c>
      <c r="F4326" s="201">
        <v>-11.7</v>
      </c>
      <c r="G4326" s="201">
        <v>8</v>
      </c>
    </row>
    <row r="4327" spans="4:7">
      <c r="D4327" s="200" t="s">
        <v>4766</v>
      </c>
      <c r="E4327" s="10">
        <v>63857</v>
      </c>
      <c r="F4327" s="201">
        <v>-11.7</v>
      </c>
      <c r="G4327" s="201">
        <v>9</v>
      </c>
    </row>
    <row r="4328" spans="4:7">
      <c r="D4328" s="200" t="s">
        <v>4767</v>
      </c>
      <c r="E4328" s="10">
        <v>63869</v>
      </c>
      <c r="F4328" s="201">
        <v>-11.7</v>
      </c>
      <c r="G4328" s="201">
        <v>8.9</v>
      </c>
    </row>
    <row r="4329" spans="4:7">
      <c r="D4329" s="200" t="s">
        <v>4768</v>
      </c>
      <c r="E4329" s="10">
        <v>63924</v>
      </c>
      <c r="F4329" s="201">
        <v>-11.7</v>
      </c>
      <c r="G4329" s="201">
        <v>9.3000000000000007</v>
      </c>
    </row>
    <row r="4330" spans="4:7">
      <c r="D4330" s="200" t="s">
        <v>4769</v>
      </c>
      <c r="E4330" s="10">
        <v>63927</v>
      </c>
      <c r="F4330" s="201">
        <v>-11.7</v>
      </c>
      <c r="G4330" s="201">
        <v>9.1</v>
      </c>
    </row>
    <row r="4331" spans="4:7">
      <c r="D4331" s="200" t="s">
        <v>4770</v>
      </c>
      <c r="E4331" s="10">
        <v>64743</v>
      </c>
      <c r="F4331" s="201">
        <v>-11.7</v>
      </c>
      <c r="G4331" s="201">
        <v>8.9</v>
      </c>
    </row>
    <row r="4332" spans="4:7">
      <c r="D4332" s="200" t="s">
        <v>4771</v>
      </c>
      <c r="E4332" s="10">
        <v>69518</v>
      </c>
      <c r="F4332" s="201">
        <v>-11.7</v>
      </c>
      <c r="G4332" s="201">
        <v>8.9</v>
      </c>
    </row>
    <row r="4333" spans="4:7">
      <c r="D4333" s="200" t="s">
        <v>4772</v>
      </c>
      <c r="E4333" s="10">
        <v>71093</v>
      </c>
      <c r="F4333" s="201">
        <v>-11.7</v>
      </c>
      <c r="G4333" s="201">
        <v>9.1</v>
      </c>
    </row>
    <row r="4334" spans="4:7">
      <c r="D4334" s="200" t="s">
        <v>4773</v>
      </c>
      <c r="E4334" s="10">
        <v>71106</v>
      </c>
      <c r="F4334" s="201">
        <v>-11.7</v>
      </c>
      <c r="G4334" s="201">
        <v>9.3000000000000007</v>
      </c>
    </row>
    <row r="4335" spans="4:7">
      <c r="D4335" s="200" t="s">
        <v>4774</v>
      </c>
      <c r="E4335" s="10">
        <v>71116</v>
      </c>
      <c r="F4335" s="201">
        <v>-11.7</v>
      </c>
      <c r="G4335" s="201">
        <v>9.3000000000000007</v>
      </c>
    </row>
    <row r="4336" spans="4:7">
      <c r="D4336" s="200" t="s">
        <v>4775</v>
      </c>
      <c r="E4336" s="10">
        <v>71126</v>
      </c>
      <c r="F4336" s="201">
        <v>-11.7</v>
      </c>
      <c r="G4336" s="201">
        <v>9.1999999999999993</v>
      </c>
    </row>
    <row r="4337" spans="4:7">
      <c r="D4337" s="200" t="s">
        <v>4776</v>
      </c>
      <c r="E4337" s="10">
        <v>71144</v>
      </c>
      <c r="F4337" s="201">
        <v>-11.7</v>
      </c>
      <c r="G4337" s="201">
        <v>9.3000000000000007</v>
      </c>
    </row>
    <row r="4338" spans="4:7">
      <c r="D4338" s="200" t="s">
        <v>4777</v>
      </c>
      <c r="E4338" s="10">
        <v>71149</v>
      </c>
      <c r="F4338" s="201">
        <v>-11.7</v>
      </c>
      <c r="G4338" s="201">
        <v>9.3000000000000007</v>
      </c>
    </row>
    <row r="4339" spans="4:7">
      <c r="D4339" s="200" t="s">
        <v>4778</v>
      </c>
      <c r="E4339" s="10">
        <v>71154</v>
      </c>
      <c r="F4339" s="201">
        <v>-11.7</v>
      </c>
      <c r="G4339" s="201">
        <v>9.1999999999999993</v>
      </c>
    </row>
    <row r="4340" spans="4:7">
      <c r="D4340" s="200" t="s">
        <v>4779</v>
      </c>
      <c r="E4340" s="10">
        <v>71254</v>
      </c>
      <c r="F4340" s="201">
        <v>-11.7</v>
      </c>
      <c r="G4340" s="201">
        <v>9.6</v>
      </c>
    </row>
    <row r="4341" spans="4:7">
      <c r="D4341" s="200" t="s">
        <v>4780</v>
      </c>
      <c r="E4341" s="10">
        <v>71287</v>
      </c>
      <c r="F4341" s="201">
        <v>-11.7</v>
      </c>
      <c r="G4341" s="201">
        <v>9.5</v>
      </c>
    </row>
    <row r="4342" spans="4:7">
      <c r="D4342" s="200" t="s">
        <v>4781</v>
      </c>
      <c r="E4342" s="10">
        <v>71296</v>
      </c>
      <c r="F4342" s="201">
        <v>-11.7</v>
      </c>
      <c r="G4342" s="201">
        <v>9.1</v>
      </c>
    </row>
    <row r="4343" spans="4:7">
      <c r="D4343" s="200" t="s">
        <v>4782</v>
      </c>
      <c r="E4343" s="10">
        <v>71579</v>
      </c>
      <c r="F4343" s="201">
        <v>-11.7</v>
      </c>
      <c r="G4343" s="201">
        <v>9.3000000000000007</v>
      </c>
    </row>
    <row r="4344" spans="4:7">
      <c r="D4344" s="200" t="s">
        <v>4783</v>
      </c>
      <c r="E4344" s="10">
        <v>72141</v>
      </c>
      <c r="F4344" s="201">
        <v>-11.7</v>
      </c>
      <c r="G4344" s="201">
        <v>9.3000000000000007</v>
      </c>
    </row>
    <row r="4345" spans="4:7">
      <c r="D4345" s="200" t="s">
        <v>4784</v>
      </c>
      <c r="E4345" s="10">
        <v>72184</v>
      </c>
      <c r="F4345" s="201">
        <v>-11.7</v>
      </c>
      <c r="G4345" s="201">
        <v>9.1999999999999993</v>
      </c>
    </row>
    <row r="4346" spans="4:7">
      <c r="D4346" s="200" t="s">
        <v>4785</v>
      </c>
      <c r="E4346" s="10">
        <v>72202</v>
      </c>
      <c r="F4346" s="201">
        <v>-11.7</v>
      </c>
      <c r="G4346" s="201">
        <v>9.4</v>
      </c>
    </row>
    <row r="4347" spans="4:7">
      <c r="D4347" s="200" t="s">
        <v>4786</v>
      </c>
      <c r="E4347" s="10">
        <v>72218</v>
      </c>
      <c r="F4347" s="201">
        <v>-11.7</v>
      </c>
      <c r="G4347" s="201">
        <v>9.3000000000000007</v>
      </c>
    </row>
    <row r="4348" spans="4:7">
      <c r="D4348" s="200" t="s">
        <v>4787</v>
      </c>
      <c r="E4348" s="10">
        <v>72229</v>
      </c>
      <c r="F4348" s="201">
        <v>-11.7</v>
      </c>
      <c r="G4348" s="201">
        <v>9.4</v>
      </c>
    </row>
    <row r="4349" spans="4:7">
      <c r="D4349" s="200" t="s">
        <v>4788</v>
      </c>
      <c r="E4349" s="10">
        <v>72379</v>
      </c>
      <c r="F4349" s="201">
        <v>-11.7</v>
      </c>
      <c r="G4349" s="201">
        <v>9.1999999999999993</v>
      </c>
    </row>
    <row r="4350" spans="4:7">
      <c r="D4350" s="200" t="s">
        <v>4789</v>
      </c>
      <c r="E4350" s="10">
        <v>72660</v>
      </c>
      <c r="F4350" s="201">
        <v>-11.7</v>
      </c>
      <c r="G4350" s="201">
        <v>9.1999999999999993</v>
      </c>
    </row>
    <row r="4351" spans="4:7">
      <c r="D4351" s="200" t="s">
        <v>4790</v>
      </c>
      <c r="E4351" s="10">
        <v>72793</v>
      </c>
      <c r="F4351" s="201">
        <v>-11.7</v>
      </c>
      <c r="G4351" s="201">
        <v>9.3000000000000007</v>
      </c>
    </row>
    <row r="4352" spans="4:7">
      <c r="D4352" s="200" t="s">
        <v>4791</v>
      </c>
      <c r="E4352" s="10">
        <v>73084</v>
      </c>
      <c r="F4352" s="201">
        <v>-11.7</v>
      </c>
      <c r="G4352" s="201">
        <v>9.3000000000000007</v>
      </c>
    </row>
    <row r="4353" spans="4:7">
      <c r="D4353" s="200" t="s">
        <v>4792</v>
      </c>
      <c r="E4353" s="10">
        <v>73117</v>
      </c>
      <c r="F4353" s="201">
        <v>-11.7</v>
      </c>
      <c r="G4353" s="201">
        <v>9.4</v>
      </c>
    </row>
    <row r="4354" spans="4:7">
      <c r="D4354" s="200" t="s">
        <v>4793</v>
      </c>
      <c r="E4354" s="10">
        <v>73329</v>
      </c>
      <c r="F4354" s="201">
        <v>-11.7</v>
      </c>
      <c r="G4354" s="201">
        <v>9.4</v>
      </c>
    </row>
    <row r="4355" spans="4:7">
      <c r="D4355" s="200" t="s">
        <v>4794</v>
      </c>
      <c r="E4355" s="10">
        <v>73666</v>
      </c>
      <c r="F4355" s="201">
        <v>-11.7</v>
      </c>
      <c r="G4355" s="201">
        <v>9.3000000000000007</v>
      </c>
    </row>
    <row r="4356" spans="4:7">
      <c r="D4356" s="200" t="s">
        <v>4795</v>
      </c>
      <c r="E4356" s="10">
        <v>73669</v>
      </c>
      <c r="F4356" s="201">
        <v>-11.7</v>
      </c>
      <c r="G4356" s="201">
        <v>9.3000000000000007</v>
      </c>
    </row>
    <row r="4357" spans="4:7">
      <c r="D4357" s="200" t="s">
        <v>3739</v>
      </c>
      <c r="E4357" s="10">
        <v>75180</v>
      </c>
      <c r="F4357" s="201">
        <v>-11.7</v>
      </c>
      <c r="G4357" s="201">
        <v>9.1999999999999993</v>
      </c>
    </row>
    <row r="4358" spans="4:7">
      <c r="D4358" s="200" t="s">
        <v>4796</v>
      </c>
      <c r="E4358" s="10">
        <v>75233</v>
      </c>
      <c r="F4358" s="201">
        <v>-11.7</v>
      </c>
      <c r="G4358" s="201">
        <v>9.1999999999999993</v>
      </c>
    </row>
    <row r="4359" spans="4:7">
      <c r="D4359" s="200" t="s">
        <v>4797</v>
      </c>
      <c r="E4359" s="10">
        <v>75378</v>
      </c>
      <c r="F4359" s="201">
        <v>-11.7</v>
      </c>
      <c r="G4359" s="201">
        <v>9.1</v>
      </c>
    </row>
    <row r="4360" spans="4:7">
      <c r="D4360" s="200" t="s">
        <v>4798</v>
      </c>
      <c r="E4360" s="10">
        <v>75443</v>
      </c>
      <c r="F4360" s="201">
        <v>-11.7</v>
      </c>
      <c r="G4360" s="201">
        <v>9.6999999999999993</v>
      </c>
    </row>
    <row r="4361" spans="4:7">
      <c r="D4361" s="200" t="s">
        <v>4799</v>
      </c>
      <c r="E4361" s="10">
        <v>75447</v>
      </c>
      <c r="F4361" s="201">
        <v>-11.7</v>
      </c>
      <c r="G4361" s="201">
        <v>9.4</v>
      </c>
    </row>
    <row r="4362" spans="4:7">
      <c r="D4362" s="200" t="s">
        <v>4800</v>
      </c>
      <c r="E4362" s="10">
        <v>78355</v>
      </c>
      <c r="F4362" s="201">
        <v>-11.7</v>
      </c>
      <c r="G4362" s="201">
        <v>8.5</v>
      </c>
    </row>
    <row r="4363" spans="4:7">
      <c r="D4363" s="200" t="s">
        <v>4801</v>
      </c>
      <c r="E4363" s="10">
        <v>78727</v>
      </c>
      <c r="F4363" s="201">
        <v>-11.7</v>
      </c>
      <c r="G4363" s="201">
        <v>9.1</v>
      </c>
    </row>
    <row r="4364" spans="4:7">
      <c r="D4364" s="200" t="s">
        <v>4802</v>
      </c>
      <c r="E4364" s="10">
        <v>97222</v>
      </c>
      <c r="F4364" s="201">
        <v>-11.7</v>
      </c>
      <c r="G4364" s="201">
        <v>9.1999999999999993</v>
      </c>
    </row>
    <row r="4365" spans="4:7">
      <c r="D4365" s="200" t="s">
        <v>4803</v>
      </c>
      <c r="E4365" s="10">
        <v>97283</v>
      </c>
      <c r="F4365" s="201">
        <v>-11.7</v>
      </c>
      <c r="G4365" s="201">
        <v>9.4</v>
      </c>
    </row>
    <row r="4366" spans="4:7">
      <c r="D4366" s="200" t="s">
        <v>4804</v>
      </c>
      <c r="E4366" s="10">
        <v>97491</v>
      </c>
      <c r="F4366" s="201">
        <v>-11.7</v>
      </c>
      <c r="G4366" s="201">
        <v>9</v>
      </c>
    </row>
    <row r="4367" spans="4:7">
      <c r="D4367" s="200" t="s">
        <v>4805</v>
      </c>
      <c r="E4367" s="10">
        <v>97497</v>
      </c>
      <c r="F4367" s="201">
        <v>-11.7</v>
      </c>
      <c r="G4367" s="201">
        <v>9.4</v>
      </c>
    </row>
    <row r="4368" spans="4:7">
      <c r="D4368" s="200" t="s">
        <v>4806</v>
      </c>
      <c r="E4368" s="10">
        <v>97508</v>
      </c>
      <c r="F4368" s="201">
        <v>-11.7</v>
      </c>
      <c r="G4368" s="201">
        <v>9.4</v>
      </c>
    </row>
    <row r="4369" spans="4:7">
      <c r="D4369" s="200" t="s">
        <v>4807</v>
      </c>
      <c r="E4369" s="10">
        <v>97532</v>
      </c>
      <c r="F4369" s="201">
        <v>-11.7</v>
      </c>
      <c r="G4369" s="201">
        <v>8.6999999999999993</v>
      </c>
    </row>
    <row r="4370" spans="4:7">
      <c r="D4370" s="200" t="s">
        <v>4808</v>
      </c>
      <c r="E4370" s="10">
        <v>97702</v>
      </c>
      <c r="F4370" s="201">
        <v>-11.7</v>
      </c>
      <c r="G4370" s="201">
        <v>8.6999999999999993</v>
      </c>
    </row>
    <row r="4371" spans="4:7">
      <c r="D4371" s="200" t="s">
        <v>4809</v>
      </c>
      <c r="E4371" s="10">
        <v>97797</v>
      </c>
      <c r="F4371" s="201">
        <v>-11.7</v>
      </c>
      <c r="G4371" s="201">
        <v>8.6999999999999993</v>
      </c>
    </row>
    <row r="4372" spans="4:7">
      <c r="D4372" s="200" t="s">
        <v>4810</v>
      </c>
      <c r="E4372" s="10">
        <v>97999</v>
      </c>
      <c r="F4372" s="201">
        <v>-11.7</v>
      </c>
      <c r="G4372" s="201">
        <v>9.5</v>
      </c>
    </row>
    <row r="4373" spans="4:7">
      <c r="D4373" s="200" t="s">
        <v>4266</v>
      </c>
      <c r="E4373" s="10">
        <v>10243</v>
      </c>
      <c r="F4373" s="201">
        <v>-11.8</v>
      </c>
      <c r="G4373" s="201">
        <v>10.4</v>
      </c>
    </row>
    <row r="4374" spans="4:7">
      <c r="D4374" s="200" t="s">
        <v>4266</v>
      </c>
      <c r="E4374" s="10">
        <v>10249</v>
      </c>
      <c r="F4374" s="201">
        <v>-11.8</v>
      </c>
      <c r="G4374" s="201">
        <v>10.4</v>
      </c>
    </row>
    <row r="4375" spans="4:7">
      <c r="D4375" s="200" t="s">
        <v>4170</v>
      </c>
      <c r="E4375" s="10">
        <v>10407</v>
      </c>
      <c r="F4375" s="201">
        <v>-11.8</v>
      </c>
      <c r="G4375" s="201">
        <v>10.3</v>
      </c>
    </row>
    <row r="4376" spans="4:7">
      <c r="D4376" s="200" t="s">
        <v>4171</v>
      </c>
      <c r="E4376" s="10">
        <v>10553</v>
      </c>
      <c r="F4376" s="201">
        <v>-11.8</v>
      </c>
      <c r="G4376" s="201">
        <v>10.3</v>
      </c>
    </row>
    <row r="4377" spans="4:7">
      <c r="D4377" s="200" t="s">
        <v>4171</v>
      </c>
      <c r="E4377" s="10">
        <v>10555</v>
      </c>
      <c r="F4377" s="201">
        <v>-11.8</v>
      </c>
      <c r="G4377" s="201">
        <v>10.4</v>
      </c>
    </row>
    <row r="4378" spans="4:7">
      <c r="D4378" s="200" t="s">
        <v>4171</v>
      </c>
      <c r="E4378" s="10">
        <v>10557</v>
      </c>
      <c r="F4378" s="201">
        <v>-11.8</v>
      </c>
      <c r="G4378" s="201">
        <v>10.4</v>
      </c>
    </row>
    <row r="4379" spans="4:7">
      <c r="D4379" s="200" t="s">
        <v>4056</v>
      </c>
      <c r="E4379" s="10">
        <v>10587</v>
      </c>
      <c r="F4379" s="201">
        <v>-11.8</v>
      </c>
      <c r="G4379" s="201">
        <v>10.3</v>
      </c>
    </row>
    <row r="4380" spans="4:7">
      <c r="D4380" s="200" t="s">
        <v>4056</v>
      </c>
      <c r="E4380" s="10">
        <v>10589</v>
      </c>
      <c r="F4380" s="201">
        <v>-11.8</v>
      </c>
      <c r="G4380" s="201">
        <v>10.3</v>
      </c>
    </row>
    <row r="4381" spans="4:7">
      <c r="D4381" s="200" t="s">
        <v>4267</v>
      </c>
      <c r="E4381" s="10">
        <v>10709</v>
      </c>
      <c r="F4381" s="201">
        <v>-11.8</v>
      </c>
      <c r="G4381" s="201">
        <v>10.199999999999999</v>
      </c>
    </row>
    <row r="4382" spans="4:7">
      <c r="D4382" s="200" t="s">
        <v>4267</v>
      </c>
      <c r="E4382" s="10">
        <v>10717</v>
      </c>
      <c r="F4382" s="201">
        <v>-11.8</v>
      </c>
      <c r="G4382" s="201">
        <v>10.3</v>
      </c>
    </row>
    <row r="4383" spans="4:7">
      <c r="D4383" s="200" t="s">
        <v>4268</v>
      </c>
      <c r="E4383" s="10">
        <v>10779</v>
      </c>
      <c r="F4383" s="201">
        <v>-11.8</v>
      </c>
      <c r="G4383" s="201">
        <v>10.3</v>
      </c>
    </row>
    <row r="4384" spans="4:7">
      <c r="D4384" s="200" t="s">
        <v>4811</v>
      </c>
      <c r="E4384" s="10">
        <v>10785</v>
      </c>
      <c r="F4384" s="201">
        <v>-11.8</v>
      </c>
      <c r="G4384" s="201">
        <v>10.4</v>
      </c>
    </row>
    <row r="4385" spans="4:7">
      <c r="D4385" s="200" t="s">
        <v>4811</v>
      </c>
      <c r="E4385" s="10">
        <v>10787</v>
      </c>
      <c r="F4385" s="201">
        <v>-11.8</v>
      </c>
      <c r="G4385" s="201">
        <v>10.3</v>
      </c>
    </row>
    <row r="4386" spans="4:7">
      <c r="D4386" s="200" t="s">
        <v>4812</v>
      </c>
      <c r="E4386" s="10">
        <v>10823</v>
      </c>
      <c r="F4386" s="201">
        <v>-11.8</v>
      </c>
      <c r="G4386" s="201">
        <v>10.3</v>
      </c>
    </row>
    <row r="4387" spans="4:7">
      <c r="D4387" s="200" t="s">
        <v>4058</v>
      </c>
      <c r="E4387" s="10">
        <v>10969</v>
      </c>
      <c r="F4387" s="201">
        <v>-11.8</v>
      </c>
      <c r="G4387" s="201">
        <v>10.4</v>
      </c>
    </row>
    <row r="4388" spans="4:7">
      <c r="D4388" s="200" t="s">
        <v>4058</v>
      </c>
      <c r="E4388" s="10">
        <v>10997</v>
      </c>
      <c r="F4388" s="201">
        <v>-11.8</v>
      </c>
      <c r="G4388" s="201">
        <v>10.3</v>
      </c>
    </row>
    <row r="4389" spans="4:7">
      <c r="D4389" s="200" t="s">
        <v>4057</v>
      </c>
      <c r="E4389" s="10">
        <v>12049</v>
      </c>
      <c r="F4389" s="201">
        <v>-11.8</v>
      </c>
      <c r="G4389" s="201">
        <v>10.3</v>
      </c>
    </row>
    <row r="4390" spans="4:7">
      <c r="D4390" s="200" t="s">
        <v>4813</v>
      </c>
      <c r="E4390" s="10">
        <v>13187</v>
      </c>
      <c r="F4390" s="201">
        <v>-11.8</v>
      </c>
      <c r="G4390" s="201">
        <v>10.3</v>
      </c>
    </row>
    <row r="4391" spans="4:7">
      <c r="D4391" s="200" t="s">
        <v>4269</v>
      </c>
      <c r="E4391" s="10">
        <v>13355</v>
      </c>
      <c r="F4391" s="201">
        <v>-11.8</v>
      </c>
      <c r="G4391" s="201">
        <v>10.4</v>
      </c>
    </row>
    <row r="4392" spans="4:7">
      <c r="D4392" s="200" t="s">
        <v>4812</v>
      </c>
      <c r="E4392" s="10">
        <v>13407</v>
      </c>
      <c r="F4392" s="201">
        <v>-11.8</v>
      </c>
      <c r="G4392" s="201">
        <v>10.4</v>
      </c>
    </row>
    <row r="4393" spans="4:7">
      <c r="D4393" s="200" t="s">
        <v>4812</v>
      </c>
      <c r="E4393" s="10">
        <v>13409</v>
      </c>
      <c r="F4393" s="201">
        <v>-11.8</v>
      </c>
      <c r="G4393" s="201">
        <v>10.3</v>
      </c>
    </row>
    <row r="4394" spans="4:7">
      <c r="D4394" s="200" t="s">
        <v>4056</v>
      </c>
      <c r="E4394" s="10">
        <v>14059</v>
      </c>
      <c r="F4394" s="201">
        <v>-11.8</v>
      </c>
      <c r="G4394" s="201">
        <v>10.199999999999999</v>
      </c>
    </row>
    <row r="4395" spans="4:7">
      <c r="D4395" s="200" t="s">
        <v>4814</v>
      </c>
      <c r="E4395" s="10">
        <v>17121</v>
      </c>
      <c r="F4395" s="201">
        <v>-11.8</v>
      </c>
      <c r="G4395" s="201">
        <v>9</v>
      </c>
    </row>
    <row r="4396" spans="4:7">
      <c r="D4396" s="200" t="s">
        <v>4815</v>
      </c>
      <c r="E4396" s="10">
        <v>17419</v>
      </c>
      <c r="F4396" s="201">
        <v>-11.8</v>
      </c>
      <c r="G4396" s="201">
        <v>9</v>
      </c>
    </row>
    <row r="4397" spans="4:7">
      <c r="D4397" s="200" t="s">
        <v>4816</v>
      </c>
      <c r="E4397" s="10">
        <v>17429</v>
      </c>
      <c r="F4397" s="201">
        <v>-11.8</v>
      </c>
      <c r="G4397" s="201">
        <v>8.8000000000000007</v>
      </c>
    </row>
    <row r="4398" spans="4:7">
      <c r="D4398" s="200" t="s">
        <v>4485</v>
      </c>
      <c r="E4398" s="10">
        <v>17493</v>
      </c>
      <c r="F4398" s="201">
        <v>-11.8</v>
      </c>
      <c r="G4398" s="201">
        <v>9</v>
      </c>
    </row>
    <row r="4399" spans="4:7">
      <c r="D4399" s="200" t="s">
        <v>4817</v>
      </c>
      <c r="E4399" s="10">
        <v>18059</v>
      </c>
      <c r="F4399" s="201">
        <v>-11.8</v>
      </c>
      <c r="G4399" s="201">
        <v>9</v>
      </c>
    </row>
    <row r="4400" spans="4:7">
      <c r="D4400" s="200" t="s">
        <v>4818</v>
      </c>
      <c r="E4400" s="10">
        <v>18246</v>
      </c>
      <c r="F4400" s="201">
        <v>-11.8</v>
      </c>
      <c r="G4400" s="201">
        <v>9</v>
      </c>
    </row>
    <row r="4401" spans="4:7">
      <c r="D4401" s="200" t="s">
        <v>4819</v>
      </c>
      <c r="E4401" s="10">
        <v>18249</v>
      </c>
      <c r="F4401" s="201">
        <v>-11.8</v>
      </c>
      <c r="G4401" s="201">
        <v>9.1999999999999993</v>
      </c>
    </row>
    <row r="4402" spans="4:7" ht="30">
      <c r="D4402" s="200" t="s">
        <v>4820</v>
      </c>
      <c r="E4402" s="10">
        <v>18320</v>
      </c>
      <c r="F4402" s="201">
        <v>-11.8</v>
      </c>
      <c r="G4402" s="201">
        <v>8.8000000000000007</v>
      </c>
    </row>
    <row r="4403" spans="4:7">
      <c r="D4403" s="200" t="s">
        <v>4821</v>
      </c>
      <c r="E4403" s="10">
        <v>18465</v>
      </c>
      <c r="F4403" s="201">
        <v>-11.8</v>
      </c>
      <c r="G4403" s="201">
        <v>8.9</v>
      </c>
    </row>
    <row r="4404" spans="4:7">
      <c r="D4404" s="200" t="s">
        <v>4822</v>
      </c>
      <c r="E4404" s="10">
        <v>18469</v>
      </c>
      <c r="F4404" s="201">
        <v>-11.8</v>
      </c>
      <c r="G4404" s="201">
        <v>8.8000000000000007</v>
      </c>
    </row>
    <row r="4405" spans="4:7">
      <c r="D4405" s="200" t="s">
        <v>4823</v>
      </c>
      <c r="E4405" s="10">
        <v>18513</v>
      </c>
      <c r="F4405" s="201">
        <v>-11.8</v>
      </c>
      <c r="G4405" s="201">
        <v>9</v>
      </c>
    </row>
    <row r="4406" spans="4:7">
      <c r="D4406" s="200" t="s">
        <v>4824</v>
      </c>
      <c r="E4406" s="10">
        <v>19089</v>
      </c>
      <c r="F4406" s="201">
        <v>-11.8</v>
      </c>
      <c r="G4406" s="201">
        <v>9</v>
      </c>
    </row>
    <row r="4407" spans="4:7">
      <c r="D4407" s="200" t="s">
        <v>4825</v>
      </c>
      <c r="E4407" s="10">
        <v>19288</v>
      </c>
      <c r="F4407" s="201">
        <v>-11.8</v>
      </c>
      <c r="G4407" s="201">
        <v>9.4</v>
      </c>
    </row>
    <row r="4408" spans="4:7">
      <c r="D4408" s="200" t="s">
        <v>4826</v>
      </c>
      <c r="E4408" s="10">
        <v>19294</v>
      </c>
      <c r="F4408" s="201">
        <v>-11.8</v>
      </c>
      <c r="G4408" s="201">
        <v>9.4</v>
      </c>
    </row>
    <row r="4409" spans="4:7">
      <c r="D4409" s="200" t="s">
        <v>4602</v>
      </c>
      <c r="E4409" s="10">
        <v>29378</v>
      </c>
      <c r="F4409" s="201">
        <v>-11.8</v>
      </c>
      <c r="G4409" s="201">
        <v>9.3000000000000007</v>
      </c>
    </row>
    <row r="4410" spans="4:7">
      <c r="D4410" s="200" t="s">
        <v>4827</v>
      </c>
      <c r="E4410" s="10">
        <v>29389</v>
      </c>
      <c r="F4410" s="201">
        <v>-11.8</v>
      </c>
      <c r="G4410" s="201">
        <v>9.3000000000000007</v>
      </c>
    </row>
    <row r="4411" spans="4:7">
      <c r="D4411" s="200" t="s">
        <v>4828</v>
      </c>
      <c r="E4411" s="10">
        <v>29394</v>
      </c>
      <c r="F4411" s="201">
        <v>-11.8</v>
      </c>
      <c r="G4411" s="201">
        <v>9.3000000000000007</v>
      </c>
    </row>
    <row r="4412" spans="4:7">
      <c r="D4412" s="200" t="s">
        <v>4829</v>
      </c>
      <c r="E4412" s="10">
        <v>29413</v>
      </c>
      <c r="F4412" s="201">
        <v>-11.8</v>
      </c>
      <c r="G4412" s="201">
        <v>9.3000000000000007</v>
      </c>
    </row>
    <row r="4413" spans="4:7">
      <c r="D4413" s="200" t="s">
        <v>4830</v>
      </c>
      <c r="E4413" s="10">
        <v>29416</v>
      </c>
      <c r="F4413" s="201">
        <v>-11.8</v>
      </c>
      <c r="G4413" s="201">
        <v>9.3000000000000007</v>
      </c>
    </row>
    <row r="4414" spans="4:7">
      <c r="D4414" s="200" t="s">
        <v>4831</v>
      </c>
      <c r="E4414" s="10">
        <v>29459</v>
      </c>
      <c r="F4414" s="201">
        <v>-11.8</v>
      </c>
      <c r="G4414" s="201">
        <v>9.3000000000000007</v>
      </c>
    </row>
    <row r="4415" spans="4:7">
      <c r="D4415" s="200" t="s">
        <v>4832</v>
      </c>
      <c r="E4415" s="10">
        <v>29465</v>
      </c>
      <c r="F4415" s="201">
        <v>-11.8</v>
      </c>
      <c r="G4415" s="201">
        <v>9.3000000000000007</v>
      </c>
    </row>
    <row r="4416" spans="4:7">
      <c r="D4416" s="200" t="s">
        <v>4115</v>
      </c>
      <c r="E4416" s="10">
        <v>29468</v>
      </c>
      <c r="F4416" s="201">
        <v>-11.8</v>
      </c>
      <c r="G4416" s="201">
        <v>9.3000000000000007</v>
      </c>
    </row>
    <row r="4417" spans="4:7">
      <c r="D4417" s="200" t="s">
        <v>4833</v>
      </c>
      <c r="E4417" s="10">
        <v>29485</v>
      </c>
      <c r="F4417" s="201">
        <v>-11.8</v>
      </c>
      <c r="G4417" s="201">
        <v>9.4</v>
      </c>
    </row>
    <row r="4418" spans="4:7">
      <c r="D4418" s="200" t="s">
        <v>4834</v>
      </c>
      <c r="E4418" s="10">
        <v>29491</v>
      </c>
      <c r="F4418" s="201">
        <v>-11.8</v>
      </c>
      <c r="G4418" s="201">
        <v>9.4</v>
      </c>
    </row>
    <row r="4419" spans="4:7">
      <c r="D4419" s="200" t="s">
        <v>4835</v>
      </c>
      <c r="E4419" s="10">
        <v>29494</v>
      </c>
      <c r="F4419" s="201">
        <v>-11.8</v>
      </c>
      <c r="G4419" s="201">
        <v>9.4</v>
      </c>
    </row>
    <row r="4420" spans="4:7">
      <c r="D4420" s="200" t="s">
        <v>4836</v>
      </c>
      <c r="E4420" s="10">
        <v>29559</v>
      </c>
      <c r="F4420" s="201">
        <v>-11.8</v>
      </c>
      <c r="G4420" s="201">
        <v>9.1</v>
      </c>
    </row>
    <row r="4421" spans="4:7">
      <c r="D4421" s="200" t="s">
        <v>4837</v>
      </c>
      <c r="E4421" s="10">
        <v>29562</v>
      </c>
      <c r="F4421" s="201">
        <v>-11.8</v>
      </c>
      <c r="G4421" s="201">
        <v>9.1999999999999993</v>
      </c>
    </row>
    <row r="4422" spans="4:7">
      <c r="D4422" s="200" t="s">
        <v>4838</v>
      </c>
      <c r="E4422" s="10">
        <v>29565</v>
      </c>
      <c r="F4422" s="201">
        <v>-11.8</v>
      </c>
      <c r="G4422" s="201">
        <v>9</v>
      </c>
    </row>
    <row r="4423" spans="4:7">
      <c r="D4423" s="200" t="s">
        <v>4839</v>
      </c>
      <c r="E4423" s="10">
        <v>29579</v>
      </c>
      <c r="F4423" s="201">
        <v>-11.8</v>
      </c>
      <c r="G4423" s="201">
        <v>9.3000000000000007</v>
      </c>
    </row>
    <row r="4424" spans="4:7">
      <c r="D4424" s="200" t="s">
        <v>4840</v>
      </c>
      <c r="E4424" s="10">
        <v>29587</v>
      </c>
      <c r="F4424" s="201">
        <v>-11.8</v>
      </c>
      <c r="G4424" s="201">
        <v>9.1</v>
      </c>
    </row>
    <row r="4425" spans="4:7">
      <c r="D4425" s="200" t="s">
        <v>4841</v>
      </c>
      <c r="E4425" s="10">
        <v>29588</v>
      </c>
      <c r="F4425" s="201">
        <v>-11.8</v>
      </c>
      <c r="G4425" s="201">
        <v>9.3000000000000007</v>
      </c>
    </row>
    <row r="4426" spans="4:7">
      <c r="D4426" s="200" t="s">
        <v>4842</v>
      </c>
      <c r="E4426" s="10">
        <v>31084</v>
      </c>
      <c r="F4426" s="201">
        <v>-11.8</v>
      </c>
      <c r="G4426" s="201">
        <v>9.4</v>
      </c>
    </row>
    <row r="4427" spans="4:7">
      <c r="D4427" s="200" t="s">
        <v>4843</v>
      </c>
      <c r="E4427" s="10">
        <v>31093</v>
      </c>
      <c r="F4427" s="201">
        <v>-11.8</v>
      </c>
      <c r="G4427" s="201">
        <v>9.3000000000000007</v>
      </c>
    </row>
    <row r="4428" spans="4:7">
      <c r="D4428" s="200" t="s">
        <v>4844</v>
      </c>
      <c r="E4428" s="10">
        <v>31094</v>
      </c>
      <c r="F4428" s="201">
        <v>-11.8</v>
      </c>
      <c r="G4428" s="201">
        <v>8.6999999999999993</v>
      </c>
    </row>
    <row r="4429" spans="4:7">
      <c r="D4429" s="200" t="s">
        <v>4845</v>
      </c>
      <c r="E4429" s="10">
        <v>34281</v>
      </c>
      <c r="F4429" s="201">
        <v>-11.8</v>
      </c>
      <c r="G4429" s="201">
        <v>9.1</v>
      </c>
    </row>
    <row r="4430" spans="4:7">
      <c r="D4430" s="200" t="s">
        <v>4846</v>
      </c>
      <c r="E4430" s="10">
        <v>34302</v>
      </c>
      <c r="F4430" s="201">
        <v>-11.8</v>
      </c>
      <c r="G4430" s="201">
        <v>8.9</v>
      </c>
    </row>
    <row r="4431" spans="4:7">
      <c r="D4431" s="200" t="s">
        <v>4319</v>
      </c>
      <c r="E4431" s="10">
        <v>34355</v>
      </c>
      <c r="F4431" s="201">
        <v>-11.8</v>
      </c>
      <c r="G4431" s="201">
        <v>8.8000000000000007</v>
      </c>
    </row>
    <row r="4432" spans="4:7">
      <c r="D4432" s="200" t="s">
        <v>1805</v>
      </c>
      <c r="E4432" s="10">
        <v>34582</v>
      </c>
      <c r="F4432" s="201">
        <v>-11.8</v>
      </c>
      <c r="G4432" s="201">
        <v>9.4</v>
      </c>
    </row>
    <row r="4433" spans="4:7">
      <c r="D4433" s="200" t="s">
        <v>4847</v>
      </c>
      <c r="E4433" s="10">
        <v>34587</v>
      </c>
      <c r="F4433" s="201">
        <v>-11.8</v>
      </c>
      <c r="G4433" s="201">
        <v>9.4</v>
      </c>
    </row>
    <row r="4434" spans="4:7">
      <c r="D4434" s="200" t="s">
        <v>4848</v>
      </c>
      <c r="E4434" s="10">
        <v>34632</v>
      </c>
      <c r="F4434" s="201">
        <v>-11.8</v>
      </c>
      <c r="G4434" s="201">
        <v>9</v>
      </c>
    </row>
    <row r="4435" spans="4:7">
      <c r="D4435" s="200" t="s">
        <v>4849</v>
      </c>
      <c r="E4435" s="10">
        <v>35099</v>
      </c>
      <c r="F4435" s="201">
        <v>-11.8</v>
      </c>
      <c r="G4435" s="201">
        <v>8.4</v>
      </c>
    </row>
    <row r="4436" spans="4:7">
      <c r="D4436" s="200" t="s">
        <v>4850</v>
      </c>
      <c r="E4436" s="10">
        <v>35110</v>
      </c>
      <c r="F4436" s="201">
        <v>-11.8</v>
      </c>
      <c r="G4436" s="201">
        <v>8.4</v>
      </c>
    </row>
    <row r="4437" spans="4:7">
      <c r="D4437" s="200" t="s">
        <v>4851</v>
      </c>
      <c r="E4437" s="10">
        <v>35260</v>
      </c>
      <c r="F4437" s="201">
        <v>-11.8</v>
      </c>
      <c r="G4437" s="201">
        <v>9</v>
      </c>
    </row>
    <row r="4438" spans="4:7">
      <c r="D4438" s="200" t="s">
        <v>1737</v>
      </c>
      <c r="E4438" s="10">
        <v>35279</v>
      </c>
      <c r="F4438" s="201">
        <v>-11.8</v>
      </c>
      <c r="G4438" s="201">
        <v>9</v>
      </c>
    </row>
    <row r="4439" spans="4:7">
      <c r="D4439" s="200" t="s">
        <v>4852</v>
      </c>
      <c r="E4439" s="10">
        <v>35282</v>
      </c>
      <c r="F4439" s="201">
        <v>-11.8</v>
      </c>
      <c r="G4439" s="201">
        <v>8.9</v>
      </c>
    </row>
    <row r="4440" spans="4:7">
      <c r="D4440" s="200" t="s">
        <v>3473</v>
      </c>
      <c r="E4440" s="10">
        <v>35285</v>
      </c>
      <c r="F4440" s="201">
        <v>-11.8</v>
      </c>
      <c r="G4440" s="201">
        <v>9</v>
      </c>
    </row>
    <row r="4441" spans="4:7">
      <c r="D4441" s="200" t="s">
        <v>4325</v>
      </c>
      <c r="E4441" s="10">
        <v>36043</v>
      </c>
      <c r="F4441" s="201">
        <v>-11.8</v>
      </c>
      <c r="G4441" s="201">
        <v>9.1</v>
      </c>
    </row>
    <row r="4442" spans="4:7">
      <c r="D4442" s="200" t="s">
        <v>4853</v>
      </c>
      <c r="E4442" s="10">
        <v>36211</v>
      </c>
      <c r="F4442" s="201">
        <v>-11.8</v>
      </c>
      <c r="G4442" s="201">
        <v>9.1999999999999993</v>
      </c>
    </row>
    <row r="4443" spans="4:7">
      <c r="D4443" s="200" t="s">
        <v>1803</v>
      </c>
      <c r="E4443" s="10">
        <v>36318</v>
      </c>
      <c r="F4443" s="201">
        <v>-11.8</v>
      </c>
      <c r="G4443" s="201">
        <v>8.8000000000000007</v>
      </c>
    </row>
    <row r="4444" spans="4:7">
      <c r="D4444" s="200" t="s">
        <v>4854</v>
      </c>
      <c r="E4444" s="10">
        <v>36329</v>
      </c>
      <c r="F4444" s="201">
        <v>-11.8</v>
      </c>
      <c r="G4444" s="201">
        <v>8.6999999999999993</v>
      </c>
    </row>
    <row r="4445" spans="4:7">
      <c r="D4445" s="200" t="s">
        <v>4855</v>
      </c>
      <c r="E4445" s="10">
        <v>36341</v>
      </c>
      <c r="F4445" s="201">
        <v>-11.8</v>
      </c>
      <c r="G4445" s="201">
        <v>8.6999999999999993</v>
      </c>
    </row>
    <row r="4446" spans="4:7">
      <c r="D4446" s="200" t="s">
        <v>4856</v>
      </c>
      <c r="E4446" s="10">
        <v>37194</v>
      </c>
      <c r="F4446" s="201">
        <v>-11.8</v>
      </c>
      <c r="G4446" s="201">
        <v>8.9</v>
      </c>
    </row>
    <row r="4447" spans="4:7">
      <c r="D4447" s="200" t="s">
        <v>4857</v>
      </c>
      <c r="E4447" s="10">
        <v>37287</v>
      </c>
      <c r="F4447" s="201">
        <v>-11.8</v>
      </c>
      <c r="G4447" s="201">
        <v>9.3000000000000007</v>
      </c>
    </row>
    <row r="4448" spans="4:7">
      <c r="D4448" s="200" t="s">
        <v>4858</v>
      </c>
      <c r="E4448" s="10">
        <v>37635</v>
      </c>
      <c r="F4448" s="201">
        <v>-11.8</v>
      </c>
      <c r="G4448" s="201">
        <v>9.3000000000000007</v>
      </c>
    </row>
    <row r="4449" spans="4:7">
      <c r="D4449" s="200" t="s">
        <v>4859</v>
      </c>
      <c r="E4449" s="10">
        <v>37642</v>
      </c>
      <c r="F4449" s="201">
        <v>-11.8</v>
      </c>
      <c r="G4449" s="201">
        <v>8.8000000000000007</v>
      </c>
    </row>
    <row r="4450" spans="4:7">
      <c r="D4450" s="200" t="s">
        <v>4860</v>
      </c>
      <c r="E4450" s="10">
        <v>38275</v>
      </c>
      <c r="F4450" s="201">
        <v>-11.8</v>
      </c>
      <c r="G4450" s="201">
        <v>9.4</v>
      </c>
    </row>
    <row r="4451" spans="4:7">
      <c r="D4451" s="200" t="s">
        <v>4861</v>
      </c>
      <c r="E4451" s="10">
        <v>38277</v>
      </c>
      <c r="F4451" s="201">
        <v>-11.8</v>
      </c>
      <c r="G4451" s="201">
        <v>9.4</v>
      </c>
    </row>
    <row r="4452" spans="4:7">
      <c r="D4452" s="200" t="s">
        <v>4862</v>
      </c>
      <c r="E4452" s="10">
        <v>38324</v>
      </c>
      <c r="F4452" s="201">
        <v>-11.8</v>
      </c>
      <c r="G4452" s="201">
        <v>9.6</v>
      </c>
    </row>
    <row r="4453" spans="4:7">
      <c r="D4453" s="200" t="s">
        <v>4109</v>
      </c>
      <c r="E4453" s="10">
        <v>38444</v>
      </c>
      <c r="F4453" s="201">
        <v>-11.8</v>
      </c>
      <c r="G4453" s="201">
        <v>9.5</v>
      </c>
    </row>
    <row r="4454" spans="4:7">
      <c r="D4454" s="200" t="s">
        <v>4109</v>
      </c>
      <c r="E4454" s="10">
        <v>38446</v>
      </c>
      <c r="F4454" s="201">
        <v>-11.8</v>
      </c>
      <c r="G4454" s="201">
        <v>9.5</v>
      </c>
    </row>
    <row r="4455" spans="4:7">
      <c r="D4455" s="200" t="s">
        <v>4863</v>
      </c>
      <c r="E4455" s="10">
        <v>38467</v>
      </c>
      <c r="F4455" s="201">
        <v>-11.8</v>
      </c>
      <c r="G4455" s="201">
        <v>9.5</v>
      </c>
    </row>
    <row r="4456" spans="4:7">
      <c r="D4456" s="200" t="s">
        <v>4864</v>
      </c>
      <c r="E4456" s="10">
        <v>38470</v>
      </c>
      <c r="F4456" s="201">
        <v>-11.8</v>
      </c>
      <c r="G4456" s="201">
        <v>9.5</v>
      </c>
    </row>
    <row r="4457" spans="4:7">
      <c r="D4457" s="200" t="s">
        <v>4865</v>
      </c>
      <c r="E4457" s="10">
        <v>38471</v>
      </c>
      <c r="F4457" s="201">
        <v>-11.8</v>
      </c>
      <c r="G4457" s="201">
        <v>9.6</v>
      </c>
    </row>
    <row r="4458" spans="4:7">
      <c r="D4458" s="200" t="s">
        <v>4866</v>
      </c>
      <c r="E4458" s="10">
        <v>38473</v>
      </c>
      <c r="F4458" s="201">
        <v>-11.8</v>
      </c>
      <c r="G4458" s="201">
        <v>9.6</v>
      </c>
    </row>
    <row r="4459" spans="4:7">
      <c r="D4459" s="200" t="s">
        <v>4867</v>
      </c>
      <c r="E4459" s="10">
        <v>38489</v>
      </c>
      <c r="F4459" s="201">
        <v>-11.8</v>
      </c>
      <c r="G4459" s="201">
        <v>9.4</v>
      </c>
    </row>
    <row r="4460" spans="4:7">
      <c r="D4460" s="200" t="s">
        <v>4110</v>
      </c>
      <c r="E4460" s="10">
        <v>39124</v>
      </c>
      <c r="F4460" s="201">
        <v>-11.8</v>
      </c>
      <c r="G4460" s="201">
        <v>9.9</v>
      </c>
    </row>
    <row r="4461" spans="4:7">
      <c r="D4461" s="200" t="s">
        <v>4868</v>
      </c>
      <c r="E4461" s="10">
        <v>54422</v>
      </c>
      <c r="F4461" s="201">
        <v>-11.8</v>
      </c>
      <c r="G4461" s="201">
        <v>8.1</v>
      </c>
    </row>
    <row r="4462" spans="4:7">
      <c r="D4462" s="200" t="s">
        <v>4869</v>
      </c>
      <c r="E4462" s="10">
        <v>57339</v>
      </c>
      <c r="F4462" s="201">
        <v>-11.8</v>
      </c>
      <c r="G4462" s="201">
        <v>7.8</v>
      </c>
    </row>
    <row r="4463" spans="4:7">
      <c r="D4463" s="200" t="s">
        <v>4870</v>
      </c>
      <c r="E4463" s="10">
        <v>59964</v>
      </c>
      <c r="F4463" s="201">
        <v>-11.8</v>
      </c>
      <c r="G4463" s="201">
        <v>8.1</v>
      </c>
    </row>
    <row r="4464" spans="4:7">
      <c r="D4464" s="200" t="s">
        <v>4871</v>
      </c>
      <c r="E4464" s="10">
        <v>63871</v>
      </c>
      <c r="F4464" s="201">
        <v>-11.8</v>
      </c>
      <c r="G4464" s="201">
        <v>8.6999999999999993</v>
      </c>
    </row>
    <row r="4465" spans="4:7">
      <c r="D4465" s="200" t="s">
        <v>4872</v>
      </c>
      <c r="E4465" s="10">
        <v>63879</v>
      </c>
      <c r="F4465" s="201">
        <v>-11.8</v>
      </c>
      <c r="G4465" s="201">
        <v>9</v>
      </c>
    </row>
    <row r="4466" spans="4:7">
      <c r="D4466" s="200" t="s">
        <v>4873</v>
      </c>
      <c r="E4466" s="10">
        <v>63936</v>
      </c>
      <c r="F4466" s="201">
        <v>-11.8</v>
      </c>
      <c r="G4466" s="201">
        <v>8.9</v>
      </c>
    </row>
    <row r="4467" spans="4:7">
      <c r="D4467" s="200" t="s">
        <v>4874</v>
      </c>
      <c r="E4467" s="10">
        <v>64678</v>
      </c>
      <c r="F4467" s="201">
        <v>-11.8</v>
      </c>
      <c r="G4467" s="201">
        <v>8.6999999999999993</v>
      </c>
    </row>
    <row r="4468" spans="4:7">
      <c r="D4468" s="200" t="s">
        <v>4875</v>
      </c>
      <c r="E4468" s="10">
        <v>64689</v>
      </c>
      <c r="F4468" s="201">
        <v>-11.8</v>
      </c>
      <c r="G4468" s="201">
        <v>8.6999999999999993</v>
      </c>
    </row>
    <row r="4469" spans="4:7">
      <c r="D4469" s="200" t="s">
        <v>3098</v>
      </c>
      <c r="E4469" s="10">
        <v>69117</v>
      </c>
      <c r="F4469" s="201">
        <v>-11.8</v>
      </c>
      <c r="G4469" s="201">
        <v>8.8000000000000007</v>
      </c>
    </row>
    <row r="4470" spans="4:7">
      <c r="D4470" s="200" t="s">
        <v>2307</v>
      </c>
      <c r="E4470" s="10">
        <v>70197</v>
      </c>
      <c r="F4470" s="201">
        <v>-11.8</v>
      </c>
      <c r="G4470" s="201">
        <v>9.1999999999999993</v>
      </c>
    </row>
    <row r="4471" spans="4:7">
      <c r="D4471" s="200" t="s">
        <v>4876</v>
      </c>
      <c r="E4471" s="10">
        <v>70839</v>
      </c>
      <c r="F4471" s="201">
        <v>-11.8</v>
      </c>
      <c r="G4471" s="201">
        <v>9.1</v>
      </c>
    </row>
    <row r="4472" spans="4:7">
      <c r="D4472" s="200" t="s">
        <v>4134</v>
      </c>
      <c r="E4472" s="10">
        <v>71067</v>
      </c>
      <c r="F4472" s="201">
        <v>-11.8</v>
      </c>
      <c r="G4472" s="201">
        <v>9.1999999999999993</v>
      </c>
    </row>
    <row r="4473" spans="4:7">
      <c r="D4473" s="200" t="s">
        <v>4134</v>
      </c>
      <c r="E4473" s="10">
        <v>71069</v>
      </c>
      <c r="F4473" s="201">
        <v>-11.8</v>
      </c>
      <c r="G4473" s="201">
        <v>9.1</v>
      </c>
    </row>
    <row r="4474" spans="4:7">
      <c r="D4474" s="200" t="s">
        <v>4877</v>
      </c>
      <c r="E4474" s="10">
        <v>71134</v>
      </c>
      <c r="F4474" s="201">
        <v>-11.8</v>
      </c>
      <c r="G4474" s="201">
        <v>9.1</v>
      </c>
    </row>
    <row r="4475" spans="4:7">
      <c r="D4475" s="200" t="s">
        <v>4878</v>
      </c>
      <c r="E4475" s="10">
        <v>71292</v>
      </c>
      <c r="F4475" s="201">
        <v>-11.8</v>
      </c>
      <c r="G4475" s="201">
        <v>9.1</v>
      </c>
    </row>
    <row r="4476" spans="4:7">
      <c r="D4476" s="200" t="s">
        <v>4879</v>
      </c>
      <c r="E4476" s="10">
        <v>72131</v>
      </c>
      <c r="F4476" s="201">
        <v>-11.8</v>
      </c>
      <c r="G4476" s="201">
        <v>9.1999999999999993</v>
      </c>
    </row>
    <row r="4477" spans="4:7">
      <c r="D4477" s="200" t="s">
        <v>4880</v>
      </c>
      <c r="E4477" s="10">
        <v>72293</v>
      </c>
      <c r="F4477" s="201">
        <v>-11.8</v>
      </c>
      <c r="G4477" s="201">
        <v>9</v>
      </c>
    </row>
    <row r="4478" spans="4:7">
      <c r="D4478" s="200" t="s">
        <v>4881</v>
      </c>
      <c r="E4478" s="10">
        <v>72411</v>
      </c>
      <c r="F4478" s="201">
        <v>-11.8</v>
      </c>
      <c r="G4478" s="201">
        <v>9.1999999999999993</v>
      </c>
    </row>
    <row r="4479" spans="4:7">
      <c r="D4479" s="200" t="s">
        <v>4882</v>
      </c>
      <c r="E4479" s="10">
        <v>73087</v>
      </c>
      <c r="F4479" s="201">
        <v>-11.8</v>
      </c>
      <c r="G4479" s="201">
        <v>9.1999999999999993</v>
      </c>
    </row>
    <row r="4480" spans="4:7">
      <c r="D4480" s="200" t="s">
        <v>4883</v>
      </c>
      <c r="E4480" s="10">
        <v>73104</v>
      </c>
      <c r="F4480" s="201">
        <v>-11.8</v>
      </c>
      <c r="G4480" s="201">
        <v>9.4</v>
      </c>
    </row>
    <row r="4481" spans="4:7">
      <c r="D4481" s="200" t="s">
        <v>4241</v>
      </c>
      <c r="E4481" s="10">
        <v>73529</v>
      </c>
      <c r="F4481" s="201">
        <v>-11.8</v>
      </c>
      <c r="G4481" s="201">
        <v>9.3000000000000007</v>
      </c>
    </row>
    <row r="4482" spans="4:7">
      <c r="D4482" s="200" t="s">
        <v>4884</v>
      </c>
      <c r="E4482" s="10">
        <v>73557</v>
      </c>
      <c r="F4482" s="201">
        <v>-11.8</v>
      </c>
      <c r="G4482" s="201">
        <v>9.4</v>
      </c>
    </row>
    <row r="4483" spans="4:7">
      <c r="D4483" s="200" t="s">
        <v>4885</v>
      </c>
      <c r="E4483" s="10">
        <v>74731</v>
      </c>
      <c r="F4483" s="201">
        <v>-11.8</v>
      </c>
      <c r="G4483" s="201">
        <v>9.1</v>
      </c>
    </row>
    <row r="4484" spans="4:7">
      <c r="D4484" s="200" t="s">
        <v>4886</v>
      </c>
      <c r="E4484" s="10">
        <v>74746</v>
      </c>
      <c r="F4484" s="201">
        <v>-11.8</v>
      </c>
      <c r="G4484" s="201">
        <v>9.1</v>
      </c>
    </row>
    <row r="4485" spans="4:7">
      <c r="D4485" s="200" t="s">
        <v>4887</v>
      </c>
      <c r="E4485" s="10">
        <v>74838</v>
      </c>
      <c r="F4485" s="201">
        <v>-11.8</v>
      </c>
      <c r="G4485" s="201">
        <v>9.1</v>
      </c>
    </row>
    <row r="4486" spans="4:7">
      <c r="D4486" s="200" t="s">
        <v>3739</v>
      </c>
      <c r="E4486" s="10">
        <v>75181</v>
      </c>
      <c r="F4486" s="201">
        <v>-11.8</v>
      </c>
      <c r="G4486" s="201">
        <v>9.1</v>
      </c>
    </row>
    <row r="4487" spans="4:7">
      <c r="D4487" s="200" t="s">
        <v>4888</v>
      </c>
      <c r="E4487" s="10">
        <v>75382</v>
      </c>
      <c r="F4487" s="201">
        <v>-11.8</v>
      </c>
      <c r="G4487" s="201">
        <v>8.9</v>
      </c>
    </row>
    <row r="4488" spans="4:7">
      <c r="D4488" s="200" t="s">
        <v>4889</v>
      </c>
      <c r="E4488" s="10">
        <v>75391</v>
      </c>
      <c r="F4488" s="201">
        <v>-11.8</v>
      </c>
      <c r="G4488" s="201">
        <v>9.1</v>
      </c>
    </row>
    <row r="4489" spans="4:7">
      <c r="D4489" s="200" t="s">
        <v>4890</v>
      </c>
      <c r="E4489" s="10">
        <v>75399</v>
      </c>
      <c r="F4489" s="201">
        <v>-11.8</v>
      </c>
      <c r="G4489" s="201">
        <v>9.3000000000000007</v>
      </c>
    </row>
    <row r="4490" spans="4:7">
      <c r="D4490" s="200" t="s">
        <v>4891</v>
      </c>
      <c r="E4490" s="10">
        <v>75446</v>
      </c>
      <c r="F4490" s="201">
        <v>-11.8</v>
      </c>
      <c r="G4490" s="201">
        <v>9.4</v>
      </c>
    </row>
    <row r="4491" spans="4:7">
      <c r="D4491" s="200" t="s">
        <v>4892</v>
      </c>
      <c r="E4491" s="10">
        <v>75449</v>
      </c>
      <c r="F4491" s="201">
        <v>-11.8</v>
      </c>
      <c r="G4491" s="201">
        <v>9.1999999999999993</v>
      </c>
    </row>
    <row r="4492" spans="4:7">
      <c r="D4492" s="200" t="s">
        <v>4893</v>
      </c>
      <c r="E4492" s="10">
        <v>76593</v>
      </c>
      <c r="F4492" s="201">
        <v>-11.8</v>
      </c>
      <c r="G4492" s="201">
        <v>9.1</v>
      </c>
    </row>
    <row r="4493" spans="4:7">
      <c r="D4493" s="200" t="s">
        <v>4894</v>
      </c>
      <c r="E4493" s="10">
        <v>77773</v>
      </c>
      <c r="F4493" s="201">
        <v>-11.8</v>
      </c>
      <c r="G4493" s="201">
        <v>9</v>
      </c>
    </row>
    <row r="4494" spans="4:7">
      <c r="D4494" s="200" t="s">
        <v>4162</v>
      </c>
      <c r="E4494" s="10">
        <v>81373</v>
      </c>
      <c r="F4494" s="201">
        <v>-11.8</v>
      </c>
      <c r="G4494" s="201">
        <v>9.6</v>
      </c>
    </row>
    <row r="4495" spans="4:7">
      <c r="D4495" s="200" t="s">
        <v>3307</v>
      </c>
      <c r="E4495" s="10">
        <v>90762</v>
      </c>
      <c r="F4495" s="201">
        <v>-11.8</v>
      </c>
      <c r="G4495" s="201">
        <v>10.199999999999999</v>
      </c>
    </row>
    <row r="4496" spans="4:7">
      <c r="D4496" s="200" t="s">
        <v>4895</v>
      </c>
      <c r="E4496" s="10">
        <v>93047</v>
      </c>
      <c r="F4496" s="201">
        <v>-11.8</v>
      </c>
      <c r="G4496" s="201">
        <v>10</v>
      </c>
    </row>
    <row r="4497" spans="4:7">
      <c r="D4497" s="200" t="s">
        <v>3963</v>
      </c>
      <c r="E4497" s="10">
        <v>94034</v>
      </c>
      <c r="F4497" s="201">
        <v>-11.8</v>
      </c>
      <c r="G4497" s="201">
        <v>8.9</v>
      </c>
    </row>
    <row r="4498" spans="4:7">
      <c r="D4498" s="200" t="s">
        <v>3963</v>
      </c>
      <c r="E4498" s="10">
        <v>94036</v>
      </c>
      <c r="F4498" s="201">
        <v>-11.8</v>
      </c>
      <c r="G4498" s="201">
        <v>9.1999999999999993</v>
      </c>
    </row>
    <row r="4499" spans="4:7">
      <c r="D4499" s="200" t="s">
        <v>4896</v>
      </c>
      <c r="E4499" s="10">
        <v>96253</v>
      </c>
      <c r="F4499" s="201">
        <v>-11.8</v>
      </c>
      <c r="G4499" s="201">
        <v>9.1</v>
      </c>
    </row>
    <row r="4500" spans="4:7">
      <c r="D4500" s="200" t="s">
        <v>4897</v>
      </c>
      <c r="E4500" s="10">
        <v>96476</v>
      </c>
      <c r="F4500" s="201">
        <v>-11.8</v>
      </c>
      <c r="G4500" s="201">
        <v>8.9</v>
      </c>
    </row>
    <row r="4501" spans="4:7">
      <c r="D4501" s="200" t="s">
        <v>4898</v>
      </c>
      <c r="E4501" s="10">
        <v>96479</v>
      </c>
      <c r="F4501" s="201">
        <v>-11.8</v>
      </c>
      <c r="G4501" s="201">
        <v>9</v>
      </c>
    </row>
    <row r="4502" spans="4:7">
      <c r="D4502" s="200" t="s">
        <v>4899</v>
      </c>
      <c r="E4502" s="10">
        <v>96487</v>
      </c>
      <c r="F4502" s="201">
        <v>-11.8</v>
      </c>
      <c r="G4502" s="201">
        <v>9</v>
      </c>
    </row>
    <row r="4503" spans="4:7">
      <c r="D4503" s="200" t="s">
        <v>4900</v>
      </c>
      <c r="E4503" s="10">
        <v>96489</v>
      </c>
      <c r="F4503" s="201">
        <v>-11.8</v>
      </c>
      <c r="G4503" s="201">
        <v>9.1</v>
      </c>
    </row>
    <row r="4504" spans="4:7">
      <c r="D4504" s="200" t="s">
        <v>4901</v>
      </c>
      <c r="E4504" s="10">
        <v>97258</v>
      </c>
      <c r="F4504" s="201">
        <v>-11.8</v>
      </c>
      <c r="G4504" s="201">
        <v>9.4</v>
      </c>
    </row>
    <row r="4505" spans="4:7">
      <c r="D4505" s="200" t="s">
        <v>4902</v>
      </c>
      <c r="E4505" s="10">
        <v>97259</v>
      </c>
      <c r="F4505" s="201">
        <v>-11.8</v>
      </c>
      <c r="G4505" s="201">
        <v>9.1</v>
      </c>
    </row>
    <row r="4506" spans="4:7">
      <c r="D4506" s="200" t="s">
        <v>4903</v>
      </c>
      <c r="E4506" s="10">
        <v>97270</v>
      </c>
      <c r="F4506" s="201">
        <v>-11.8</v>
      </c>
      <c r="G4506" s="201">
        <v>9.1999999999999993</v>
      </c>
    </row>
    <row r="4507" spans="4:7">
      <c r="D4507" s="200" t="s">
        <v>4904</v>
      </c>
      <c r="E4507" s="10">
        <v>97346</v>
      </c>
      <c r="F4507" s="201">
        <v>-11.8</v>
      </c>
      <c r="G4507" s="201">
        <v>9.5</v>
      </c>
    </row>
    <row r="4508" spans="4:7">
      <c r="D4508" s="200" t="s">
        <v>4905</v>
      </c>
      <c r="E4508" s="10">
        <v>97494</v>
      </c>
      <c r="F4508" s="201">
        <v>-11.8</v>
      </c>
      <c r="G4508" s="201">
        <v>8.9</v>
      </c>
    </row>
    <row r="4509" spans="4:7">
      <c r="D4509" s="200" t="s">
        <v>4906</v>
      </c>
      <c r="E4509" s="10">
        <v>97499</v>
      </c>
      <c r="F4509" s="201">
        <v>-11.8</v>
      </c>
      <c r="G4509" s="201">
        <v>9.4</v>
      </c>
    </row>
    <row r="4510" spans="4:7">
      <c r="D4510" s="200" t="s">
        <v>4907</v>
      </c>
      <c r="E4510" s="10">
        <v>97503</v>
      </c>
      <c r="F4510" s="201">
        <v>-11.8</v>
      </c>
      <c r="G4510" s="201">
        <v>9</v>
      </c>
    </row>
    <row r="4511" spans="4:7">
      <c r="D4511" s="200" t="s">
        <v>4908</v>
      </c>
      <c r="E4511" s="10">
        <v>97516</v>
      </c>
      <c r="F4511" s="201">
        <v>-11.8</v>
      </c>
      <c r="G4511" s="201">
        <v>9.3000000000000007</v>
      </c>
    </row>
    <row r="4512" spans="4:7">
      <c r="D4512" s="200" t="s">
        <v>4909</v>
      </c>
      <c r="E4512" s="10">
        <v>97528</v>
      </c>
      <c r="F4512" s="201">
        <v>-11.8</v>
      </c>
      <c r="G4512" s="201">
        <v>8.8000000000000007</v>
      </c>
    </row>
    <row r="4513" spans="4:7">
      <c r="D4513" s="200" t="s">
        <v>4910</v>
      </c>
      <c r="E4513" s="10">
        <v>97654</v>
      </c>
      <c r="F4513" s="201">
        <v>-11.8</v>
      </c>
      <c r="G4513" s="201">
        <v>8.8000000000000007</v>
      </c>
    </row>
    <row r="4514" spans="4:7">
      <c r="D4514" s="200" t="s">
        <v>4911</v>
      </c>
      <c r="E4514" s="10">
        <v>97816</v>
      </c>
      <c r="F4514" s="201">
        <v>-11.8</v>
      </c>
      <c r="G4514" s="201">
        <v>8.9</v>
      </c>
    </row>
    <row r="4515" spans="4:7">
      <c r="D4515" s="200" t="s">
        <v>4912</v>
      </c>
      <c r="E4515" s="10">
        <v>97852</v>
      </c>
      <c r="F4515" s="201">
        <v>-11.8</v>
      </c>
      <c r="G4515" s="201">
        <v>9</v>
      </c>
    </row>
    <row r="4516" spans="4:7">
      <c r="D4516" s="200" t="s">
        <v>4913</v>
      </c>
      <c r="E4516" s="10">
        <v>98630</v>
      </c>
      <c r="F4516" s="201">
        <v>-11.8</v>
      </c>
      <c r="G4516" s="201">
        <v>8.8000000000000007</v>
      </c>
    </row>
    <row r="4517" spans="4:7">
      <c r="D4517" s="200" t="s">
        <v>4418</v>
      </c>
      <c r="E4517" s="10">
        <v>10319</v>
      </c>
      <c r="F4517" s="201">
        <v>-11.9</v>
      </c>
      <c r="G4517" s="201">
        <v>10.3</v>
      </c>
    </row>
    <row r="4518" spans="4:7">
      <c r="D4518" s="200" t="s">
        <v>4914</v>
      </c>
      <c r="E4518" s="10">
        <v>10367</v>
      </c>
      <c r="F4518" s="201">
        <v>-11.9</v>
      </c>
      <c r="G4518" s="201">
        <v>10.199999999999999</v>
      </c>
    </row>
    <row r="4519" spans="4:7">
      <c r="D4519" s="200" t="s">
        <v>4170</v>
      </c>
      <c r="E4519" s="10">
        <v>10409</v>
      </c>
      <c r="F4519" s="201">
        <v>-11.9</v>
      </c>
      <c r="G4519" s="201">
        <v>10.3</v>
      </c>
    </row>
    <row r="4520" spans="4:7">
      <c r="D4520" s="200" t="s">
        <v>4418</v>
      </c>
      <c r="E4520" s="10">
        <v>10827</v>
      </c>
      <c r="F4520" s="201">
        <v>-11.9</v>
      </c>
      <c r="G4520" s="201">
        <v>10.1</v>
      </c>
    </row>
    <row r="4521" spans="4:7">
      <c r="D4521" s="200" t="s">
        <v>4268</v>
      </c>
      <c r="E4521" s="10">
        <v>10829</v>
      </c>
      <c r="F4521" s="201">
        <v>-11.9</v>
      </c>
      <c r="G4521" s="201">
        <v>10.1</v>
      </c>
    </row>
    <row r="4522" spans="4:7">
      <c r="D4522" s="200" t="s">
        <v>4057</v>
      </c>
      <c r="E4522" s="10">
        <v>12043</v>
      </c>
      <c r="F4522" s="201">
        <v>-11.9</v>
      </c>
      <c r="G4522" s="201">
        <v>10.199999999999999</v>
      </c>
    </row>
    <row r="4523" spans="4:7">
      <c r="D4523" s="200" t="s">
        <v>4057</v>
      </c>
      <c r="E4523" s="10">
        <v>12053</v>
      </c>
      <c r="F4523" s="201">
        <v>-11.9</v>
      </c>
      <c r="G4523" s="201">
        <v>10.199999999999999</v>
      </c>
    </row>
    <row r="4524" spans="4:7">
      <c r="D4524" s="200" t="s">
        <v>4057</v>
      </c>
      <c r="E4524" s="10">
        <v>12059</v>
      </c>
      <c r="F4524" s="201">
        <v>-11.9</v>
      </c>
      <c r="G4524" s="201">
        <v>10.199999999999999</v>
      </c>
    </row>
    <row r="4525" spans="4:7">
      <c r="D4525" s="200" t="s">
        <v>4915</v>
      </c>
      <c r="E4525" s="10">
        <v>12099</v>
      </c>
      <c r="F4525" s="201">
        <v>-11.9</v>
      </c>
      <c r="G4525" s="201">
        <v>10.199999999999999</v>
      </c>
    </row>
    <row r="4526" spans="4:7">
      <c r="D4526" s="200" t="s">
        <v>4915</v>
      </c>
      <c r="E4526" s="10">
        <v>12101</v>
      </c>
      <c r="F4526" s="201">
        <v>-11.9</v>
      </c>
      <c r="G4526" s="201">
        <v>10.199999999999999</v>
      </c>
    </row>
    <row r="4527" spans="4:7">
      <c r="D4527" s="200" t="s">
        <v>4915</v>
      </c>
      <c r="E4527" s="10">
        <v>12103</v>
      </c>
      <c r="F4527" s="201">
        <v>-11.9</v>
      </c>
      <c r="G4527" s="201">
        <v>10.1</v>
      </c>
    </row>
    <row r="4528" spans="4:7">
      <c r="D4528" s="200" t="s">
        <v>4916</v>
      </c>
      <c r="E4528" s="10">
        <v>12105</v>
      </c>
      <c r="F4528" s="201">
        <v>-11.9</v>
      </c>
      <c r="G4528" s="201">
        <v>10.1</v>
      </c>
    </row>
    <row r="4529" spans="4:7">
      <c r="D4529" s="200" t="s">
        <v>4916</v>
      </c>
      <c r="E4529" s="10">
        <v>12107</v>
      </c>
      <c r="F4529" s="201">
        <v>-11.9</v>
      </c>
      <c r="G4529" s="201">
        <v>10.199999999999999</v>
      </c>
    </row>
    <row r="4530" spans="4:7">
      <c r="D4530" s="200" t="s">
        <v>4917</v>
      </c>
      <c r="E4530" s="10">
        <v>13156</v>
      </c>
      <c r="F4530" s="201">
        <v>-11.9</v>
      </c>
      <c r="G4530" s="201">
        <v>10.199999999999999</v>
      </c>
    </row>
    <row r="4531" spans="4:7">
      <c r="D4531" s="200" t="s">
        <v>4918</v>
      </c>
      <c r="E4531" s="10">
        <v>13403</v>
      </c>
      <c r="F4531" s="201">
        <v>-11.9</v>
      </c>
      <c r="G4531" s="201">
        <v>10.3</v>
      </c>
    </row>
    <row r="4532" spans="4:7">
      <c r="D4532" s="200" t="s">
        <v>4919</v>
      </c>
      <c r="E4532" s="10">
        <v>19309</v>
      </c>
      <c r="F4532" s="201">
        <v>-11.9</v>
      </c>
      <c r="G4532" s="201">
        <v>9.4</v>
      </c>
    </row>
    <row r="4533" spans="4:7">
      <c r="D4533" s="200" t="s">
        <v>4920</v>
      </c>
      <c r="E4533" s="10">
        <v>19406</v>
      </c>
      <c r="F4533" s="201">
        <v>-11.9</v>
      </c>
      <c r="G4533" s="201">
        <v>9.1999999999999993</v>
      </c>
    </row>
    <row r="4534" spans="4:7">
      <c r="D4534" s="200" t="s">
        <v>4921</v>
      </c>
      <c r="E4534" s="10">
        <v>29475</v>
      </c>
      <c r="F4534" s="201">
        <v>-11.9</v>
      </c>
      <c r="G4534" s="201">
        <v>9.4</v>
      </c>
    </row>
    <row r="4535" spans="4:7">
      <c r="D4535" s="200" t="s">
        <v>4922</v>
      </c>
      <c r="E4535" s="10">
        <v>34329</v>
      </c>
      <c r="F4535" s="201">
        <v>-11.9</v>
      </c>
      <c r="G4535" s="201">
        <v>8.6999999999999993</v>
      </c>
    </row>
    <row r="4536" spans="4:7">
      <c r="D4536" s="200" t="s">
        <v>4923</v>
      </c>
      <c r="E4536" s="10">
        <v>34474</v>
      </c>
      <c r="F4536" s="201">
        <v>-11.9</v>
      </c>
      <c r="G4536" s="201">
        <v>8.6</v>
      </c>
    </row>
    <row r="4537" spans="4:7">
      <c r="D4537" s="200" t="s">
        <v>4924</v>
      </c>
      <c r="E4537" s="10">
        <v>34479</v>
      </c>
      <c r="F4537" s="201">
        <v>-11.9</v>
      </c>
      <c r="G4537" s="201">
        <v>8.6</v>
      </c>
    </row>
    <row r="4538" spans="4:7">
      <c r="D4538" s="200" t="s">
        <v>4925</v>
      </c>
      <c r="E4538" s="10">
        <v>34497</v>
      </c>
      <c r="F4538" s="201">
        <v>-11.9</v>
      </c>
      <c r="G4538" s="201">
        <v>8.4</v>
      </c>
    </row>
    <row r="4539" spans="4:7">
      <c r="D4539" s="200" t="s">
        <v>4926</v>
      </c>
      <c r="E4539" s="10">
        <v>34516</v>
      </c>
      <c r="F4539" s="201">
        <v>-11.9</v>
      </c>
      <c r="G4539" s="201">
        <v>8.5</v>
      </c>
    </row>
    <row r="4540" spans="4:7">
      <c r="D4540" s="200" t="s">
        <v>4927</v>
      </c>
      <c r="E4540" s="10">
        <v>34590</v>
      </c>
      <c r="F4540" s="201">
        <v>-11.9</v>
      </c>
      <c r="G4540" s="201">
        <v>9.4</v>
      </c>
    </row>
    <row r="4541" spans="4:7">
      <c r="D4541" s="200" t="s">
        <v>4928</v>
      </c>
      <c r="E4541" s="10">
        <v>37115</v>
      </c>
      <c r="F4541" s="201">
        <v>-11.9</v>
      </c>
      <c r="G4541" s="201">
        <v>9.1999999999999993</v>
      </c>
    </row>
    <row r="4542" spans="4:7">
      <c r="D4542" s="200" t="s">
        <v>4929</v>
      </c>
      <c r="E4542" s="10">
        <v>37269</v>
      </c>
      <c r="F4542" s="201">
        <v>-11.9</v>
      </c>
      <c r="G4542" s="201">
        <v>9.1</v>
      </c>
    </row>
    <row r="4543" spans="4:7">
      <c r="D4543" s="200" t="s">
        <v>4930</v>
      </c>
      <c r="E4543" s="10">
        <v>37434</v>
      </c>
      <c r="F4543" s="201">
        <v>-11.9</v>
      </c>
      <c r="G4543" s="201">
        <v>9.1999999999999993</v>
      </c>
    </row>
    <row r="4544" spans="4:7">
      <c r="D4544" s="200" t="s">
        <v>4931</v>
      </c>
      <c r="E4544" s="10">
        <v>37586</v>
      </c>
      <c r="F4544" s="201">
        <v>-11.9</v>
      </c>
      <c r="G4544" s="201">
        <v>9.1</v>
      </c>
    </row>
    <row r="4545" spans="4:7">
      <c r="D4545" s="200" t="s">
        <v>4932</v>
      </c>
      <c r="E4545" s="10">
        <v>37627</v>
      </c>
      <c r="F4545" s="201">
        <v>-11.9</v>
      </c>
      <c r="G4545" s="201">
        <v>8.8000000000000007</v>
      </c>
    </row>
    <row r="4546" spans="4:7">
      <c r="D4546" s="200" t="s">
        <v>4933</v>
      </c>
      <c r="E4546" s="10">
        <v>37643</v>
      </c>
      <c r="F4546" s="201">
        <v>-11.9</v>
      </c>
      <c r="G4546" s="201">
        <v>9</v>
      </c>
    </row>
    <row r="4547" spans="4:7">
      <c r="D4547" s="200" t="s">
        <v>4934</v>
      </c>
      <c r="E4547" s="10">
        <v>37649</v>
      </c>
      <c r="F4547" s="201">
        <v>-11.9</v>
      </c>
      <c r="G4547" s="201">
        <v>8.6999999999999993</v>
      </c>
    </row>
    <row r="4548" spans="4:7">
      <c r="D4548" s="200" t="s">
        <v>4935</v>
      </c>
      <c r="E4548" s="10">
        <v>38154</v>
      </c>
      <c r="F4548" s="201">
        <v>-11.9</v>
      </c>
      <c r="G4548" s="201">
        <v>9.5</v>
      </c>
    </row>
    <row r="4549" spans="4:7">
      <c r="D4549" s="200" t="s">
        <v>3987</v>
      </c>
      <c r="E4549" s="10">
        <v>38259</v>
      </c>
      <c r="F4549" s="201">
        <v>-11.9</v>
      </c>
      <c r="G4549" s="201">
        <v>9.5</v>
      </c>
    </row>
    <row r="4550" spans="4:7">
      <c r="D4550" s="200" t="s">
        <v>4936</v>
      </c>
      <c r="E4550" s="10">
        <v>38329</v>
      </c>
      <c r="F4550" s="201">
        <v>-11.9</v>
      </c>
      <c r="G4550" s="201">
        <v>9.5</v>
      </c>
    </row>
    <row r="4551" spans="4:7">
      <c r="D4551" s="200" t="s">
        <v>4937</v>
      </c>
      <c r="E4551" s="10">
        <v>38350</v>
      </c>
      <c r="F4551" s="201">
        <v>-11.9</v>
      </c>
      <c r="G4551" s="201">
        <v>9.6</v>
      </c>
    </row>
    <row r="4552" spans="4:7">
      <c r="D4552" s="200" t="s">
        <v>4938</v>
      </c>
      <c r="E4552" s="10">
        <v>38461</v>
      </c>
      <c r="F4552" s="201">
        <v>-11.9</v>
      </c>
      <c r="G4552" s="201">
        <v>9.6</v>
      </c>
    </row>
    <row r="4553" spans="4:7">
      <c r="D4553" s="200" t="s">
        <v>4939</v>
      </c>
      <c r="E4553" s="10">
        <v>38462</v>
      </c>
      <c r="F4553" s="201">
        <v>-11.9</v>
      </c>
      <c r="G4553" s="201">
        <v>9.6</v>
      </c>
    </row>
    <row r="4554" spans="4:7">
      <c r="D4554" s="200" t="s">
        <v>4940</v>
      </c>
      <c r="E4554" s="10">
        <v>38474</v>
      </c>
      <c r="F4554" s="201">
        <v>-11.9</v>
      </c>
      <c r="G4554" s="201">
        <v>9.5</v>
      </c>
    </row>
    <row r="4555" spans="4:7">
      <c r="D4555" s="200" t="s">
        <v>4110</v>
      </c>
      <c r="E4555" s="10">
        <v>39118</v>
      </c>
      <c r="F4555" s="201">
        <v>-11.9</v>
      </c>
      <c r="G4555" s="201">
        <v>9.9</v>
      </c>
    </row>
    <row r="4556" spans="4:7">
      <c r="D4556" s="200" t="s">
        <v>4941</v>
      </c>
      <c r="E4556" s="10">
        <v>63599</v>
      </c>
      <c r="F4556" s="201">
        <v>-11.9</v>
      </c>
      <c r="G4556" s="201">
        <v>8.5</v>
      </c>
    </row>
    <row r="4557" spans="4:7">
      <c r="D4557" s="200" t="s">
        <v>4942</v>
      </c>
      <c r="E4557" s="10">
        <v>63860</v>
      </c>
      <c r="F4557" s="201">
        <v>-11.9</v>
      </c>
      <c r="G4557" s="201">
        <v>8.8000000000000007</v>
      </c>
    </row>
    <row r="4558" spans="4:7">
      <c r="D4558" s="200" t="s">
        <v>4943</v>
      </c>
      <c r="E4558" s="10">
        <v>63875</v>
      </c>
      <c r="F4558" s="201">
        <v>-11.9</v>
      </c>
      <c r="G4558" s="201">
        <v>8.9</v>
      </c>
    </row>
    <row r="4559" spans="4:7">
      <c r="D4559" s="200" t="s">
        <v>4533</v>
      </c>
      <c r="E4559" s="10">
        <v>71032</v>
      </c>
      <c r="F4559" s="201">
        <v>-11.9</v>
      </c>
      <c r="G4559" s="201">
        <v>9</v>
      </c>
    </row>
    <row r="4560" spans="4:7">
      <c r="D4560" s="200" t="s">
        <v>4944</v>
      </c>
      <c r="E4560" s="10">
        <v>71157</v>
      </c>
      <c r="F4560" s="201">
        <v>-11.9</v>
      </c>
      <c r="G4560" s="201">
        <v>9.1</v>
      </c>
    </row>
    <row r="4561" spans="4:7">
      <c r="D4561" s="200" t="s">
        <v>4945</v>
      </c>
      <c r="E4561" s="10">
        <v>71159</v>
      </c>
      <c r="F4561" s="201">
        <v>-11.9</v>
      </c>
      <c r="G4561" s="201">
        <v>9</v>
      </c>
    </row>
    <row r="4562" spans="4:7">
      <c r="D4562" s="200" t="s">
        <v>4946</v>
      </c>
      <c r="E4562" s="10">
        <v>71277</v>
      </c>
      <c r="F4562" s="201">
        <v>-11.9</v>
      </c>
      <c r="G4562" s="201">
        <v>9.1999999999999993</v>
      </c>
    </row>
    <row r="4563" spans="4:7">
      <c r="D4563" s="200" t="s">
        <v>4142</v>
      </c>
      <c r="E4563" s="10">
        <v>72076</v>
      </c>
      <c r="F4563" s="201">
        <v>-11.9</v>
      </c>
      <c r="G4563" s="201">
        <v>9</v>
      </c>
    </row>
    <row r="4564" spans="4:7">
      <c r="D4564" s="200" t="s">
        <v>4947</v>
      </c>
      <c r="E4564" s="10">
        <v>72135</v>
      </c>
      <c r="F4564" s="201">
        <v>-11.9</v>
      </c>
      <c r="G4564" s="201">
        <v>8.9</v>
      </c>
    </row>
    <row r="4565" spans="4:7">
      <c r="D4565" s="200" t="s">
        <v>4948</v>
      </c>
      <c r="E4565" s="10">
        <v>72186</v>
      </c>
      <c r="F4565" s="201">
        <v>-11.9</v>
      </c>
      <c r="G4565" s="201">
        <v>9</v>
      </c>
    </row>
    <row r="4566" spans="4:7">
      <c r="D4566" s="200" t="s">
        <v>4949</v>
      </c>
      <c r="E4566" s="10">
        <v>72224</v>
      </c>
      <c r="F4566" s="201">
        <v>-11.9</v>
      </c>
      <c r="G4566" s="201">
        <v>9</v>
      </c>
    </row>
    <row r="4567" spans="4:7">
      <c r="D4567" s="200" t="s">
        <v>4950</v>
      </c>
      <c r="E4567" s="10">
        <v>72227</v>
      </c>
      <c r="F4567" s="201">
        <v>-11.9</v>
      </c>
      <c r="G4567" s="201">
        <v>8.9</v>
      </c>
    </row>
    <row r="4568" spans="4:7">
      <c r="D4568" s="200" t="s">
        <v>4951</v>
      </c>
      <c r="E4568" s="10">
        <v>72336</v>
      </c>
      <c r="F4568" s="201">
        <v>-11.9</v>
      </c>
      <c r="G4568" s="201">
        <v>9.1</v>
      </c>
    </row>
    <row r="4569" spans="4:7">
      <c r="D4569" s="200" t="s">
        <v>4952</v>
      </c>
      <c r="E4569" s="10">
        <v>72639</v>
      </c>
      <c r="F4569" s="201">
        <v>-11.9</v>
      </c>
      <c r="G4569" s="201">
        <v>9.1</v>
      </c>
    </row>
    <row r="4570" spans="4:7">
      <c r="D4570" s="200" t="s">
        <v>4953</v>
      </c>
      <c r="E4570" s="10">
        <v>72664</v>
      </c>
      <c r="F4570" s="201">
        <v>-11.9</v>
      </c>
      <c r="G4570" s="201">
        <v>9.1</v>
      </c>
    </row>
    <row r="4571" spans="4:7">
      <c r="D4571" s="200" t="s">
        <v>4954</v>
      </c>
      <c r="E4571" s="10">
        <v>73116</v>
      </c>
      <c r="F4571" s="201">
        <v>-11.9</v>
      </c>
      <c r="G4571" s="201">
        <v>9.3000000000000007</v>
      </c>
    </row>
    <row r="4572" spans="4:7">
      <c r="D4572" s="200" t="s">
        <v>4955</v>
      </c>
      <c r="E4572" s="10">
        <v>73430</v>
      </c>
      <c r="F4572" s="201">
        <v>-11.9</v>
      </c>
      <c r="G4572" s="201">
        <v>9.4</v>
      </c>
    </row>
    <row r="4573" spans="4:7">
      <c r="D4573" s="200" t="s">
        <v>4956</v>
      </c>
      <c r="E4573" s="10">
        <v>73773</v>
      </c>
      <c r="F4573" s="201">
        <v>-11.9</v>
      </c>
      <c r="G4573" s="201">
        <v>9.1</v>
      </c>
    </row>
    <row r="4574" spans="4:7">
      <c r="D4574" s="200" t="s">
        <v>4957</v>
      </c>
      <c r="E4574" s="10">
        <v>74547</v>
      </c>
      <c r="F4574" s="201">
        <v>-11.9</v>
      </c>
      <c r="G4574" s="201">
        <v>9.3000000000000007</v>
      </c>
    </row>
    <row r="4575" spans="4:7">
      <c r="D4575" s="200" t="s">
        <v>4958</v>
      </c>
      <c r="E4575" s="10">
        <v>83022</v>
      </c>
      <c r="F4575" s="201">
        <v>-11.9</v>
      </c>
      <c r="G4575" s="201">
        <v>9.5</v>
      </c>
    </row>
    <row r="4576" spans="4:7">
      <c r="D4576" s="200" t="s">
        <v>4959</v>
      </c>
      <c r="E4576" s="10">
        <v>88263</v>
      </c>
      <c r="F4576" s="201">
        <v>-11.9</v>
      </c>
      <c r="G4576" s="201">
        <v>8.6</v>
      </c>
    </row>
    <row r="4577" spans="4:7">
      <c r="D4577" s="200" t="s">
        <v>4960</v>
      </c>
      <c r="E4577" s="10">
        <v>94081</v>
      </c>
      <c r="F4577" s="201">
        <v>-11.9</v>
      </c>
      <c r="G4577" s="201">
        <v>9</v>
      </c>
    </row>
    <row r="4578" spans="4:7">
      <c r="D4578" s="200" t="s">
        <v>4961</v>
      </c>
      <c r="E4578" s="10">
        <v>94121</v>
      </c>
      <c r="F4578" s="201">
        <v>-11.9</v>
      </c>
      <c r="G4578" s="201">
        <v>8.8000000000000007</v>
      </c>
    </row>
    <row r="4579" spans="4:7">
      <c r="D4579" s="200" t="s">
        <v>4962</v>
      </c>
      <c r="E4579" s="10">
        <v>94136</v>
      </c>
      <c r="F4579" s="201">
        <v>-11.9</v>
      </c>
      <c r="G4579" s="201">
        <v>8.9</v>
      </c>
    </row>
    <row r="4580" spans="4:7">
      <c r="D4580" s="200" t="s">
        <v>4963</v>
      </c>
      <c r="E4580" s="10">
        <v>97461</v>
      </c>
      <c r="F4580" s="201">
        <v>-11.9</v>
      </c>
      <c r="G4580" s="201">
        <v>9.1999999999999993</v>
      </c>
    </row>
    <row r="4581" spans="4:7">
      <c r="D4581" s="200" t="s">
        <v>4964</v>
      </c>
      <c r="E4581" s="10">
        <v>97513</v>
      </c>
      <c r="F4581" s="201">
        <v>-11.9</v>
      </c>
      <c r="G4581" s="201">
        <v>8.8000000000000007</v>
      </c>
    </row>
    <row r="4582" spans="4:7">
      <c r="D4582" s="200" t="s">
        <v>4965</v>
      </c>
      <c r="E4582" s="10">
        <v>97769</v>
      </c>
      <c r="F4582" s="201">
        <v>-11.9</v>
      </c>
      <c r="G4582" s="201">
        <v>8.9</v>
      </c>
    </row>
    <row r="4583" spans="4:7">
      <c r="D4583" s="200" t="s">
        <v>4966</v>
      </c>
      <c r="E4583" s="10">
        <v>99084</v>
      </c>
      <c r="F4583" s="201">
        <v>-11.9</v>
      </c>
      <c r="G4583" s="201">
        <v>10.199999999999999</v>
      </c>
    </row>
    <row r="4584" spans="4:7">
      <c r="D4584" s="200" t="s">
        <v>4967</v>
      </c>
      <c r="E4584" s="10">
        <v>10315</v>
      </c>
      <c r="F4584" s="201">
        <v>-12</v>
      </c>
      <c r="G4584" s="201">
        <v>10.1</v>
      </c>
    </row>
    <row r="4585" spans="4:7">
      <c r="D4585" s="200" t="s">
        <v>4968</v>
      </c>
      <c r="E4585" s="10">
        <v>10318</v>
      </c>
      <c r="F4585" s="201">
        <v>-12</v>
      </c>
      <c r="G4585" s="201">
        <v>10.1</v>
      </c>
    </row>
    <row r="4586" spans="4:7">
      <c r="D4586" s="200" t="s">
        <v>4914</v>
      </c>
      <c r="E4586" s="10">
        <v>10365</v>
      </c>
      <c r="F4586" s="201">
        <v>-12</v>
      </c>
      <c r="G4586" s="201">
        <v>10.1</v>
      </c>
    </row>
    <row r="4587" spans="4:7">
      <c r="D4587" s="200" t="s">
        <v>4914</v>
      </c>
      <c r="E4587" s="10">
        <v>10369</v>
      </c>
      <c r="F4587" s="201">
        <v>-12</v>
      </c>
      <c r="G4587" s="201">
        <v>10.199999999999999</v>
      </c>
    </row>
    <row r="4588" spans="4:7">
      <c r="D4588" s="200" t="s">
        <v>4969</v>
      </c>
      <c r="E4588" s="10">
        <v>10711</v>
      </c>
      <c r="F4588" s="201">
        <v>-12</v>
      </c>
      <c r="G4588" s="201">
        <v>10</v>
      </c>
    </row>
    <row r="4589" spans="4:7">
      <c r="D4589" s="200" t="s">
        <v>4970</v>
      </c>
      <c r="E4589" s="10">
        <v>10715</v>
      </c>
      <c r="F4589" s="201">
        <v>-12</v>
      </c>
      <c r="G4589" s="201">
        <v>10.1</v>
      </c>
    </row>
    <row r="4590" spans="4:7">
      <c r="D4590" s="200" t="s">
        <v>4058</v>
      </c>
      <c r="E4590" s="10">
        <v>10963</v>
      </c>
      <c r="F4590" s="201">
        <v>-12</v>
      </c>
      <c r="G4590" s="201">
        <v>10.199999999999999</v>
      </c>
    </row>
    <row r="4591" spans="4:7">
      <c r="D4591" s="200" t="s">
        <v>4057</v>
      </c>
      <c r="E4591" s="10">
        <v>12051</v>
      </c>
      <c r="F4591" s="201">
        <v>-12</v>
      </c>
      <c r="G4591" s="201">
        <v>10.1</v>
      </c>
    </row>
    <row r="4592" spans="4:7">
      <c r="D4592" s="200" t="s">
        <v>4057</v>
      </c>
      <c r="E4592" s="10">
        <v>12055</v>
      </c>
      <c r="F4592" s="201">
        <v>-12</v>
      </c>
      <c r="G4592" s="201">
        <v>10.1</v>
      </c>
    </row>
    <row r="4593" spans="4:7">
      <c r="D4593" s="200" t="s">
        <v>4971</v>
      </c>
      <c r="E4593" s="10">
        <v>12159</v>
      </c>
      <c r="F4593" s="201">
        <v>-12</v>
      </c>
      <c r="G4593" s="201">
        <v>10</v>
      </c>
    </row>
    <row r="4594" spans="4:7">
      <c r="D4594" s="200" t="s">
        <v>4971</v>
      </c>
      <c r="E4594" s="10">
        <v>12161</v>
      </c>
      <c r="F4594" s="201">
        <v>-12</v>
      </c>
      <c r="G4594" s="201">
        <v>10</v>
      </c>
    </row>
    <row r="4595" spans="4:7">
      <c r="D4595" s="200" t="s">
        <v>4972</v>
      </c>
      <c r="E4595" s="10">
        <v>12163</v>
      </c>
      <c r="F4595" s="201">
        <v>-12</v>
      </c>
      <c r="G4595" s="201">
        <v>9.9</v>
      </c>
    </row>
    <row r="4596" spans="4:7">
      <c r="D4596" s="200" t="s">
        <v>4972</v>
      </c>
      <c r="E4596" s="10">
        <v>12165</v>
      </c>
      <c r="F4596" s="201">
        <v>-12</v>
      </c>
      <c r="G4596" s="201">
        <v>10</v>
      </c>
    </row>
    <row r="4597" spans="4:7">
      <c r="D4597" s="200" t="s">
        <v>4972</v>
      </c>
      <c r="E4597" s="10">
        <v>12167</v>
      </c>
      <c r="F4597" s="201">
        <v>-12</v>
      </c>
      <c r="G4597" s="201">
        <v>10</v>
      </c>
    </row>
    <row r="4598" spans="4:7">
      <c r="D4598" s="200" t="s">
        <v>4973</v>
      </c>
      <c r="E4598" s="10">
        <v>12203</v>
      </c>
      <c r="F4598" s="201">
        <v>-12</v>
      </c>
      <c r="G4598" s="201">
        <v>9.9</v>
      </c>
    </row>
    <row r="4599" spans="4:7">
      <c r="D4599" s="200" t="s">
        <v>4973</v>
      </c>
      <c r="E4599" s="10">
        <v>12207</v>
      </c>
      <c r="F4599" s="201">
        <v>-12</v>
      </c>
      <c r="G4599" s="201">
        <v>10</v>
      </c>
    </row>
    <row r="4600" spans="4:7">
      <c r="D4600" s="200" t="s">
        <v>4973</v>
      </c>
      <c r="E4600" s="10">
        <v>12209</v>
      </c>
      <c r="F4600" s="201">
        <v>-12</v>
      </c>
      <c r="G4600" s="201">
        <v>10</v>
      </c>
    </row>
    <row r="4601" spans="4:7">
      <c r="D4601" s="200" t="s">
        <v>4974</v>
      </c>
      <c r="E4601" s="10">
        <v>12247</v>
      </c>
      <c r="F4601" s="201">
        <v>-12</v>
      </c>
      <c r="G4601" s="201">
        <v>10</v>
      </c>
    </row>
    <row r="4602" spans="4:7">
      <c r="D4602" s="200" t="s">
        <v>4418</v>
      </c>
      <c r="E4602" s="10">
        <v>12277</v>
      </c>
      <c r="F4602" s="201">
        <v>-12</v>
      </c>
      <c r="G4602" s="201">
        <v>10.1</v>
      </c>
    </row>
    <row r="4603" spans="4:7">
      <c r="D4603" s="200" t="s">
        <v>4418</v>
      </c>
      <c r="E4603" s="10">
        <v>12279</v>
      </c>
      <c r="F4603" s="201">
        <v>-12</v>
      </c>
      <c r="G4603" s="201">
        <v>10</v>
      </c>
    </row>
    <row r="4604" spans="4:7">
      <c r="D4604" s="200" t="s">
        <v>4975</v>
      </c>
      <c r="E4604" s="10">
        <v>12347</v>
      </c>
      <c r="F4604" s="201">
        <v>-12</v>
      </c>
      <c r="G4604" s="201">
        <v>10.1</v>
      </c>
    </row>
    <row r="4605" spans="4:7">
      <c r="D4605" s="200" t="s">
        <v>4976</v>
      </c>
      <c r="E4605" s="10">
        <v>12437</v>
      </c>
      <c r="F4605" s="201">
        <v>-12</v>
      </c>
      <c r="G4605" s="201">
        <v>10.1</v>
      </c>
    </row>
    <row r="4606" spans="4:7">
      <c r="D4606" s="200" t="s">
        <v>4418</v>
      </c>
      <c r="E4606" s="10">
        <v>12619</v>
      </c>
      <c r="F4606" s="201">
        <v>-12</v>
      </c>
      <c r="G4606" s="201">
        <v>10</v>
      </c>
    </row>
    <row r="4607" spans="4:7">
      <c r="D4607" s="200" t="s">
        <v>4977</v>
      </c>
      <c r="E4607" s="10">
        <v>13055</v>
      </c>
      <c r="F4607" s="201">
        <v>-12</v>
      </c>
      <c r="G4607" s="201">
        <v>10.1</v>
      </c>
    </row>
    <row r="4608" spans="4:7">
      <c r="D4608" s="200" t="s">
        <v>4978</v>
      </c>
      <c r="E4608" s="10">
        <v>13089</v>
      </c>
      <c r="F4608" s="201">
        <v>-12</v>
      </c>
      <c r="G4608" s="201">
        <v>10.199999999999999</v>
      </c>
    </row>
    <row r="4609" spans="4:7">
      <c r="D4609" s="200" t="s">
        <v>4813</v>
      </c>
      <c r="E4609" s="10">
        <v>13189</v>
      </c>
      <c r="F4609" s="201">
        <v>-12</v>
      </c>
      <c r="G4609" s="201">
        <v>10.1</v>
      </c>
    </row>
    <row r="4610" spans="4:7">
      <c r="D4610" s="200" t="s">
        <v>4269</v>
      </c>
      <c r="E4610" s="10">
        <v>13351</v>
      </c>
      <c r="F4610" s="201">
        <v>-12</v>
      </c>
      <c r="G4610" s="201">
        <v>10.3</v>
      </c>
    </row>
    <row r="4611" spans="4:7">
      <c r="D4611" s="200" t="s">
        <v>4918</v>
      </c>
      <c r="E4611" s="10">
        <v>13437</v>
      </c>
      <c r="F4611" s="201">
        <v>-12</v>
      </c>
      <c r="G4611" s="201">
        <v>10.199999999999999</v>
      </c>
    </row>
    <row r="4612" spans="4:7">
      <c r="D4612" s="200" t="s">
        <v>4979</v>
      </c>
      <c r="E4612" s="10">
        <v>13439</v>
      </c>
      <c r="F4612" s="201">
        <v>-12</v>
      </c>
      <c r="G4612" s="201">
        <v>10.1</v>
      </c>
    </row>
    <row r="4613" spans="4:7">
      <c r="D4613" s="200" t="s">
        <v>4918</v>
      </c>
      <c r="E4613" s="10">
        <v>13509</v>
      </c>
      <c r="F4613" s="201">
        <v>-12</v>
      </c>
      <c r="G4613" s="201">
        <v>10.199999999999999</v>
      </c>
    </row>
    <row r="4614" spans="4:7">
      <c r="D4614" s="200" t="s">
        <v>4980</v>
      </c>
      <c r="E4614" s="10">
        <v>13585</v>
      </c>
      <c r="F4614" s="201">
        <v>-12</v>
      </c>
      <c r="G4614" s="201">
        <v>10.199999999999999</v>
      </c>
    </row>
    <row r="4615" spans="4:7">
      <c r="D4615" s="200" t="s">
        <v>4981</v>
      </c>
      <c r="E4615" s="10">
        <v>14165</v>
      </c>
      <c r="F4615" s="201">
        <v>-12</v>
      </c>
      <c r="G4615" s="201">
        <v>9.9</v>
      </c>
    </row>
    <row r="4616" spans="4:7">
      <c r="D4616" s="200" t="s">
        <v>4267</v>
      </c>
      <c r="E4616" s="10">
        <v>14197</v>
      </c>
      <c r="F4616" s="201">
        <v>-12</v>
      </c>
      <c r="G4616" s="201">
        <v>10</v>
      </c>
    </row>
    <row r="4617" spans="4:7">
      <c r="D4617" s="200" t="s">
        <v>4982</v>
      </c>
      <c r="E4617" s="10">
        <v>14199</v>
      </c>
      <c r="F4617" s="201">
        <v>-12</v>
      </c>
      <c r="G4617" s="201">
        <v>9.9</v>
      </c>
    </row>
    <row r="4618" spans="4:7">
      <c r="D4618" s="200" t="s">
        <v>4983</v>
      </c>
      <c r="E4618" s="10">
        <v>18190</v>
      </c>
      <c r="F4618" s="201">
        <v>-12</v>
      </c>
      <c r="G4618" s="201">
        <v>8.9</v>
      </c>
    </row>
    <row r="4619" spans="4:7">
      <c r="D4619" s="200" t="s">
        <v>4984</v>
      </c>
      <c r="E4619" s="10">
        <v>18195</v>
      </c>
      <c r="F4619" s="201">
        <v>-12</v>
      </c>
      <c r="G4619" s="201">
        <v>9</v>
      </c>
    </row>
    <row r="4620" spans="4:7">
      <c r="D4620" s="200" t="s">
        <v>4985</v>
      </c>
      <c r="E4620" s="10">
        <v>18196</v>
      </c>
      <c r="F4620" s="201">
        <v>-12</v>
      </c>
      <c r="G4620" s="201">
        <v>8.9</v>
      </c>
    </row>
    <row r="4621" spans="4:7">
      <c r="D4621" s="200" t="s">
        <v>4986</v>
      </c>
      <c r="E4621" s="10">
        <v>18258</v>
      </c>
      <c r="F4621" s="201">
        <v>-12</v>
      </c>
      <c r="G4621" s="201">
        <v>9.1</v>
      </c>
    </row>
    <row r="4622" spans="4:7" ht="30">
      <c r="D4622" s="200" t="s">
        <v>4987</v>
      </c>
      <c r="E4622" s="10">
        <v>18276</v>
      </c>
      <c r="F4622" s="201">
        <v>-12</v>
      </c>
      <c r="G4622" s="201">
        <v>9.1</v>
      </c>
    </row>
    <row r="4623" spans="4:7">
      <c r="D4623" s="200" t="s">
        <v>4988</v>
      </c>
      <c r="E4623" s="10">
        <v>18299</v>
      </c>
      <c r="F4623" s="201">
        <v>-12</v>
      </c>
      <c r="G4623" s="201">
        <v>9.1</v>
      </c>
    </row>
    <row r="4624" spans="4:7">
      <c r="D4624" s="200" t="s">
        <v>4989</v>
      </c>
      <c r="E4624" s="10">
        <v>18314</v>
      </c>
      <c r="F4624" s="201">
        <v>-12</v>
      </c>
      <c r="G4624" s="201">
        <v>8.9</v>
      </c>
    </row>
    <row r="4625" spans="4:7">
      <c r="D4625" s="200" t="s">
        <v>4990</v>
      </c>
      <c r="E4625" s="10">
        <v>18356</v>
      </c>
      <c r="F4625" s="201">
        <v>-12</v>
      </c>
      <c r="G4625" s="201">
        <v>8.8000000000000007</v>
      </c>
    </row>
    <row r="4626" spans="4:7">
      <c r="D4626" s="200" t="s">
        <v>4991</v>
      </c>
      <c r="E4626" s="10">
        <v>19374</v>
      </c>
      <c r="F4626" s="201">
        <v>-12</v>
      </c>
      <c r="G4626" s="201">
        <v>9.1</v>
      </c>
    </row>
    <row r="4627" spans="4:7">
      <c r="D4627" s="200" t="s">
        <v>4992</v>
      </c>
      <c r="E4627" s="10">
        <v>29471</v>
      </c>
      <c r="F4627" s="201">
        <v>-12</v>
      </c>
      <c r="G4627" s="201">
        <v>9.4</v>
      </c>
    </row>
    <row r="4628" spans="4:7">
      <c r="D4628" s="200" t="s">
        <v>4993</v>
      </c>
      <c r="E4628" s="10">
        <v>29478</v>
      </c>
      <c r="F4628" s="201">
        <v>-12</v>
      </c>
      <c r="G4628" s="201">
        <v>9.3000000000000007</v>
      </c>
    </row>
    <row r="4629" spans="4:7">
      <c r="D4629" s="200" t="s">
        <v>4994</v>
      </c>
      <c r="E4629" s="10">
        <v>29556</v>
      </c>
      <c r="F4629" s="201">
        <v>-12</v>
      </c>
      <c r="G4629" s="201">
        <v>9.1</v>
      </c>
    </row>
    <row r="4630" spans="4:7">
      <c r="D4630" s="200" t="s">
        <v>4995</v>
      </c>
      <c r="E4630" s="10">
        <v>29574</v>
      </c>
      <c r="F4630" s="201">
        <v>-12</v>
      </c>
      <c r="G4630" s="201">
        <v>9.1</v>
      </c>
    </row>
    <row r="4631" spans="4:7">
      <c r="D4631" s="200" t="s">
        <v>4996</v>
      </c>
      <c r="E4631" s="10">
        <v>29576</v>
      </c>
      <c r="F4631" s="201">
        <v>-12</v>
      </c>
      <c r="G4631" s="201">
        <v>9.1</v>
      </c>
    </row>
    <row r="4632" spans="4:7">
      <c r="D4632" s="200" t="s">
        <v>4997</v>
      </c>
      <c r="E4632" s="10">
        <v>29581</v>
      </c>
      <c r="F4632" s="201">
        <v>-12</v>
      </c>
      <c r="G4632" s="201">
        <v>9.1999999999999993</v>
      </c>
    </row>
    <row r="4633" spans="4:7">
      <c r="D4633" s="200" t="s">
        <v>4998</v>
      </c>
      <c r="E4633" s="10">
        <v>29582</v>
      </c>
      <c r="F4633" s="201">
        <v>-12</v>
      </c>
      <c r="G4633" s="201">
        <v>9.1</v>
      </c>
    </row>
    <row r="4634" spans="4:7">
      <c r="D4634" s="200" t="s">
        <v>4999</v>
      </c>
      <c r="E4634" s="10">
        <v>29590</v>
      </c>
      <c r="F4634" s="201">
        <v>-12</v>
      </c>
      <c r="G4634" s="201">
        <v>9.1999999999999993</v>
      </c>
    </row>
    <row r="4635" spans="4:7">
      <c r="D4635" s="200" t="s">
        <v>5000</v>
      </c>
      <c r="E4635" s="10">
        <v>29593</v>
      </c>
      <c r="F4635" s="201">
        <v>-12</v>
      </c>
      <c r="G4635" s="201">
        <v>9.1999999999999993</v>
      </c>
    </row>
    <row r="4636" spans="4:7">
      <c r="D4636" s="200" t="s">
        <v>5001</v>
      </c>
      <c r="E4636" s="10">
        <v>31073</v>
      </c>
      <c r="F4636" s="201">
        <v>-12</v>
      </c>
      <c r="G4636" s="201">
        <v>9.3000000000000007</v>
      </c>
    </row>
    <row r="4637" spans="4:7" ht="30">
      <c r="D4637" s="200" t="s">
        <v>5002</v>
      </c>
      <c r="E4637" s="10">
        <v>31079</v>
      </c>
      <c r="F4637" s="201">
        <v>-12</v>
      </c>
      <c r="G4637" s="201">
        <v>8.9</v>
      </c>
    </row>
    <row r="4638" spans="4:7">
      <c r="D4638" s="200" t="s">
        <v>5003</v>
      </c>
      <c r="E4638" s="10">
        <v>31085</v>
      </c>
      <c r="F4638" s="201">
        <v>-12</v>
      </c>
      <c r="G4638" s="201">
        <v>9.1999999999999993</v>
      </c>
    </row>
    <row r="4639" spans="4:7">
      <c r="D4639" s="200" t="s">
        <v>5004</v>
      </c>
      <c r="E4639" s="10">
        <v>34549</v>
      </c>
      <c r="F4639" s="201">
        <v>-12</v>
      </c>
      <c r="G4639" s="201">
        <v>9.1999999999999993</v>
      </c>
    </row>
    <row r="4640" spans="4:7">
      <c r="D4640" s="200" t="s">
        <v>5005</v>
      </c>
      <c r="E4640" s="10">
        <v>34560</v>
      </c>
      <c r="F4640" s="201">
        <v>-12</v>
      </c>
      <c r="G4640" s="201">
        <v>9.1</v>
      </c>
    </row>
    <row r="4641" spans="4:7">
      <c r="D4641" s="200" t="s">
        <v>5006</v>
      </c>
      <c r="E4641" s="10">
        <v>34576</v>
      </c>
      <c r="F4641" s="201">
        <v>-12</v>
      </c>
      <c r="G4641" s="201">
        <v>8.6</v>
      </c>
    </row>
    <row r="4642" spans="4:7">
      <c r="D4642" s="200" t="s">
        <v>5007</v>
      </c>
      <c r="E4642" s="10">
        <v>34596</v>
      </c>
      <c r="F4642" s="201">
        <v>-12</v>
      </c>
      <c r="G4642" s="201">
        <v>9.1</v>
      </c>
    </row>
    <row r="4643" spans="4:7">
      <c r="D4643" s="200" t="s">
        <v>5008</v>
      </c>
      <c r="E4643" s="10">
        <v>34621</v>
      </c>
      <c r="F4643" s="201">
        <v>-12</v>
      </c>
      <c r="G4643" s="201">
        <v>8.6999999999999993</v>
      </c>
    </row>
    <row r="4644" spans="4:7">
      <c r="D4644" s="200" t="s">
        <v>5009</v>
      </c>
      <c r="E4644" s="10">
        <v>34626</v>
      </c>
      <c r="F4644" s="201">
        <v>-12</v>
      </c>
      <c r="G4644" s="201">
        <v>8.8000000000000007</v>
      </c>
    </row>
    <row r="4645" spans="4:7">
      <c r="D4645" s="200" t="s">
        <v>5010</v>
      </c>
      <c r="E4645" s="10">
        <v>34633</v>
      </c>
      <c r="F4645" s="201">
        <v>-12</v>
      </c>
      <c r="G4645" s="201">
        <v>8.6999999999999993</v>
      </c>
    </row>
    <row r="4646" spans="4:7">
      <c r="D4646" s="200" t="s">
        <v>5011</v>
      </c>
      <c r="E4646" s="10">
        <v>35104</v>
      </c>
      <c r="F4646" s="201">
        <v>-12</v>
      </c>
      <c r="G4646" s="201">
        <v>8.1999999999999993</v>
      </c>
    </row>
    <row r="4647" spans="4:7">
      <c r="D4647" s="200" t="s">
        <v>4325</v>
      </c>
      <c r="E4647" s="10">
        <v>36041</v>
      </c>
      <c r="F4647" s="201">
        <v>-12</v>
      </c>
      <c r="G4647" s="201">
        <v>9</v>
      </c>
    </row>
    <row r="4648" spans="4:7">
      <c r="D4648" s="200" t="s">
        <v>5012</v>
      </c>
      <c r="E4648" s="10">
        <v>36103</v>
      </c>
      <c r="F4648" s="201">
        <v>-12</v>
      </c>
      <c r="G4648" s="201">
        <v>8.8000000000000007</v>
      </c>
    </row>
    <row r="4649" spans="4:7">
      <c r="D4649" s="200" t="s">
        <v>5013</v>
      </c>
      <c r="E4649" s="10">
        <v>36154</v>
      </c>
      <c r="F4649" s="201">
        <v>-12</v>
      </c>
      <c r="G4649" s="201">
        <v>8.6999999999999993</v>
      </c>
    </row>
    <row r="4650" spans="4:7">
      <c r="D4650" s="200" t="s">
        <v>5014</v>
      </c>
      <c r="E4650" s="10">
        <v>36205</v>
      </c>
      <c r="F4650" s="201">
        <v>-12</v>
      </c>
      <c r="G4650" s="201">
        <v>9</v>
      </c>
    </row>
    <row r="4651" spans="4:7">
      <c r="D4651" s="200" t="s">
        <v>5015</v>
      </c>
      <c r="E4651" s="10">
        <v>36320</v>
      </c>
      <c r="F4651" s="201">
        <v>-12</v>
      </c>
      <c r="G4651" s="201">
        <v>8.6999999999999993</v>
      </c>
    </row>
    <row r="4652" spans="4:7">
      <c r="D4652" s="200" t="s">
        <v>5016</v>
      </c>
      <c r="E4652" s="10">
        <v>36367</v>
      </c>
      <c r="F4652" s="201">
        <v>-12</v>
      </c>
      <c r="G4652" s="201">
        <v>9</v>
      </c>
    </row>
    <row r="4653" spans="4:7">
      <c r="D4653" s="200" t="s">
        <v>5017</v>
      </c>
      <c r="E4653" s="10">
        <v>37136</v>
      </c>
      <c r="F4653" s="201">
        <v>-12</v>
      </c>
      <c r="G4653" s="201">
        <v>9</v>
      </c>
    </row>
    <row r="4654" spans="4:7">
      <c r="D4654" s="200" t="s">
        <v>5018</v>
      </c>
      <c r="E4654" s="10">
        <v>37139</v>
      </c>
      <c r="F4654" s="201">
        <v>-12</v>
      </c>
      <c r="G4654" s="201">
        <v>9.1</v>
      </c>
    </row>
    <row r="4655" spans="4:7">
      <c r="D4655" s="200" t="s">
        <v>5019</v>
      </c>
      <c r="E4655" s="10">
        <v>37191</v>
      </c>
      <c r="F4655" s="201">
        <v>-12</v>
      </c>
      <c r="G4655" s="201">
        <v>9.1999999999999993</v>
      </c>
    </row>
    <row r="4656" spans="4:7">
      <c r="D4656" s="200" t="s">
        <v>5020</v>
      </c>
      <c r="E4656" s="10">
        <v>37199</v>
      </c>
      <c r="F4656" s="201">
        <v>-12</v>
      </c>
      <c r="G4656" s="201">
        <v>9.1999999999999993</v>
      </c>
    </row>
    <row r="4657" spans="4:7">
      <c r="D4657" s="200" t="s">
        <v>5021</v>
      </c>
      <c r="E4657" s="10">
        <v>37249</v>
      </c>
      <c r="F4657" s="201">
        <v>-12</v>
      </c>
      <c r="G4657" s="201">
        <v>8.8000000000000007</v>
      </c>
    </row>
    <row r="4658" spans="4:7">
      <c r="D4658" s="200" t="s">
        <v>5022</v>
      </c>
      <c r="E4658" s="10">
        <v>37281</v>
      </c>
      <c r="F4658" s="201">
        <v>-12</v>
      </c>
      <c r="G4658" s="201">
        <v>9.4</v>
      </c>
    </row>
    <row r="4659" spans="4:7">
      <c r="D4659" s="200" t="s">
        <v>5023</v>
      </c>
      <c r="E4659" s="10">
        <v>38170</v>
      </c>
      <c r="F4659" s="201">
        <v>-12</v>
      </c>
      <c r="G4659" s="201">
        <v>9.6</v>
      </c>
    </row>
    <row r="4660" spans="4:7">
      <c r="D4660" s="200" t="s">
        <v>5024</v>
      </c>
      <c r="E4660" s="10">
        <v>38315</v>
      </c>
      <c r="F4660" s="201">
        <v>-12</v>
      </c>
      <c r="G4660" s="201">
        <v>9.6999999999999993</v>
      </c>
    </row>
    <row r="4661" spans="4:7">
      <c r="D4661" s="200" t="s">
        <v>4398</v>
      </c>
      <c r="E4661" s="10">
        <v>38319</v>
      </c>
      <c r="F4661" s="201">
        <v>-12</v>
      </c>
      <c r="G4661" s="201">
        <v>9.6</v>
      </c>
    </row>
    <row r="4662" spans="4:7">
      <c r="D4662" s="200" t="s">
        <v>5025</v>
      </c>
      <c r="E4662" s="10">
        <v>38327</v>
      </c>
      <c r="F4662" s="201">
        <v>-12</v>
      </c>
      <c r="G4662" s="201">
        <v>9.6</v>
      </c>
    </row>
    <row r="4663" spans="4:7">
      <c r="D4663" s="200" t="s">
        <v>5026</v>
      </c>
      <c r="E4663" s="10">
        <v>38465</v>
      </c>
      <c r="F4663" s="201">
        <v>-12</v>
      </c>
      <c r="G4663" s="201">
        <v>9.4</v>
      </c>
    </row>
    <row r="4664" spans="4:7">
      <c r="D4664" s="200" t="s">
        <v>4110</v>
      </c>
      <c r="E4664" s="10">
        <v>39104</v>
      </c>
      <c r="F4664" s="201">
        <v>-12</v>
      </c>
      <c r="G4664" s="201">
        <v>9.9</v>
      </c>
    </row>
    <row r="4665" spans="4:7">
      <c r="D4665" s="200" t="s">
        <v>4110</v>
      </c>
      <c r="E4665" s="10">
        <v>39128</v>
      </c>
      <c r="F4665" s="201">
        <v>-12</v>
      </c>
      <c r="G4665" s="201">
        <v>9.8000000000000007</v>
      </c>
    </row>
    <row r="4666" spans="4:7">
      <c r="D4666" s="200" t="s">
        <v>4110</v>
      </c>
      <c r="E4666" s="10">
        <v>39130</v>
      </c>
      <c r="F4666" s="201">
        <v>-12</v>
      </c>
      <c r="G4666" s="201">
        <v>9.8000000000000007</v>
      </c>
    </row>
    <row r="4667" spans="4:7">
      <c r="D4667" s="200" t="s">
        <v>5027</v>
      </c>
      <c r="E4667" s="10">
        <v>54589</v>
      </c>
      <c r="F4667" s="201">
        <v>-12</v>
      </c>
      <c r="G4667" s="201">
        <v>7.7</v>
      </c>
    </row>
    <row r="4668" spans="4:7">
      <c r="D4668" s="200" t="s">
        <v>5028</v>
      </c>
      <c r="E4668" s="10">
        <v>63637</v>
      </c>
      <c r="F4668" s="201">
        <v>-12</v>
      </c>
      <c r="G4668" s="201">
        <v>8.5</v>
      </c>
    </row>
    <row r="4669" spans="4:7">
      <c r="D4669" s="200" t="s">
        <v>5029</v>
      </c>
      <c r="E4669" s="10">
        <v>63831</v>
      </c>
      <c r="F4669" s="201">
        <v>-12</v>
      </c>
      <c r="G4669" s="201">
        <v>8.6</v>
      </c>
    </row>
    <row r="4670" spans="4:7">
      <c r="D4670" s="200" t="s">
        <v>4134</v>
      </c>
      <c r="E4670" s="10">
        <v>71065</v>
      </c>
      <c r="F4670" s="201">
        <v>-12</v>
      </c>
      <c r="G4670" s="201">
        <v>9</v>
      </c>
    </row>
    <row r="4671" spans="4:7">
      <c r="D4671" s="200" t="s">
        <v>5030</v>
      </c>
      <c r="E4671" s="10">
        <v>71131</v>
      </c>
      <c r="F4671" s="201">
        <v>-12</v>
      </c>
      <c r="G4671" s="201">
        <v>8.8000000000000007</v>
      </c>
    </row>
    <row r="4672" spans="4:7">
      <c r="D4672" s="200" t="s">
        <v>4144</v>
      </c>
      <c r="E4672" s="10">
        <v>71155</v>
      </c>
      <c r="F4672" s="201">
        <v>-12</v>
      </c>
      <c r="G4672" s="201">
        <v>8.8000000000000007</v>
      </c>
    </row>
    <row r="4673" spans="4:7">
      <c r="D4673" s="200" t="s">
        <v>5031</v>
      </c>
      <c r="E4673" s="10">
        <v>71299</v>
      </c>
      <c r="F4673" s="201">
        <v>-12</v>
      </c>
      <c r="G4673" s="201">
        <v>9</v>
      </c>
    </row>
    <row r="4674" spans="4:7">
      <c r="D4674" s="200" t="s">
        <v>5032</v>
      </c>
      <c r="E4674" s="10">
        <v>72116</v>
      </c>
      <c r="F4674" s="201">
        <v>-12</v>
      </c>
      <c r="G4674" s="201">
        <v>8.9</v>
      </c>
    </row>
    <row r="4675" spans="4:7">
      <c r="D4675" s="200" t="s">
        <v>5033</v>
      </c>
      <c r="E4675" s="10">
        <v>72181</v>
      </c>
      <c r="F4675" s="201">
        <v>-12</v>
      </c>
      <c r="G4675" s="201">
        <v>9</v>
      </c>
    </row>
    <row r="4676" spans="4:7">
      <c r="D4676" s="200" t="s">
        <v>5034</v>
      </c>
      <c r="E4676" s="10">
        <v>72189</v>
      </c>
      <c r="F4676" s="201">
        <v>-12</v>
      </c>
      <c r="G4676" s="201">
        <v>8.9</v>
      </c>
    </row>
    <row r="4677" spans="4:7">
      <c r="D4677" s="200" t="s">
        <v>5035</v>
      </c>
      <c r="E4677" s="10">
        <v>72401</v>
      </c>
      <c r="F4677" s="201">
        <v>-12</v>
      </c>
      <c r="G4677" s="201">
        <v>9</v>
      </c>
    </row>
    <row r="4678" spans="4:7">
      <c r="D4678" s="200" t="s">
        <v>5036</v>
      </c>
      <c r="E4678" s="10">
        <v>72406</v>
      </c>
      <c r="F4678" s="201">
        <v>-12</v>
      </c>
      <c r="G4678" s="201">
        <v>8.8000000000000007</v>
      </c>
    </row>
    <row r="4679" spans="4:7">
      <c r="D4679" s="200" t="s">
        <v>5037</v>
      </c>
      <c r="E4679" s="10">
        <v>72415</v>
      </c>
      <c r="F4679" s="201">
        <v>-12</v>
      </c>
      <c r="G4679" s="201">
        <v>8.8000000000000007</v>
      </c>
    </row>
    <row r="4680" spans="4:7">
      <c r="D4680" s="200" t="s">
        <v>3636</v>
      </c>
      <c r="E4680" s="10">
        <v>72770</v>
      </c>
      <c r="F4680" s="201">
        <v>-12</v>
      </c>
      <c r="G4680" s="201">
        <v>9</v>
      </c>
    </row>
    <row r="4681" spans="4:7">
      <c r="D4681" s="200" t="s">
        <v>5038</v>
      </c>
      <c r="E4681" s="10">
        <v>73563</v>
      </c>
      <c r="F4681" s="201">
        <v>-12</v>
      </c>
      <c r="G4681" s="201">
        <v>9.1999999999999993</v>
      </c>
    </row>
    <row r="4682" spans="4:7">
      <c r="D4682" s="200" t="s">
        <v>5039</v>
      </c>
      <c r="E4682" s="10">
        <v>74423</v>
      </c>
      <c r="F4682" s="201">
        <v>-12</v>
      </c>
      <c r="G4682" s="201">
        <v>9.3000000000000007</v>
      </c>
    </row>
    <row r="4683" spans="4:7">
      <c r="D4683" s="200" t="s">
        <v>5040</v>
      </c>
      <c r="E4683" s="10">
        <v>74592</v>
      </c>
      <c r="F4683" s="201">
        <v>-12</v>
      </c>
      <c r="G4683" s="201">
        <v>9.4</v>
      </c>
    </row>
    <row r="4684" spans="4:7">
      <c r="D4684" s="200" t="s">
        <v>5041</v>
      </c>
      <c r="E4684" s="10">
        <v>75242</v>
      </c>
      <c r="F4684" s="201">
        <v>-12</v>
      </c>
      <c r="G4684" s="201">
        <v>8.9</v>
      </c>
    </row>
    <row r="4685" spans="4:7">
      <c r="D4685" s="200" t="s">
        <v>5042</v>
      </c>
      <c r="E4685" s="10">
        <v>78357</v>
      </c>
      <c r="F4685" s="201">
        <v>-12</v>
      </c>
      <c r="G4685" s="201">
        <v>8.4</v>
      </c>
    </row>
    <row r="4686" spans="4:7">
      <c r="D4686" s="200" t="s">
        <v>5043</v>
      </c>
      <c r="E4686" s="10">
        <v>88271</v>
      </c>
      <c r="F4686" s="201">
        <v>-12</v>
      </c>
      <c r="G4686" s="201">
        <v>8.5</v>
      </c>
    </row>
    <row r="4687" spans="4:7">
      <c r="D4687" s="200" t="s">
        <v>5044</v>
      </c>
      <c r="E4687" s="10">
        <v>88287</v>
      </c>
      <c r="F4687" s="201">
        <v>-12</v>
      </c>
      <c r="G4687" s="201">
        <v>8.6</v>
      </c>
    </row>
    <row r="4688" spans="4:7">
      <c r="D4688" s="200" t="s">
        <v>5045</v>
      </c>
      <c r="E4688" s="10">
        <v>88605</v>
      </c>
      <c r="F4688" s="201">
        <v>-12</v>
      </c>
      <c r="G4688" s="201">
        <v>8.4</v>
      </c>
    </row>
    <row r="4689" spans="4:7">
      <c r="D4689" s="200" t="s">
        <v>5046</v>
      </c>
      <c r="E4689" s="10">
        <v>89231</v>
      </c>
      <c r="F4689" s="201">
        <v>-12</v>
      </c>
      <c r="G4689" s="201">
        <v>9.5</v>
      </c>
    </row>
    <row r="4690" spans="4:7">
      <c r="D4690" s="200" t="s">
        <v>4257</v>
      </c>
      <c r="E4690" s="10">
        <v>90439</v>
      </c>
      <c r="F4690" s="201">
        <v>-12</v>
      </c>
      <c r="G4690" s="201">
        <v>10.199999999999999</v>
      </c>
    </row>
    <row r="4691" spans="4:7">
      <c r="D4691" s="200" t="s">
        <v>5047</v>
      </c>
      <c r="E4691" s="10">
        <v>94104</v>
      </c>
      <c r="F4691" s="201">
        <v>-12</v>
      </c>
      <c r="G4691" s="201">
        <v>8.6</v>
      </c>
    </row>
    <row r="4692" spans="4:7">
      <c r="D4692" s="200" t="s">
        <v>5048</v>
      </c>
      <c r="E4692" s="10">
        <v>94113</v>
      </c>
      <c r="F4692" s="201">
        <v>-12</v>
      </c>
      <c r="G4692" s="201">
        <v>8.9</v>
      </c>
    </row>
    <row r="4693" spans="4:7">
      <c r="D4693" s="200" t="s">
        <v>5049</v>
      </c>
      <c r="E4693" s="10">
        <v>94127</v>
      </c>
      <c r="F4693" s="201">
        <v>-12</v>
      </c>
      <c r="G4693" s="201">
        <v>8.9</v>
      </c>
    </row>
    <row r="4694" spans="4:7">
      <c r="D4694" s="200" t="s">
        <v>5050</v>
      </c>
      <c r="E4694" s="10">
        <v>94529</v>
      </c>
      <c r="F4694" s="201">
        <v>-12</v>
      </c>
      <c r="G4694" s="201">
        <v>9</v>
      </c>
    </row>
    <row r="4695" spans="4:7">
      <c r="D4695" s="200" t="s">
        <v>4392</v>
      </c>
      <c r="E4695" s="10">
        <v>95445</v>
      </c>
      <c r="F4695" s="201">
        <v>-12</v>
      </c>
      <c r="G4695" s="201">
        <v>9.3000000000000007</v>
      </c>
    </row>
    <row r="4696" spans="4:7">
      <c r="D4696" s="200" t="s">
        <v>5051</v>
      </c>
      <c r="E4696" s="10">
        <v>96106</v>
      </c>
      <c r="F4696" s="201">
        <v>-12</v>
      </c>
      <c r="G4696" s="201">
        <v>9</v>
      </c>
    </row>
    <row r="4697" spans="4:7">
      <c r="D4697" s="200" t="s">
        <v>5052</v>
      </c>
      <c r="E4697" s="10">
        <v>96145</v>
      </c>
      <c r="F4697" s="201">
        <v>-12</v>
      </c>
      <c r="G4697" s="201">
        <v>8.8000000000000007</v>
      </c>
    </row>
    <row r="4698" spans="4:7">
      <c r="D4698" s="200" t="s">
        <v>5011</v>
      </c>
      <c r="E4698" s="10">
        <v>96215</v>
      </c>
      <c r="F4698" s="201">
        <v>-12</v>
      </c>
      <c r="G4698" s="201">
        <v>9.1</v>
      </c>
    </row>
    <row r="4699" spans="4:7">
      <c r="D4699" s="200" t="s">
        <v>5053</v>
      </c>
      <c r="E4699" s="10">
        <v>96247</v>
      </c>
      <c r="F4699" s="201">
        <v>-12</v>
      </c>
      <c r="G4699" s="201">
        <v>9.1</v>
      </c>
    </row>
    <row r="4700" spans="4:7">
      <c r="D4700" s="200" t="s">
        <v>5054</v>
      </c>
      <c r="E4700" s="10">
        <v>96257</v>
      </c>
      <c r="F4700" s="201">
        <v>-12</v>
      </c>
      <c r="G4700" s="201">
        <v>9.1</v>
      </c>
    </row>
    <row r="4701" spans="4:7">
      <c r="D4701" s="200" t="s">
        <v>5055</v>
      </c>
      <c r="E4701" s="10">
        <v>96269</v>
      </c>
      <c r="F4701" s="201">
        <v>-12</v>
      </c>
      <c r="G4701" s="201">
        <v>8.8000000000000007</v>
      </c>
    </row>
    <row r="4702" spans="4:7">
      <c r="D4702" s="200" t="s">
        <v>5056</v>
      </c>
      <c r="E4702" s="10">
        <v>96274</v>
      </c>
      <c r="F4702" s="201">
        <v>-12</v>
      </c>
      <c r="G4702" s="201">
        <v>9.1</v>
      </c>
    </row>
    <row r="4703" spans="4:7">
      <c r="D4703" s="200" t="s">
        <v>5057</v>
      </c>
      <c r="E4703" s="10">
        <v>96277</v>
      </c>
      <c r="F4703" s="201">
        <v>-12</v>
      </c>
      <c r="G4703" s="201">
        <v>8.8000000000000007</v>
      </c>
    </row>
    <row r="4704" spans="4:7">
      <c r="D4704" s="200" t="s">
        <v>5058</v>
      </c>
      <c r="E4704" s="10">
        <v>96465</v>
      </c>
      <c r="F4704" s="201">
        <v>-12</v>
      </c>
      <c r="G4704" s="201">
        <v>8.8000000000000007</v>
      </c>
    </row>
    <row r="4705" spans="4:7">
      <c r="D4705" s="200" t="s">
        <v>4684</v>
      </c>
      <c r="E4705" s="10">
        <v>96482</v>
      </c>
      <c r="F4705" s="201">
        <v>-12</v>
      </c>
      <c r="G4705" s="201">
        <v>8.8000000000000007</v>
      </c>
    </row>
    <row r="4706" spans="4:7">
      <c r="D4706" s="200" t="s">
        <v>5059</v>
      </c>
      <c r="E4706" s="10">
        <v>97496</v>
      </c>
      <c r="F4706" s="201">
        <v>-12</v>
      </c>
      <c r="G4706" s="201">
        <v>9</v>
      </c>
    </row>
    <row r="4707" spans="4:7">
      <c r="D4707" s="200" t="s">
        <v>5060</v>
      </c>
      <c r="E4707" s="10">
        <v>97519</v>
      </c>
      <c r="F4707" s="201">
        <v>-12</v>
      </c>
      <c r="G4707" s="201">
        <v>9</v>
      </c>
    </row>
    <row r="4708" spans="4:7">
      <c r="D4708" s="200" t="s">
        <v>5061</v>
      </c>
      <c r="E4708" s="10">
        <v>97531</v>
      </c>
      <c r="F4708" s="201">
        <v>-12</v>
      </c>
      <c r="G4708" s="201">
        <v>9.1</v>
      </c>
    </row>
    <row r="4709" spans="4:7">
      <c r="D4709" s="200" t="s">
        <v>5062</v>
      </c>
      <c r="E4709" s="10">
        <v>97773</v>
      </c>
      <c r="F4709" s="201">
        <v>-12</v>
      </c>
      <c r="G4709" s="201">
        <v>8.4</v>
      </c>
    </row>
    <row r="4710" spans="4:7">
      <c r="D4710" s="200" t="s">
        <v>5063</v>
      </c>
      <c r="E4710" s="10">
        <v>97789</v>
      </c>
      <c r="F4710" s="201">
        <v>-12</v>
      </c>
      <c r="G4710" s="201">
        <v>8.4</v>
      </c>
    </row>
    <row r="4711" spans="4:7">
      <c r="D4711" s="200" t="s">
        <v>5064</v>
      </c>
      <c r="E4711" s="10">
        <v>97795</v>
      </c>
      <c r="F4711" s="201">
        <v>-12</v>
      </c>
      <c r="G4711" s="201">
        <v>8.5</v>
      </c>
    </row>
    <row r="4712" spans="4:7">
      <c r="D4712" s="200" t="s">
        <v>5065</v>
      </c>
      <c r="E4712" s="10">
        <v>97848</v>
      </c>
      <c r="F4712" s="201">
        <v>-12</v>
      </c>
      <c r="G4712" s="201">
        <v>8.8000000000000007</v>
      </c>
    </row>
    <row r="4713" spans="4:7">
      <c r="D4713" s="200" t="s">
        <v>5066</v>
      </c>
      <c r="E4713" s="10">
        <v>97851</v>
      </c>
      <c r="F4713" s="201">
        <v>-12</v>
      </c>
      <c r="G4713" s="201">
        <v>9</v>
      </c>
    </row>
    <row r="4714" spans="4:7">
      <c r="D4714" s="200" t="s">
        <v>5067</v>
      </c>
      <c r="E4714" s="10">
        <v>97896</v>
      </c>
      <c r="F4714" s="201">
        <v>-12</v>
      </c>
      <c r="G4714" s="201">
        <v>8.8000000000000007</v>
      </c>
    </row>
    <row r="4715" spans="4:7">
      <c r="D4715" s="200" t="s">
        <v>5068</v>
      </c>
      <c r="E4715" s="10">
        <v>98663</v>
      </c>
      <c r="F4715" s="201">
        <v>-12</v>
      </c>
      <c r="G4715" s="201">
        <v>8.6999999999999993</v>
      </c>
    </row>
    <row r="4716" spans="4:7">
      <c r="D4716" s="200" t="s">
        <v>5069</v>
      </c>
      <c r="E4716" s="10">
        <v>1097</v>
      </c>
      <c r="F4716" s="201">
        <v>-12.1</v>
      </c>
      <c r="G4716" s="201">
        <v>10.9</v>
      </c>
    </row>
    <row r="4717" spans="4:7">
      <c r="D4717" s="200" t="s">
        <v>5070</v>
      </c>
      <c r="E4717" s="10">
        <v>10317</v>
      </c>
      <c r="F4717" s="201">
        <v>-12.1</v>
      </c>
      <c r="G4717" s="201">
        <v>10</v>
      </c>
    </row>
    <row r="4718" spans="4:7">
      <c r="D4718" s="200" t="s">
        <v>4057</v>
      </c>
      <c r="E4718" s="10">
        <v>12057</v>
      </c>
      <c r="F4718" s="201">
        <v>-12.1</v>
      </c>
      <c r="G4718" s="201">
        <v>10</v>
      </c>
    </row>
    <row r="4719" spans="4:7">
      <c r="D4719" s="200" t="s">
        <v>4268</v>
      </c>
      <c r="E4719" s="10">
        <v>12157</v>
      </c>
      <c r="F4719" s="201">
        <v>-12.1</v>
      </c>
      <c r="G4719" s="201">
        <v>9.9</v>
      </c>
    </row>
    <row r="4720" spans="4:7">
      <c r="D4720" s="200" t="s">
        <v>4972</v>
      </c>
      <c r="E4720" s="10">
        <v>12169</v>
      </c>
      <c r="F4720" s="201">
        <v>-12.1</v>
      </c>
      <c r="G4720" s="201">
        <v>9.9</v>
      </c>
    </row>
    <row r="4721" spans="4:7">
      <c r="D4721" s="200" t="s">
        <v>4973</v>
      </c>
      <c r="E4721" s="10">
        <v>12205</v>
      </c>
      <c r="F4721" s="201">
        <v>-12.1</v>
      </c>
      <c r="G4721" s="201">
        <v>9.9</v>
      </c>
    </row>
    <row r="4722" spans="4:7">
      <c r="D4722" s="200" t="s">
        <v>4974</v>
      </c>
      <c r="E4722" s="10">
        <v>12249</v>
      </c>
      <c r="F4722" s="201">
        <v>-12.1</v>
      </c>
      <c r="G4722" s="201">
        <v>10</v>
      </c>
    </row>
    <row r="4723" spans="4:7">
      <c r="D4723" s="200" t="s">
        <v>5071</v>
      </c>
      <c r="E4723" s="10">
        <v>12349</v>
      </c>
      <c r="F4723" s="201">
        <v>-12.1</v>
      </c>
      <c r="G4723" s="201">
        <v>10</v>
      </c>
    </row>
    <row r="4724" spans="4:7">
      <c r="D4724" s="200" t="s">
        <v>5071</v>
      </c>
      <c r="E4724" s="10">
        <v>12351</v>
      </c>
      <c r="F4724" s="201">
        <v>-12.1</v>
      </c>
      <c r="G4724" s="201">
        <v>10</v>
      </c>
    </row>
    <row r="4725" spans="4:7">
      <c r="D4725" s="200" t="s">
        <v>5072</v>
      </c>
      <c r="E4725" s="10">
        <v>12355</v>
      </c>
      <c r="F4725" s="201">
        <v>-12.1</v>
      </c>
      <c r="G4725" s="201">
        <v>10</v>
      </c>
    </row>
    <row r="4726" spans="4:7">
      <c r="D4726" s="200" t="s">
        <v>4975</v>
      </c>
      <c r="E4726" s="10">
        <v>12359</v>
      </c>
      <c r="F4726" s="201">
        <v>-12.1</v>
      </c>
      <c r="G4726" s="201">
        <v>10</v>
      </c>
    </row>
    <row r="4727" spans="4:7">
      <c r="D4727" s="200" t="s">
        <v>4418</v>
      </c>
      <c r="E4727" s="10">
        <v>12487</v>
      </c>
      <c r="F4727" s="201">
        <v>-12.1</v>
      </c>
      <c r="G4727" s="201">
        <v>10</v>
      </c>
    </row>
    <row r="4728" spans="4:7">
      <c r="D4728" s="200" t="s">
        <v>5073</v>
      </c>
      <c r="E4728" s="10">
        <v>12489</v>
      </c>
      <c r="F4728" s="201">
        <v>-12.1</v>
      </c>
      <c r="G4728" s="201">
        <v>10</v>
      </c>
    </row>
    <row r="4729" spans="4:7">
      <c r="D4729" s="200" t="s">
        <v>5074</v>
      </c>
      <c r="E4729" s="10">
        <v>12524</v>
      </c>
      <c r="F4729" s="201">
        <v>-12.1</v>
      </c>
      <c r="G4729" s="201">
        <v>10.1</v>
      </c>
    </row>
    <row r="4730" spans="4:7">
      <c r="D4730" s="200" t="s">
        <v>5075</v>
      </c>
      <c r="E4730" s="10">
        <v>12627</v>
      </c>
      <c r="F4730" s="201">
        <v>-12.1</v>
      </c>
      <c r="G4730" s="201">
        <v>10.1</v>
      </c>
    </row>
    <row r="4731" spans="4:7">
      <c r="D4731" s="200" t="s">
        <v>4418</v>
      </c>
      <c r="E4731" s="10">
        <v>12681</v>
      </c>
      <c r="F4731" s="201">
        <v>-12.1</v>
      </c>
      <c r="G4731" s="201">
        <v>10</v>
      </c>
    </row>
    <row r="4732" spans="4:7">
      <c r="D4732" s="200" t="s">
        <v>5076</v>
      </c>
      <c r="E4732" s="10">
        <v>12683</v>
      </c>
      <c r="F4732" s="201">
        <v>-12.1</v>
      </c>
      <c r="G4732" s="201">
        <v>10</v>
      </c>
    </row>
    <row r="4733" spans="4:7">
      <c r="D4733" s="200" t="s">
        <v>4977</v>
      </c>
      <c r="E4733" s="10">
        <v>13053</v>
      </c>
      <c r="F4733" s="201">
        <v>-12.1</v>
      </c>
      <c r="G4733" s="201">
        <v>10</v>
      </c>
    </row>
    <row r="4734" spans="4:7">
      <c r="D4734" s="200" t="s">
        <v>5077</v>
      </c>
      <c r="E4734" s="10">
        <v>13057</v>
      </c>
      <c r="F4734" s="201">
        <v>-12.1</v>
      </c>
      <c r="G4734" s="201">
        <v>10</v>
      </c>
    </row>
    <row r="4735" spans="4:7">
      <c r="D4735" s="200" t="s">
        <v>5078</v>
      </c>
      <c r="E4735" s="10">
        <v>13086</v>
      </c>
      <c r="F4735" s="201">
        <v>-12.1</v>
      </c>
      <c r="G4735" s="201">
        <v>10</v>
      </c>
    </row>
    <row r="4736" spans="4:7">
      <c r="D4736" s="200" t="s">
        <v>5078</v>
      </c>
      <c r="E4736" s="10">
        <v>13088</v>
      </c>
      <c r="F4736" s="201">
        <v>-12.1</v>
      </c>
      <c r="G4736" s="201">
        <v>10</v>
      </c>
    </row>
    <row r="4737" spans="4:7">
      <c r="D4737" s="200" t="s">
        <v>4979</v>
      </c>
      <c r="E4737" s="10">
        <v>13435</v>
      </c>
      <c r="F4737" s="201">
        <v>-12.1</v>
      </c>
      <c r="G4737" s="201">
        <v>10.1</v>
      </c>
    </row>
    <row r="4738" spans="4:7">
      <c r="D4738" s="200" t="s">
        <v>4980</v>
      </c>
      <c r="E4738" s="10">
        <v>13581</v>
      </c>
      <c r="F4738" s="201">
        <v>-12.1</v>
      </c>
      <c r="G4738" s="201">
        <v>10.1</v>
      </c>
    </row>
    <row r="4739" spans="4:7">
      <c r="D4739" s="200" t="s">
        <v>4980</v>
      </c>
      <c r="E4739" s="10">
        <v>13583</v>
      </c>
      <c r="F4739" s="201">
        <v>-12.1</v>
      </c>
      <c r="G4739" s="201">
        <v>10.1</v>
      </c>
    </row>
    <row r="4740" spans="4:7">
      <c r="D4740" s="200" t="s">
        <v>4980</v>
      </c>
      <c r="E4740" s="10">
        <v>13597</v>
      </c>
      <c r="F4740" s="201">
        <v>-12.1</v>
      </c>
      <c r="G4740" s="201">
        <v>10.1</v>
      </c>
    </row>
    <row r="4741" spans="4:7">
      <c r="D4741" s="200" t="s">
        <v>5079</v>
      </c>
      <c r="E4741" s="10">
        <v>13599</v>
      </c>
      <c r="F4741" s="201">
        <v>-12.1</v>
      </c>
      <c r="G4741" s="201">
        <v>10.1</v>
      </c>
    </row>
    <row r="4742" spans="4:7">
      <c r="D4742" s="200" t="s">
        <v>5080</v>
      </c>
      <c r="E4742" s="10">
        <v>13627</v>
      </c>
      <c r="F4742" s="201">
        <v>-12.1</v>
      </c>
      <c r="G4742" s="201">
        <v>10.199999999999999</v>
      </c>
    </row>
    <row r="4743" spans="4:7">
      <c r="D4743" s="200" t="s">
        <v>5081</v>
      </c>
      <c r="E4743" s="10">
        <v>14050</v>
      </c>
      <c r="F4743" s="201">
        <v>-12.1</v>
      </c>
      <c r="G4743" s="201">
        <v>10</v>
      </c>
    </row>
    <row r="4744" spans="4:7">
      <c r="D4744" s="200" t="s">
        <v>5082</v>
      </c>
      <c r="E4744" s="10">
        <v>14467</v>
      </c>
      <c r="F4744" s="201">
        <v>-12.1</v>
      </c>
      <c r="G4744" s="201">
        <v>10</v>
      </c>
    </row>
    <row r="4745" spans="4:7">
      <c r="D4745" s="200" t="s">
        <v>5083</v>
      </c>
      <c r="E4745" s="10">
        <v>17126</v>
      </c>
      <c r="F4745" s="201">
        <v>-12.1</v>
      </c>
      <c r="G4745" s="201">
        <v>9.1</v>
      </c>
    </row>
    <row r="4746" spans="4:7">
      <c r="D4746" s="200" t="s">
        <v>5084</v>
      </c>
      <c r="E4746" s="10">
        <v>17179</v>
      </c>
      <c r="F4746" s="201">
        <v>-12.1</v>
      </c>
      <c r="G4746" s="201">
        <v>9.1</v>
      </c>
    </row>
    <row r="4747" spans="4:7">
      <c r="D4747" s="200" t="s">
        <v>5085</v>
      </c>
      <c r="E4747" s="10">
        <v>17506</v>
      </c>
      <c r="F4747" s="201">
        <v>-12.1</v>
      </c>
      <c r="G4747" s="201">
        <v>8.9</v>
      </c>
    </row>
    <row r="4748" spans="4:7">
      <c r="D4748" s="200" t="s">
        <v>5086</v>
      </c>
      <c r="E4748" s="10">
        <v>18273</v>
      </c>
      <c r="F4748" s="201">
        <v>-12.1</v>
      </c>
      <c r="G4748" s="201">
        <v>9.1999999999999993</v>
      </c>
    </row>
    <row r="4749" spans="4:7">
      <c r="D4749" s="200" t="s">
        <v>5087</v>
      </c>
      <c r="E4749" s="10">
        <v>18292</v>
      </c>
      <c r="F4749" s="201">
        <v>-12.1</v>
      </c>
      <c r="G4749" s="201">
        <v>9.1</v>
      </c>
    </row>
    <row r="4750" spans="4:7">
      <c r="D4750" s="200" t="s">
        <v>5088</v>
      </c>
      <c r="E4750" s="10">
        <v>19357</v>
      </c>
      <c r="F4750" s="201">
        <v>-12.1</v>
      </c>
      <c r="G4750" s="201">
        <v>9.4</v>
      </c>
    </row>
    <row r="4751" spans="4:7">
      <c r="D4751" s="200" t="s">
        <v>5089</v>
      </c>
      <c r="E4751" s="10">
        <v>29493</v>
      </c>
      <c r="F4751" s="201">
        <v>-12.1</v>
      </c>
      <c r="G4751" s="201">
        <v>9.5</v>
      </c>
    </row>
    <row r="4752" spans="4:7">
      <c r="D4752" s="200" t="s">
        <v>5090</v>
      </c>
      <c r="E4752" s="10">
        <v>31088</v>
      </c>
      <c r="F4752" s="201">
        <v>-12.1</v>
      </c>
      <c r="G4752" s="201">
        <v>9.1999999999999993</v>
      </c>
    </row>
    <row r="4753" spans="4:7">
      <c r="D4753" s="200" t="s">
        <v>5091</v>
      </c>
      <c r="E4753" s="10">
        <v>31091</v>
      </c>
      <c r="F4753" s="201">
        <v>-12.1</v>
      </c>
      <c r="G4753" s="201">
        <v>9.1999999999999993</v>
      </c>
    </row>
    <row r="4754" spans="4:7">
      <c r="D4754" s="200" t="s">
        <v>5092</v>
      </c>
      <c r="E4754" s="10">
        <v>31096</v>
      </c>
      <c r="F4754" s="201">
        <v>-12.1</v>
      </c>
      <c r="G4754" s="201">
        <v>9</v>
      </c>
    </row>
    <row r="4755" spans="4:7">
      <c r="D4755" s="200" t="s">
        <v>5093</v>
      </c>
      <c r="E4755" s="10">
        <v>31196</v>
      </c>
      <c r="F4755" s="201">
        <v>-12.1</v>
      </c>
      <c r="G4755" s="201">
        <v>9.1999999999999993</v>
      </c>
    </row>
    <row r="4756" spans="4:7">
      <c r="D4756" s="200" t="s">
        <v>5094</v>
      </c>
      <c r="E4756" s="10">
        <v>34305</v>
      </c>
      <c r="F4756" s="201">
        <v>-12.1</v>
      </c>
      <c r="G4756" s="201">
        <v>8.8000000000000007</v>
      </c>
    </row>
    <row r="4757" spans="4:7">
      <c r="D4757" s="200" t="s">
        <v>5095</v>
      </c>
      <c r="E4757" s="10">
        <v>34308</v>
      </c>
      <c r="F4757" s="201">
        <v>-12.1</v>
      </c>
      <c r="G4757" s="201">
        <v>8.8000000000000007</v>
      </c>
    </row>
    <row r="4758" spans="4:7">
      <c r="D4758" s="200" t="s">
        <v>5096</v>
      </c>
      <c r="E4758" s="10">
        <v>34311</v>
      </c>
      <c r="F4758" s="201">
        <v>-12.1</v>
      </c>
      <c r="G4758" s="201">
        <v>8.9</v>
      </c>
    </row>
    <row r="4759" spans="4:7">
      <c r="D4759" s="200" t="s">
        <v>5097</v>
      </c>
      <c r="E4759" s="10">
        <v>34513</v>
      </c>
      <c r="F4759" s="201">
        <v>-12.1</v>
      </c>
      <c r="G4759" s="201">
        <v>8.3000000000000007</v>
      </c>
    </row>
    <row r="4760" spans="4:7">
      <c r="D4760" s="200" t="s">
        <v>5098</v>
      </c>
      <c r="E4760" s="10">
        <v>34630</v>
      </c>
      <c r="F4760" s="201">
        <v>-12.1</v>
      </c>
      <c r="G4760" s="201">
        <v>8.6</v>
      </c>
    </row>
    <row r="4761" spans="4:7">
      <c r="D4761" s="200" t="s">
        <v>5099</v>
      </c>
      <c r="E4761" s="10">
        <v>36100</v>
      </c>
      <c r="F4761" s="201">
        <v>-12.1</v>
      </c>
      <c r="G4761" s="201">
        <v>8.9</v>
      </c>
    </row>
    <row r="4762" spans="4:7">
      <c r="D4762" s="200" t="s">
        <v>5100</v>
      </c>
      <c r="E4762" s="10">
        <v>36119</v>
      </c>
      <c r="F4762" s="201">
        <v>-12.1</v>
      </c>
      <c r="G4762" s="201">
        <v>8.6</v>
      </c>
    </row>
    <row r="4763" spans="4:7">
      <c r="D4763" s="200" t="s">
        <v>5101</v>
      </c>
      <c r="E4763" s="10">
        <v>36137</v>
      </c>
      <c r="F4763" s="201">
        <v>-12.1</v>
      </c>
      <c r="G4763" s="201">
        <v>8.9</v>
      </c>
    </row>
    <row r="4764" spans="4:7">
      <c r="D4764" s="200" t="s">
        <v>5102</v>
      </c>
      <c r="E4764" s="10">
        <v>36325</v>
      </c>
      <c r="F4764" s="201">
        <v>-12.1</v>
      </c>
      <c r="G4764" s="201">
        <v>8.1999999999999993</v>
      </c>
    </row>
    <row r="4765" spans="4:7">
      <c r="D4765" s="200" t="s">
        <v>5103</v>
      </c>
      <c r="E4765" s="10">
        <v>36355</v>
      </c>
      <c r="F4765" s="201">
        <v>-12.1</v>
      </c>
      <c r="G4765" s="201">
        <v>8.1999999999999993</v>
      </c>
    </row>
    <row r="4766" spans="4:7">
      <c r="D4766" s="200" t="s">
        <v>5104</v>
      </c>
      <c r="E4766" s="10">
        <v>36364</v>
      </c>
      <c r="F4766" s="201">
        <v>-12.1</v>
      </c>
      <c r="G4766" s="201">
        <v>8.9</v>
      </c>
    </row>
    <row r="4767" spans="4:7">
      <c r="D4767" s="200" t="s">
        <v>5105</v>
      </c>
      <c r="E4767" s="10">
        <v>36456</v>
      </c>
      <c r="F4767" s="201">
        <v>-12.1</v>
      </c>
      <c r="G4767" s="201">
        <v>9.1999999999999993</v>
      </c>
    </row>
    <row r="4768" spans="4:7">
      <c r="D4768" s="200" t="s">
        <v>3585</v>
      </c>
      <c r="E4768" s="10">
        <v>37079</v>
      </c>
      <c r="F4768" s="201">
        <v>-12.1</v>
      </c>
      <c r="G4768" s="201">
        <v>8.9</v>
      </c>
    </row>
    <row r="4769" spans="4:7">
      <c r="D4769" s="200" t="s">
        <v>3585</v>
      </c>
      <c r="E4769" s="10">
        <v>37083</v>
      </c>
      <c r="F4769" s="201">
        <v>-12.1</v>
      </c>
      <c r="G4769" s="201">
        <v>9.3000000000000007</v>
      </c>
    </row>
    <row r="4770" spans="4:7">
      <c r="D4770" s="200" t="s">
        <v>5106</v>
      </c>
      <c r="E4770" s="10">
        <v>37120</v>
      </c>
      <c r="F4770" s="201">
        <v>-12.1</v>
      </c>
      <c r="G4770" s="201">
        <v>9.3000000000000007</v>
      </c>
    </row>
    <row r="4771" spans="4:7">
      <c r="D4771" s="200" t="s">
        <v>5107</v>
      </c>
      <c r="E4771" s="10">
        <v>37130</v>
      </c>
      <c r="F4771" s="201">
        <v>-12.1</v>
      </c>
      <c r="G4771" s="201">
        <v>9</v>
      </c>
    </row>
    <row r="4772" spans="4:7">
      <c r="D4772" s="200" t="s">
        <v>5108</v>
      </c>
      <c r="E4772" s="10">
        <v>37133</v>
      </c>
      <c r="F4772" s="201">
        <v>-12.1</v>
      </c>
      <c r="G4772" s="201">
        <v>9.1</v>
      </c>
    </row>
    <row r="4773" spans="4:7">
      <c r="D4773" s="200" t="s">
        <v>5109</v>
      </c>
      <c r="E4773" s="10">
        <v>37176</v>
      </c>
      <c r="F4773" s="201">
        <v>-12.1</v>
      </c>
      <c r="G4773" s="201">
        <v>9.1999999999999993</v>
      </c>
    </row>
    <row r="4774" spans="4:7">
      <c r="D4774" s="200" t="s">
        <v>5110</v>
      </c>
      <c r="E4774" s="10">
        <v>37186</v>
      </c>
      <c r="F4774" s="201">
        <v>-12.1</v>
      </c>
      <c r="G4774" s="201">
        <v>8.8000000000000007</v>
      </c>
    </row>
    <row r="4775" spans="4:7">
      <c r="D4775" s="200" t="s">
        <v>5111</v>
      </c>
      <c r="E4775" s="10">
        <v>37197</v>
      </c>
      <c r="F4775" s="201">
        <v>-12.1</v>
      </c>
      <c r="G4775" s="201">
        <v>9.1</v>
      </c>
    </row>
    <row r="4776" spans="4:7">
      <c r="D4776" s="200" t="s">
        <v>5112</v>
      </c>
      <c r="E4776" s="10">
        <v>37276</v>
      </c>
      <c r="F4776" s="201">
        <v>-12.1</v>
      </c>
      <c r="G4776" s="201">
        <v>9</v>
      </c>
    </row>
    <row r="4777" spans="4:7">
      <c r="D4777" s="200" t="s">
        <v>5113</v>
      </c>
      <c r="E4777" s="10">
        <v>37574</v>
      </c>
      <c r="F4777" s="201">
        <v>-12.1</v>
      </c>
      <c r="G4777" s="201">
        <v>9.4</v>
      </c>
    </row>
    <row r="4778" spans="4:7">
      <c r="D4778" s="200" t="s">
        <v>5114</v>
      </c>
      <c r="E4778" s="10">
        <v>37632</v>
      </c>
      <c r="F4778" s="201">
        <v>-12.1</v>
      </c>
      <c r="G4778" s="201">
        <v>8.8000000000000007</v>
      </c>
    </row>
    <row r="4779" spans="4:7">
      <c r="D4779" s="200" t="s">
        <v>5115</v>
      </c>
      <c r="E4779" s="10">
        <v>38322</v>
      </c>
      <c r="F4779" s="201">
        <v>-12.1</v>
      </c>
      <c r="G4779" s="201">
        <v>9.6</v>
      </c>
    </row>
    <row r="4780" spans="4:7">
      <c r="D4780" s="200" t="s">
        <v>5116</v>
      </c>
      <c r="E4780" s="10">
        <v>38325</v>
      </c>
      <c r="F4780" s="201">
        <v>-12.1</v>
      </c>
      <c r="G4780" s="201">
        <v>9.6</v>
      </c>
    </row>
    <row r="4781" spans="4:7">
      <c r="D4781" s="200" t="s">
        <v>5117</v>
      </c>
      <c r="E4781" s="10">
        <v>38364</v>
      </c>
      <c r="F4781" s="201">
        <v>-12.1</v>
      </c>
      <c r="G4781" s="201">
        <v>9.4</v>
      </c>
    </row>
    <row r="4782" spans="4:7">
      <c r="D4782" s="200" t="s">
        <v>5118</v>
      </c>
      <c r="E4782" s="10">
        <v>38373</v>
      </c>
      <c r="F4782" s="201">
        <v>-12.1</v>
      </c>
      <c r="G4782" s="201">
        <v>9.5</v>
      </c>
    </row>
    <row r="4783" spans="4:7">
      <c r="D4783" s="200" t="s">
        <v>5119</v>
      </c>
      <c r="E4783" s="10">
        <v>38376</v>
      </c>
      <c r="F4783" s="201">
        <v>-12.1</v>
      </c>
      <c r="G4783" s="201">
        <v>9.5</v>
      </c>
    </row>
    <row r="4784" spans="4:7">
      <c r="D4784" s="200" t="s">
        <v>5120</v>
      </c>
      <c r="E4784" s="10">
        <v>38379</v>
      </c>
      <c r="F4784" s="201">
        <v>-12.1</v>
      </c>
      <c r="G4784" s="201">
        <v>9.4</v>
      </c>
    </row>
    <row r="4785" spans="4:7">
      <c r="D4785" s="200" t="s">
        <v>5121</v>
      </c>
      <c r="E4785" s="10">
        <v>38384</v>
      </c>
      <c r="F4785" s="201">
        <v>-12.1</v>
      </c>
      <c r="G4785" s="201">
        <v>9.6</v>
      </c>
    </row>
    <row r="4786" spans="4:7">
      <c r="D4786" s="200" t="s">
        <v>5122</v>
      </c>
      <c r="E4786" s="10">
        <v>38458</v>
      </c>
      <c r="F4786" s="201">
        <v>-12.1</v>
      </c>
      <c r="G4786" s="201">
        <v>9.5</v>
      </c>
    </row>
    <row r="4787" spans="4:7">
      <c r="D4787" s="200" t="s">
        <v>5123</v>
      </c>
      <c r="E4787" s="10">
        <v>38464</v>
      </c>
      <c r="F4787" s="201">
        <v>-12.1</v>
      </c>
      <c r="G4787" s="201">
        <v>9.4</v>
      </c>
    </row>
    <row r="4788" spans="4:7">
      <c r="D4788" s="200" t="s">
        <v>5124</v>
      </c>
      <c r="E4788" s="10">
        <v>39218</v>
      </c>
      <c r="F4788" s="201">
        <v>-12.1</v>
      </c>
      <c r="G4788" s="201">
        <v>9.8000000000000007</v>
      </c>
    </row>
    <row r="4789" spans="4:7">
      <c r="D4789" s="200" t="s">
        <v>5125</v>
      </c>
      <c r="E4789" s="10">
        <v>39340</v>
      </c>
      <c r="F4789" s="201">
        <v>-12.1</v>
      </c>
      <c r="G4789" s="201">
        <v>9.5</v>
      </c>
    </row>
    <row r="4790" spans="4:7">
      <c r="D4790" s="200" t="s">
        <v>5126</v>
      </c>
      <c r="E4790" s="10">
        <v>39356</v>
      </c>
      <c r="F4790" s="201">
        <v>-12.1</v>
      </c>
      <c r="G4790" s="201">
        <v>9.4</v>
      </c>
    </row>
    <row r="4791" spans="4:7" ht="30">
      <c r="D4791" s="200" t="s">
        <v>5127</v>
      </c>
      <c r="E4791" s="10">
        <v>39359</v>
      </c>
      <c r="F4791" s="201">
        <v>-12.1</v>
      </c>
      <c r="G4791" s="201">
        <v>9.4</v>
      </c>
    </row>
    <row r="4792" spans="4:7">
      <c r="D4792" s="200" t="s">
        <v>5128</v>
      </c>
      <c r="E4792" s="10">
        <v>39619</v>
      </c>
      <c r="F4792" s="201">
        <v>-12.1</v>
      </c>
      <c r="G4792" s="201">
        <v>9.4</v>
      </c>
    </row>
    <row r="4793" spans="4:7">
      <c r="D4793" s="200" t="s">
        <v>5129</v>
      </c>
      <c r="E4793" s="10">
        <v>39646</v>
      </c>
      <c r="F4793" s="201">
        <v>-12.1</v>
      </c>
      <c r="G4793" s="201">
        <v>9.5</v>
      </c>
    </row>
    <row r="4794" spans="4:7">
      <c r="D4794" s="200" t="s">
        <v>5130</v>
      </c>
      <c r="E4794" s="10">
        <v>55413</v>
      </c>
      <c r="F4794" s="201">
        <v>-12.1</v>
      </c>
      <c r="G4794" s="201">
        <v>7.8</v>
      </c>
    </row>
    <row r="4795" spans="4:7">
      <c r="D4795" s="200" t="s">
        <v>5131</v>
      </c>
      <c r="E4795" s="10">
        <v>59969</v>
      </c>
      <c r="F4795" s="201">
        <v>-12.1</v>
      </c>
      <c r="G4795" s="201">
        <v>7.7</v>
      </c>
    </row>
    <row r="4796" spans="4:7">
      <c r="D4796" s="200" t="s">
        <v>5132</v>
      </c>
      <c r="E4796" s="10">
        <v>63639</v>
      </c>
      <c r="F4796" s="201">
        <v>-12.1</v>
      </c>
      <c r="G4796" s="201">
        <v>8.5</v>
      </c>
    </row>
    <row r="4797" spans="4:7">
      <c r="D4797" s="200" t="s">
        <v>5133</v>
      </c>
      <c r="E4797" s="10">
        <v>69427</v>
      </c>
      <c r="F4797" s="201">
        <v>-12.1</v>
      </c>
      <c r="G4797" s="201">
        <v>8.5</v>
      </c>
    </row>
    <row r="4798" spans="4:7">
      <c r="D4798" s="200" t="s">
        <v>3717</v>
      </c>
      <c r="E4798" s="10">
        <v>69429</v>
      </c>
      <c r="F4798" s="201">
        <v>-12.1</v>
      </c>
      <c r="G4798" s="201">
        <v>8.6</v>
      </c>
    </row>
    <row r="4799" spans="4:7">
      <c r="D4799" s="200" t="s">
        <v>5134</v>
      </c>
      <c r="E4799" s="10">
        <v>72351</v>
      </c>
      <c r="F4799" s="201">
        <v>-12.1</v>
      </c>
      <c r="G4799" s="201">
        <v>8.6</v>
      </c>
    </row>
    <row r="4800" spans="4:7">
      <c r="D4800" s="200" t="s">
        <v>5135</v>
      </c>
      <c r="E4800" s="10">
        <v>72358</v>
      </c>
      <c r="F4800" s="201">
        <v>-12.1</v>
      </c>
      <c r="G4800" s="201">
        <v>8.6</v>
      </c>
    </row>
    <row r="4801" spans="4:7">
      <c r="D4801" s="200" t="s">
        <v>5136</v>
      </c>
      <c r="E4801" s="10">
        <v>73099</v>
      </c>
      <c r="F4801" s="201">
        <v>-12.1</v>
      </c>
      <c r="G4801" s="201">
        <v>9</v>
      </c>
    </row>
    <row r="4802" spans="4:7">
      <c r="D4802" s="200" t="s">
        <v>5137</v>
      </c>
      <c r="E4802" s="10">
        <v>73102</v>
      </c>
      <c r="F4802" s="201">
        <v>-12.1</v>
      </c>
      <c r="G4802" s="201">
        <v>9.1999999999999993</v>
      </c>
    </row>
    <row r="4803" spans="4:7">
      <c r="D4803" s="200" t="s">
        <v>4955</v>
      </c>
      <c r="E4803" s="10">
        <v>73433</v>
      </c>
      <c r="F4803" s="201">
        <v>-12.1</v>
      </c>
      <c r="G4803" s="201">
        <v>9.1999999999999993</v>
      </c>
    </row>
    <row r="4804" spans="4:7">
      <c r="D4804" s="200" t="s">
        <v>5138</v>
      </c>
      <c r="E4804" s="10">
        <v>73527</v>
      </c>
      <c r="F4804" s="201">
        <v>-12.1</v>
      </c>
      <c r="G4804" s="201">
        <v>9.3000000000000007</v>
      </c>
    </row>
    <row r="4805" spans="4:7">
      <c r="D4805" s="200" t="s">
        <v>5139</v>
      </c>
      <c r="E4805" s="10">
        <v>73575</v>
      </c>
      <c r="F4805" s="201">
        <v>-12.1</v>
      </c>
      <c r="G4805" s="201">
        <v>9.3000000000000007</v>
      </c>
    </row>
    <row r="4806" spans="4:7">
      <c r="D4806" s="200" t="s">
        <v>5140</v>
      </c>
      <c r="E4806" s="10">
        <v>74535</v>
      </c>
      <c r="F4806" s="201">
        <v>-12.1</v>
      </c>
      <c r="G4806" s="201">
        <v>9</v>
      </c>
    </row>
    <row r="4807" spans="4:7">
      <c r="D4807" s="200" t="s">
        <v>5141</v>
      </c>
      <c r="E4807" s="10">
        <v>74564</v>
      </c>
      <c r="F4807" s="201">
        <v>-12.1</v>
      </c>
      <c r="G4807" s="201">
        <v>9.4</v>
      </c>
    </row>
    <row r="4808" spans="4:7">
      <c r="D4808" s="200" t="s">
        <v>5142</v>
      </c>
      <c r="E4808" s="10">
        <v>75395</v>
      </c>
      <c r="F4808" s="201">
        <v>-12.1</v>
      </c>
      <c r="G4808" s="201">
        <v>8.8000000000000007</v>
      </c>
    </row>
    <row r="4809" spans="4:7">
      <c r="D4809" s="200" t="s">
        <v>5143</v>
      </c>
      <c r="E4809" s="10">
        <v>75397</v>
      </c>
      <c r="F4809" s="201">
        <v>-12.1</v>
      </c>
      <c r="G4809" s="201">
        <v>8.6999999999999993</v>
      </c>
    </row>
    <row r="4810" spans="4:7">
      <c r="D4810" s="200" t="s">
        <v>5144</v>
      </c>
      <c r="E4810" s="10">
        <v>78132</v>
      </c>
      <c r="F4810" s="201">
        <v>-12.1</v>
      </c>
      <c r="G4810" s="201">
        <v>8.6999999999999993</v>
      </c>
    </row>
    <row r="4811" spans="4:7">
      <c r="D4811" s="200" t="s">
        <v>5145</v>
      </c>
      <c r="E4811" s="10">
        <v>78628</v>
      </c>
      <c r="F4811" s="201">
        <v>-12.1</v>
      </c>
      <c r="G4811" s="201">
        <v>8.8000000000000007</v>
      </c>
    </row>
    <row r="4812" spans="4:7">
      <c r="D4812" s="200" t="s">
        <v>5146</v>
      </c>
      <c r="E4812" s="10">
        <v>78661</v>
      </c>
      <c r="F4812" s="201">
        <v>-12.1</v>
      </c>
      <c r="G4812" s="201">
        <v>8.8000000000000007</v>
      </c>
    </row>
    <row r="4813" spans="4:7">
      <c r="D4813" s="200" t="s">
        <v>5147</v>
      </c>
      <c r="E4813" s="10">
        <v>79777</v>
      </c>
      <c r="F4813" s="201">
        <v>-12.1</v>
      </c>
      <c r="G4813" s="201">
        <v>8.6</v>
      </c>
    </row>
    <row r="4814" spans="4:7">
      <c r="D4814" s="200" t="s">
        <v>4958</v>
      </c>
      <c r="E4814" s="10">
        <v>83024</v>
      </c>
      <c r="F4814" s="201">
        <v>-12.1</v>
      </c>
      <c r="G4814" s="201">
        <v>9.4</v>
      </c>
    </row>
    <row r="4815" spans="4:7">
      <c r="D4815" s="200" t="s">
        <v>5148</v>
      </c>
      <c r="E4815" s="10">
        <v>89073</v>
      </c>
      <c r="F4815" s="201">
        <v>-12.1</v>
      </c>
      <c r="G4815" s="201">
        <v>9.4</v>
      </c>
    </row>
    <row r="4816" spans="4:7">
      <c r="D4816" s="200" t="s">
        <v>5148</v>
      </c>
      <c r="E4816" s="10">
        <v>89077</v>
      </c>
      <c r="F4816" s="201">
        <v>-12.1</v>
      </c>
      <c r="G4816" s="201">
        <v>9.3000000000000007</v>
      </c>
    </row>
    <row r="4817" spans="4:7">
      <c r="D4817" s="200" t="s">
        <v>4257</v>
      </c>
      <c r="E4817" s="10">
        <v>90419</v>
      </c>
      <c r="F4817" s="201">
        <v>-12.1</v>
      </c>
      <c r="G4817" s="201">
        <v>10.1</v>
      </c>
    </row>
    <row r="4818" spans="4:7">
      <c r="D4818" s="200" t="s">
        <v>4257</v>
      </c>
      <c r="E4818" s="10">
        <v>90441</v>
      </c>
      <c r="F4818" s="201">
        <v>-12.1</v>
      </c>
      <c r="G4818" s="201">
        <v>10.199999999999999</v>
      </c>
    </row>
    <row r="4819" spans="4:7">
      <c r="D4819" s="200" t="s">
        <v>3307</v>
      </c>
      <c r="E4819" s="10">
        <v>90763</v>
      </c>
      <c r="F4819" s="201">
        <v>-12.1</v>
      </c>
      <c r="G4819" s="201">
        <v>10.1</v>
      </c>
    </row>
    <row r="4820" spans="4:7">
      <c r="D4820" s="200" t="s">
        <v>5149</v>
      </c>
      <c r="E4820" s="10">
        <v>94099</v>
      </c>
      <c r="F4820" s="201">
        <v>-12.1</v>
      </c>
      <c r="G4820" s="201">
        <v>9</v>
      </c>
    </row>
    <row r="4821" spans="4:7">
      <c r="D4821" s="200" t="s">
        <v>5150</v>
      </c>
      <c r="E4821" s="10">
        <v>94116</v>
      </c>
      <c r="F4821" s="201">
        <v>-12.1</v>
      </c>
      <c r="G4821" s="201">
        <v>8.6</v>
      </c>
    </row>
    <row r="4822" spans="4:7">
      <c r="D4822" s="200" t="s">
        <v>5151</v>
      </c>
      <c r="E4822" s="10">
        <v>94124</v>
      </c>
      <c r="F4822" s="201">
        <v>-12.1</v>
      </c>
      <c r="G4822" s="201">
        <v>8.8000000000000007</v>
      </c>
    </row>
    <row r="4823" spans="4:7">
      <c r="D4823" s="200" t="s">
        <v>5152</v>
      </c>
      <c r="E4823" s="10">
        <v>94152</v>
      </c>
      <c r="F4823" s="201">
        <v>-12.1</v>
      </c>
      <c r="G4823" s="201">
        <v>9.4</v>
      </c>
    </row>
    <row r="4824" spans="4:7">
      <c r="D4824" s="200" t="s">
        <v>5153</v>
      </c>
      <c r="E4824" s="10">
        <v>94161</v>
      </c>
      <c r="F4824" s="201">
        <v>-12.1</v>
      </c>
      <c r="G4824" s="201">
        <v>8.6999999999999993</v>
      </c>
    </row>
    <row r="4825" spans="4:7">
      <c r="D4825" s="200" t="s">
        <v>5154</v>
      </c>
      <c r="E4825" s="10">
        <v>94542</v>
      </c>
      <c r="F4825" s="201">
        <v>-12.1</v>
      </c>
      <c r="G4825" s="201">
        <v>9</v>
      </c>
    </row>
    <row r="4826" spans="4:7">
      <c r="D4826" s="200" t="s">
        <v>5155</v>
      </c>
      <c r="E4826" s="10">
        <v>94575</v>
      </c>
      <c r="F4826" s="201">
        <v>-12.1</v>
      </c>
      <c r="G4826" s="201">
        <v>8.8000000000000007</v>
      </c>
    </row>
    <row r="4827" spans="4:7">
      <c r="D4827" s="200" t="s">
        <v>5156</v>
      </c>
      <c r="E4827" s="10">
        <v>96176</v>
      </c>
      <c r="F4827" s="201">
        <v>-12.1</v>
      </c>
      <c r="G4827" s="201">
        <v>8.9</v>
      </c>
    </row>
    <row r="4828" spans="4:7">
      <c r="D4828" s="200" t="s">
        <v>5157</v>
      </c>
      <c r="E4828" s="10">
        <v>96190</v>
      </c>
      <c r="F4828" s="201">
        <v>-12.1</v>
      </c>
      <c r="G4828" s="201">
        <v>9</v>
      </c>
    </row>
    <row r="4829" spans="4:7">
      <c r="D4829" s="200" t="s">
        <v>5158</v>
      </c>
      <c r="E4829" s="10">
        <v>96237</v>
      </c>
      <c r="F4829" s="201">
        <v>-12.1</v>
      </c>
      <c r="G4829" s="201">
        <v>8.6999999999999993</v>
      </c>
    </row>
    <row r="4830" spans="4:7">
      <c r="D4830" s="200" t="s">
        <v>5159</v>
      </c>
      <c r="E4830" s="10">
        <v>96264</v>
      </c>
      <c r="F4830" s="201">
        <v>-12.1</v>
      </c>
      <c r="G4830" s="201">
        <v>9</v>
      </c>
    </row>
    <row r="4831" spans="4:7">
      <c r="D4831" s="200" t="s">
        <v>5160</v>
      </c>
      <c r="E4831" s="10">
        <v>96268</v>
      </c>
      <c r="F4831" s="201">
        <v>-12.1</v>
      </c>
      <c r="G4831" s="201">
        <v>8.8000000000000007</v>
      </c>
    </row>
    <row r="4832" spans="4:7">
      <c r="D4832" s="200" t="s">
        <v>5161</v>
      </c>
      <c r="E4832" s="10">
        <v>96271</v>
      </c>
      <c r="F4832" s="201">
        <v>-12.1</v>
      </c>
      <c r="G4832" s="201">
        <v>8.8000000000000007</v>
      </c>
    </row>
    <row r="4833" spans="4:7">
      <c r="D4833" s="200" t="s">
        <v>5162</v>
      </c>
      <c r="E4833" s="10">
        <v>96272</v>
      </c>
      <c r="F4833" s="201">
        <v>-12.1</v>
      </c>
      <c r="G4833" s="201">
        <v>8.8000000000000007</v>
      </c>
    </row>
    <row r="4834" spans="4:7">
      <c r="D4834" s="200" t="s">
        <v>5163</v>
      </c>
      <c r="E4834" s="10">
        <v>96275</v>
      </c>
      <c r="F4834" s="201">
        <v>-12.1</v>
      </c>
      <c r="G4834" s="201">
        <v>9.1</v>
      </c>
    </row>
    <row r="4835" spans="4:7">
      <c r="D4835" s="200" t="s">
        <v>5164</v>
      </c>
      <c r="E4835" s="10">
        <v>96279</v>
      </c>
      <c r="F4835" s="201">
        <v>-12.1</v>
      </c>
      <c r="G4835" s="201">
        <v>8.9</v>
      </c>
    </row>
    <row r="4836" spans="4:7">
      <c r="D4836" s="200" t="s">
        <v>5165</v>
      </c>
      <c r="E4836" s="10">
        <v>96328</v>
      </c>
      <c r="F4836" s="201">
        <v>-12.1</v>
      </c>
      <c r="G4836" s="201">
        <v>9</v>
      </c>
    </row>
    <row r="4837" spans="4:7">
      <c r="D4837" s="200" t="s">
        <v>5166</v>
      </c>
      <c r="E4837" s="10">
        <v>96484</v>
      </c>
      <c r="F4837" s="201">
        <v>-12.1</v>
      </c>
      <c r="G4837" s="201">
        <v>8.6</v>
      </c>
    </row>
    <row r="4838" spans="4:7">
      <c r="D4838" s="200" t="s">
        <v>5167</v>
      </c>
      <c r="E4838" s="10">
        <v>97215</v>
      </c>
      <c r="F4838" s="201">
        <v>-12.1</v>
      </c>
      <c r="G4838" s="201">
        <v>9.4</v>
      </c>
    </row>
    <row r="4839" spans="4:7">
      <c r="D4839" s="200" t="s">
        <v>5168</v>
      </c>
      <c r="E4839" s="10">
        <v>97475</v>
      </c>
      <c r="F4839" s="201">
        <v>-12.1</v>
      </c>
      <c r="G4839" s="201">
        <v>8.9</v>
      </c>
    </row>
    <row r="4840" spans="4:7">
      <c r="D4840" s="200" t="s">
        <v>5169</v>
      </c>
      <c r="E4840" s="10">
        <v>97478</v>
      </c>
      <c r="F4840" s="201">
        <v>-12.1</v>
      </c>
      <c r="G4840" s="201">
        <v>9.1999999999999993</v>
      </c>
    </row>
    <row r="4841" spans="4:7">
      <c r="D4841" s="200" t="s">
        <v>5170</v>
      </c>
      <c r="E4841" s="10">
        <v>97486</v>
      </c>
      <c r="F4841" s="201">
        <v>-12.1</v>
      </c>
      <c r="G4841" s="201">
        <v>8.8000000000000007</v>
      </c>
    </row>
    <row r="4842" spans="4:7">
      <c r="D4842" s="200" t="s">
        <v>5171</v>
      </c>
      <c r="E4842" s="10">
        <v>97522</v>
      </c>
      <c r="F4842" s="201">
        <v>-12.1</v>
      </c>
      <c r="G4842" s="201">
        <v>9</v>
      </c>
    </row>
    <row r="4843" spans="4:7">
      <c r="D4843" s="200" t="s">
        <v>5172</v>
      </c>
      <c r="E4843" s="10">
        <v>97659</v>
      </c>
      <c r="F4843" s="201">
        <v>-12.1</v>
      </c>
      <c r="G4843" s="201">
        <v>8.1999999999999993</v>
      </c>
    </row>
    <row r="4844" spans="4:7">
      <c r="D4844" s="200" t="s">
        <v>5173</v>
      </c>
      <c r="E4844" s="10">
        <v>97799</v>
      </c>
      <c r="F4844" s="201">
        <v>-12.1</v>
      </c>
      <c r="G4844" s="201">
        <v>8.5</v>
      </c>
    </row>
    <row r="4845" spans="4:7">
      <c r="D4845" s="200" t="s">
        <v>5174</v>
      </c>
      <c r="E4845" s="10">
        <v>97836</v>
      </c>
      <c r="F4845" s="201">
        <v>-12.1</v>
      </c>
      <c r="G4845" s="201">
        <v>8.6999999999999993</v>
      </c>
    </row>
    <row r="4846" spans="4:7">
      <c r="D4846" s="200" t="s">
        <v>5175</v>
      </c>
      <c r="E4846" s="10">
        <v>97845</v>
      </c>
      <c r="F4846" s="201">
        <v>-12.1</v>
      </c>
      <c r="G4846" s="201">
        <v>8.6</v>
      </c>
    </row>
    <row r="4847" spans="4:7">
      <c r="D4847" s="200" t="s">
        <v>5176</v>
      </c>
      <c r="E4847" s="10">
        <v>97996</v>
      </c>
      <c r="F4847" s="201">
        <v>-12.1</v>
      </c>
      <c r="G4847" s="201">
        <v>9.1999999999999993</v>
      </c>
    </row>
    <row r="4848" spans="4:7">
      <c r="D4848" s="200" t="s">
        <v>5177</v>
      </c>
      <c r="E4848" s="10">
        <v>98631</v>
      </c>
      <c r="F4848" s="201">
        <v>-12.1</v>
      </c>
      <c r="G4848" s="201">
        <v>8.5</v>
      </c>
    </row>
    <row r="4849" spans="4:7">
      <c r="D4849" s="200" t="s">
        <v>3358</v>
      </c>
      <c r="E4849" s="10">
        <v>98639</v>
      </c>
      <c r="F4849" s="201">
        <v>-12.1</v>
      </c>
      <c r="G4849" s="201">
        <v>8.6999999999999993</v>
      </c>
    </row>
    <row r="4850" spans="4:7">
      <c r="D4850" s="200" t="s">
        <v>4593</v>
      </c>
      <c r="E4850" s="10">
        <v>4107</v>
      </c>
      <c r="F4850" s="201">
        <v>-12.2</v>
      </c>
      <c r="G4850" s="201">
        <v>10.199999999999999</v>
      </c>
    </row>
    <row r="4851" spans="4:7">
      <c r="D4851" s="200" t="s">
        <v>4593</v>
      </c>
      <c r="E4851" s="10">
        <v>4317</v>
      </c>
      <c r="F4851" s="201">
        <v>-12.2</v>
      </c>
      <c r="G4851" s="201">
        <v>10.199999999999999</v>
      </c>
    </row>
    <row r="4852" spans="4:7">
      <c r="D4852" s="200" t="s">
        <v>4418</v>
      </c>
      <c r="E4852" s="10">
        <v>12305</v>
      </c>
      <c r="F4852" s="201">
        <v>-12.2</v>
      </c>
      <c r="G4852" s="201">
        <v>9.9</v>
      </c>
    </row>
    <row r="4853" spans="4:7">
      <c r="D4853" s="200" t="s">
        <v>5072</v>
      </c>
      <c r="E4853" s="10">
        <v>12357</v>
      </c>
      <c r="F4853" s="201">
        <v>-12.2</v>
      </c>
      <c r="G4853" s="201">
        <v>9.9</v>
      </c>
    </row>
    <row r="4854" spans="4:7">
      <c r="D4854" s="200" t="s">
        <v>5178</v>
      </c>
      <c r="E4854" s="10">
        <v>12459</v>
      </c>
      <c r="F4854" s="201">
        <v>-12.2</v>
      </c>
      <c r="G4854" s="201">
        <v>9.9</v>
      </c>
    </row>
    <row r="4855" spans="4:7">
      <c r="D4855" s="200" t="s">
        <v>5179</v>
      </c>
      <c r="E4855" s="10">
        <v>12555</v>
      </c>
      <c r="F4855" s="201">
        <v>-12.2</v>
      </c>
      <c r="G4855" s="201">
        <v>9.9</v>
      </c>
    </row>
    <row r="4856" spans="4:7">
      <c r="D4856" s="200" t="s">
        <v>5180</v>
      </c>
      <c r="E4856" s="10">
        <v>12623</v>
      </c>
      <c r="F4856" s="201">
        <v>-12.2</v>
      </c>
      <c r="G4856" s="201">
        <v>9.9</v>
      </c>
    </row>
    <row r="4857" spans="4:7">
      <c r="D4857" s="200" t="s">
        <v>4418</v>
      </c>
      <c r="E4857" s="10">
        <v>12629</v>
      </c>
      <c r="F4857" s="201">
        <v>-12.2</v>
      </c>
      <c r="G4857" s="201">
        <v>9.9</v>
      </c>
    </row>
    <row r="4858" spans="4:7">
      <c r="D4858" s="200" t="s">
        <v>4418</v>
      </c>
      <c r="E4858" s="10">
        <v>12679</v>
      </c>
      <c r="F4858" s="201">
        <v>-12.2</v>
      </c>
      <c r="G4858" s="201">
        <v>10</v>
      </c>
    </row>
    <row r="4859" spans="4:7">
      <c r="D4859" s="200" t="s">
        <v>4418</v>
      </c>
      <c r="E4859" s="10">
        <v>12685</v>
      </c>
      <c r="F4859" s="201">
        <v>-12.2</v>
      </c>
      <c r="G4859" s="201">
        <v>10</v>
      </c>
    </row>
    <row r="4860" spans="4:7">
      <c r="D4860" s="200" t="s">
        <v>4418</v>
      </c>
      <c r="E4860" s="10">
        <v>12687</v>
      </c>
      <c r="F4860" s="201">
        <v>-12.2</v>
      </c>
      <c r="G4860" s="201">
        <v>9.9</v>
      </c>
    </row>
    <row r="4861" spans="4:7">
      <c r="D4861" s="200" t="s">
        <v>4418</v>
      </c>
      <c r="E4861" s="10">
        <v>12689</v>
      </c>
      <c r="F4861" s="201">
        <v>-12.2</v>
      </c>
      <c r="G4861" s="201">
        <v>10</v>
      </c>
    </row>
    <row r="4862" spans="4:7">
      <c r="D4862" s="200" t="s">
        <v>5181</v>
      </c>
      <c r="E4862" s="10">
        <v>13158</v>
      </c>
      <c r="F4862" s="201">
        <v>-12.2</v>
      </c>
      <c r="G4862" s="201">
        <v>10</v>
      </c>
    </row>
    <row r="4863" spans="4:7">
      <c r="D4863" s="200" t="s">
        <v>4269</v>
      </c>
      <c r="E4863" s="10">
        <v>13405</v>
      </c>
      <c r="F4863" s="201">
        <v>-12.2</v>
      </c>
      <c r="G4863" s="201">
        <v>10</v>
      </c>
    </row>
    <row r="4864" spans="4:7">
      <c r="D4864" s="200" t="s">
        <v>5182</v>
      </c>
      <c r="E4864" s="10">
        <v>13467</v>
      </c>
      <c r="F4864" s="201">
        <v>-12.2</v>
      </c>
      <c r="G4864" s="201">
        <v>10</v>
      </c>
    </row>
    <row r="4865" spans="4:7">
      <c r="D4865" s="200" t="s">
        <v>5183</v>
      </c>
      <c r="E4865" s="10">
        <v>13591</v>
      </c>
      <c r="F4865" s="201">
        <v>-12.2</v>
      </c>
      <c r="G4865" s="201">
        <v>10</v>
      </c>
    </row>
    <row r="4866" spans="4:7">
      <c r="D4866" s="200" t="s">
        <v>5081</v>
      </c>
      <c r="E4866" s="10">
        <v>14052</v>
      </c>
      <c r="F4866" s="201">
        <v>-12.2</v>
      </c>
      <c r="G4866" s="201">
        <v>9.8000000000000007</v>
      </c>
    </row>
    <row r="4867" spans="4:7">
      <c r="D4867" s="200" t="s">
        <v>4981</v>
      </c>
      <c r="E4867" s="10">
        <v>14163</v>
      </c>
      <c r="F4867" s="201">
        <v>-12.2</v>
      </c>
      <c r="G4867" s="201">
        <v>9.8000000000000007</v>
      </c>
    </row>
    <row r="4868" spans="4:7">
      <c r="D4868" s="200" t="s">
        <v>4981</v>
      </c>
      <c r="E4868" s="10">
        <v>14167</v>
      </c>
      <c r="F4868" s="201">
        <v>-12.2</v>
      </c>
      <c r="G4868" s="201">
        <v>9.8000000000000007</v>
      </c>
    </row>
    <row r="4869" spans="4:7">
      <c r="D4869" s="200" t="s">
        <v>5184</v>
      </c>
      <c r="E4869" s="10">
        <v>14195</v>
      </c>
      <c r="F4869" s="201">
        <v>-12.2</v>
      </c>
      <c r="G4869" s="201">
        <v>9.8000000000000007</v>
      </c>
    </row>
    <row r="4870" spans="4:7">
      <c r="D4870" s="200" t="s">
        <v>5082</v>
      </c>
      <c r="E4870" s="10">
        <v>14482</v>
      </c>
      <c r="F4870" s="201">
        <v>-12.2</v>
      </c>
      <c r="G4870" s="201">
        <v>9.9</v>
      </c>
    </row>
    <row r="4871" spans="4:7">
      <c r="D4871" s="200" t="s">
        <v>5185</v>
      </c>
      <c r="E4871" s="10">
        <v>14612</v>
      </c>
      <c r="F4871" s="201">
        <v>-12.2</v>
      </c>
      <c r="G4871" s="201">
        <v>10</v>
      </c>
    </row>
    <row r="4872" spans="4:7">
      <c r="D4872" s="200" t="s">
        <v>5186</v>
      </c>
      <c r="E4872" s="10">
        <v>18279</v>
      </c>
      <c r="F4872" s="201">
        <v>-12.2</v>
      </c>
      <c r="G4872" s="201">
        <v>9.1</v>
      </c>
    </row>
    <row r="4873" spans="4:7">
      <c r="D4873" s="200" t="s">
        <v>5187</v>
      </c>
      <c r="E4873" s="10">
        <v>19306</v>
      </c>
      <c r="F4873" s="201">
        <v>-12.2</v>
      </c>
      <c r="G4873" s="201">
        <v>9.3000000000000007</v>
      </c>
    </row>
    <row r="4874" spans="4:7">
      <c r="D4874" s="200" t="s">
        <v>5188</v>
      </c>
      <c r="E4874" s="10">
        <v>31087</v>
      </c>
      <c r="F4874" s="201">
        <v>-12.2</v>
      </c>
      <c r="G4874" s="201">
        <v>9.1</v>
      </c>
    </row>
    <row r="4875" spans="4:7">
      <c r="D4875" s="200" t="s">
        <v>5189</v>
      </c>
      <c r="E4875" s="10">
        <v>31089</v>
      </c>
      <c r="F4875" s="201">
        <v>-12.2</v>
      </c>
      <c r="G4875" s="201">
        <v>9</v>
      </c>
    </row>
    <row r="4876" spans="4:7">
      <c r="D4876" s="200" t="s">
        <v>5190</v>
      </c>
      <c r="E4876" s="10">
        <v>31097</v>
      </c>
      <c r="F4876" s="201">
        <v>-12.2</v>
      </c>
      <c r="G4876" s="201">
        <v>9.1</v>
      </c>
    </row>
    <row r="4877" spans="4:7">
      <c r="D4877" s="200" t="s">
        <v>5191</v>
      </c>
      <c r="E4877" s="10">
        <v>31195</v>
      </c>
      <c r="F4877" s="201">
        <v>-12.2</v>
      </c>
      <c r="G4877" s="201">
        <v>8.8000000000000007</v>
      </c>
    </row>
    <row r="4878" spans="4:7">
      <c r="D4878" s="200" t="s">
        <v>5192</v>
      </c>
      <c r="E4878" s="10">
        <v>31868</v>
      </c>
      <c r="F4878" s="201">
        <v>-12.2</v>
      </c>
      <c r="G4878" s="201">
        <v>8.5</v>
      </c>
    </row>
    <row r="4879" spans="4:7">
      <c r="D4879" s="200" t="s">
        <v>5193</v>
      </c>
      <c r="E4879" s="10">
        <v>34212</v>
      </c>
      <c r="F4879" s="201">
        <v>-12.2</v>
      </c>
      <c r="G4879" s="201">
        <v>8.6999999999999993</v>
      </c>
    </row>
    <row r="4880" spans="4:7">
      <c r="D4880" s="200" t="s">
        <v>5194</v>
      </c>
      <c r="E4880" s="10">
        <v>34270</v>
      </c>
      <c r="F4880" s="201">
        <v>-12.2</v>
      </c>
      <c r="G4880" s="201">
        <v>8.1999999999999993</v>
      </c>
    </row>
    <row r="4881" spans="4:7">
      <c r="D4881" s="200" t="s">
        <v>5195</v>
      </c>
      <c r="E4881" s="10">
        <v>36093</v>
      </c>
      <c r="F4881" s="201">
        <v>-12.2</v>
      </c>
      <c r="G4881" s="201">
        <v>8.6999999999999993</v>
      </c>
    </row>
    <row r="4882" spans="4:7">
      <c r="D4882" s="200" t="s">
        <v>5196</v>
      </c>
      <c r="E4882" s="10">
        <v>36124</v>
      </c>
      <c r="F4882" s="201">
        <v>-12.2</v>
      </c>
      <c r="G4882" s="201">
        <v>8.6999999999999993</v>
      </c>
    </row>
    <row r="4883" spans="4:7">
      <c r="D4883" s="200" t="s">
        <v>5197</v>
      </c>
      <c r="E4883" s="10">
        <v>36272</v>
      </c>
      <c r="F4883" s="201">
        <v>-12.2</v>
      </c>
      <c r="G4883" s="201">
        <v>9.1</v>
      </c>
    </row>
    <row r="4884" spans="4:7">
      <c r="D4884" s="200" t="s">
        <v>5198</v>
      </c>
      <c r="E4884" s="10">
        <v>36358</v>
      </c>
      <c r="F4884" s="201">
        <v>-12.2</v>
      </c>
      <c r="G4884" s="201">
        <v>8.1</v>
      </c>
    </row>
    <row r="4885" spans="4:7">
      <c r="D4885" s="200" t="s">
        <v>5199</v>
      </c>
      <c r="E4885" s="10">
        <v>36399</v>
      </c>
      <c r="F4885" s="201">
        <v>-12.2</v>
      </c>
      <c r="G4885" s="201">
        <v>8.1</v>
      </c>
    </row>
    <row r="4886" spans="4:7">
      <c r="D4886" s="200" t="s">
        <v>5200</v>
      </c>
      <c r="E4886" s="10">
        <v>37124</v>
      </c>
      <c r="F4886" s="201">
        <v>-12.2</v>
      </c>
      <c r="G4886" s="201">
        <v>9.1</v>
      </c>
    </row>
    <row r="4887" spans="4:7">
      <c r="D4887" s="200" t="s">
        <v>5201</v>
      </c>
      <c r="E4887" s="10">
        <v>37297</v>
      </c>
      <c r="F4887" s="201">
        <v>-12.2</v>
      </c>
      <c r="G4887" s="201">
        <v>9</v>
      </c>
    </row>
    <row r="4888" spans="4:7" ht="30">
      <c r="D4888" s="200" t="s">
        <v>5202</v>
      </c>
      <c r="E4888" s="10">
        <v>38368</v>
      </c>
      <c r="F4888" s="201">
        <v>-12.2</v>
      </c>
      <c r="G4888" s="201">
        <v>9.3000000000000007</v>
      </c>
    </row>
    <row r="4889" spans="4:7">
      <c r="D4889" s="200" t="s">
        <v>5203</v>
      </c>
      <c r="E4889" s="10">
        <v>38372</v>
      </c>
      <c r="F4889" s="201">
        <v>-12.2</v>
      </c>
      <c r="G4889" s="201">
        <v>9.4</v>
      </c>
    </row>
    <row r="4890" spans="4:7">
      <c r="D4890" s="200" t="s">
        <v>5204</v>
      </c>
      <c r="E4890" s="10">
        <v>38375</v>
      </c>
      <c r="F4890" s="201">
        <v>-12.2</v>
      </c>
      <c r="G4890" s="201">
        <v>9.3000000000000007</v>
      </c>
    </row>
    <row r="4891" spans="4:7">
      <c r="D4891" s="200" t="s">
        <v>5205</v>
      </c>
      <c r="E4891" s="10">
        <v>38378</v>
      </c>
      <c r="F4891" s="201">
        <v>-12.2</v>
      </c>
      <c r="G4891" s="201">
        <v>9.4</v>
      </c>
    </row>
    <row r="4892" spans="4:7">
      <c r="D4892" s="200" t="s">
        <v>5206</v>
      </c>
      <c r="E4892" s="10">
        <v>38382</v>
      </c>
      <c r="F4892" s="201">
        <v>-12.2</v>
      </c>
      <c r="G4892" s="201">
        <v>9.6</v>
      </c>
    </row>
    <row r="4893" spans="4:7">
      <c r="D4893" s="200" t="s">
        <v>5207</v>
      </c>
      <c r="E4893" s="10">
        <v>38459</v>
      </c>
      <c r="F4893" s="201">
        <v>-12.2</v>
      </c>
      <c r="G4893" s="201">
        <v>9.4</v>
      </c>
    </row>
    <row r="4894" spans="4:7">
      <c r="D4894" s="200" t="s">
        <v>5208</v>
      </c>
      <c r="E4894" s="10">
        <v>38486</v>
      </c>
      <c r="F4894" s="201">
        <v>-12.2</v>
      </c>
      <c r="G4894" s="201">
        <v>9.3000000000000007</v>
      </c>
    </row>
    <row r="4895" spans="4:7">
      <c r="D4895" s="200" t="s">
        <v>5209</v>
      </c>
      <c r="E4895" s="10">
        <v>38723</v>
      </c>
      <c r="F4895" s="201">
        <v>-12.2</v>
      </c>
      <c r="G4895" s="201">
        <v>9.1999999999999993</v>
      </c>
    </row>
    <row r="4896" spans="4:7">
      <c r="D4896" s="200" t="s">
        <v>5210</v>
      </c>
      <c r="E4896" s="10">
        <v>38729</v>
      </c>
      <c r="F4896" s="201">
        <v>-12.2</v>
      </c>
      <c r="G4896" s="201">
        <v>9.4</v>
      </c>
    </row>
    <row r="4897" spans="4:7">
      <c r="D4897" s="200" t="s">
        <v>4110</v>
      </c>
      <c r="E4897" s="10">
        <v>39126</v>
      </c>
      <c r="F4897" s="201">
        <v>-12.2</v>
      </c>
      <c r="G4897" s="201">
        <v>9.6</v>
      </c>
    </row>
    <row r="4898" spans="4:7" ht="30">
      <c r="D4898" s="200" t="s">
        <v>5211</v>
      </c>
      <c r="E4898" s="10">
        <v>39393</v>
      </c>
      <c r="F4898" s="201">
        <v>-12.2</v>
      </c>
      <c r="G4898" s="201">
        <v>9.5</v>
      </c>
    </row>
    <row r="4899" spans="4:7">
      <c r="D4899" s="200" t="s">
        <v>5212</v>
      </c>
      <c r="E4899" s="10">
        <v>39624</v>
      </c>
      <c r="F4899" s="201">
        <v>-12.2</v>
      </c>
      <c r="G4899" s="201">
        <v>9.3000000000000007</v>
      </c>
    </row>
    <row r="4900" spans="4:7">
      <c r="D4900" s="200" t="s">
        <v>5213</v>
      </c>
      <c r="E4900" s="10">
        <v>39649</v>
      </c>
      <c r="F4900" s="201">
        <v>-12.2</v>
      </c>
      <c r="G4900" s="201">
        <v>9.4</v>
      </c>
    </row>
    <row r="4901" spans="4:7">
      <c r="D4901" s="200" t="s">
        <v>5214</v>
      </c>
      <c r="E4901" s="10">
        <v>71543</v>
      </c>
      <c r="F4901" s="201">
        <v>-12.2</v>
      </c>
      <c r="G4901" s="201">
        <v>8.8000000000000007</v>
      </c>
    </row>
    <row r="4902" spans="4:7">
      <c r="D4902" s="200" t="s">
        <v>5215</v>
      </c>
      <c r="E4902" s="10">
        <v>72160</v>
      </c>
      <c r="F4902" s="201">
        <v>-12.2</v>
      </c>
      <c r="G4902" s="201">
        <v>8.6999999999999993</v>
      </c>
    </row>
    <row r="4903" spans="4:7">
      <c r="D4903" s="200" t="s">
        <v>5216</v>
      </c>
      <c r="E4903" s="10">
        <v>72221</v>
      </c>
      <c r="F4903" s="201">
        <v>-12.2</v>
      </c>
      <c r="G4903" s="201">
        <v>8.6</v>
      </c>
    </row>
    <row r="4904" spans="4:7">
      <c r="D4904" s="200" t="s">
        <v>5217</v>
      </c>
      <c r="E4904" s="10">
        <v>73453</v>
      </c>
      <c r="F4904" s="201">
        <v>-12.2</v>
      </c>
      <c r="G4904" s="201">
        <v>9.1</v>
      </c>
    </row>
    <row r="4905" spans="4:7">
      <c r="D4905" s="200" t="s">
        <v>5218</v>
      </c>
      <c r="E4905" s="10">
        <v>73572</v>
      </c>
      <c r="F4905" s="201">
        <v>-12.2</v>
      </c>
      <c r="G4905" s="201">
        <v>9.1</v>
      </c>
    </row>
    <row r="4906" spans="4:7">
      <c r="D4906" s="200" t="s">
        <v>5219</v>
      </c>
      <c r="E4906" s="10">
        <v>74545</v>
      </c>
      <c r="F4906" s="201">
        <v>-12.2</v>
      </c>
      <c r="G4906" s="201">
        <v>9</v>
      </c>
    </row>
    <row r="4907" spans="4:7">
      <c r="D4907" s="200" t="s">
        <v>5220</v>
      </c>
      <c r="E4907" s="10">
        <v>74549</v>
      </c>
      <c r="F4907" s="201">
        <v>-12.2</v>
      </c>
      <c r="G4907" s="201">
        <v>9.1999999999999993</v>
      </c>
    </row>
    <row r="4908" spans="4:7">
      <c r="D4908" s="200" t="s">
        <v>5221</v>
      </c>
      <c r="E4908" s="10">
        <v>74638</v>
      </c>
      <c r="F4908" s="201">
        <v>-12.2</v>
      </c>
      <c r="G4908" s="201">
        <v>8.9</v>
      </c>
    </row>
    <row r="4909" spans="4:7">
      <c r="D4909" s="200" t="s">
        <v>5222</v>
      </c>
      <c r="E4909" s="10">
        <v>75392</v>
      </c>
      <c r="F4909" s="201">
        <v>-12.2</v>
      </c>
      <c r="G4909" s="201">
        <v>8.6999999999999993</v>
      </c>
    </row>
    <row r="4910" spans="4:7">
      <c r="D4910" s="200" t="s">
        <v>5223</v>
      </c>
      <c r="E4910" s="10">
        <v>79677</v>
      </c>
      <c r="F4910" s="201">
        <v>-12.2</v>
      </c>
      <c r="G4910" s="201">
        <v>8.6</v>
      </c>
    </row>
    <row r="4911" spans="4:7">
      <c r="D4911" s="200" t="s">
        <v>4162</v>
      </c>
      <c r="E4911" s="10">
        <v>80336</v>
      </c>
      <c r="F4911" s="201">
        <v>-12.2</v>
      </c>
      <c r="G4911" s="201">
        <v>9.3000000000000007</v>
      </c>
    </row>
    <row r="4912" spans="4:7">
      <c r="D4912" s="200" t="s">
        <v>4162</v>
      </c>
      <c r="E4912" s="10">
        <v>80538</v>
      </c>
      <c r="F4912" s="201">
        <v>-12.2</v>
      </c>
      <c r="G4912" s="201">
        <v>9.4</v>
      </c>
    </row>
    <row r="4913" spans="4:7">
      <c r="D4913" s="200" t="s">
        <v>4162</v>
      </c>
      <c r="E4913" s="10">
        <v>80802</v>
      </c>
      <c r="F4913" s="201">
        <v>-12.2</v>
      </c>
      <c r="G4913" s="201">
        <v>9.4</v>
      </c>
    </row>
    <row r="4914" spans="4:7">
      <c r="D4914" s="200" t="s">
        <v>5224</v>
      </c>
      <c r="E4914" s="10">
        <v>84359</v>
      </c>
      <c r="F4914" s="201">
        <v>-12.2</v>
      </c>
      <c r="G4914" s="201">
        <v>8.9</v>
      </c>
    </row>
    <row r="4915" spans="4:7">
      <c r="D4915" s="200" t="s">
        <v>5225</v>
      </c>
      <c r="E4915" s="10">
        <v>84375</v>
      </c>
      <c r="F4915" s="201">
        <v>-12.2</v>
      </c>
      <c r="G4915" s="201">
        <v>9.3000000000000007</v>
      </c>
    </row>
    <row r="4916" spans="4:7">
      <c r="D4916" s="200" t="s">
        <v>5226</v>
      </c>
      <c r="E4916" s="10">
        <v>84385</v>
      </c>
      <c r="F4916" s="201">
        <v>-12.2</v>
      </c>
      <c r="G4916" s="201">
        <v>8.8000000000000007</v>
      </c>
    </row>
    <row r="4917" spans="4:7">
      <c r="D4917" s="200" t="s">
        <v>5227</v>
      </c>
      <c r="E4917" s="10">
        <v>88631</v>
      </c>
      <c r="F4917" s="201">
        <v>-12.2</v>
      </c>
      <c r="G4917" s="201">
        <v>8.4</v>
      </c>
    </row>
    <row r="4918" spans="4:7">
      <c r="D4918" s="200" t="s">
        <v>4257</v>
      </c>
      <c r="E4918" s="10">
        <v>90408</v>
      </c>
      <c r="F4918" s="201">
        <v>-12.2</v>
      </c>
      <c r="G4918" s="201">
        <v>10</v>
      </c>
    </row>
    <row r="4919" spans="4:7">
      <c r="D4919" s="200" t="s">
        <v>4257</v>
      </c>
      <c r="E4919" s="10">
        <v>90409</v>
      </c>
      <c r="F4919" s="201">
        <v>-12.2</v>
      </c>
      <c r="G4919" s="201">
        <v>10</v>
      </c>
    </row>
    <row r="4920" spans="4:7">
      <c r="D4920" s="200" t="s">
        <v>4257</v>
      </c>
      <c r="E4920" s="10">
        <v>90429</v>
      </c>
      <c r="F4920" s="201">
        <v>-12.2</v>
      </c>
      <c r="G4920" s="201">
        <v>10</v>
      </c>
    </row>
    <row r="4921" spans="4:7">
      <c r="D4921" s="200" t="s">
        <v>4257</v>
      </c>
      <c r="E4921" s="10">
        <v>90431</v>
      </c>
      <c r="F4921" s="201">
        <v>-12.2</v>
      </c>
      <c r="G4921" s="201">
        <v>10.1</v>
      </c>
    </row>
    <row r="4922" spans="4:7">
      <c r="D4922" s="200" t="s">
        <v>5228</v>
      </c>
      <c r="E4922" s="10">
        <v>91465</v>
      </c>
      <c r="F4922" s="201">
        <v>-12.2</v>
      </c>
      <c r="G4922" s="201">
        <v>9.1999999999999993</v>
      </c>
    </row>
    <row r="4923" spans="4:7">
      <c r="D4923" s="200" t="s">
        <v>5229</v>
      </c>
      <c r="E4923" s="10">
        <v>94060</v>
      </c>
      <c r="F4923" s="201">
        <v>-12.2</v>
      </c>
      <c r="G4923" s="201">
        <v>9.4</v>
      </c>
    </row>
    <row r="4924" spans="4:7">
      <c r="D4924" s="200" t="s">
        <v>5230</v>
      </c>
      <c r="E4924" s="10">
        <v>94072</v>
      </c>
      <c r="F4924" s="201">
        <v>-12.2</v>
      </c>
      <c r="G4924" s="201">
        <v>9.4</v>
      </c>
    </row>
    <row r="4925" spans="4:7">
      <c r="D4925" s="200" t="s">
        <v>5231</v>
      </c>
      <c r="E4925" s="10">
        <v>94148</v>
      </c>
      <c r="F4925" s="201">
        <v>-12.2</v>
      </c>
      <c r="G4925" s="201">
        <v>9.3000000000000007</v>
      </c>
    </row>
    <row r="4926" spans="4:7">
      <c r="D4926" s="200" t="s">
        <v>5232</v>
      </c>
      <c r="E4926" s="10">
        <v>94160</v>
      </c>
      <c r="F4926" s="201">
        <v>-12.2</v>
      </c>
      <c r="G4926" s="201">
        <v>8.5</v>
      </c>
    </row>
    <row r="4927" spans="4:7">
      <c r="D4927" s="200" t="s">
        <v>5233</v>
      </c>
      <c r="E4927" s="10">
        <v>94496</v>
      </c>
      <c r="F4927" s="201">
        <v>-12.2</v>
      </c>
      <c r="G4927" s="201">
        <v>9.1999999999999993</v>
      </c>
    </row>
    <row r="4928" spans="4:7">
      <c r="D4928" s="200" t="s">
        <v>5234</v>
      </c>
      <c r="E4928" s="10">
        <v>94535</v>
      </c>
      <c r="F4928" s="201">
        <v>-12.2</v>
      </c>
      <c r="G4928" s="201">
        <v>8.8000000000000007</v>
      </c>
    </row>
    <row r="4929" spans="4:7">
      <c r="D4929" s="200" t="s">
        <v>5235</v>
      </c>
      <c r="E4929" s="10">
        <v>96151</v>
      </c>
      <c r="F4929" s="201">
        <v>-12.2</v>
      </c>
      <c r="G4929" s="201">
        <v>8.9</v>
      </c>
    </row>
    <row r="4930" spans="4:7">
      <c r="D4930" s="200" t="s">
        <v>5236</v>
      </c>
      <c r="E4930" s="10">
        <v>96231</v>
      </c>
      <c r="F4930" s="201">
        <v>-12.2</v>
      </c>
      <c r="G4930" s="201">
        <v>8.8000000000000007</v>
      </c>
    </row>
    <row r="4931" spans="4:7">
      <c r="D4931" s="200" t="s">
        <v>5237</v>
      </c>
      <c r="E4931" s="10">
        <v>96342</v>
      </c>
      <c r="F4931" s="201">
        <v>-12.2</v>
      </c>
      <c r="G4931" s="201">
        <v>8.6999999999999993</v>
      </c>
    </row>
    <row r="4932" spans="4:7">
      <c r="D4932" s="200" t="s">
        <v>5238</v>
      </c>
      <c r="E4932" s="10">
        <v>96524</v>
      </c>
      <c r="F4932" s="201">
        <v>-12.2</v>
      </c>
      <c r="G4932" s="201">
        <v>8.6999999999999993</v>
      </c>
    </row>
    <row r="4933" spans="4:7">
      <c r="D4933" s="200" t="s">
        <v>5239</v>
      </c>
      <c r="E4933" s="10">
        <v>97437</v>
      </c>
      <c r="F4933" s="201">
        <v>-12.2</v>
      </c>
      <c r="G4933" s="201">
        <v>9.4</v>
      </c>
    </row>
    <row r="4934" spans="4:7">
      <c r="D4934" s="200" t="s">
        <v>5240</v>
      </c>
      <c r="E4934" s="10">
        <v>97539</v>
      </c>
      <c r="F4934" s="201">
        <v>-12.2</v>
      </c>
      <c r="G4934" s="201">
        <v>9.4</v>
      </c>
    </row>
    <row r="4935" spans="4:7">
      <c r="D4935" s="200" t="s">
        <v>5241</v>
      </c>
      <c r="E4935" s="10">
        <v>97645</v>
      </c>
      <c r="F4935" s="201">
        <v>-12.2</v>
      </c>
      <c r="G4935" s="201">
        <v>8.4</v>
      </c>
    </row>
    <row r="4936" spans="4:7">
      <c r="D4936" s="200" t="s">
        <v>5242</v>
      </c>
      <c r="E4936" s="10">
        <v>98597</v>
      </c>
      <c r="F4936" s="201">
        <v>-12.2</v>
      </c>
      <c r="G4936" s="201">
        <v>9.1999999999999993</v>
      </c>
    </row>
    <row r="4937" spans="4:7">
      <c r="D4937" s="200" t="s">
        <v>4966</v>
      </c>
      <c r="E4937" s="10">
        <v>99089</v>
      </c>
      <c r="F4937" s="201">
        <v>-12.2</v>
      </c>
      <c r="G4937" s="201">
        <v>9.9</v>
      </c>
    </row>
    <row r="4938" spans="4:7">
      <c r="D4938" s="200" t="s">
        <v>5243</v>
      </c>
      <c r="E4938" s="10">
        <v>99817</v>
      </c>
      <c r="F4938" s="201">
        <v>-12.2</v>
      </c>
      <c r="G4938" s="201">
        <v>9.5</v>
      </c>
    </row>
    <row r="4939" spans="4:7">
      <c r="D4939" s="200" t="s">
        <v>5069</v>
      </c>
      <c r="E4939" s="10">
        <v>1067</v>
      </c>
      <c r="F4939" s="201">
        <v>-12.3</v>
      </c>
      <c r="G4939" s="201">
        <v>10.5</v>
      </c>
    </row>
    <row r="4940" spans="4:7">
      <c r="D4940" s="200" t="s">
        <v>4593</v>
      </c>
      <c r="E4940" s="10">
        <v>4103</v>
      </c>
      <c r="F4940" s="201">
        <v>-12.3</v>
      </c>
      <c r="G4940" s="201">
        <v>10.199999999999999</v>
      </c>
    </row>
    <row r="4941" spans="4:7">
      <c r="D4941" s="200" t="s">
        <v>4593</v>
      </c>
      <c r="E4941" s="10">
        <v>4129</v>
      </c>
      <c r="F4941" s="201">
        <v>-12.3</v>
      </c>
      <c r="G4941" s="201">
        <v>10.199999999999999</v>
      </c>
    </row>
    <row r="4942" spans="4:7">
      <c r="D4942" s="200" t="s">
        <v>4593</v>
      </c>
      <c r="E4942" s="10">
        <v>4155</v>
      </c>
      <c r="F4942" s="201">
        <v>-12.3</v>
      </c>
      <c r="G4942" s="201">
        <v>10.3</v>
      </c>
    </row>
    <row r="4943" spans="4:7">
      <c r="D4943" s="200" t="s">
        <v>4593</v>
      </c>
      <c r="E4943" s="10">
        <v>4177</v>
      </c>
      <c r="F4943" s="201">
        <v>-12.3</v>
      </c>
      <c r="G4943" s="201">
        <v>10.1</v>
      </c>
    </row>
    <row r="4944" spans="4:7">
      <c r="D4944" s="200" t="s">
        <v>4593</v>
      </c>
      <c r="E4944" s="10">
        <v>4209</v>
      </c>
      <c r="F4944" s="201">
        <v>-12.3</v>
      </c>
      <c r="G4944" s="201">
        <v>10.199999999999999</v>
      </c>
    </row>
    <row r="4945" spans="4:7">
      <c r="D4945" s="200" t="s">
        <v>4593</v>
      </c>
      <c r="E4945" s="10">
        <v>4229</v>
      </c>
      <c r="F4945" s="201">
        <v>-12.3</v>
      </c>
      <c r="G4945" s="201">
        <v>10.1</v>
      </c>
    </row>
    <row r="4946" spans="4:7">
      <c r="D4946" s="200" t="s">
        <v>4593</v>
      </c>
      <c r="E4946" s="10">
        <v>4275</v>
      </c>
      <c r="F4946" s="201">
        <v>-12.3</v>
      </c>
      <c r="G4946" s="201">
        <v>10.199999999999999</v>
      </c>
    </row>
    <row r="4947" spans="4:7">
      <c r="D4947" s="200" t="s">
        <v>4593</v>
      </c>
      <c r="E4947" s="10">
        <v>4318</v>
      </c>
      <c r="F4947" s="201">
        <v>-12.3</v>
      </c>
      <c r="G4947" s="201">
        <v>10.199999999999999</v>
      </c>
    </row>
    <row r="4948" spans="4:7">
      <c r="D4948" s="200" t="s">
        <v>4593</v>
      </c>
      <c r="E4948" s="10">
        <v>4347</v>
      </c>
      <c r="F4948" s="201">
        <v>-12.3</v>
      </c>
      <c r="G4948" s="201">
        <v>10.199999999999999</v>
      </c>
    </row>
    <row r="4949" spans="4:7">
      <c r="D4949" s="200" t="s">
        <v>4916</v>
      </c>
      <c r="E4949" s="10">
        <v>12109</v>
      </c>
      <c r="F4949" s="201">
        <v>-12.3</v>
      </c>
      <c r="G4949" s="201">
        <v>9.9</v>
      </c>
    </row>
    <row r="4950" spans="4:7">
      <c r="D4950" s="200" t="s">
        <v>5244</v>
      </c>
      <c r="E4950" s="10">
        <v>12435</v>
      </c>
      <c r="F4950" s="201">
        <v>-12.3</v>
      </c>
      <c r="G4950" s="201">
        <v>9.8000000000000007</v>
      </c>
    </row>
    <row r="4951" spans="4:7">
      <c r="D4951" s="200" t="s">
        <v>5245</v>
      </c>
      <c r="E4951" s="10">
        <v>12439</v>
      </c>
      <c r="F4951" s="201">
        <v>-12.3</v>
      </c>
      <c r="G4951" s="201">
        <v>9.9</v>
      </c>
    </row>
    <row r="4952" spans="4:7">
      <c r="D4952" s="200" t="s">
        <v>5246</v>
      </c>
      <c r="E4952" s="10">
        <v>13129</v>
      </c>
      <c r="F4952" s="201">
        <v>-12.3</v>
      </c>
      <c r="G4952" s="201">
        <v>9.9</v>
      </c>
    </row>
    <row r="4953" spans="4:7">
      <c r="D4953" s="200" t="s">
        <v>5247</v>
      </c>
      <c r="E4953" s="10">
        <v>13469</v>
      </c>
      <c r="F4953" s="201">
        <v>-12.3</v>
      </c>
      <c r="G4953" s="201">
        <v>10</v>
      </c>
    </row>
    <row r="4954" spans="4:7">
      <c r="D4954" s="200" t="s">
        <v>5248</v>
      </c>
      <c r="E4954" s="10">
        <v>13507</v>
      </c>
      <c r="F4954" s="201">
        <v>-12.3</v>
      </c>
      <c r="G4954" s="201">
        <v>10</v>
      </c>
    </row>
    <row r="4955" spans="4:7">
      <c r="D4955" s="200" t="s">
        <v>5249</v>
      </c>
      <c r="E4955" s="10">
        <v>15366</v>
      </c>
      <c r="F4955" s="201">
        <v>-12.3</v>
      </c>
      <c r="G4955" s="201">
        <v>9.6999999999999993</v>
      </c>
    </row>
    <row r="4956" spans="4:7">
      <c r="D4956" s="200" t="s">
        <v>5250</v>
      </c>
      <c r="E4956" s="10">
        <v>16548</v>
      </c>
      <c r="F4956" s="201">
        <v>-12.3</v>
      </c>
      <c r="G4956" s="201">
        <v>9.8000000000000007</v>
      </c>
    </row>
    <row r="4957" spans="4:7">
      <c r="D4957" s="200" t="s">
        <v>5251</v>
      </c>
      <c r="E4957" s="10">
        <v>17166</v>
      </c>
      <c r="F4957" s="201">
        <v>-12.3</v>
      </c>
      <c r="G4957" s="201">
        <v>9.1</v>
      </c>
    </row>
    <row r="4958" spans="4:7">
      <c r="D4958" s="200" t="s">
        <v>5252</v>
      </c>
      <c r="E4958" s="10">
        <v>17168</v>
      </c>
      <c r="F4958" s="201">
        <v>-12.3</v>
      </c>
      <c r="G4958" s="201">
        <v>9</v>
      </c>
    </row>
    <row r="4959" spans="4:7">
      <c r="D4959" s="200" t="s">
        <v>5253</v>
      </c>
      <c r="E4959" s="10">
        <v>17192</v>
      </c>
      <c r="F4959" s="201">
        <v>-12.3</v>
      </c>
      <c r="G4959" s="201">
        <v>9.1999999999999993</v>
      </c>
    </row>
    <row r="4960" spans="4:7">
      <c r="D4960" s="200" t="s">
        <v>5254</v>
      </c>
      <c r="E4960" s="10">
        <v>17390</v>
      </c>
      <c r="F4960" s="201">
        <v>-12.3</v>
      </c>
      <c r="G4960" s="201">
        <v>8.9</v>
      </c>
    </row>
    <row r="4961" spans="4:7">
      <c r="D4961" s="200" t="s">
        <v>5255</v>
      </c>
      <c r="E4961" s="10">
        <v>19300</v>
      </c>
      <c r="F4961" s="201">
        <v>-12.3</v>
      </c>
      <c r="G4961" s="201">
        <v>9.3000000000000007</v>
      </c>
    </row>
    <row r="4962" spans="4:7">
      <c r="D4962" s="200" t="s">
        <v>5256</v>
      </c>
      <c r="E4962" s="10">
        <v>19322</v>
      </c>
      <c r="F4962" s="201">
        <v>-12.3</v>
      </c>
      <c r="G4962" s="201">
        <v>9.4</v>
      </c>
    </row>
    <row r="4963" spans="4:7">
      <c r="D4963" s="200" t="s">
        <v>5257</v>
      </c>
      <c r="E4963" s="10">
        <v>19348</v>
      </c>
      <c r="F4963" s="201">
        <v>-12.3</v>
      </c>
      <c r="G4963" s="201">
        <v>9.1999999999999993</v>
      </c>
    </row>
    <row r="4964" spans="4:7">
      <c r="D4964" s="200" t="s">
        <v>5258</v>
      </c>
      <c r="E4964" s="10">
        <v>19372</v>
      </c>
      <c r="F4964" s="201">
        <v>-12.3</v>
      </c>
      <c r="G4964" s="201">
        <v>9.1</v>
      </c>
    </row>
    <row r="4965" spans="4:7">
      <c r="D4965" s="200" t="s">
        <v>5259</v>
      </c>
      <c r="E4965" s="10">
        <v>19386</v>
      </c>
      <c r="F4965" s="201">
        <v>-12.3</v>
      </c>
      <c r="G4965" s="201">
        <v>9</v>
      </c>
    </row>
    <row r="4966" spans="4:7">
      <c r="D4966" s="200" t="s">
        <v>5260</v>
      </c>
      <c r="E4966" s="10">
        <v>19395</v>
      </c>
      <c r="F4966" s="201">
        <v>-12.3</v>
      </c>
      <c r="G4966" s="201">
        <v>9.1</v>
      </c>
    </row>
    <row r="4967" spans="4:7">
      <c r="D4967" s="200" t="s">
        <v>5261</v>
      </c>
      <c r="E4967" s="10">
        <v>19399</v>
      </c>
      <c r="F4967" s="201">
        <v>-12.3</v>
      </c>
      <c r="G4967" s="201">
        <v>9.1</v>
      </c>
    </row>
    <row r="4968" spans="4:7">
      <c r="D4968" s="200" t="s">
        <v>5262</v>
      </c>
      <c r="E4968" s="10">
        <v>31099</v>
      </c>
      <c r="F4968" s="201">
        <v>-12.3</v>
      </c>
      <c r="G4968" s="201">
        <v>9</v>
      </c>
    </row>
    <row r="4969" spans="4:7">
      <c r="D4969" s="200" t="s">
        <v>5263</v>
      </c>
      <c r="E4969" s="10">
        <v>34298</v>
      </c>
      <c r="F4969" s="201">
        <v>-12.3</v>
      </c>
      <c r="G4969" s="201">
        <v>8.3000000000000007</v>
      </c>
    </row>
    <row r="4970" spans="4:7">
      <c r="D4970" s="200" t="s">
        <v>5264</v>
      </c>
      <c r="E4970" s="10">
        <v>34323</v>
      </c>
      <c r="F4970" s="201">
        <v>-12.3</v>
      </c>
      <c r="G4970" s="201">
        <v>8.8000000000000007</v>
      </c>
    </row>
    <row r="4971" spans="4:7">
      <c r="D4971" s="200" t="s">
        <v>5265</v>
      </c>
      <c r="E4971" s="10">
        <v>34537</v>
      </c>
      <c r="F4971" s="201">
        <v>-12.3</v>
      </c>
      <c r="G4971" s="201">
        <v>8.3000000000000007</v>
      </c>
    </row>
    <row r="4972" spans="4:7">
      <c r="D4972" s="200" t="s">
        <v>5266</v>
      </c>
      <c r="E4972" s="10">
        <v>35114</v>
      </c>
      <c r="F4972" s="201">
        <v>-12.3</v>
      </c>
      <c r="G4972" s="201">
        <v>8.1999999999999993</v>
      </c>
    </row>
    <row r="4973" spans="4:7">
      <c r="D4973" s="200" t="s">
        <v>4325</v>
      </c>
      <c r="E4973" s="10">
        <v>36039</v>
      </c>
      <c r="F4973" s="201">
        <v>-12.3</v>
      </c>
      <c r="G4973" s="201">
        <v>8.4</v>
      </c>
    </row>
    <row r="4974" spans="4:7">
      <c r="D4974" s="200" t="s">
        <v>5267</v>
      </c>
      <c r="E4974" s="10">
        <v>36088</v>
      </c>
      <c r="F4974" s="201">
        <v>-12.3</v>
      </c>
      <c r="G4974" s="201">
        <v>9</v>
      </c>
    </row>
    <row r="4975" spans="4:7">
      <c r="D4975" s="200" t="s">
        <v>5268</v>
      </c>
      <c r="E4975" s="10">
        <v>36110</v>
      </c>
      <c r="F4975" s="201">
        <v>-12.3</v>
      </c>
      <c r="G4975" s="201">
        <v>8.9</v>
      </c>
    </row>
    <row r="4976" spans="4:7">
      <c r="D4976" s="200" t="s">
        <v>5269</v>
      </c>
      <c r="E4976" s="10">
        <v>36148</v>
      </c>
      <c r="F4976" s="201">
        <v>-12.3</v>
      </c>
      <c r="G4976" s="201">
        <v>8.3000000000000007</v>
      </c>
    </row>
    <row r="4977" spans="4:7">
      <c r="D4977" s="200" t="s">
        <v>5270</v>
      </c>
      <c r="E4977" s="10">
        <v>36160</v>
      </c>
      <c r="F4977" s="201">
        <v>-12.3</v>
      </c>
      <c r="G4977" s="201">
        <v>8.4</v>
      </c>
    </row>
    <row r="4978" spans="4:7">
      <c r="D4978" s="200" t="s">
        <v>5271</v>
      </c>
      <c r="E4978" s="10">
        <v>36323</v>
      </c>
      <c r="F4978" s="201">
        <v>-12.3</v>
      </c>
      <c r="G4978" s="201">
        <v>8.6999999999999993</v>
      </c>
    </row>
    <row r="4979" spans="4:7">
      <c r="D4979" s="200" t="s">
        <v>5272</v>
      </c>
      <c r="E4979" s="10">
        <v>36414</v>
      </c>
      <c r="F4979" s="201">
        <v>-12.3</v>
      </c>
      <c r="G4979" s="201">
        <v>9</v>
      </c>
    </row>
    <row r="4980" spans="4:7">
      <c r="D4980" s="200" t="s">
        <v>3585</v>
      </c>
      <c r="E4980" s="10">
        <v>37075</v>
      </c>
      <c r="F4980" s="201">
        <v>-12.3</v>
      </c>
      <c r="G4980" s="201">
        <v>8.9</v>
      </c>
    </row>
    <row r="4981" spans="4:7">
      <c r="D4981" s="200" t="s">
        <v>3585</v>
      </c>
      <c r="E4981" s="10">
        <v>37077</v>
      </c>
      <c r="F4981" s="201">
        <v>-12.3</v>
      </c>
      <c r="G4981" s="201">
        <v>8.6</v>
      </c>
    </row>
    <row r="4982" spans="4:7">
      <c r="D4982" s="200" t="s">
        <v>3585</v>
      </c>
      <c r="E4982" s="10">
        <v>37085</v>
      </c>
      <c r="F4982" s="201">
        <v>-12.3</v>
      </c>
      <c r="G4982" s="201">
        <v>8.6999999999999993</v>
      </c>
    </row>
    <row r="4983" spans="4:7">
      <c r="D4983" s="200" t="s">
        <v>4512</v>
      </c>
      <c r="E4983" s="10">
        <v>37214</v>
      </c>
      <c r="F4983" s="201">
        <v>-12.3</v>
      </c>
      <c r="G4983" s="201">
        <v>8.6999999999999993</v>
      </c>
    </row>
    <row r="4984" spans="4:7">
      <c r="D4984" s="200" t="s">
        <v>4512</v>
      </c>
      <c r="E4984" s="10">
        <v>37215</v>
      </c>
      <c r="F4984" s="201">
        <v>-12.3</v>
      </c>
      <c r="G4984" s="201">
        <v>8.6999999999999993</v>
      </c>
    </row>
    <row r="4985" spans="4:7">
      <c r="D4985" s="200" t="s">
        <v>5273</v>
      </c>
      <c r="E4985" s="10">
        <v>37412</v>
      </c>
      <c r="F4985" s="201">
        <v>-12.3</v>
      </c>
      <c r="G4985" s="201">
        <v>8.9</v>
      </c>
    </row>
    <row r="4986" spans="4:7">
      <c r="D4986" s="200" t="s">
        <v>5274</v>
      </c>
      <c r="E4986" s="10">
        <v>37539</v>
      </c>
      <c r="F4986" s="201">
        <v>-12.3</v>
      </c>
      <c r="G4986" s="201">
        <v>9</v>
      </c>
    </row>
    <row r="4987" spans="4:7">
      <c r="D4987" s="200" t="s">
        <v>5275</v>
      </c>
      <c r="E4987" s="10">
        <v>37581</v>
      </c>
      <c r="F4987" s="201">
        <v>-12.3</v>
      </c>
      <c r="G4987" s="201">
        <v>9.1</v>
      </c>
    </row>
    <row r="4988" spans="4:7">
      <c r="D4988" s="200" t="s">
        <v>5276</v>
      </c>
      <c r="E4988" s="10">
        <v>37589</v>
      </c>
      <c r="F4988" s="201">
        <v>-12.3</v>
      </c>
      <c r="G4988" s="201">
        <v>9.1999999999999993</v>
      </c>
    </row>
    <row r="4989" spans="4:7">
      <c r="D4989" s="200" t="s">
        <v>5277</v>
      </c>
      <c r="E4989" s="10">
        <v>38381</v>
      </c>
      <c r="F4989" s="201">
        <v>-12.3</v>
      </c>
      <c r="G4989" s="201">
        <v>9.5</v>
      </c>
    </row>
    <row r="4990" spans="4:7">
      <c r="D4990" s="200" t="s">
        <v>5278</v>
      </c>
      <c r="E4990" s="10">
        <v>38385</v>
      </c>
      <c r="F4990" s="201">
        <v>-12.3</v>
      </c>
      <c r="G4990" s="201">
        <v>9.5</v>
      </c>
    </row>
    <row r="4991" spans="4:7">
      <c r="D4991" s="200" t="s">
        <v>5279</v>
      </c>
      <c r="E4991" s="10">
        <v>38387</v>
      </c>
      <c r="F4991" s="201">
        <v>-12.3</v>
      </c>
      <c r="G4991" s="201">
        <v>9.6</v>
      </c>
    </row>
    <row r="4992" spans="4:7">
      <c r="D4992" s="200" t="s">
        <v>5280</v>
      </c>
      <c r="E4992" s="10">
        <v>38388</v>
      </c>
      <c r="F4992" s="201">
        <v>-12.3</v>
      </c>
      <c r="G4992" s="201">
        <v>9.4</v>
      </c>
    </row>
    <row r="4993" spans="4:7">
      <c r="D4993" s="200" t="s">
        <v>5281</v>
      </c>
      <c r="E4993" s="10">
        <v>38690</v>
      </c>
      <c r="F4993" s="201">
        <v>-12.3</v>
      </c>
      <c r="G4993" s="201">
        <v>9.5</v>
      </c>
    </row>
    <row r="4994" spans="4:7">
      <c r="D4994" s="200" t="s">
        <v>5282</v>
      </c>
      <c r="E4994" s="10">
        <v>38704</v>
      </c>
      <c r="F4994" s="201">
        <v>-12.3</v>
      </c>
      <c r="G4994" s="201">
        <v>9.3000000000000007</v>
      </c>
    </row>
    <row r="4995" spans="4:7">
      <c r="D4995" s="200" t="s">
        <v>4110</v>
      </c>
      <c r="E4995" s="10">
        <v>39116</v>
      </c>
      <c r="F4995" s="201">
        <v>-12.3</v>
      </c>
      <c r="G4995" s="201">
        <v>9.5</v>
      </c>
    </row>
    <row r="4996" spans="4:7">
      <c r="D4996" s="200" t="s">
        <v>4110</v>
      </c>
      <c r="E4996" s="10">
        <v>39120</v>
      </c>
      <c r="F4996" s="201">
        <v>-12.3</v>
      </c>
      <c r="G4996" s="201">
        <v>9.4</v>
      </c>
    </row>
    <row r="4997" spans="4:7">
      <c r="D4997" s="200" t="s">
        <v>5283</v>
      </c>
      <c r="E4997" s="10">
        <v>39179</v>
      </c>
      <c r="F4997" s="201">
        <v>-12.3</v>
      </c>
      <c r="G4997" s="201">
        <v>9.5</v>
      </c>
    </row>
    <row r="4998" spans="4:7">
      <c r="D4998" s="200" t="s">
        <v>5284</v>
      </c>
      <c r="E4998" s="10">
        <v>39343</v>
      </c>
      <c r="F4998" s="201">
        <v>-12.3</v>
      </c>
      <c r="G4998" s="201">
        <v>9.4</v>
      </c>
    </row>
    <row r="4999" spans="4:7" ht="30">
      <c r="D4999" s="200" t="s">
        <v>5285</v>
      </c>
      <c r="E4999" s="10">
        <v>39345</v>
      </c>
      <c r="F4999" s="201">
        <v>-12.3</v>
      </c>
      <c r="G4999" s="201">
        <v>9.4</v>
      </c>
    </row>
    <row r="5000" spans="4:7" ht="30">
      <c r="D5000" s="200" t="s">
        <v>5286</v>
      </c>
      <c r="E5000" s="10">
        <v>39365</v>
      </c>
      <c r="F5000" s="201">
        <v>-12.3</v>
      </c>
      <c r="G5000" s="201">
        <v>9.3000000000000007</v>
      </c>
    </row>
    <row r="5001" spans="4:7">
      <c r="D5001" s="200" t="s">
        <v>5287</v>
      </c>
      <c r="E5001" s="10">
        <v>39387</v>
      </c>
      <c r="F5001" s="201">
        <v>-12.3</v>
      </c>
      <c r="G5001" s="201">
        <v>9.6</v>
      </c>
    </row>
    <row r="5002" spans="4:7">
      <c r="D5002" s="200" t="s">
        <v>5288</v>
      </c>
      <c r="E5002" s="10">
        <v>39629</v>
      </c>
      <c r="F5002" s="201">
        <v>-12.3</v>
      </c>
      <c r="G5002" s="201">
        <v>9.4</v>
      </c>
    </row>
    <row r="5003" spans="4:7">
      <c r="D5003" s="200" t="s">
        <v>5213</v>
      </c>
      <c r="E5003" s="10">
        <v>39638</v>
      </c>
      <c r="F5003" s="201">
        <v>-12.3</v>
      </c>
      <c r="G5003" s="201">
        <v>9.3000000000000007</v>
      </c>
    </row>
    <row r="5004" spans="4:7">
      <c r="D5004" s="200" t="s">
        <v>5289</v>
      </c>
      <c r="E5004" s="10">
        <v>57319</v>
      </c>
      <c r="F5004" s="201">
        <v>-12.3</v>
      </c>
      <c r="G5004" s="201">
        <v>7.4</v>
      </c>
    </row>
    <row r="5005" spans="4:7">
      <c r="D5005" s="200" t="s">
        <v>5290</v>
      </c>
      <c r="E5005" s="10">
        <v>71566</v>
      </c>
      <c r="F5005" s="201">
        <v>-12.3</v>
      </c>
      <c r="G5005" s="201">
        <v>9</v>
      </c>
    </row>
    <row r="5006" spans="4:7">
      <c r="D5006" s="200" t="s">
        <v>5291</v>
      </c>
      <c r="E5006" s="10">
        <v>71577</v>
      </c>
      <c r="F5006" s="201">
        <v>-12.3</v>
      </c>
      <c r="G5006" s="201">
        <v>8.6999999999999993</v>
      </c>
    </row>
    <row r="5007" spans="4:7">
      <c r="D5007" s="200" t="s">
        <v>5292</v>
      </c>
      <c r="E5007" s="10">
        <v>72213</v>
      </c>
      <c r="F5007" s="201">
        <v>-12.3</v>
      </c>
      <c r="G5007" s="201">
        <v>8.6</v>
      </c>
    </row>
    <row r="5008" spans="4:7">
      <c r="D5008" s="200" t="s">
        <v>5293</v>
      </c>
      <c r="E5008" s="10">
        <v>72369</v>
      </c>
      <c r="F5008" s="201">
        <v>-12.3</v>
      </c>
      <c r="G5008" s="201">
        <v>8.5</v>
      </c>
    </row>
    <row r="5009" spans="4:7">
      <c r="D5009" s="200" t="s">
        <v>5294</v>
      </c>
      <c r="E5009" s="10">
        <v>72417</v>
      </c>
      <c r="F5009" s="201">
        <v>-12.3</v>
      </c>
      <c r="G5009" s="201">
        <v>8.5</v>
      </c>
    </row>
    <row r="5010" spans="4:7">
      <c r="D5010" s="200" t="s">
        <v>5295</v>
      </c>
      <c r="E5010" s="10">
        <v>73272</v>
      </c>
      <c r="F5010" s="201">
        <v>-12.3</v>
      </c>
      <c r="G5010" s="201">
        <v>8.6</v>
      </c>
    </row>
    <row r="5011" spans="4:7">
      <c r="D5011" s="200" t="s">
        <v>5296</v>
      </c>
      <c r="E5011" s="10">
        <v>73447</v>
      </c>
      <c r="F5011" s="201">
        <v>-12.3</v>
      </c>
      <c r="G5011" s="201">
        <v>8.8000000000000007</v>
      </c>
    </row>
    <row r="5012" spans="4:7">
      <c r="D5012" s="200" t="s">
        <v>5297</v>
      </c>
      <c r="E5012" s="10">
        <v>73553</v>
      </c>
      <c r="F5012" s="201">
        <v>-12.3</v>
      </c>
      <c r="G5012" s="201">
        <v>9</v>
      </c>
    </row>
    <row r="5013" spans="4:7">
      <c r="D5013" s="200" t="s">
        <v>5298</v>
      </c>
      <c r="E5013" s="10">
        <v>74417</v>
      </c>
      <c r="F5013" s="201">
        <v>-12.3</v>
      </c>
      <c r="G5013" s="201">
        <v>8.9</v>
      </c>
    </row>
    <row r="5014" spans="4:7">
      <c r="D5014" s="200" t="s">
        <v>5299</v>
      </c>
      <c r="E5014" s="10">
        <v>74532</v>
      </c>
      <c r="F5014" s="201">
        <v>-12.3</v>
      </c>
      <c r="G5014" s="201">
        <v>9.1</v>
      </c>
    </row>
    <row r="5015" spans="4:7">
      <c r="D5015" s="200" t="s">
        <v>5300</v>
      </c>
      <c r="E5015" s="10">
        <v>74585</v>
      </c>
      <c r="F5015" s="201">
        <v>-12.3</v>
      </c>
      <c r="G5015" s="201">
        <v>9.1</v>
      </c>
    </row>
    <row r="5016" spans="4:7">
      <c r="D5016" s="200" t="s">
        <v>5301</v>
      </c>
      <c r="E5016" s="10">
        <v>74586</v>
      </c>
      <c r="F5016" s="201">
        <v>-12.3</v>
      </c>
      <c r="G5016" s="201">
        <v>9</v>
      </c>
    </row>
    <row r="5017" spans="4:7">
      <c r="D5017" s="200" t="s">
        <v>5302</v>
      </c>
      <c r="E5017" s="10">
        <v>74595</v>
      </c>
      <c r="F5017" s="201">
        <v>-12.3</v>
      </c>
      <c r="G5017" s="201">
        <v>9</v>
      </c>
    </row>
    <row r="5018" spans="4:7">
      <c r="D5018" s="200" t="s">
        <v>5303</v>
      </c>
      <c r="E5018" s="10">
        <v>75305</v>
      </c>
      <c r="F5018" s="201">
        <v>-12.3</v>
      </c>
      <c r="G5018" s="201">
        <v>8.4</v>
      </c>
    </row>
    <row r="5019" spans="4:7">
      <c r="D5019" s="200" t="s">
        <v>5304</v>
      </c>
      <c r="E5019" s="10">
        <v>75385</v>
      </c>
      <c r="F5019" s="201">
        <v>-12.3</v>
      </c>
      <c r="G5019" s="201">
        <v>8.4</v>
      </c>
    </row>
    <row r="5020" spans="4:7">
      <c r="D5020" s="200" t="s">
        <v>5305</v>
      </c>
      <c r="E5020" s="10">
        <v>75387</v>
      </c>
      <c r="F5020" s="201">
        <v>-12.3</v>
      </c>
      <c r="G5020" s="201">
        <v>8.5</v>
      </c>
    </row>
    <row r="5021" spans="4:7">
      <c r="D5021" s="200" t="s">
        <v>5306</v>
      </c>
      <c r="E5021" s="10">
        <v>76596</v>
      </c>
      <c r="F5021" s="201">
        <v>-12.3</v>
      </c>
      <c r="G5021" s="201">
        <v>8.5</v>
      </c>
    </row>
    <row r="5022" spans="4:7">
      <c r="D5022" s="200" t="s">
        <v>5307</v>
      </c>
      <c r="E5022" s="10">
        <v>78532</v>
      </c>
      <c r="F5022" s="201">
        <v>-12.3</v>
      </c>
      <c r="G5022" s="201">
        <v>8.5</v>
      </c>
    </row>
    <row r="5023" spans="4:7">
      <c r="D5023" s="200" t="s">
        <v>5308</v>
      </c>
      <c r="E5023" s="10">
        <v>78549</v>
      </c>
      <c r="F5023" s="201">
        <v>-12.3</v>
      </c>
      <c r="G5023" s="201">
        <v>8.5</v>
      </c>
    </row>
    <row r="5024" spans="4:7">
      <c r="D5024" s="200" t="s">
        <v>5309</v>
      </c>
      <c r="E5024" s="10">
        <v>78567</v>
      </c>
      <c r="F5024" s="201">
        <v>-12.3</v>
      </c>
      <c r="G5024" s="201">
        <v>8.4</v>
      </c>
    </row>
    <row r="5025" spans="4:7">
      <c r="D5025" s="200" t="s">
        <v>5310</v>
      </c>
      <c r="E5025" s="10">
        <v>78580</v>
      </c>
      <c r="F5025" s="201">
        <v>-12.3</v>
      </c>
      <c r="G5025" s="201">
        <v>8.4</v>
      </c>
    </row>
    <row r="5026" spans="4:7">
      <c r="D5026" s="200" t="s">
        <v>5311</v>
      </c>
      <c r="E5026" s="10">
        <v>78652</v>
      </c>
      <c r="F5026" s="201">
        <v>-12.3</v>
      </c>
      <c r="G5026" s="201">
        <v>8.6999999999999993</v>
      </c>
    </row>
    <row r="5027" spans="4:7">
      <c r="D5027" s="200" t="s">
        <v>5312</v>
      </c>
      <c r="E5027" s="10">
        <v>78667</v>
      </c>
      <c r="F5027" s="201">
        <v>-12.3</v>
      </c>
      <c r="G5027" s="201">
        <v>8.4</v>
      </c>
    </row>
    <row r="5028" spans="4:7">
      <c r="D5028" s="200" t="s">
        <v>5313</v>
      </c>
      <c r="E5028" s="10">
        <v>78669</v>
      </c>
      <c r="F5028" s="201">
        <v>-12.3</v>
      </c>
      <c r="G5028" s="201">
        <v>8.5</v>
      </c>
    </row>
    <row r="5029" spans="4:7">
      <c r="D5029" s="200" t="s">
        <v>5314</v>
      </c>
      <c r="E5029" s="10">
        <v>78736</v>
      </c>
      <c r="F5029" s="201">
        <v>-12.3</v>
      </c>
      <c r="G5029" s="201">
        <v>8.6</v>
      </c>
    </row>
    <row r="5030" spans="4:7">
      <c r="D5030" s="200" t="s">
        <v>4162</v>
      </c>
      <c r="E5030" s="10">
        <v>80339</v>
      </c>
      <c r="F5030" s="201">
        <v>-12.3</v>
      </c>
      <c r="G5030" s="201">
        <v>9.1999999999999993</v>
      </c>
    </row>
    <row r="5031" spans="4:7">
      <c r="D5031" s="200" t="s">
        <v>4162</v>
      </c>
      <c r="E5031" s="10">
        <v>81675</v>
      </c>
      <c r="F5031" s="201">
        <v>-12.3</v>
      </c>
      <c r="G5031" s="201">
        <v>9.3000000000000007</v>
      </c>
    </row>
    <row r="5032" spans="4:7">
      <c r="D5032" s="200" t="s">
        <v>4162</v>
      </c>
      <c r="E5032" s="10">
        <v>81679</v>
      </c>
      <c r="F5032" s="201">
        <v>-12.3</v>
      </c>
      <c r="G5032" s="201">
        <v>9.3000000000000007</v>
      </c>
    </row>
    <row r="5033" spans="4:7">
      <c r="D5033" s="200" t="s">
        <v>4958</v>
      </c>
      <c r="E5033" s="10">
        <v>83026</v>
      </c>
      <c r="F5033" s="201">
        <v>-12.3</v>
      </c>
      <c r="G5033" s="201">
        <v>9.1999999999999993</v>
      </c>
    </row>
    <row r="5034" spans="4:7">
      <c r="D5034" s="200" t="s">
        <v>5315</v>
      </c>
      <c r="E5034" s="10">
        <v>83059</v>
      </c>
      <c r="F5034" s="201">
        <v>-12.3</v>
      </c>
      <c r="G5034" s="201">
        <v>9</v>
      </c>
    </row>
    <row r="5035" spans="4:7">
      <c r="D5035" s="200" t="s">
        <v>5316</v>
      </c>
      <c r="E5035" s="10">
        <v>83458</v>
      </c>
      <c r="F5035" s="201">
        <v>-12.3</v>
      </c>
      <c r="G5035" s="201">
        <v>8.6999999999999993</v>
      </c>
    </row>
    <row r="5036" spans="4:7">
      <c r="D5036" s="200" t="s">
        <v>5317</v>
      </c>
      <c r="E5036" s="10">
        <v>84489</v>
      </c>
      <c r="F5036" s="201">
        <v>-12.3</v>
      </c>
      <c r="G5036" s="201">
        <v>9</v>
      </c>
    </row>
    <row r="5037" spans="4:7">
      <c r="D5037" s="200" t="s">
        <v>5318</v>
      </c>
      <c r="E5037" s="10">
        <v>85055</v>
      </c>
      <c r="F5037" s="201">
        <v>-12.3</v>
      </c>
      <c r="G5037" s="201">
        <v>9.6999999999999993</v>
      </c>
    </row>
    <row r="5038" spans="4:7">
      <c r="D5038" s="200" t="s">
        <v>5319</v>
      </c>
      <c r="E5038" s="10">
        <v>88273</v>
      </c>
      <c r="F5038" s="201">
        <v>-12.3</v>
      </c>
      <c r="G5038" s="201">
        <v>8.6</v>
      </c>
    </row>
    <row r="5039" spans="4:7">
      <c r="D5039" s="200" t="s">
        <v>5320</v>
      </c>
      <c r="E5039" s="10">
        <v>88279</v>
      </c>
      <c r="F5039" s="201">
        <v>-12.3</v>
      </c>
      <c r="G5039" s="201">
        <v>8.5</v>
      </c>
    </row>
    <row r="5040" spans="4:7">
      <c r="D5040" s="200" t="s">
        <v>5321</v>
      </c>
      <c r="E5040" s="10">
        <v>88377</v>
      </c>
      <c r="F5040" s="201">
        <v>-12.3</v>
      </c>
      <c r="G5040" s="201">
        <v>8.4</v>
      </c>
    </row>
    <row r="5041" spans="4:7">
      <c r="D5041" s="200" t="s">
        <v>5322</v>
      </c>
      <c r="E5041" s="10">
        <v>88512</v>
      </c>
      <c r="F5041" s="201">
        <v>-12.3</v>
      </c>
      <c r="G5041" s="201">
        <v>8.6</v>
      </c>
    </row>
    <row r="5042" spans="4:7">
      <c r="D5042" s="200" t="s">
        <v>5323</v>
      </c>
      <c r="E5042" s="10">
        <v>88633</v>
      </c>
      <c r="F5042" s="201">
        <v>-12.3</v>
      </c>
      <c r="G5042" s="201">
        <v>8.3000000000000007</v>
      </c>
    </row>
    <row r="5043" spans="4:7">
      <c r="D5043" s="200" t="s">
        <v>5324</v>
      </c>
      <c r="E5043" s="10">
        <v>88639</v>
      </c>
      <c r="F5043" s="201">
        <v>-12.3</v>
      </c>
      <c r="G5043" s="201">
        <v>8.1999999999999993</v>
      </c>
    </row>
    <row r="5044" spans="4:7">
      <c r="D5044" s="200" t="s">
        <v>5148</v>
      </c>
      <c r="E5044" s="10">
        <v>89079</v>
      </c>
      <c r="F5044" s="201">
        <v>-12.3</v>
      </c>
      <c r="G5044" s="201">
        <v>9</v>
      </c>
    </row>
    <row r="5045" spans="4:7">
      <c r="D5045" s="200" t="s">
        <v>5046</v>
      </c>
      <c r="E5045" s="10">
        <v>89233</v>
      </c>
      <c r="F5045" s="201">
        <v>-12.3</v>
      </c>
      <c r="G5045" s="201">
        <v>9</v>
      </c>
    </row>
    <row r="5046" spans="4:7">
      <c r="D5046" s="200" t="s">
        <v>5325</v>
      </c>
      <c r="E5046" s="10">
        <v>89275</v>
      </c>
      <c r="F5046" s="201">
        <v>-12.3</v>
      </c>
      <c r="G5046" s="201">
        <v>9</v>
      </c>
    </row>
    <row r="5047" spans="4:7">
      <c r="D5047" s="200" t="s">
        <v>5326</v>
      </c>
      <c r="E5047" s="10">
        <v>89278</v>
      </c>
      <c r="F5047" s="201">
        <v>-12.3</v>
      </c>
      <c r="G5047" s="201">
        <v>9</v>
      </c>
    </row>
    <row r="5048" spans="4:7">
      <c r="D5048" s="200" t="s">
        <v>5327</v>
      </c>
      <c r="E5048" s="10">
        <v>89291</v>
      </c>
      <c r="F5048" s="201">
        <v>-12.3</v>
      </c>
      <c r="G5048" s="201">
        <v>8.9</v>
      </c>
    </row>
    <row r="5049" spans="4:7">
      <c r="D5049" s="200" t="s">
        <v>5328</v>
      </c>
      <c r="E5049" s="10">
        <v>89340</v>
      </c>
      <c r="F5049" s="201">
        <v>-12.3</v>
      </c>
      <c r="G5049" s="201">
        <v>9</v>
      </c>
    </row>
    <row r="5050" spans="4:7">
      <c r="D5050" s="200" t="s">
        <v>5329</v>
      </c>
      <c r="E5050" s="10">
        <v>89518</v>
      </c>
      <c r="F5050" s="201">
        <v>-12.3</v>
      </c>
      <c r="G5050" s="201">
        <v>8.9</v>
      </c>
    </row>
    <row r="5051" spans="4:7">
      <c r="D5051" s="200" t="s">
        <v>4257</v>
      </c>
      <c r="E5051" s="10">
        <v>90449</v>
      </c>
      <c r="F5051" s="201">
        <v>-12.3</v>
      </c>
      <c r="G5051" s="201">
        <v>10</v>
      </c>
    </row>
    <row r="5052" spans="4:7">
      <c r="D5052" s="200" t="s">
        <v>4257</v>
      </c>
      <c r="E5052" s="10">
        <v>90461</v>
      </c>
      <c r="F5052" s="201">
        <v>-12.3</v>
      </c>
      <c r="G5052" s="201">
        <v>10.1</v>
      </c>
    </row>
    <row r="5053" spans="4:7">
      <c r="D5053" s="200" t="s">
        <v>4257</v>
      </c>
      <c r="E5053" s="10">
        <v>90478</v>
      </c>
      <c r="F5053" s="201">
        <v>-12.3</v>
      </c>
      <c r="G5053" s="201">
        <v>10</v>
      </c>
    </row>
    <row r="5054" spans="4:7">
      <c r="D5054" s="200" t="s">
        <v>5330</v>
      </c>
      <c r="E5054" s="10">
        <v>91052</v>
      </c>
      <c r="F5054" s="201">
        <v>-12.3</v>
      </c>
      <c r="G5054" s="201">
        <v>10</v>
      </c>
    </row>
    <row r="5055" spans="4:7">
      <c r="D5055" s="200" t="s">
        <v>5331</v>
      </c>
      <c r="E5055" s="10">
        <v>91438</v>
      </c>
      <c r="F5055" s="201">
        <v>-12.3</v>
      </c>
      <c r="G5055" s="201">
        <v>9.5</v>
      </c>
    </row>
    <row r="5056" spans="4:7">
      <c r="D5056" s="200" t="s">
        <v>5332</v>
      </c>
      <c r="E5056" s="10">
        <v>91472</v>
      </c>
      <c r="F5056" s="201">
        <v>-12.3</v>
      </c>
      <c r="G5056" s="201">
        <v>9.3000000000000007</v>
      </c>
    </row>
    <row r="5057" spans="4:7">
      <c r="D5057" s="200" t="s">
        <v>1669</v>
      </c>
      <c r="E5057" s="10">
        <v>91474</v>
      </c>
      <c r="F5057" s="201">
        <v>-12.3</v>
      </c>
      <c r="G5057" s="201">
        <v>9.4</v>
      </c>
    </row>
    <row r="5058" spans="4:7">
      <c r="D5058" s="200" t="s">
        <v>5333</v>
      </c>
      <c r="E5058" s="10">
        <v>91477</v>
      </c>
      <c r="F5058" s="201">
        <v>-12.3</v>
      </c>
      <c r="G5058" s="201">
        <v>9.3000000000000007</v>
      </c>
    </row>
    <row r="5059" spans="4:7">
      <c r="D5059" s="200" t="s">
        <v>5334</v>
      </c>
      <c r="E5059" s="10">
        <v>91483</v>
      </c>
      <c r="F5059" s="201">
        <v>-12.3</v>
      </c>
      <c r="G5059" s="201">
        <v>9.1999999999999993</v>
      </c>
    </row>
    <row r="5060" spans="4:7">
      <c r="D5060" s="200" t="s">
        <v>5335</v>
      </c>
      <c r="E5060" s="10">
        <v>91541</v>
      </c>
      <c r="F5060" s="201">
        <v>-12.3</v>
      </c>
      <c r="G5060" s="201">
        <v>9.1</v>
      </c>
    </row>
    <row r="5061" spans="4:7">
      <c r="D5061" s="200" t="s">
        <v>5336</v>
      </c>
      <c r="E5061" s="10">
        <v>91587</v>
      </c>
      <c r="F5061" s="201">
        <v>-12.3</v>
      </c>
      <c r="G5061" s="201">
        <v>9.1</v>
      </c>
    </row>
    <row r="5062" spans="4:7">
      <c r="D5062" s="200" t="s">
        <v>5337</v>
      </c>
      <c r="E5062" s="10">
        <v>91593</v>
      </c>
      <c r="F5062" s="201">
        <v>-12.3</v>
      </c>
      <c r="G5062" s="201">
        <v>9.4</v>
      </c>
    </row>
    <row r="5063" spans="4:7">
      <c r="D5063" s="200" t="s">
        <v>5338</v>
      </c>
      <c r="E5063" s="10">
        <v>91607</v>
      </c>
      <c r="F5063" s="201">
        <v>-12.3</v>
      </c>
      <c r="G5063" s="201">
        <v>9.1999999999999993</v>
      </c>
    </row>
    <row r="5064" spans="4:7">
      <c r="D5064" s="200" t="s">
        <v>5339</v>
      </c>
      <c r="E5064" s="10">
        <v>91620</v>
      </c>
      <c r="F5064" s="201">
        <v>-12.3</v>
      </c>
      <c r="G5064" s="201">
        <v>9.1</v>
      </c>
    </row>
    <row r="5065" spans="4:7">
      <c r="D5065" s="200" t="s">
        <v>5340</v>
      </c>
      <c r="E5065" s="10">
        <v>94051</v>
      </c>
      <c r="F5065" s="201">
        <v>-12.3</v>
      </c>
      <c r="G5065" s="201">
        <v>8.6</v>
      </c>
    </row>
    <row r="5066" spans="4:7">
      <c r="D5066" s="200" t="s">
        <v>5341</v>
      </c>
      <c r="E5066" s="10">
        <v>94086</v>
      </c>
      <c r="F5066" s="201">
        <v>-12.3</v>
      </c>
      <c r="G5066" s="201">
        <v>8.6</v>
      </c>
    </row>
    <row r="5067" spans="4:7">
      <c r="D5067" s="200" t="s">
        <v>5342</v>
      </c>
      <c r="E5067" s="10">
        <v>94094</v>
      </c>
      <c r="F5067" s="201">
        <v>-12.3</v>
      </c>
      <c r="G5067" s="201">
        <v>8.9</v>
      </c>
    </row>
    <row r="5068" spans="4:7">
      <c r="D5068" s="200" t="s">
        <v>5343</v>
      </c>
      <c r="E5068" s="10">
        <v>94133</v>
      </c>
      <c r="F5068" s="201">
        <v>-12.3</v>
      </c>
      <c r="G5068" s="201">
        <v>8.5</v>
      </c>
    </row>
    <row r="5069" spans="4:7">
      <c r="D5069" s="200" t="s">
        <v>5344</v>
      </c>
      <c r="E5069" s="10">
        <v>94137</v>
      </c>
      <c r="F5069" s="201">
        <v>-12.3</v>
      </c>
      <c r="G5069" s="201">
        <v>9.1</v>
      </c>
    </row>
    <row r="5070" spans="4:7">
      <c r="D5070" s="200" t="s">
        <v>5345</v>
      </c>
      <c r="E5070" s="10">
        <v>94140</v>
      </c>
      <c r="F5070" s="201">
        <v>-12.3</v>
      </c>
      <c r="G5070" s="201">
        <v>9.1</v>
      </c>
    </row>
    <row r="5071" spans="4:7">
      <c r="D5071" s="200" t="s">
        <v>5346</v>
      </c>
      <c r="E5071" s="10">
        <v>94142</v>
      </c>
      <c r="F5071" s="201">
        <v>-12.3</v>
      </c>
      <c r="G5071" s="201">
        <v>8.5</v>
      </c>
    </row>
    <row r="5072" spans="4:7">
      <c r="D5072" s="200" t="s">
        <v>5347</v>
      </c>
      <c r="E5072" s="10">
        <v>94154</v>
      </c>
      <c r="F5072" s="201">
        <v>-12.3</v>
      </c>
      <c r="G5072" s="201">
        <v>8.6</v>
      </c>
    </row>
    <row r="5073" spans="4:7">
      <c r="D5073" s="200" t="s">
        <v>5348</v>
      </c>
      <c r="E5073" s="10">
        <v>94166</v>
      </c>
      <c r="F5073" s="201">
        <v>-12.3</v>
      </c>
      <c r="G5073" s="201">
        <v>8.6</v>
      </c>
    </row>
    <row r="5074" spans="4:7">
      <c r="D5074" s="200" t="s">
        <v>5349</v>
      </c>
      <c r="E5074" s="10">
        <v>94167</v>
      </c>
      <c r="F5074" s="201">
        <v>-12.3</v>
      </c>
      <c r="G5074" s="201">
        <v>9.1999999999999993</v>
      </c>
    </row>
    <row r="5075" spans="4:7">
      <c r="D5075" s="200" t="s">
        <v>5350</v>
      </c>
      <c r="E5075" s="10">
        <v>94169</v>
      </c>
      <c r="F5075" s="201">
        <v>-12.3</v>
      </c>
      <c r="G5075" s="201">
        <v>8.5</v>
      </c>
    </row>
    <row r="5076" spans="4:7">
      <c r="D5076" s="200" t="s">
        <v>5351</v>
      </c>
      <c r="E5076" s="10">
        <v>94474</v>
      </c>
      <c r="F5076" s="201">
        <v>-12.3</v>
      </c>
      <c r="G5076" s="201">
        <v>9.1</v>
      </c>
    </row>
    <row r="5077" spans="4:7">
      <c r="D5077" s="200" t="s">
        <v>5352</v>
      </c>
      <c r="E5077" s="10">
        <v>94538</v>
      </c>
      <c r="F5077" s="201">
        <v>-12.3</v>
      </c>
      <c r="G5077" s="201">
        <v>8.4</v>
      </c>
    </row>
    <row r="5078" spans="4:7">
      <c r="D5078" s="200" t="s">
        <v>5353</v>
      </c>
      <c r="E5078" s="10">
        <v>94544</v>
      </c>
      <c r="F5078" s="201">
        <v>-12.3</v>
      </c>
      <c r="G5078" s="201">
        <v>8.6</v>
      </c>
    </row>
    <row r="5079" spans="4:7">
      <c r="D5079" s="200" t="s">
        <v>5354</v>
      </c>
      <c r="E5079" s="10">
        <v>94547</v>
      </c>
      <c r="F5079" s="201">
        <v>-12.3</v>
      </c>
      <c r="G5079" s="201">
        <v>8.6</v>
      </c>
    </row>
    <row r="5080" spans="4:7">
      <c r="D5080" s="200" t="s">
        <v>5355</v>
      </c>
      <c r="E5080" s="10">
        <v>94579</v>
      </c>
      <c r="F5080" s="201">
        <v>-12.3</v>
      </c>
      <c r="G5080" s="201">
        <v>8.5</v>
      </c>
    </row>
    <row r="5081" spans="4:7">
      <c r="D5081" s="200" t="s">
        <v>5356</v>
      </c>
      <c r="E5081" s="10">
        <v>95326</v>
      </c>
      <c r="F5081" s="201">
        <v>-12.3</v>
      </c>
      <c r="G5081" s="201">
        <v>8.8000000000000007</v>
      </c>
    </row>
    <row r="5082" spans="4:7">
      <c r="D5082" s="200" t="s">
        <v>5357</v>
      </c>
      <c r="E5082" s="10">
        <v>95336</v>
      </c>
      <c r="F5082" s="201">
        <v>-12.3</v>
      </c>
      <c r="G5082" s="201">
        <v>9</v>
      </c>
    </row>
    <row r="5083" spans="4:7">
      <c r="D5083" s="200" t="s">
        <v>5358</v>
      </c>
      <c r="E5083" s="10">
        <v>96126</v>
      </c>
      <c r="F5083" s="201">
        <v>-12.3</v>
      </c>
      <c r="G5083" s="201">
        <v>8.4</v>
      </c>
    </row>
    <row r="5084" spans="4:7">
      <c r="D5084" s="200" t="s">
        <v>5359</v>
      </c>
      <c r="E5084" s="10">
        <v>96157</v>
      </c>
      <c r="F5084" s="201">
        <v>-12.3</v>
      </c>
      <c r="G5084" s="201">
        <v>9.1</v>
      </c>
    </row>
    <row r="5085" spans="4:7">
      <c r="D5085" s="200" t="s">
        <v>5360</v>
      </c>
      <c r="E5085" s="10">
        <v>96242</v>
      </c>
      <c r="F5085" s="201">
        <v>-12.3</v>
      </c>
      <c r="G5085" s="201">
        <v>8.5</v>
      </c>
    </row>
    <row r="5086" spans="4:7">
      <c r="D5086" s="200" t="s">
        <v>5361</v>
      </c>
      <c r="E5086" s="10">
        <v>96472</v>
      </c>
      <c r="F5086" s="201">
        <v>-12.3</v>
      </c>
      <c r="G5086" s="201">
        <v>8.6</v>
      </c>
    </row>
    <row r="5087" spans="4:7">
      <c r="D5087" s="200" t="s">
        <v>5362</v>
      </c>
      <c r="E5087" s="10">
        <v>97500</v>
      </c>
      <c r="F5087" s="201">
        <v>-12.3</v>
      </c>
      <c r="G5087" s="201">
        <v>9</v>
      </c>
    </row>
    <row r="5088" spans="4:7">
      <c r="D5088" s="200" t="s">
        <v>5363</v>
      </c>
      <c r="E5088" s="10">
        <v>97647</v>
      </c>
      <c r="F5088" s="201">
        <v>-12.3</v>
      </c>
      <c r="G5088" s="201">
        <v>8.4</v>
      </c>
    </row>
    <row r="5089" spans="4:7">
      <c r="D5089" s="200" t="s">
        <v>5364</v>
      </c>
      <c r="E5089" s="10">
        <v>97653</v>
      </c>
      <c r="F5089" s="201">
        <v>-12.3</v>
      </c>
      <c r="G5089" s="201">
        <v>8.1999999999999993</v>
      </c>
    </row>
    <row r="5090" spans="4:7">
      <c r="D5090" s="200" t="s">
        <v>5365</v>
      </c>
      <c r="E5090" s="10">
        <v>97657</v>
      </c>
      <c r="F5090" s="201">
        <v>-12.3</v>
      </c>
      <c r="G5090" s="201">
        <v>8.5</v>
      </c>
    </row>
    <row r="5091" spans="4:7">
      <c r="D5091" s="200" t="s">
        <v>5366</v>
      </c>
      <c r="E5091" s="10">
        <v>97705</v>
      </c>
      <c r="F5091" s="201">
        <v>-12.3</v>
      </c>
      <c r="G5091" s="201">
        <v>8.3000000000000007</v>
      </c>
    </row>
    <row r="5092" spans="4:7">
      <c r="D5092" s="200" t="s">
        <v>5367</v>
      </c>
      <c r="E5092" s="10">
        <v>97788</v>
      </c>
      <c r="F5092" s="201">
        <v>-12.3</v>
      </c>
      <c r="G5092" s="201">
        <v>8.5</v>
      </c>
    </row>
    <row r="5093" spans="4:7">
      <c r="D5093" s="200" t="s">
        <v>5368</v>
      </c>
      <c r="E5093" s="10">
        <v>97901</v>
      </c>
      <c r="F5093" s="201">
        <v>-12.3</v>
      </c>
      <c r="G5093" s="201">
        <v>8.5</v>
      </c>
    </row>
    <row r="5094" spans="4:7">
      <c r="D5094" s="200" t="s">
        <v>5369</v>
      </c>
      <c r="E5094" s="10">
        <v>98553</v>
      </c>
      <c r="F5094" s="201">
        <v>-12.3</v>
      </c>
      <c r="G5094" s="201">
        <v>8.3000000000000007</v>
      </c>
    </row>
    <row r="5095" spans="4:7">
      <c r="D5095" s="200" t="s">
        <v>5370</v>
      </c>
      <c r="E5095" s="10">
        <v>98574</v>
      </c>
      <c r="F5095" s="201">
        <v>-12.3</v>
      </c>
      <c r="G5095" s="201">
        <v>9</v>
      </c>
    </row>
    <row r="5096" spans="4:7">
      <c r="D5096" s="200" t="s">
        <v>5371</v>
      </c>
      <c r="E5096" s="10">
        <v>98617</v>
      </c>
      <c r="F5096" s="201">
        <v>-12.3</v>
      </c>
      <c r="G5096" s="201">
        <v>8.3000000000000007</v>
      </c>
    </row>
    <row r="5097" spans="4:7">
      <c r="D5097" s="200" t="s">
        <v>5372</v>
      </c>
      <c r="E5097" s="10">
        <v>98660</v>
      </c>
      <c r="F5097" s="201">
        <v>-12.3</v>
      </c>
      <c r="G5097" s="201">
        <v>8.5</v>
      </c>
    </row>
    <row r="5098" spans="4:7">
      <c r="D5098" s="200" t="s">
        <v>4966</v>
      </c>
      <c r="E5098" s="10">
        <v>99086</v>
      </c>
      <c r="F5098" s="201">
        <v>-12.3</v>
      </c>
      <c r="G5098" s="201">
        <v>9.9</v>
      </c>
    </row>
    <row r="5099" spans="4:7">
      <c r="D5099" s="200" t="s">
        <v>5373</v>
      </c>
      <c r="E5099" s="10">
        <v>99830</v>
      </c>
      <c r="F5099" s="201">
        <v>-12.3</v>
      </c>
      <c r="G5099" s="201">
        <v>9.1999999999999993</v>
      </c>
    </row>
    <row r="5100" spans="4:7">
      <c r="D5100" s="200" t="s">
        <v>5069</v>
      </c>
      <c r="E5100" s="10">
        <v>1069</v>
      </c>
      <c r="F5100" s="201">
        <v>-12.4</v>
      </c>
      <c r="G5100" s="201">
        <v>10.4</v>
      </c>
    </row>
    <row r="5101" spans="4:7">
      <c r="D5101" s="200" t="s">
        <v>4593</v>
      </c>
      <c r="E5101" s="10">
        <v>4157</v>
      </c>
      <c r="F5101" s="201">
        <v>-12.4</v>
      </c>
      <c r="G5101" s="201">
        <v>10.1</v>
      </c>
    </row>
    <row r="5102" spans="4:7">
      <c r="D5102" s="200" t="s">
        <v>4418</v>
      </c>
      <c r="E5102" s="10">
        <v>12309</v>
      </c>
      <c r="F5102" s="201">
        <v>-12.4</v>
      </c>
      <c r="G5102" s="201">
        <v>9.8000000000000007</v>
      </c>
    </row>
    <row r="5103" spans="4:7">
      <c r="D5103" s="200" t="s">
        <v>5374</v>
      </c>
      <c r="E5103" s="10">
        <v>12621</v>
      </c>
      <c r="F5103" s="201">
        <v>-12.4</v>
      </c>
      <c r="G5103" s="201">
        <v>9.9</v>
      </c>
    </row>
    <row r="5104" spans="4:7">
      <c r="D5104" s="200" t="s">
        <v>5375</v>
      </c>
      <c r="E5104" s="10">
        <v>13465</v>
      </c>
      <c r="F5104" s="201">
        <v>-12.4</v>
      </c>
      <c r="G5104" s="201">
        <v>9.6999999999999993</v>
      </c>
    </row>
    <row r="5105" spans="4:7">
      <c r="D5105" s="200" t="s">
        <v>5376</v>
      </c>
      <c r="E5105" s="10">
        <v>13629</v>
      </c>
      <c r="F5105" s="201">
        <v>-12.4</v>
      </c>
      <c r="G5105" s="201">
        <v>9.9</v>
      </c>
    </row>
    <row r="5106" spans="4:7">
      <c r="D5106" s="200" t="s">
        <v>5082</v>
      </c>
      <c r="E5106" s="10">
        <v>14478</v>
      </c>
      <c r="F5106" s="201">
        <v>-12.4</v>
      </c>
      <c r="G5106" s="201">
        <v>9.8000000000000007</v>
      </c>
    </row>
    <row r="5107" spans="4:7">
      <c r="D5107" s="200" t="s">
        <v>5082</v>
      </c>
      <c r="E5107" s="10">
        <v>14480</v>
      </c>
      <c r="F5107" s="201">
        <v>-12.4</v>
      </c>
      <c r="G5107" s="201">
        <v>9.6999999999999993</v>
      </c>
    </row>
    <row r="5108" spans="4:7">
      <c r="D5108" s="200" t="s">
        <v>5377</v>
      </c>
      <c r="E5108" s="10">
        <v>14770</v>
      </c>
      <c r="F5108" s="201">
        <v>-12.4</v>
      </c>
      <c r="G5108" s="201">
        <v>9.9</v>
      </c>
    </row>
    <row r="5109" spans="4:7">
      <c r="D5109" s="200" t="s">
        <v>5378</v>
      </c>
      <c r="E5109" s="10">
        <v>15517</v>
      </c>
      <c r="F5109" s="201">
        <v>-12.4</v>
      </c>
      <c r="G5109" s="201">
        <v>9.9</v>
      </c>
    </row>
    <row r="5110" spans="4:7">
      <c r="D5110" s="200" t="s">
        <v>5379</v>
      </c>
      <c r="E5110" s="10">
        <v>16761</v>
      </c>
      <c r="F5110" s="201">
        <v>-12.4</v>
      </c>
      <c r="G5110" s="201">
        <v>9.8000000000000007</v>
      </c>
    </row>
    <row r="5111" spans="4:7">
      <c r="D5111" s="200" t="s">
        <v>5380</v>
      </c>
      <c r="E5111" s="10">
        <v>17154</v>
      </c>
      <c r="F5111" s="201">
        <v>-12.4</v>
      </c>
      <c r="G5111" s="201">
        <v>9.3000000000000007</v>
      </c>
    </row>
    <row r="5112" spans="4:7">
      <c r="D5112" s="200" t="s">
        <v>5381</v>
      </c>
      <c r="E5112" s="10">
        <v>17159</v>
      </c>
      <c r="F5112" s="201">
        <v>-12.4</v>
      </c>
      <c r="G5112" s="201">
        <v>9.1999999999999993</v>
      </c>
    </row>
    <row r="5113" spans="4:7">
      <c r="D5113" s="200" t="s">
        <v>5382</v>
      </c>
      <c r="E5113" s="10">
        <v>17389</v>
      </c>
      <c r="F5113" s="201">
        <v>-12.4</v>
      </c>
      <c r="G5113" s="201">
        <v>9.1</v>
      </c>
    </row>
    <row r="5114" spans="4:7">
      <c r="D5114" s="200" t="s">
        <v>5383</v>
      </c>
      <c r="E5114" s="10">
        <v>17406</v>
      </c>
      <c r="F5114" s="201">
        <v>-12.4</v>
      </c>
      <c r="G5114" s="201">
        <v>9</v>
      </c>
    </row>
    <row r="5115" spans="4:7">
      <c r="D5115" s="200" t="s">
        <v>3018</v>
      </c>
      <c r="E5115" s="10">
        <v>34131</v>
      </c>
      <c r="F5115" s="201">
        <v>-12.4</v>
      </c>
      <c r="G5115" s="201">
        <v>8</v>
      </c>
    </row>
    <row r="5116" spans="4:7">
      <c r="D5116" s="200" t="s">
        <v>5384</v>
      </c>
      <c r="E5116" s="10">
        <v>36157</v>
      </c>
      <c r="F5116" s="201">
        <v>-12.4</v>
      </c>
      <c r="G5116" s="201">
        <v>8.4</v>
      </c>
    </row>
    <row r="5117" spans="4:7">
      <c r="D5117" s="200" t="s">
        <v>5385</v>
      </c>
      <c r="E5117" s="10">
        <v>36167</v>
      </c>
      <c r="F5117" s="201">
        <v>-12.4</v>
      </c>
      <c r="G5117" s="201">
        <v>8.6</v>
      </c>
    </row>
    <row r="5118" spans="4:7">
      <c r="D5118" s="200" t="s">
        <v>5386</v>
      </c>
      <c r="E5118" s="10">
        <v>36282</v>
      </c>
      <c r="F5118" s="201">
        <v>-12.4</v>
      </c>
      <c r="G5118" s="201">
        <v>9.1</v>
      </c>
    </row>
    <row r="5119" spans="4:7">
      <c r="D5119" s="200" t="s">
        <v>5387</v>
      </c>
      <c r="E5119" s="10">
        <v>36287</v>
      </c>
      <c r="F5119" s="201">
        <v>-12.4</v>
      </c>
      <c r="G5119" s="201">
        <v>8.8000000000000007</v>
      </c>
    </row>
    <row r="5120" spans="4:7">
      <c r="D5120" s="200" t="s">
        <v>5388</v>
      </c>
      <c r="E5120" s="10">
        <v>36369</v>
      </c>
      <c r="F5120" s="201">
        <v>-12.4</v>
      </c>
      <c r="G5120" s="201">
        <v>7.8</v>
      </c>
    </row>
    <row r="5121" spans="4:7">
      <c r="D5121" s="200" t="s">
        <v>5389</v>
      </c>
      <c r="E5121" s="10">
        <v>37242</v>
      </c>
      <c r="F5121" s="201">
        <v>-12.4</v>
      </c>
      <c r="G5121" s="201">
        <v>8.6999999999999993</v>
      </c>
    </row>
    <row r="5122" spans="4:7">
      <c r="D5122" s="200" t="s">
        <v>5390</v>
      </c>
      <c r="E5122" s="10">
        <v>37691</v>
      </c>
      <c r="F5122" s="201">
        <v>-12.4</v>
      </c>
      <c r="G5122" s="201">
        <v>8.3000000000000007</v>
      </c>
    </row>
    <row r="5123" spans="4:7">
      <c r="D5123" s="200" t="s">
        <v>5391</v>
      </c>
      <c r="E5123" s="10">
        <v>38279</v>
      </c>
      <c r="F5123" s="201">
        <v>-12.4</v>
      </c>
      <c r="G5123" s="201">
        <v>8.9</v>
      </c>
    </row>
    <row r="5124" spans="4:7">
      <c r="D5124" s="200" t="s">
        <v>5281</v>
      </c>
      <c r="E5124" s="10">
        <v>38640</v>
      </c>
      <c r="F5124" s="201">
        <v>-12.4</v>
      </c>
      <c r="G5124" s="201">
        <v>9.3000000000000007</v>
      </c>
    </row>
    <row r="5125" spans="4:7">
      <c r="D5125" s="200" t="s">
        <v>4110</v>
      </c>
      <c r="E5125" s="10">
        <v>39110</v>
      </c>
      <c r="F5125" s="201">
        <v>-12.4</v>
      </c>
      <c r="G5125" s="201">
        <v>9.5</v>
      </c>
    </row>
    <row r="5126" spans="4:7">
      <c r="D5126" s="200" t="s">
        <v>5392</v>
      </c>
      <c r="E5126" s="10">
        <v>39579</v>
      </c>
      <c r="F5126" s="201">
        <v>-12.4</v>
      </c>
      <c r="G5126" s="201">
        <v>9.3000000000000007</v>
      </c>
    </row>
    <row r="5127" spans="4:7">
      <c r="D5127" s="200" t="s">
        <v>5288</v>
      </c>
      <c r="E5127" s="10">
        <v>39599</v>
      </c>
      <c r="F5127" s="201">
        <v>-12.4</v>
      </c>
      <c r="G5127" s="201">
        <v>9.3000000000000007</v>
      </c>
    </row>
    <row r="5128" spans="4:7">
      <c r="D5128" s="200" t="s">
        <v>5393</v>
      </c>
      <c r="E5128" s="10">
        <v>39606</v>
      </c>
      <c r="F5128" s="201">
        <v>-12.4</v>
      </c>
      <c r="G5128" s="201">
        <v>9.4</v>
      </c>
    </row>
    <row r="5129" spans="4:7" ht="30">
      <c r="D5129" s="200" t="s">
        <v>5394</v>
      </c>
      <c r="E5129" s="10">
        <v>39615</v>
      </c>
      <c r="F5129" s="201">
        <v>-12.4</v>
      </c>
      <c r="G5129" s="201">
        <v>9.4</v>
      </c>
    </row>
    <row r="5130" spans="4:7">
      <c r="D5130" s="200" t="s">
        <v>5395</v>
      </c>
      <c r="E5130" s="10">
        <v>54570</v>
      </c>
      <c r="F5130" s="201">
        <v>-12.4</v>
      </c>
      <c r="G5130" s="201">
        <v>7.3</v>
      </c>
    </row>
    <row r="5131" spans="4:7">
      <c r="D5131" s="200" t="s">
        <v>5396</v>
      </c>
      <c r="E5131" s="10">
        <v>72348</v>
      </c>
      <c r="F5131" s="201">
        <v>-12.4</v>
      </c>
      <c r="G5131" s="201">
        <v>8.3000000000000007</v>
      </c>
    </row>
    <row r="5132" spans="4:7">
      <c r="D5132" s="200" t="s">
        <v>5397</v>
      </c>
      <c r="E5132" s="10">
        <v>72356</v>
      </c>
      <c r="F5132" s="201">
        <v>-12.4</v>
      </c>
      <c r="G5132" s="201">
        <v>8.3000000000000007</v>
      </c>
    </row>
    <row r="5133" spans="4:7">
      <c r="D5133" s="200" t="s">
        <v>5398</v>
      </c>
      <c r="E5133" s="10">
        <v>73326</v>
      </c>
      <c r="F5133" s="201">
        <v>-12.4</v>
      </c>
      <c r="G5133" s="201">
        <v>8.6999999999999993</v>
      </c>
    </row>
    <row r="5134" spans="4:7">
      <c r="D5134" s="200" t="s">
        <v>5399</v>
      </c>
      <c r="E5134" s="10">
        <v>73347</v>
      </c>
      <c r="F5134" s="201">
        <v>-12.4</v>
      </c>
      <c r="G5134" s="201">
        <v>8.6</v>
      </c>
    </row>
    <row r="5135" spans="4:7">
      <c r="D5135" s="200" t="s">
        <v>5400</v>
      </c>
      <c r="E5135" s="10">
        <v>73486</v>
      </c>
      <c r="F5135" s="201">
        <v>-12.4</v>
      </c>
      <c r="G5135" s="201">
        <v>9</v>
      </c>
    </row>
    <row r="5136" spans="4:7">
      <c r="D5136" s="200" t="s">
        <v>5401</v>
      </c>
      <c r="E5136" s="10">
        <v>73492</v>
      </c>
      <c r="F5136" s="201">
        <v>-12.4</v>
      </c>
      <c r="G5136" s="201">
        <v>8.9</v>
      </c>
    </row>
    <row r="5137" spans="4:7">
      <c r="D5137" s="200" t="s">
        <v>5402</v>
      </c>
      <c r="E5137" s="10">
        <v>73574</v>
      </c>
      <c r="F5137" s="201">
        <v>-12.4</v>
      </c>
      <c r="G5137" s="201">
        <v>8.9</v>
      </c>
    </row>
    <row r="5138" spans="4:7">
      <c r="D5138" s="200" t="s">
        <v>5403</v>
      </c>
      <c r="E5138" s="10">
        <v>74426</v>
      </c>
      <c r="F5138" s="201">
        <v>-12.4</v>
      </c>
      <c r="G5138" s="201">
        <v>8.9</v>
      </c>
    </row>
    <row r="5139" spans="4:7">
      <c r="D5139" s="200" t="s">
        <v>5404</v>
      </c>
      <c r="E5139" s="10">
        <v>74582</v>
      </c>
      <c r="F5139" s="201">
        <v>-12.4</v>
      </c>
      <c r="G5139" s="201">
        <v>9</v>
      </c>
    </row>
    <row r="5140" spans="4:7">
      <c r="D5140" s="200" t="s">
        <v>5405</v>
      </c>
      <c r="E5140" s="10">
        <v>75331</v>
      </c>
      <c r="F5140" s="201">
        <v>-12.4</v>
      </c>
      <c r="G5140" s="201">
        <v>8.5</v>
      </c>
    </row>
    <row r="5141" spans="4:7">
      <c r="D5141" s="200" t="s">
        <v>5406</v>
      </c>
      <c r="E5141" s="10">
        <v>78554</v>
      </c>
      <c r="F5141" s="201">
        <v>-12.4</v>
      </c>
      <c r="G5141" s="201">
        <v>8.5</v>
      </c>
    </row>
    <row r="5142" spans="4:7">
      <c r="D5142" s="200" t="s">
        <v>5407</v>
      </c>
      <c r="E5142" s="10">
        <v>83135</v>
      </c>
      <c r="F5142" s="201">
        <v>-12.4</v>
      </c>
      <c r="G5142" s="201">
        <v>8.9</v>
      </c>
    </row>
    <row r="5143" spans="4:7">
      <c r="D5143" s="200" t="s">
        <v>5408</v>
      </c>
      <c r="E5143" s="10">
        <v>88239</v>
      </c>
      <c r="F5143" s="201">
        <v>-12.4</v>
      </c>
      <c r="G5143" s="201">
        <v>8.4</v>
      </c>
    </row>
    <row r="5144" spans="4:7">
      <c r="D5144" s="200" t="s">
        <v>5409</v>
      </c>
      <c r="E5144" s="10">
        <v>88326</v>
      </c>
      <c r="F5144" s="201">
        <v>-12.4</v>
      </c>
      <c r="G5144" s="201">
        <v>8.6999999999999993</v>
      </c>
    </row>
    <row r="5145" spans="4:7">
      <c r="D5145" s="200" t="s">
        <v>5410</v>
      </c>
      <c r="E5145" s="10">
        <v>88367</v>
      </c>
      <c r="F5145" s="201">
        <v>-12.4</v>
      </c>
      <c r="G5145" s="201">
        <v>8.4</v>
      </c>
    </row>
    <row r="5146" spans="4:7">
      <c r="D5146" s="200" t="s">
        <v>5411</v>
      </c>
      <c r="E5146" s="10">
        <v>88370</v>
      </c>
      <c r="F5146" s="201">
        <v>-12.4</v>
      </c>
      <c r="G5146" s="201">
        <v>8.4</v>
      </c>
    </row>
    <row r="5147" spans="4:7">
      <c r="D5147" s="200" t="s">
        <v>5412</v>
      </c>
      <c r="E5147" s="10">
        <v>88518</v>
      </c>
      <c r="F5147" s="201">
        <v>-12.4</v>
      </c>
      <c r="G5147" s="201">
        <v>8.5</v>
      </c>
    </row>
    <row r="5148" spans="4:7">
      <c r="D5148" s="200" t="s">
        <v>5413</v>
      </c>
      <c r="E5148" s="10">
        <v>89129</v>
      </c>
      <c r="F5148" s="201">
        <v>-12.4</v>
      </c>
      <c r="G5148" s="201">
        <v>8.9</v>
      </c>
    </row>
    <row r="5149" spans="4:7">
      <c r="D5149" s="200" t="s">
        <v>5414</v>
      </c>
      <c r="E5149" s="10">
        <v>89143</v>
      </c>
      <c r="F5149" s="201">
        <v>-12.4</v>
      </c>
      <c r="G5149" s="201">
        <v>8.8000000000000007</v>
      </c>
    </row>
    <row r="5150" spans="4:7">
      <c r="D5150" s="200" t="s">
        <v>2240</v>
      </c>
      <c r="E5150" s="10">
        <v>89250</v>
      </c>
      <c r="F5150" s="201">
        <v>-12.4</v>
      </c>
      <c r="G5150" s="201">
        <v>8.9</v>
      </c>
    </row>
    <row r="5151" spans="4:7">
      <c r="D5151" s="200" t="s">
        <v>5415</v>
      </c>
      <c r="E5151" s="10">
        <v>89284</v>
      </c>
      <c r="F5151" s="201">
        <v>-12.4</v>
      </c>
      <c r="G5151" s="201">
        <v>8.9</v>
      </c>
    </row>
    <row r="5152" spans="4:7">
      <c r="D5152" s="200" t="s">
        <v>5416</v>
      </c>
      <c r="E5152" s="10">
        <v>89542</v>
      </c>
      <c r="F5152" s="201">
        <v>-12.4</v>
      </c>
      <c r="G5152" s="201">
        <v>8.6999999999999993</v>
      </c>
    </row>
    <row r="5153" spans="4:7">
      <c r="D5153" s="200" t="s">
        <v>3307</v>
      </c>
      <c r="E5153" s="10">
        <v>90766</v>
      </c>
      <c r="F5153" s="201">
        <v>-12.4</v>
      </c>
      <c r="G5153" s="201">
        <v>9.9</v>
      </c>
    </row>
    <row r="5154" spans="4:7">
      <c r="D5154" s="200" t="s">
        <v>5330</v>
      </c>
      <c r="E5154" s="10">
        <v>91054</v>
      </c>
      <c r="F5154" s="201">
        <v>-12.4</v>
      </c>
      <c r="G5154" s="201">
        <v>9.8000000000000007</v>
      </c>
    </row>
    <row r="5155" spans="4:7">
      <c r="D5155" s="200" t="s">
        <v>5417</v>
      </c>
      <c r="E5155" s="10">
        <v>91413</v>
      </c>
      <c r="F5155" s="201">
        <v>-12.4</v>
      </c>
      <c r="G5155" s="201">
        <v>9.4</v>
      </c>
    </row>
    <row r="5156" spans="4:7">
      <c r="D5156" s="200" t="s">
        <v>5418</v>
      </c>
      <c r="E5156" s="10">
        <v>91460</v>
      </c>
      <c r="F5156" s="201">
        <v>-12.4</v>
      </c>
      <c r="G5156" s="201">
        <v>9.3000000000000007</v>
      </c>
    </row>
    <row r="5157" spans="4:7">
      <c r="D5157" s="200" t="s">
        <v>5419</v>
      </c>
      <c r="E5157" s="10">
        <v>91484</v>
      </c>
      <c r="F5157" s="201">
        <v>-12.4</v>
      </c>
      <c r="G5157" s="201">
        <v>9.1999999999999993</v>
      </c>
    </row>
    <row r="5158" spans="4:7">
      <c r="D5158" s="200" t="s">
        <v>5420</v>
      </c>
      <c r="E5158" s="10">
        <v>91605</v>
      </c>
      <c r="F5158" s="201">
        <v>-12.4</v>
      </c>
      <c r="G5158" s="201">
        <v>9.1</v>
      </c>
    </row>
    <row r="5159" spans="4:7">
      <c r="D5159" s="200" t="s">
        <v>5421</v>
      </c>
      <c r="E5159" s="10">
        <v>91610</v>
      </c>
      <c r="F5159" s="201">
        <v>-12.4</v>
      </c>
      <c r="G5159" s="201">
        <v>9.1</v>
      </c>
    </row>
    <row r="5160" spans="4:7">
      <c r="D5160" s="200" t="s">
        <v>5422</v>
      </c>
      <c r="E5160" s="10">
        <v>91613</v>
      </c>
      <c r="F5160" s="201">
        <v>-12.4</v>
      </c>
      <c r="G5160" s="201">
        <v>9.1999999999999993</v>
      </c>
    </row>
    <row r="5161" spans="4:7">
      <c r="D5161" s="200" t="s">
        <v>3675</v>
      </c>
      <c r="E5161" s="10">
        <v>94513</v>
      </c>
      <c r="F5161" s="201">
        <v>-12.4</v>
      </c>
      <c r="G5161" s="201">
        <v>8.3000000000000007</v>
      </c>
    </row>
    <row r="5162" spans="4:7">
      <c r="D5162" s="200" t="s">
        <v>5423</v>
      </c>
      <c r="E5162" s="10">
        <v>95361</v>
      </c>
      <c r="F5162" s="201">
        <v>-12.4</v>
      </c>
      <c r="G5162" s="201">
        <v>8.6999999999999993</v>
      </c>
    </row>
    <row r="5163" spans="4:7">
      <c r="D5163" s="200" t="s">
        <v>4392</v>
      </c>
      <c r="E5163" s="10">
        <v>95447</v>
      </c>
      <c r="F5163" s="201">
        <v>-12.4</v>
      </c>
      <c r="G5163" s="201">
        <v>9.1</v>
      </c>
    </row>
    <row r="5164" spans="4:7">
      <c r="D5164" s="200" t="s">
        <v>5424</v>
      </c>
      <c r="E5164" s="10">
        <v>96161</v>
      </c>
      <c r="F5164" s="201">
        <v>-12.4</v>
      </c>
      <c r="G5164" s="201">
        <v>8.9</v>
      </c>
    </row>
    <row r="5165" spans="4:7">
      <c r="D5165" s="200" t="s">
        <v>5425</v>
      </c>
      <c r="E5165" s="10">
        <v>96166</v>
      </c>
      <c r="F5165" s="201">
        <v>-12.4</v>
      </c>
      <c r="G5165" s="201">
        <v>8.6999999999999993</v>
      </c>
    </row>
    <row r="5166" spans="4:7">
      <c r="D5166" s="200" t="s">
        <v>5426</v>
      </c>
      <c r="E5166" s="10">
        <v>96184</v>
      </c>
      <c r="F5166" s="201">
        <v>-12.4</v>
      </c>
      <c r="G5166" s="201">
        <v>9</v>
      </c>
    </row>
    <row r="5167" spans="4:7">
      <c r="D5167" s="200" t="s">
        <v>5427</v>
      </c>
      <c r="E5167" s="10">
        <v>97786</v>
      </c>
      <c r="F5167" s="201">
        <v>-12.4</v>
      </c>
      <c r="G5167" s="201">
        <v>8.1</v>
      </c>
    </row>
    <row r="5168" spans="4:7">
      <c r="D5168" s="200" t="s">
        <v>5428</v>
      </c>
      <c r="E5168" s="10">
        <v>98554</v>
      </c>
      <c r="F5168" s="201">
        <v>-12.4</v>
      </c>
      <c r="G5168" s="201">
        <v>8.3000000000000007</v>
      </c>
    </row>
    <row r="5169" spans="4:7">
      <c r="D5169" s="200" t="s">
        <v>5069</v>
      </c>
      <c r="E5169" s="10">
        <v>1307</v>
      </c>
      <c r="F5169" s="201">
        <v>-12.5</v>
      </c>
      <c r="G5169" s="201">
        <v>10.4</v>
      </c>
    </row>
    <row r="5170" spans="4:7">
      <c r="D5170" s="200" t="s">
        <v>4593</v>
      </c>
      <c r="E5170" s="10">
        <v>4179</v>
      </c>
      <c r="F5170" s="201">
        <v>-12.5</v>
      </c>
      <c r="G5170" s="201">
        <v>10.1</v>
      </c>
    </row>
    <row r="5171" spans="4:7">
      <c r="D5171" s="200" t="s">
        <v>4418</v>
      </c>
      <c r="E5171" s="10">
        <v>12557</v>
      </c>
      <c r="F5171" s="201">
        <v>-12.5</v>
      </c>
      <c r="G5171" s="201">
        <v>9.8000000000000007</v>
      </c>
    </row>
    <row r="5172" spans="4:7">
      <c r="D5172" s="200" t="s">
        <v>5248</v>
      </c>
      <c r="E5172" s="10">
        <v>13503</v>
      </c>
      <c r="F5172" s="201">
        <v>-12.5</v>
      </c>
      <c r="G5172" s="201">
        <v>9.8000000000000007</v>
      </c>
    </row>
    <row r="5173" spans="4:7">
      <c r="D5173" s="200" t="s">
        <v>5429</v>
      </c>
      <c r="E5173" s="10">
        <v>13589</v>
      </c>
      <c r="F5173" s="201">
        <v>-12.5</v>
      </c>
      <c r="G5173" s="201">
        <v>9.8000000000000007</v>
      </c>
    </row>
    <row r="5174" spans="4:7">
      <c r="D5174" s="200" t="s">
        <v>5430</v>
      </c>
      <c r="E5174" s="10">
        <v>13595</v>
      </c>
      <c r="F5174" s="201">
        <v>-12.5</v>
      </c>
      <c r="G5174" s="201">
        <v>9.8000000000000007</v>
      </c>
    </row>
    <row r="5175" spans="4:7">
      <c r="D5175" s="200" t="s">
        <v>5081</v>
      </c>
      <c r="E5175" s="10">
        <v>14053</v>
      </c>
      <c r="F5175" s="201">
        <v>-12.5</v>
      </c>
      <c r="G5175" s="201">
        <v>9.6</v>
      </c>
    </row>
    <row r="5176" spans="4:7">
      <c r="D5176" s="200" t="s">
        <v>4981</v>
      </c>
      <c r="E5176" s="10">
        <v>14169</v>
      </c>
      <c r="F5176" s="201">
        <v>-12.5</v>
      </c>
      <c r="G5176" s="201">
        <v>9.6</v>
      </c>
    </row>
    <row r="5177" spans="4:7">
      <c r="D5177" s="200" t="s">
        <v>5082</v>
      </c>
      <c r="E5177" s="10">
        <v>14471</v>
      </c>
      <c r="F5177" s="201">
        <v>-12.5</v>
      </c>
      <c r="G5177" s="201">
        <v>9.6</v>
      </c>
    </row>
    <row r="5178" spans="4:7">
      <c r="D5178" s="200" t="s">
        <v>5431</v>
      </c>
      <c r="E5178" s="10">
        <v>16556</v>
      </c>
      <c r="F5178" s="201">
        <v>-12.5</v>
      </c>
      <c r="G5178" s="201">
        <v>9.6999999999999993</v>
      </c>
    </row>
    <row r="5179" spans="4:7">
      <c r="D5179" s="200" t="s">
        <v>5432</v>
      </c>
      <c r="E5179" s="10">
        <v>16945</v>
      </c>
      <c r="F5179" s="201">
        <v>-12.5</v>
      </c>
      <c r="G5179" s="201">
        <v>9.1</v>
      </c>
    </row>
    <row r="5180" spans="4:7">
      <c r="D5180" s="200" t="s">
        <v>5433</v>
      </c>
      <c r="E5180" s="10">
        <v>17109</v>
      </c>
      <c r="F5180" s="201">
        <v>-12.5</v>
      </c>
      <c r="G5180" s="201">
        <v>9.1999999999999993</v>
      </c>
    </row>
    <row r="5181" spans="4:7">
      <c r="D5181" s="200" t="s">
        <v>5434</v>
      </c>
      <c r="E5181" s="10">
        <v>17129</v>
      </c>
      <c r="F5181" s="201">
        <v>-12.5</v>
      </c>
      <c r="G5181" s="201">
        <v>9.1</v>
      </c>
    </row>
    <row r="5182" spans="4:7">
      <c r="D5182" s="200" t="s">
        <v>5435</v>
      </c>
      <c r="E5182" s="10">
        <v>17139</v>
      </c>
      <c r="F5182" s="201">
        <v>-12.5</v>
      </c>
      <c r="G5182" s="201">
        <v>9.4</v>
      </c>
    </row>
    <row r="5183" spans="4:7">
      <c r="D5183" s="200" t="s">
        <v>5436</v>
      </c>
      <c r="E5183" s="10">
        <v>17194</v>
      </c>
      <c r="F5183" s="201">
        <v>-12.5</v>
      </c>
      <c r="G5183" s="201">
        <v>9.1999999999999993</v>
      </c>
    </row>
    <row r="5184" spans="4:7">
      <c r="D5184" s="200" t="s">
        <v>5437</v>
      </c>
      <c r="E5184" s="10">
        <v>17213</v>
      </c>
      <c r="F5184" s="201">
        <v>-12.5</v>
      </c>
      <c r="G5184" s="201">
        <v>9.1999999999999993</v>
      </c>
    </row>
    <row r="5185" spans="4:7">
      <c r="D5185" s="200" t="s">
        <v>5438</v>
      </c>
      <c r="E5185" s="10">
        <v>17214</v>
      </c>
      <c r="F5185" s="201">
        <v>-12.5</v>
      </c>
      <c r="G5185" s="201">
        <v>9.1</v>
      </c>
    </row>
    <row r="5186" spans="4:7">
      <c r="D5186" s="200" t="s">
        <v>5439</v>
      </c>
      <c r="E5186" s="10">
        <v>19336</v>
      </c>
      <c r="F5186" s="201">
        <v>-12.5</v>
      </c>
      <c r="G5186" s="201">
        <v>9.4</v>
      </c>
    </row>
    <row r="5187" spans="4:7">
      <c r="D5187" s="200" t="s">
        <v>5440</v>
      </c>
      <c r="E5187" s="10">
        <v>19339</v>
      </c>
      <c r="F5187" s="201">
        <v>-12.5</v>
      </c>
      <c r="G5187" s="201">
        <v>9.4</v>
      </c>
    </row>
    <row r="5188" spans="4:7">
      <c r="D5188" s="200" t="s">
        <v>5441</v>
      </c>
      <c r="E5188" s="10">
        <v>19376</v>
      </c>
      <c r="F5188" s="201">
        <v>-12.5</v>
      </c>
      <c r="G5188" s="201">
        <v>9.1999999999999993</v>
      </c>
    </row>
    <row r="5189" spans="4:7">
      <c r="D5189" s="200" t="s">
        <v>5442</v>
      </c>
      <c r="E5189" s="10">
        <v>36151</v>
      </c>
      <c r="F5189" s="201">
        <v>-12.5</v>
      </c>
      <c r="G5189" s="201">
        <v>8.6999999999999993</v>
      </c>
    </row>
    <row r="5190" spans="4:7">
      <c r="D5190" s="200" t="s">
        <v>5443</v>
      </c>
      <c r="E5190" s="10">
        <v>36166</v>
      </c>
      <c r="F5190" s="201">
        <v>-12.5</v>
      </c>
      <c r="G5190" s="201">
        <v>8.6999999999999993</v>
      </c>
    </row>
    <row r="5191" spans="4:7">
      <c r="D5191" s="200" t="s">
        <v>5444</v>
      </c>
      <c r="E5191" s="10">
        <v>36179</v>
      </c>
      <c r="F5191" s="201">
        <v>-12.5</v>
      </c>
      <c r="G5191" s="201">
        <v>8.8000000000000007</v>
      </c>
    </row>
    <row r="5192" spans="4:7">
      <c r="D5192" s="200" t="s">
        <v>5445</v>
      </c>
      <c r="E5192" s="10">
        <v>36199</v>
      </c>
      <c r="F5192" s="201">
        <v>-12.5</v>
      </c>
      <c r="G5192" s="201">
        <v>8.8000000000000007</v>
      </c>
    </row>
    <row r="5193" spans="4:7">
      <c r="D5193" s="200" t="s">
        <v>5446</v>
      </c>
      <c r="E5193" s="10">
        <v>36214</v>
      </c>
      <c r="F5193" s="201">
        <v>-12.5</v>
      </c>
      <c r="G5193" s="201">
        <v>8.6</v>
      </c>
    </row>
    <row r="5194" spans="4:7">
      <c r="D5194" s="200" t="s">
        <v>5447</v>
      </c>
      <c r="E5194" s="10">
        <v>36219</v>
      </c>
      <c r="F5194" s="201">
        <v>-12.5</v>
      </c>
      <c r="G5194" s="201">
        <v>8.6</v>
      </c>
    </row>
    <row r="5195" spans="4:7">
      <c r="D5195" s="200" t="s">
        <v>5448</v>
      </c>
      <c r="E5195" s="10">
        <v>36266</v>
      </c>
      <c r="F5195" s="201">
        <v>-12.5</v>
      </c>
      <c r="G5195" s="201">
        <v>9</v>
      </c>
    </row>
    <row r="5196" spans="4:7">
      <c r="D5196" s="200" t="s">
        <v>5449</v>
      </c>
      <c r="E5196" s="10">
        <v>36280</v>
      </c>
      <c r="F5196" s="201">
        <v>-12.5</v>
      </c>
      <c r="G5196" s="201">
        <v>8.6</v>
      </c>
    </row>
    <row r="5197" spans="4:7">
      <c r="D5197" s="200" t="s">
        <v>5450</v>
      </c>
      <c r="E5197" s="10">
        <v>36284</v>
      </c>
      <c r="F5197" s="201">
        <v>-12.5</v>
      </c>
      <c r="G5197" s="201">
        <v>8.5</v>
      </c>
    </row>
    <row r="5198" spans="4:7">
      <c r="D5198" s="200" t="s">
        <v>5451</v>
      </c>
      <c r="E5198" s="10">
        <v>36457</v>
      </c>
      <c r="F5198" s="201">
        <v>-12.5</v>
      </c>
      <c r="G5198" s="201">
        <v>8.9</v>
      </c>
    </row>
    <row r="5199" spans="4:7">
      <c r="D5199" s="200" t="s">
        <v>5452</v>
      </c>
      <c r="E5199" s="10">
        <v>37127</v>
      </c>
      <c r="F5199" s="201">
        <v>-12.5</v>
      </c>
      <c r="G5199" s="201">
        <v>8.3000000000000007</v>
      </c>
    </row>
    <row r="5200" spans="4:7">
      <c r="D5200" s="200" t="s">
        <v>5453</v>
      </c>
      <c r="E5200" s="10">
        <v>37284</v>
      </c>
      <c r="F5200" s="201">
        <v>-12.5</v>
      </c>
      <c r="G5200" s="201">
        <v>8.8000000000000007</v>
      </c>
    </row>
    <row r="5201" spans="4:7">
      <c r="D5201" s="200" t="s">
        <v>5454</v>
      </c>
      <c r="E5201" s="10">
        <v>37290</v>
      </c>
      <c r="F5201" s="201">
        <v>-12.5</v>
      </c>
      <c r="G5201" s="201">
        <v>8.6999999999999993</v>
      </c>
    </row>
    <row r="5202" spans="4:7">
      <c r="D5202" s="200" t="s">
        <v>5455</v>
      </c>
      <c r="E5202" s="10">
        <v>37327</v>
      </c>
      <c r="F5202" s="201">
        <v>-12.5</v>
      </c>
      <c r="G5202" s="201">
        <v>8.6</v>
      </c>
    </row>
    <row r="5203" spans="4:7">
      <c r="D5203" s="200" t="s">
        <v>5456</v>
      </c>
      <c r="E5203" s="10">
        <v>37603</v>
      </c>
      <c r="F5203" s="201">
        <v>-12.5</v>
      </c>
      <c r="G5203" s="201">
        <v>8.1999999999999993</v>
      </c>
    </row>
    <row r="5204" spans="4:7">
      <c r="D5204" s="200" t="s">
        <v>5281</v>
      </c>
      <c r="E5204" s="10">
        <v>38642</v>
      </c>
      <c r="F5204" s="201">
        <v>-12.5</v>
      </c>
      <c r="G5204" s="201">
        <v>9.4</v>
      </c>
    </row>
    <row r="5205" spans="4:7">
      <c r="D5205" s="200" t="s">
        <v>5457</v>
      </c>
      <c r="E5205" s="10">
        <v>38820</v>
      </c>
      <c r="F5205" s="201">
        <v>-12.5</v>
      </c>
      <c r="G5205" s="201">
        <v>9.6999999999999993</v>
      </c>
    </row>
    <row r="5206" spans="4:7">
      <c r="D5206" s="200" t="s">
        <v>5458</v>
      </c>
      <c r="E5206" s="10">
        <v>38836</v>
      </c>
      <c r="F5206" s="201">
        <v>-12.5</v>
      </c>
      <c r="G5206" s="201">
        <v>9.5</v>
      </c>
    </row>
    <row r="5207" spans="4:7">
      <c r="D5207" s="200" t="s">
        <v>5459</v>
      </c>
      <c r="E5207" s="10">
        <v>38838</v>
      </c>
      <c r="F5207" s="201">
        <v>-12.5</v>
      </c>
      <c r="G5207" s="201">
        <v>9.5</v>
      </c>
    </row>
    <row r="5208" spans="4:7">
      <c r="D5208" s="200" t="s">
        <v>4110</v>
      </c>
      <c r="E5208" s="10">
        <v>39114</v>
      </c>
      <c r="F5208" s="201">
        <v>-12.5</v>
      </c>
      <c r="G5208" s="201">
        <v>9.6</v>
      </c>
    </row>
    <row r="5209" spans="4:7" ht="30">
      <c r="D5209" s="200" t="s">
        <v>5460</v>
      </c>
      <c r="E5209" s="10">
        <v>39167</v>
      </c>
      <c r="F5209" s="201">
        <v>-12.5</v>
      </c>
      <c r="G5209" s="201">
        <v>9.3000000000000007</v>
      </c>
    </row>
    <row r="5210" spans="4:7">
      <c r="D5210" s="200" t="s">
        <v>5461</v>
      </c>
      <c r="E5210" s="10">
        <v>39175</v>
      </c>
      <c r="F5210" s="201">
        <v>-12.5</v>
      </c>
      <c r="G5210" s="201">
        <v>9.5</v>
      </c>
    </row>
    <row r="5211" spans="4:7">
      <c r="D5211" s="200" t="s">
        <v>5462</v>
      </c>
      <c r="E5211" s="10">
        <v>39245</v>
      </c>
      <c r="F5211" s="201">
        <v>-12.5</v>
      </c>
      <c r="G5211" s="201">
        <v>9.5</v>
      </c>
    </row>
    <row r="5212" spans="4:7">
      <c r="D5212" s="200" t="s">
        <v>5463</v>
      </c>
      <c r="E5212" s="10">
        <v>39326</v>
      </c>
      <c r="F5212" s="201">
        <v>-12.5</v>
      </c>
      <c r="G5212" s="201">
        <v>9.5</v>
      </c>
    </row>
    <row r="5213" spans="4:7">
      <c r="D5213" s="200" t="s">
        <v>5464</v>
      </c>
      <c r="E5213" s="10">
        <v>39418</v>
      </c>
      <c r="F5213" s="201">
        <v>-12.5</v>
      </c>
      <c r="G5213" s="201">
        <v>9.6</v>
      </c>
    </row>
    <row r="5214" spans="4:7">
      <c r="D5214" s="200" t="s">
        <v>5465</v>
      </c>
      <c r="E5214" s="10">
        <v>39517</v>
      </c>
      <c r="F5214" s="201">
        <v>-12.5</v>
      </c>
      <c r="G5214" s="201">
        <v>9.4</v>
      </c>
    </row>
    <row r="5215" spans="4:7">
      <c r="D5215" s="200" t="s">
        <v>5466</v>
      </c>
      <c r="E5215" s="10">
        <v>39576</v>
      </c>
      <c r="F5215" s="201">
        <v>-12.5</v>
      </c>
      <c r="G5215" s="201">
        <v>9.4</v>
      </c>
    </row>
    <row r="5216" spans="4:7">
      <c r="D5216" s="200" t="s">
        <v>5467</v>
      </c>
      <c r="E5216" s="10">
        <v>72178</v>
      </c>
      <c r="F5216" s="201">
        <v>-12.5</v>
      </c>
      <c r="G5216" s="201">
        <v>8.3000000000000007</v>
      </c>
    </row>
    <row r="5217" spans="4:7">
      <c r="D5217" s="200" t="s">
        <v>5468</v>
      </c>
      <c r="E5217" s="10">
        <v>72290</v>
      </c>
      <c r="F5217" s="201">
        <v>-12.5</v>
      </c>
      <c r="G5217" s="201">
        <v>8.3000000000000007</v>
      </c>
    </row>
    <row r="5218" spans="4:7">
      <c r="D5218" s="200" t="s">
        <v>5469</v>
      </c>
      <c r="E5218" s="10">
        <v>72299</v>
      </c>
      <c r="F5218" s="201">
        <v>-12.5</v>
      </c>
      <c r="G5218" s="201">
        <v>8.4</v>
      </c>
    </row>
    <row r="5219" spans="4:7">
      <c r="D5219" s="200" t="s">
        <v>5470</v>
      </c>
      <c r="E5219" s="10">
        <v>72514</v>
      </c>
      <c r="F5219" s="201">
        <v>-12.5</v>
      </c>
      <c r="G5219" s="201">
        <v>8.1</v>
      </c>
    </row>
    <row r="5220" spans="4:7">
      <c r="D5220" s="200" t="s">
        <v>5471</v>
      </c>
      <c r="E5220" s="10">
        <v>72517</v>
      </c>
      <c r="F5220" s="201">
        <v>-12.5</v>
      </c>
      <c r="G5220" s="201">
        <v>8.4</v>
      </c>
    </row>
    <row r="5221" spans="4:7">
      <c r="D5221" s="200" t="s">
        <v>5472</v>
      </c>
      <c r="E5221" s="10">
        <v>73463</v>
      </c>
      <c r="F5221" s="201">
        <v>-12.5</v>
      </c>
      <c r="G5221" s="201">
        <v>8.8000000000000007</v>
      </c>
    </row>
    <row r="5222" spans="4:7">
      <c r="D5222" s="200" t="s">
        <v>5473</v>
      </c>
      <c r="E5222" s="10">
        <v>73489</v>
      </c>
      <c r="F5222" s="201">
        <v>-12.5</v>
      </c>
      <c r="G5222" s="201">
        <v>9</v>
      </c>
    </row>
    <row r="5223" spans="4:7" ht="30">
      <c r="D5223" s="200" t="s">
        <v>5474</v>
      </c>
      <c r="E5223" s="10">
        <v>73568</v>
      </c>
      <c r="F5223" s="201">
        <v>-12.5</v>
      </c>
      <c r="G5223" s="201">
        <v>8.9</v>
      </c>
    </row>
    <row r="5224" spans="4:7">
      <c r="D5224" s="200" t="s">
        <v>5475</v>
      </c>
      <c r="E5224" s="10">
        <v>73571</v>
      </c>
      <c r="F5224" s="201">
        <v>-12.5</v>
      </c>
      <c r="G5224" s="201">
        <v>8.9</v>
      </c>
    </row>
    <row r="5225" spans="4:7">
      <c r="D5225" s="200" t="s">
        <v>5476</v>
      </c>
      <c r="E5225" s="10">
        <v>73579</v>
      </c>
      <c r="F5225" s="201">
        <v>-12.5</v>
      </c>
      <c r="G5225" s="201">
        <v>8.8000000000000007</v>
      </c>
    </row>
    <row r="5226" spans="4:7">
      <c r="D5226" s="200" t="s">
        <v>5477</v>
      </c>
      <c r="E5226" s="10">
        <v>73642</v>
      </c>
      <c r="F5226" s="201">
        <v>-12.5</v>
      </c>
      <c r="G5226" s="201">
        <v>8.8000000000000007</v>
      </c>
    </row>
    <row r="5227" spans="4:7">
      <c r="D5227" s="200" t="s">
        <v>5478</v>
      </c>
      <c r="E5227" s="10">
        <v>74572</v>
      </c>
      <c r="F5227" s="201">
        <v>-12.5</v>
      </c>
      <c r="G5227" s="201">
        <v>8.9</v>
      </c>
    </row>
    <row r="5228" spans="4:7">
      <c r="D5228" s="200" t="s">
        <v>5479</v>
      </c>
      <c r="E5228" s="10">
        <v>74589</v>
      </c>
      <c r="F5228" s="201">
        <v>-12.5</v>
      </c>
      <c r="G5228" s="201">
        <v>9.1</v>
      </c>
    </row>
    <row r="5229" spans="4:7">
      <c r="D5229" s="200" t="s">
        <v>5480</v>
      </c>
      <c r="E5229" s="10">
        <v>78056</v>
      </c>
      <c r="F5229" s="201">
        <v>-12.5</v>
      </c>
      <c r="G5229" s="201">
        <v>8.3000000000000007</v>
      </c>
    </row>
    <row r="5230" spans="4:7">
      <c r="D5230" s="200" t="s">
        <v>5481</v>
      </c>
      <c r="E5230" s="10">
        <v>78573</v>
      </c>
      <c r="F5230" s="201">
        <v>-12.5</v>
      </c>
      <c r="G5230" s="201">
        <v>8.4</v>
      </c>
    </row>
    <row r="5231" spans="4:7">
      <c r="D5231" s="200" t="s">
        <v>5482</v>
      </c>
      <c r="E5231" s="10">
        <v>78658</v>
      </c>
      <c r="F5231" s="201">
        <v>-12.5</v>
      </c>
      <c r="G5231" s="201">
        <v>8.4</v>
      </c>
    </row>
    <row r="5232" spans="4:7">
      <c r="D5232" s="200" t="s">
        <v>5483</v>
      </c>
      <c r="E5232" s="10">
        <v>78665</v>
      </c>
      <c r="F5232" s="201">
        <v>-12.5</v>
      </c>
      <c r="G5232" s="201">
        <v>8.4</v>
      </c>
    </row>
    <row r="5233" spans="4:7">
      <c r="D5233" s="200" t="s">
        <v>5484</v>
      </c>
      <c r="E5233" s="10">
        <v>79410</v>
      </c>
      <c r="F5233" s="201">
        <v>-12.5</v>
      </c>
      <c r="G5233" s="201">
        <v>8.4</v>
      </c>
    </row>
    <row r="5234" spans="4:7">
      <c r="D5234" s="200" t="s">
        <v>5485</v>
      </c>
      <c r="E5234" s="10">
        <v>79692</v>
      </c>
      <c r="F5234" s="201">
        <v>-12.5</v>
      </c>
      <c r="G5234" s="201">
        <v>8.4</v>
      </c>
    </row>
    <row r="5235" spans="4:7">
      <c r="D5235" s="200" t="s">
        <v>4162</v>
      </c>
      <c r="E5235" s="10">
        <v>80807</v>
      </c>
      <c r="F5235" s="201">
        <v>-12.5</v>
      </c>
      <c r="G5235" s="201">
        <v>9.1999999999999993</v>
      </c>
    </row>
    <row r="5236" spans="4:7">
      <c r="D5236" s="200" t="s">
        <v>4162</v>
      </c>
      <c r="E5236" s="10">
        <v>81541</v>
      </c>
      <c r="F5236" s="201">
        <v>-12.5</v>
      </c>
      <c r="G5236" s="201">
        <v>9.1999999999999993</v>
      </c>
    </row>
    <row r="5237" spans="4:7">
      <c r="D5237" s="200" t="s">
        <v>4162</v>
      </c>
      <c r="E5237" s="10">
        <v>81543</v>
      </c>
      <c r="F5237" s="201">
        <v>-12.5</v>
      </c>
      <c r="G5237" s="201">
        <v>9.1999999999999993</v>
      </c>
    </row>
    <row r="5238" spans="4:7">
      <c r="D5238" s="200" t="s">
        <v>4162</v>
      </c>
      <c r="E5238" s="10">
        <v>81669</v>
      </c>
      <c r="F5238" s="201">
        <v>-12.5</v>
      </c>
      <c r="G5238" s="201">
        <v>9.1999999999999993</v>
      </c>
    </row>
    <row r="5239" spans="4:7">
      <c r="D5239" s="200" t="s">
        <v>5486</v>
      </c>
      <c r="E5239" s="10">
        <v>83043</v>
      </c>
      <c r="F5239" s="201">
        <v>-12.5</v>
      </c>
      <c r="G5239" s="201">
        <v>8.9</v>
      </c>
    </row>
    <row r="5240" spans="4:7">
      <c r="D5240" s="200" t="s">
        <v>5487</v>
      </c>
      <c r="E5240" s="10">
        <v>83064</v>
      </c>
      <c r="F5240" s="201">
        <v>-12.5</v>
      </c>
      <c r="G5240" s="201">
        <v>8.8000000000000007</v>
      </c>
    </row>
    <row r="5241" spans="4:7">
      <c r="D5241" s="200" t="s">
        <v>5488</v>
      </c>
      <c r="E5241" s="10">
        <v>83075</v>
      </c>
      <c r="F5241" s="201">
        <v>-12.5</v>
      </c>
      <c r="G5241" s="201">
        <v>8.8000000000000007</v>
      </c>
    </row>
    <row r="5242" spans="4:7">
      <c r="D5242" s="200" t="s">
        <v>5489</v>
      </c>
      <c r="E5242" s="10">
        <v>83109</v>
      </c>
      <c r="F5242" s="201">
        <v>-12.5</v>
      </c>
      <c r="G5242" s="201">
        <v>8.8000000000000007</v>
      </c>
    </row>
    <row r="5243" spans="4:7">
      <c r="D5243" s="200" t="s">
        <v>5490</v>
      </c>
      <c r="E5243" s="10">
        <v>83115</v>
      </c>
      <c r="F5243" s="201">
        <v>-12.5</v>
      </c>
      <c r="G5243" s="201">
        <v>8.9</v>
      </c>
    </row>
    <row r="5244" spans="4:7">
      <c r="D5244" s="200" t="s">
        <v>5491</v>
      </c>
      <c r="E5244" s="10">
        <v>84028</v>
      </c>
      <c r="F5244" s="201">
        <v>-12.5</v>
      </c>
      <c r="G5244" s="201">
        <v>9.4</v>
      </c>
    </row>
    <row r="5245" spans="4:7">
      <c r="D5245" s="200" t="s">
        <v>5492</v>
      </c>
      <c r="E5245" s="10">
        <v>84364</v>
      </c>
      <c r="F5245" s="201">
        <v>-12.5</v>
      </c>
      <c r="G5245" s="201">
        <v>9.1</v>
      </c>
    </row>
    <row r="5246" spans="4:7">
      <c r="D5246" s="200" t="s">
        <v>5493</v>
      </c>
      <c r="E5246" s="10">
        <v>84378</v>
      </c>
      <c r="F5246" s="201">
        <v>-12.5</v>
      </c>
      <c r="G5246" s="201">
        <v>8.6999999999999993</v>
      </c>
    </row>
    <row r="5247" spans="4:7">
      <c r="D5247" s="200" t="s">
        <v>5494</v>
      </c>
      <c r="E5247" s="10">
        <v>84384</v>
      </c>
      <c r="F5247" s="201">
        <v>-12.5</v>
      </c>
      <c r="G5247" s="201">
        <v>8.5</v>
      </c>
    </row>
    <row r="5248" spans="4:7">
      <c r="D5248" s="200" t="s">
        <v>5318</v>
      </c>
      <c r="E5248" s="10">
        <v>85057</v>
      </c>
      <c r="F5248" s="201">
        <v>-12.5</v>
      </c>
      <c r="G5248" s="201">
        <v>9.5</v>
      </c>
    </row>
    <row r="5249" spans="4:7">
      <c r="D5249" s="200" t="s">
        <v>5495</v>
      </c>
      <c r="E5249" s="10">
        <v>85137</v>
      </c>
      <c r="F5249" s="201">
        <v>-12.5</v>
      </c>
      <c r="G5249" s="201">
        <v>9.1</v>
      </c>
    </row>
    <row r="5250" spans="4:7">
      <c r="D5250" s="200" t="s">
        <v>5496</v>
      </c>
      <c r="E5250" s="10">
        <v>88145</v>
      </c>
      <c r="F5250" s="201">
        <v>-12.5</v>
      </c>
      <c r="G5250" s="201">
        <v>8.4</v>
      </c>
    </row>
    <row r="5251" spans="4:7">
      <c r="D5251" s="200" t="s">
        <v>5497</v>
      </c>
      <c r="E5251" s="10">
        <v>88361</v>
      </c>
      <c r="F5251" s="201">
        <v>-12.5</v>
      </c>
      <c r="G5251" s="201">
        <v>8.4</v>
      </c>
    </row>
    <row r="5252" spans="4:7">
      <c r="D5252" s="200" t="s">
        <v>5498</v>
      </c>
      <c r="E5252" s="10">
        <v>88630</v>
      </c>
      <c r="F5252" s="201">
        <v>-12.5</v>
      </c>
      <c r="G5252" s="201">
        <v>8.3000000000000007</v>
      </c>
    </row>
    <row r="5253" spans="4:7">
      <c r="D5253" s="200" t="s">
        <v>5148</v>
      </c>
      <c r="E5253" s="10">
        <v>89075</v>
      </c>
      <c r="F5253" s="201">
        <v>-12.5</v>
      </c>
      <c r="G5253" s="201">
        <v>8.9</v>
      </c>
    </row>
    <row r="5254" spans="4:7">
      <c r="D5254" s="200" t="s">
        <v>5499</v>
      </c>
      <c r="E5254" s="10">
        <v>89171</v>
      </c>
      <c r="F5254" s="201">
        <v>-12.5</v>
      </c>
      <c r="G5254" s="201">
        <v>8.8000000000000007</v>
      </c>
    </row>
    <row r="5255" spans="4:7">
      <c r="D5255" s="200" t="s">
        <v>5500</v>
      </c>
      <c r="E5255" s="10">
        <v>89176</v>
      </c>
      <c r="F5255" s="201">
        <v>-12.5</v>
      </c>
      <c r="G5255" s="201">
        <v>8.9</v>
      </c>
    </row>
    <row r="5256" spans="4:7">
      <c r="D5256" s="200" t="s">
        <v>5501</v>
      </c>
      <c r="E5256" s="10">
        <v>89192</v>
      </c>
      <c r="F5256" s="201">
        <v>-12.5</v>
      </c>
      <c r="G5256" s="201">
        <v>8.9</v>
      </c>
    </row>
    <row r="5257" spans="4:7">
      <c r="D5257" s="200" t="s">
        <v>5502</v>
      </c>
      <c r="E5257" s="10">
        <v>89257</v>
      </c>
      <c r="F5257" s="201">
        <v>-12.5</v>
      </c>
      <c r="G5257" s="201">
        <v>9</v>
      </c>
    </row>
    <row r="5258" spans="4:7">
      <c r="D5258" s="200" t="s">
        <v>5503</v>
      </c>
      <c r="E5258" s="10">
        <v>91478</v>
      </c>
      <c r="F5258" s="201">
        <v>-12.5</v>
      </c>
      <c r="G5258" s="201">
        <v>9.3000000000000007</v>
      </c>
    </row>
    <row r="5259" spans="4:7">
      <c r="D5259" s="200" t="s">
        <v>5504</v>
      </c>
      <c r="E5259" s="10">
        <v>91628</v>
      </c>
      <c r="F5259" s="201">
        <v>-12.5</v>
      </c>
      <c r="G5259" s="201">
        <v>9.1</v>
      </c>
    </row>
    <row r="5260" spans="4:7">
      <c r="D5260" s="200" t="s">
        <v>2107</v>
      </c>
      <c r="E5260" s="10">
        <v>91631</v>
      </c>
      <c r="F5260" s="201">
        <v>-12.5</v>
      </c>
      <c r="G5260" s="201">
        <v>9.1</v>
      </c>
    </row>
    <row r="5261" spans="4:7">
      <c r="D5261" s="200" t="s">
        <v>5505</v>
      </c>
      <c r="E5261" s="10">
        <v>94065</v>
      </c>
      <c r="F5261" s="201">
        <v>-12.5</v>
      </c>
      <c r="G5261" s="201">
        <v>8.3000000000000007</v>
      </c>
    </row>
    <row r="5262" spans="4:7">
      <c r="D5262" s="200" t="s">
        <v>5506</v>
      </c>
      <c r="E5262" s="10">
        <v>94107</v>
      </c>
      <c r="F5262" s="201">
        <v>-12.5</v>
      </c>
      <c r="G5262" s="201">
        <v>8.3000000000000007</v>
      </c>
    </row>
    <row r="5263" spans="4:7">
      <c r="D5263" s="200" t="s">
        <v>5507</v>
      </c>
      <c r="E5263" s="10">
        <v>94130</v>
      </c>
      <c r="F5263" s="201">
        <v>-12.5</v>
      </c>
      <c r="G5263" s="201">
        <v>8.3000000000000007</v>
      </c>
    </row>
    <row r="5264" spans="4:7">
      <c r="D5264" s="200" t="s">
        <v>5508</v>
      </c>
      <c r="E5264" s="10">
        <v>94149</v>
      </c>
      <c r="F5264" s="201">
        <v>-12.5</v>
      </c>
      <c r="G5264" s="201">
        <v>8.8000000000000007</v>
      </c>
    </row>
    <row r="5265" spans="4:7">
      <c r="D5265" s="200" t="s">
        <v>5509</v>
      </c>
      <c r="E5265" s="10">
        <v>94501</v>
      </c>
      <c r="F5265" s="201">
        <v>-12.5</v>
      </c>
      <c r="G5265" s="201">
        <v>9.1999999999999993</v>
      </c>
    </row>
    <row r="5266" spans="4:7">
      <c r="D5266" s="200" t="s">
        <v>5510</v>
      </c>
      <c r="E5266" s="10">
        <v>94508</v>
      </c>
      <c r="F5266" s="201">
        <v>-12.5</v>
      </c>
      <c r="G5266" s="201">
        <v>8.5</v>
      </c>
    </row>
    <row r="5267" spans="4:7">
      <c r="D5267" s="200" t="s">
        <v>5511</v>
      </c>
      <c r="E5267" s="10">
        <v>94532</v>
      </c>
      <c r="F5267" s="201">
        <v>-12.5</v>
      </c>
      <c r="G5267" s="201">
        <v>8.9</v>
      </c>
    </row>
    <row r="5268" spans="4:7">
      <c r="D5268" s="200" t="s">
        <v>5512</v>
      </c>
      <c r="E5268" s="10">
        <v>96170</v>
      </c>
      <c r="F5268" s="201">
        <v>-12.5</v>
      </c>
      <c r="G5268" s="201">
        <v>9.1999999999999993</v>
      </c>
    </row>
    <row r="5269" spans="4:7">
      <c r="D5269" s="200" t="s">
        <v>5513</v>
      </c>
      <c r="E5269" s="10">
        <v>96369</v>
      </c>
      <c r="F5269" s="201">
        <v>-12.5</v>
      </c>
      <c r="G5269" s="201">
        <v>8.5</v>
      </c>
    </row>
    <row r="5270" spans="4:7">
      <c r="D5270" s="200" t="s">
        <v>4868</v>
      </c>
      <c r="E5270" s="10">
        <v>97843</v>
      </c>
      <c r="F5270" s="201">
        <v>-12.5</v>
      </c>
      <c r="G5270" s="201">
        <v>8.3000000000000007</v>
      </c>
    </row>
    <row r="5271" spans="4:7">
      <c r="D5271" s="200" t="s">
        <v>5514</v>
      </c>
      <c r="E5271" s="10">
        <v>98530</v>
      </c>
      <c r="F5271" s="201">
        <v>-12.5</v>
      </c>
      <c r="G5271" s="201">
        <v>8.1999999999999993</v>
      </c>
    </row>
    <row r="5272" spans="4:7">
      <c r="D5272" s="200" t="s">
        <v>5515</v>
      </c>
      <c r="E5272" s="10">
        <v>98669</v>
      </c>
      <c r="F5272" s="201">
        <v>-12.5</v>
      </c>
      <c r="G5272" s="201">
        <v>8.5</v>
      </c>
    </row>
    <row r="5273" spans="4:7">
      <c r="D5273" s="200" t="s">
        <v>5516</v>
      </c>
      <c r="E5273" s="10">
        <v>99837</v>
      </c>
      <c r="F5273" s="201">
        <v>-12.5</v>
      </c>
      <c r="G5273" s="201">
        <v>9.1</v>
      </c>
    </row>
    <row r="5274" spans="4:7">
      <c r="D5274" s="200" t="s">
        <v>5069</v>
      </c>
      <c r="E5274" s="10">
        <v>1127</v>
      </c>
      <c r="F5274" s="201">
        <v>-12.6</v>
      </c>
      <c r="G5274" s="201">
        <v>10.3</v>
      </c>
    </row>
    <row r="5275" spans="4:7">
      <c r="D5275" s="200" t="s">
        <v>5069</v>
      </c>
      <c r="E5275" s="10">
        <v>1157</v>
      </c>
      <c r="F5275" s="201">
        <v>-12.6</v>
      </c>
      <c r="G5275" s="201">
        <v>10.199999999999999</v>
      </c>
    </row>
    <row r="5276" spans="4:7">
      <c r="D5276" s="200" t="s">
        <v>5069</v>
      </c>
      <c r="E5276" s="10">
        <v>1159</v>
      </c>
      <c r="F5276" s="201">
        <v>-12.6</v>
      </c>
      <c r="G5276" s="201">
        <v>10.199999999999999</v>
      </c>
    </row>
    <row r="5277" spans="4:7">
      <c r="D5277" s="200" t="s">
        <v>5069</v>
      </c>
      <c r="E5277" s="10">
        <v>1219</v>
      </c>
      <c r="F5277" s="201">
        <v>-12.6</v>
      </c>
      <c r="G5277" s="201">
        <v>10.3</v>
      </c>
    </row>
    <row r="5278" spans="4:7">
      <c r="D5278" s="200" t="s">
        <v>5069</v>
      </c>
      <c r="E5278" s="10">
        <v>1309</v>
      </c>
      <c r="F5278" s="201">
        <v>-12.6</v>
      </c>
      <c r="G5278" s="201">
        <v>10.3</v>
      </c>
    </row>
    <row r="5279" spans="4:7">
      <c r="D5279" s="200" t="s">
        <v>4593</v>
      </c>
      <c r="E5279" s="10">
        <v>4105</v>
      </c>
      <c r="F5279" s="201">
        <v>-12.6</v>
      </c>
      <c r="G5279" s="201">
        <v>10</v>
      </c>
    </row>
    <row r="5280" spans="4:7">
      <c r="D5280" s="200" t="s">
        <v>4593</v>
      </c>
      <c r="E5280" s="10">
        <v>4299</v>
      </c>
      <c r="F5280" s="201">
        <v>-12.6</v>
      </c>
      <c r="G5280" s="201">
        <v>10.1</v>
      </c>
    </row>
    <row r="5281" spans="4:7">
      <c r="D5281" s="200" t="s">
        <v>4593</v>
      </c>
      <c r="E5281" s="10">
        <v>4328</v>
      </c>
      <c r="F5281" s="201">
        <v>-12.6</v>
      </c>
      <c r="G5281" s="201">
        <v>10</v>
      </c>
    </row>
    <row r="5282" spans="4:7">
      <c r="D5282" s="200" t="s">
        <v>4593</v>
      </c>
      <c r="E5282" s="10">
        <v>4357</v>
      </c>
      <c r="F5282" s="201">
        <v>-12.6</v>
      </c>
      <c r="G5282" s="201">
        <v>9.9</v>
      </c>
    </row>
    <row r="5283" spans="4:7">
      <c r="D5283" s="200" t="s">
        <v>5517</v>
      </c>
      <c r="E5283" s="10">
        <v>7751</v>
      </c>
      <c r="F5283" s="201">
        <v>-12.6</v>
      </c>
      <c r="G5283" s="201">
        <v>9.9</v>
      </c>
    </row>
    <row r="5284" spans="4:7">
      <c r="D5284" s="200" t="s">
        <v>5518</v>
      </c>
      <c r="E5284" s="10">
        <v>12526</v>
      </c>
      <c r="F5284" s="201">
        <v>-12.6</v>
      </c>
      <c r="G5284" s="201">
        <v>9.6999999999999993</v>
      </c>
    </row>
    <row r="5285" spans="4:7">
      <c r="D5285" s="200" t="s">
        <v>5519</v>
      </c>
      <c r="E5285" s="10">
        <v>13051</v>
      </c>
      <c r="F5285" s="201">
        <v>-12.6</v>
      </c>
      <c r="G5285" s="201">
        <v>9.6999999999999993</v>
      </c>
    </row>
    <row r="5286" spans="4:7">
      <c r="D5286" s="200" t="s">
        <v>5520</v>
      </c>
      <c r="E5286" s="10">
        <v>13059</v>
      </c>
      <c r="F5286" s="201">
        <v>-12.6</v>
      </c>
      <c r="G5286" s="201">
        <v>9.6999999999999993</v>
      </c>
    </row>
    <row r="5287" spans="4:7">
      <c r="D5287" s="200" t="s">
        <v>5521</v>
      </c>
      <c r="E5287" s="10">
        <v>14089</v>
      </c>
      <c r="F5287" s="201">
        <v>-12.6</v>
      </c>
      <c r="G5287" s="201">
        <v>9.6</v>
      </c>
    </row>
    <row r="5288" spans="4:7">
      <c r="D5288" s="200" t="s">
        <v>5522</v>
      </c>
      <c r="E5288" s="10">
        <v>14109</v>
      </c>
      <c r="F5288" s="201">
        <v>-12.6</v>
      </c>
      <c r="G5288" s="201">
        <v>9.5</v>
      </c>
    </row>
    <row r="5289" spans="4:7">
      <c r="D5289" s="200" t="s">
        <v>5082</v>
      </c>
      <c r="E5289" s="10">
        <v>14469</v>
      </c>
      <c r="F5289" s="201">
        <v>-12.6</v>
      </c>
      <c r="G5289" s="201">
        <v>9.6</v>
      </c>
    </row>
    <row r="5290" spans="4:7">
      <c r="D5290" s="200" t="s">
        <v>5082</v>
      </c>
      <c r="E5290" s="10">
        <v>14473</v>
      </c>
      <c r="F5290" s="201">
        <v>-12.6</v>
      </c>
      <c r="G5290" s="201">
        <v>9.5</v>
      </c>
    </row>
    <row r="5291" spans="4:7">
      <c r="D5291" s="200" t="s">
        <v>5523</v>
      </c>
      <c r="E5291" s="10">
        <v>14641</v>
      </c>
      <c r="F5291" s="201">
        <v>-12.6</v>
      </c>
      <c r="G5291" s="201">
        <v>9.6</v>
      </c>
    </row>
    <row r="5292" spans="4:7">
      <c r="D5292" s="200" t="s">
        <v>5524</v>
      </c>
      <c r="E5292" s="10">
        <v>15370</v>
      </c>
      <c r="F5292" s="201">
        <v>-12.6</v>
      </c>
      <c r="G5292" s="201">
        <v>9.6</v>
      </c>
    </row>
    <row r="5293" spans="4:7">
      <c r="D5293" s="200" t="s">
        <v>5525</v>
      </c>
      <c r="E5293" s="10">
        <v>15711</v>
      </c>
      <c r="F5293" s="201">
        <v>-12.6</v>
      </c>
      <c r="G5293" s="201">
        <v>9.6999999999999993</v>
      </c>
    </row>
    <row r="5294" spans="4:7">
      <c r="D5294" s="200" t="s">
        <v>5526</v>
      </c>
      <c r="E5294" s="10">
        <v>15732</v>
      </c>
      <c r="F5294" s="201">
        <v>-12.6</v>
      </c>
      <c r="G5294" s="201">
        <v>9.8000000000000007</v>
      </c>
    </row>
    <row r="5295" spans="4:7">
      <c r="D5295" s="200" t="s">
        <v>5527</v>
      </c>
      <c r="E5295" s="10">
        <v>15738</v>
      </c>
      <c r="F5295" s="201">
        <v>-12.6</v>
      </c>
      <c r="G5295" s="201">
        <v>9.6999999999999993</v>
      </c>
    </row>
    <row r="5296" spans="4:7">
      <c r="D5296" s="200" t="s">
        <v>5528</v>
      </c>
      <c r="E5296" s="10">
        <v>15745</v>
      </c>
      <c r="F5296" s="201">
        <v>-12.6</v>
      </c>
      <c r="G5296" s="201">
        <v>9.6999999999999993</v>
      </c>
    </row>
    <row r="5297" spans="4:7">
      <c r="D5297" s="200" t="s">
        <v>5529</v>
      </c>
      <c r="E5297" s="10">
        <v>16321</v>
      </c>
      <c r="F5297" s="201">
        <v>-12.6</v>
      </c>
      <c r="G5297" s="201">
        <v>9.6</v>
      </c>
    </row>
    <row r="5298" spans="4:7">
      <c r="D5298" s="200" t="s">
        <v>5530</v>
      </c>
      <c r="E5298" s="10">
        <v>16341</v>
      </c>
      <c r="F5298" s="201">
        <v>-12.6</v>
      </c>
      <c r="G5298" s="201">
        <v>9.6</v>
      </c>
    </row>
    <row r="5299" spans="4:7">
      <c r="D5299" s="200" t="s">
        <v>5531</v>
      </c>
      <c r="E5299" s="10">
        <v>17207</v>
      </c>
      <c r="F5299" s="201">
        <v>-12.6</v>
      </c>
      <c r="G5299" s="201">
        <v>9.1999999999999993</v>
      </c>
    </row>
    <row r="5300" spans="4:7">
      <c r="D5300" s="200" t="s">
        <v>5532</v>
      </c>
      <c r="E5300" s="10">
        <v>17219</v>
      </c>
      <c r="F5300" s="201">
        <v>-12.6</v>
      </c>
      <c r="G5300" s="201">
        <v>9</v>
      </c>
    </row>
    <row r="5301" spans="4:7">
      <c r="D5301" s="200" t="s">
        <v>5533</v>
      </c>
      <c r="E5301" s="10">
        <v>34286</v>
      </c>
      <c r="F5301" s="201">
        <v>-12.6</v>
      </c>
      <c r="G5301" s="201">
        <v>8.1</v>
      </c>
    </row>
    <row r="5302" spans="4:7">
      <c r="D5302" s="200" t="s">
        <v>5534</v>
      </c>
      <c r="E5302" s="10">
        <v>34317</v>
      </c>
      <c r="F5302" s="201">
        <v>-12.6</v>
      </c>
      <c r="G5302" s="201">
        <v>7.7</v>
      </c>
    </row>
    <row r="5303" spans="4:7">
      <c r="D5303" s="200" t="s">
        <v>5535</v>
      </c>
      <c r="E5303" s="10">
        <v>36132</v>
      </c>
      <c r="F5303" s="201">
        <v>-12.6</v>
      </c>
      <c r="G5303" s="201">
        <v>8.5</v>
      </c>
    </row>
    <row r="5304" spans="4:7">
      <c r="D5304" s="200" t="s">
        <v>5536</v>
      </c>
      <c r="E5304" s="10">
        <v>36169</v>
      </c>
      <c r="F5304" s="201">
        <v>-12.6</v>
      </c>
      <c r="G5304" s="201">
        <v>8.6999999999999993</v>
      </c>
    </row>
    <row r="5305" spans="4:7">
      <c r="D5305" s="200" t="s">
        <v>5537</v>
      </c>
      <c r="E5305" s="10">
        <v>36217</v>
      </c>
      <c r="F5305" s="201">
        <v>-12.6</v>
      </c>
      <c r="G5305" s="201">
        <v>8.6999999999999993</v>
      </c>
    </row>
    <row r="5306" spans="4:7">
      <c r="D5306" s="200" t="s">
        <v>5538</v>
      </c>
      <c r="E5306" s="10">
        <v>36269</v>
      </c>
      <c r="F5306" s="201">
        <v>-12.6</v>
      </c>
      <c r="G5306" s="201">
        <v>8.8000000000000007</v>
      </c>
    </row>
    <row r="5307" spans="4:7">
      <c r="D5307" s="200" t="s">
        <v>5539</v>
      </c>
      <c r="E5307" s="10">
        <v>36275</v>
      </c>
      <c r="F5307" s="201">
        <v>-12.6</v>
      </c>
      <c r="G5307" s="201">
        <v>8.8000000000000007</v>
      </c>
    </row>
    <row r="5308" spans="4:7">
      <c r="D5308" s="200" t="s">
        <v>5540</v>
      </c>
      <c r="E5308" s="10">
        <v>36277</v>
      </c>
      <c r="F5308" s="201">
        <v>-12.6</v>
      </c>
      <c r="G5308" s="201">
        <v>8.5</v>
      </c>
    </row>
    <row r="5309" spans="4:7">
      <c r="D5309" s="200" t="s">
        <v>5541</v>
      </c>
      <c r="E5309" s="10">
        <v>36433</v>
      </c>
      <c r="F5309" s="201">
        <v>-12.6</v>
      </c>
      <c r="G5309" s="201">
        <v>8.9</v>
      </c>
    </row>
    <row r="5310" spans="4:7">
      <c r="D5310" s="200" t="s">
        <v>5542</v>
      </c>
      <c r="E5310" s="10">
        <v>36469</v>
      </c>
      <c r="F5310" s="201">
        <v>-12.6</v>
      </c>
      <c r="G5310" s="201">
        <v>8.6999999999999993</v>
      </c>
    </row>
    <row r="5311" spans="4:7">
      <c r="D5311" s="200" t="s">
        <v>5543</v>
      </c>
      <c r="E5311" s="10">
        <v>37181</v>
      </c>
      <c r="F5311" s="201">
        <v>-12.6</v>
      </c>
      <c r="G5311" s="201">
        <v>8.4</v>
      </c>
    </row>
    <row r="5312" spans="4:7">
      <c r="D5312" s="200" t="s">
        <v>5544</v>
      </c>
      <c r="E5312" s="10">
        <v>37216</v>
      </c>
      <c r="F5312" s="201">
        <v>-12.6</v>
      </c>
      <c r="G5312" s="201">
        <v>7.9</v>
      </c>
    </row>
    <row r="5313" spans="4:7">
      <c r="D5313" s="200" t="s">
        <v>5545</v>
      </c>
      <c r="E5313" s="10">
        <v>37318</v>
      </c>
      <c r="F5313" s="201">
        <v>-12.6</v>
      </c>
      <c r="G5313" s="201">
        <v>8.4</v>
      </c>
    </row>
    <row r="5314" spans="4:7">
      <c r="D5314" s="200" t="s">
        <v>4110</v>
      </c>
      <c r="E5314" s="10">
        <v>39122</v>
      </c>
      <c r="F5314" s="201">
        <v>-12.6</v>
      </c>
      <c r="G5314" s="201">
        <v>9.4</v>
      </c>
    </row>
    <row r="5315" spans="4:7">
      <c r="D5315" s="200" t="s">
        <v>5546</v>
      </c>
      <c r="E5315" s="10">
        <v>39164</v>
      </c>
      <c r="F5315" s="201">
        <v>-12.6</v>
      </c>
      <c r="G5315" s="201">
        <v>9.4</v>
      </c>
    </row>
    <row r="5316" spans="4:7">
      <c r="D5316" s="200" t="s">
        <v>5547</v>
      </c>
      <c r="E5316" s="10">
        <v>39171</v>
      </c>
      <c r="F5316" s="201">
        <v>-12.6</v>
      </c>
      <c r="G5316" s="201">
        <v>9.4</v>
      </c>
    </row>
    <row r="5317" spans="4:7">
      <c r="D5317" s="200" t="s">
        <v>5548</v>
      </c>
      <c r="E5317" s="10">
        <v>39217</v>
      </c>
      <c r="F5317" s="201">
        <v>-12.6</v>
      </c>
      <c r="G5317" s="201">
        <v>9.5</v>
      </c>
    </row>
    <row r="5318" spans="4:7">
      <c r="D5318" s="200" t="s">
        <v>5549</v>
      </c>
      <c r="E5318" s="10">
        <v>39249</v>
      </c>
      <c r="F5318" s="201">
        <v>-12.6</v>
      </c>
      <c r="G5318" s="201">
        <v>9.5</v>
      </c>
    </row>
    <row r="5319" spans="4:7">
      <c r="D5319" s="200" t="s">
        <v>5550</v>
      </c>
      <c r="E5319" s="10">
        <v>39397</v>
      </c>
      <c r="F5319" s="201">
        <v>-12.6</v>
      </c>
      <c r="G5319" s="201">
        <v>9.5</v>
      </c>
    </row>
    <row r="5320" spans="4:7">
      <c r="D5320" s="200" t="s">
        <v>5551</v>
      </c>
      <c r="E5320" s="10">
        <v>39435</v>
      </c>
      <c r="F5320" s="201">
        <v>-12.6</v>
      </c>
      <c r="G5320" s="201">
        <v>9.5</v>
      </c>
    </row>
    <row r="5321" spans="4:7">
      <c r="D5321" s="200" t="s">
        <v>5464</v>
      </c>
      <c r="E5321" s="10">
        <v>39446</v>
      </c>
      <c r="F5321" s="201">
        <v>-12.6</v>
      </c>
      <c r="G5321" s="201">
        <v>9.5</v>
      </c>
    </row>
    <row r="5322" spans="4:7">
      <c r="D5322" s="200" t="s">
        <v>5552</v>
      </c>
      <c r="E5322" s="10">
        <v>39448</v>
      </c>
      <c r="F5322" s="201">
        <v>-12.6</v>
      </c>
      <c r="G5322" s="201">
        <v>9.5</v>
      </c>
    </row>
    <row r="5323" spans="4:7">
      <c r="D5323" s="200" t="s">
        <v>5553</v>
      </c>
      <c r="E5323" s="10">
        <v>39539</v>
      </c>
      <c r="F5323" s="201">
        <v>-12.6</v>
      </c>
      <c r="G5323" s="201">
        <v>9.4</v>
      </c>
    </row>
    <row r="5324" spans="4:7">
      <c r="D5324" s="200" t="s">
        <v>5554</v>
      </c>
      <c r="E5324" s="10">
        <v>39590</v>
      </c>
      <c r="F5324" s="201">
        <v>-12.6</v>
      </c>
      <c r="G5324" s="201">
        <v>9.4</v>
      </c>
    </row>
    <row r="5325" spans="4:7">
      <c r="D5325" s="200" t="s">
        <v>5555</v>
      </c>
      <c r="E5325" s="10">
        <v>67814</v>
      </c>
      <c r="F5325" s="201">
        <v>-12.6</v>
      </c>
      <c r="G5325" s="201">
        <v>7.8</v>
      </c>
    </row>
    <row r="5326" spans="4:7">
      <c r="D5326" s="200" t="s">
        <v>5556</v>
      </c>
      <c r="E5326" s="10">
        <v>72175</v>
      </c>
      <c r="F5326" s="201">
        <v>-12.6</v>
      </c>
      <c r="G5326" s="201">
        <v>8.3000000000000007</v>
      </c>
    </row>
    <row r="5327" spans="4:7">
      <c r="D5327" s="200" t="s">
        <v>5557</v>
      </c>
      <c r="E5327" s="10">
        <v>72275</v>
      </c>
      <c r="F5327" s="201">
        <v>-12.6</v>
      </c>
      <c r="G5327" s="201">
        <v>8.3000000000000007</v>
      </c>
    </row>
    <row r="5328" spans="4:7">
      <c r="D5328" s="200" t="s">
        <v>5558</v>
      </c>
      <c r="E5328" s="10">
        <v>72285</v>
      </c>
      <c r="F5328" s="201">
        <v>-12.6</v>
      </c>
      <c r="G5328" s="201">
        <v>8.3000000000000007</v>
      </c>
    </row>
    <row r="5329" spans="4:7">
      <c r="D5329" s="200" t="s">
        <v>5559</v>
      </c>
      <c r="E5329" s="10">
        <v>72294</v>
      </c>
      <c r="F5329" s="201">
        <v>-12.6</v>
      </c>
      <c r="G5329" s="201">
        <v>8.3000000000000007</v>
      </c>
    </row>
    <row r="5330" spans="4:7">
      <c r="D5330" s="200" t="s">
        <v>5560</v>
      </c>
      <c r="E5330" s="10">
        <v>72355</v>
      </c>
      <c r="F5330" s="201">
        <v>-12.6</v>
      </c>
      <c r="G5330" s="201">
        <v>8.1999999999999993</v>
      </c>
    </row>
    <row r="5331" spans="4:7">
      <c r="D5331" s="200" t="s">
        <v>5561</v>
      </c>
      <c r="E5331" s="10">
        <v>72505</v>
      </c>
      <c r="F5331" s="201">
        <v>-12.6</v>
      </c>
      <c r="G5331" s="201">
        <v>8.1999999999999993</v>
      </c>
    </row>
    <row r="5332" spans="4:7">
      <c r="D5332" s="200" t="s">
        <v>4955</v>
      </c>
      <c r="E5332" s="10">
        <v>73434</v>
      </c>
      <c r="F5332" s="201">
        <v>-12.6</v>
      </c>
      <c r="G5332" s="201">
        <v>8.6999999999999993</v>
      </c>
    </row>
    <row r="5333" spans="4:7">
      <c r="D5333" s="200" t="s">
        <v>5562</v>
      </c>
      <c r="E5333" s="10">
        <v>73441</v>
      </c>
      <c r="F5333" s="201">
        <v>-12.6</v>
      </c>
      <c r="G5333" s="201">
        <v>8.6</v>
      </c>
    </row>
    <row r="5334" spans="4:7">
      <c r="D5334" s="200" t="s">
        <v>5563</v>
      </c>
      <c r="E5334" s="10">
        <v>73460</v>
      </c>
      <c r="F5334" s="201">
        <v>-12.6</v>
      </c>
      <c r="G5334" s="201">
        <v>8.6999999999999993</v>
      </c>
    </row>
    <row r="5335" spans="4:7">
      <c r="D5335" s="200" t="s">
        <v>5564</v>
      </c>
      <c r="E5335" s="10">
        <v>73467</v>
      </c>
      <c r="F5335" s="201">
        <v>-12.6</v>
      </c>
      <c r="G5335" s="201">
        <v>8.6999999999999993</v>
      </c>
    </row>
    <row r="5336" spans="4:7">
      <c r="D5336" s="200" t="s">
        <v>5565</v>
      </c>
      <c r="E5336" s="10">
        <v>73485</v>
      </c>
      <c r="F5336" s="201">
        <v>-12.6</v>
      </c>
      <c r="G5336" s="201">
        <v>8.6999999999999993</v>
      </c>
    </row>
    <row r="5337" spans="4:7">
      <c r="D5337" s="200" t="s">
        <v>5566</v>
      </c>
      <c r="E5337" s="10">
        <v>73569</v>
      </c>
      <c r="F5337" s="201">
        <v>-12.6</v>
      </c>
      <c r="G5337" s="201">
        <v>8.6999999999999993</v>
      </c>
    </row>
    <row r="5338" spans="4:7">
      <c r="D5338" s="200" t="s">
        <v>5567</v>
      </c>
      <c r="E5338" s="10">
        <v>73577</v>
      </c>
      <c r="F5338" s="201">
        <v>-12.6</v>
      </c>
      <c r="G5338" s="201">
        <v>8.6999999999999993</v>
      </c>
    </row>
    <row r="5339" spans="4:7">
      <c r="D5339" s="200" t="s">
        <v>5568</v>
      </c>
      <c r="E5339" s="10">
        <v>74424</v>
      </c>
      <c r="F5339" s="201">
        <v>-12.6</v>
      </c>
      <c r="G5339" s="201">
        <v>8.8000000000000007</v>
      </c>
    </row>
    <row r="5340" spans="4:7">
      <c r="D5340" s="200" t="s">
        <v>5569</v>
      </c>
      <c r="E5340" s="10">
        <v>74541</v>
      </c>
      <c r="F5340" s="201">
        <v>-12.6</v>
      </c>
      <c r="G5340" s="201">
        <v>8.9</v>
      </c>
    </row>
    <row r="5341" spans="4:7">
      <c r="D5341" s="200" t="s">
        <v>5570</v>
      </c>
      <c r="E5341" s="10">
        <v>74575</v>
      </c>
      <c r="F5341" s="201">
        <v>-12.6</v>
      </c>
      <c r="G5341" s="201">
        <v>8.8000000000000007</v>
      </c>
    </row>
    <row r="5342" spans="4:7">
      <c r="D5342" s="200" t="s">
        <v>5571</v>
      </c>
      <c r="E5342" s="10">
        <v>77889</v>
      </c>
      <c r="F5342" s="201">
        <v>-12.6</v>
      </c>
      <c r="G5342" s="201">
        <v>8.1999999999999993</v>
      </c>
    </row>
    <row r="5343" spans="4:7">
      <c r="D5343" s="200" t="s">
        <v>5572</v>
      </c>
      <c r="E5343" s="10">
        <v>78078</v>
      </c>
      <c r="F5343" s="201">
        <v>-12.6</v>
      </c>
      <c r="G5343" s="201">
        <v>8.1999999999999993</v>
      </c>
    </row>
    <row r="5344" spans="4:7">
      <c r="D5344" s="200" t="s">
        <v>5573</v>
      </c>
      <c r="E5344" s="10">
        <v>78166</v>
      </c>
      <c r="F5344" s="201">
        <v>-12.6</v>
      </c>
      <c r="G5344" s="201">
        <v>8.1999999999999993</v>
      </c>
    </row>
    <row r="5345" spans="4:7">
      <c r="D5345" s="200" t="s">
        <v>5574</v>
      </c>
      <c r="E5345" s="10">
        <v>78176</v>
      </c>
      <c r="F5345" s="201">
        <v>-12.6</v>
      </c>
      <c r="G5345" s="201">
        <v>8.3000000000000007</v>
      </c>
    </row>
    <row r="5346" spans="4:7">
      <c r="D5346" s="200" t="s">
        <v>5575</v>
      </c>
      <c r="E5346" s="10">
        <v>78576</v>
      </c>
      <c r="F5346" s="201">
        <v>-12.6</v>
      </c>
      <c r="G5346" s="201">
        <v>8.1</v>
      </c>
    </row>
    <row r="5347" spans="4:7">
      <c r="D5347" s="200" t="s">
        <v>5576</v>
      </c>
      <c r="E5347" s="10">
        <v>78579</v>
      </c>
      <c r="F5347" s="201">
        <v>-12.6</v>
      </c>
      <c r="G5347" s="201">
        <v>8.1</v>
      </c>
    </row>
    <row r="5348" spans="4:7">
      <c r="D5348" s="200" t="s">
        <v>5577</v>
      </c>
      <c r="E5348" s="10">
        <v>78582</v>
      </c>
      <c r="F5348" s="201">
        <v>-12.6</v>
      </c>
      <c r="G5348" s="201">
        <v>8.1999999999999993</v>
      </c>
    </row>
    <row r="5349" spans="4:7">
      <c r="D5349" s="200" t="s">
        <v>5578</v>
      </c>
      <c r="E5349" s="10">
        <v>78655</v>
      </c>
      <c r="F5349" s="201">
        <v>-12.6</v>
      </c>
      <c r="G5349" s="201">
        <v>8.3000000000000007</v>
      </c>
    </row>
    <row r="5350" spans="4:7">
      <c r="D5350" s="200" t="s">
        <v>5579</v>
      </c>
      <c r="E5350" s="10">
        <v>78662</v>
      </c>
      <c r="F5350" s="201">
        <v>-12.6</v>
      </c>
      <c r="G5350" s="201">
        <v>8.3000000000000007</v>
      </c>
    </row>
    <row r="5351" spans="4:7">
      <c r="D5351" s="200" t="s">
        <v>4855</v>
      </c>
      <c r="E5351" s="10">
        <v>78730</v>
      </c>
      <c r="F5351" s="201">
        <v>-12.6</v>
      </c>
      <c r="G5351" s="201">
        <v>8.1999999999999993</v>
      </c>
    </row>
    <row r="5352" spans="4:7">
      <c r="D5352" s="200" t="s">
        <v>5580</v>
      </c>
      <c r="E5352" s="10">
        <v>78737</v>
      </c>
      <c r="F5352" s="201">
        <v>-12.6</v>
      </c>
      <c r="G5352" s="201">
        <v>8.3000000000000007</v>
      </c>
    </row>
    <row r="5353" spans="4:7">
      <c r="D5353" s="200" t="s">
        <v>4162</v>
      </c>
      <c r="E5353" s="10">
        <v>81371</v>
      </c>
      <c r="F5353" s="201">
        <v>-12.6</v>
      </c>
      <c r="G5353" s="201">
        <v>9.1999999999999993</v>
      </c>
    </row>
    <row r="5354" spans="4:7">
      <c r="D5354" s="200" t="s">
        <v>4162</v>
      </c>
      <c r="E5354" s="10">
        <v>81539</v>
      </c>
      <c r="F5354" s="201">
        <v>-12.6</v>
      </c>
      <c r="G5354" s="201">
        <v>9.1999999999999993</v>
      </c>
    </row>
    <row r="5355" spans="4:7">
      <c r="D5355" s="200" t="s">
        <v>5581</v>
      </c>
      <c r="E5355" s="10">
        <v>83071</v>
      </c>
      <c r="F5355" s="201">
        <v>-12.6</v>
      </c>
      <c r="G5355" s="201">
        <v>8.8000000000000007</v>
      </c>
    </row>
    <row r="5356" spans="4:7">
      <c r="D5356" s="200" t="s">
        <v>5582</v>
      </c>
      <c r="E5356" s="10">
        <v>83093</v>
      </c>
      <c r="F5356" s="201">
        <v>-12.6</v>
      </c>
      <c r="G5356" s="201">
        <v>8.6</v>
      </c>
    </row>
    <row r="5357" spans="4:7">
      <c r="D5357" s="200" t="s">
        <v>4787</v>
      </c>
      <c r="E5357" s="10">
        <v>83101</v>
      </c>
      <c r="F5357" s="201">
        <v>-12.6</v>
      </c>
      <c r="G5357" s="201">
        <v>8.8000000000000007</v>
      </c>
    </row>
    <row r="5358" spans="4:7">
      <c r="D5358" s="200" t="s">
        <v>5583</v>
      </c>
      <c r="E5358" s="10">
        <v>84307</v>
      </c>
      <c r="F5358" s="201">
        <v>-12.6</v>
      </c>
      <c r="G5358" s="201">
        <v>8.8000000000000007</v>
      </c>
    </row>
    <row r="5359" spans="4:7">
      <c r="D5359" s="200" t="s">
        <v>5584</v>
      </c>
      <c r="E5359" s="10">
        <v>84347</v>
      </c>
      <c r="F5359" s="201">
        <v>-12.6</v>
      </c>
      <c r="G5359" s="201">
        <v>8.8000000000000007</v>
      </c>
    </row>
    <row r="5360" spans="4:7">
      <c r="D5360" s="200" t="s">
        <v>5585</v>
      </c>
      <c r="E5360" s="10">
        <v>84367</v>
      </c>
      <c r="F5360" s="201">
        <v>-12.6</v>
      </c>
      <c r="G5360" s="201">
        <v>8.6999999999999993</v>
      </c>
    </row>
    <row r="5361" spans="4:7">
      <c r="D5361" s="200" t="s">
        <v>5586</v>
      </c>
      <c r="E5361" s="10">
        <v>84371</v>
      </c>
      <c r="F5361" s="201">
        <v>-12.6</v>
      </c>
      <c r="G5361" s="201">
        <v>8.8000000000000007</v>
      </c>
    </row>
    <row r="5362" spans="4:7">
      <c r="D5362" s="200" t="s">
        <v>5587</v>
      </c>
      <c r="E5362" s="10">
        <v>84387</v>
      </c>
      <c r="F5362" s="201">
        <v>-12.6</v>
      </c>
      <c r="G5362" s="201">
        <v>9.1</v>
      </c>
    </row>
    <row r="5363" spans="4:7">
      <c r="D5363" s="200" t="s">
        <v>5588</v>
      </c>
      <c r="E5363" s="10">
        <v>85110</v>
      </c>
      <c r="F5363" s="201">
        <v>-12.6</v>
      </c>
      <c r="G5363" s="201">
        <v>9</v>
      </c>
    </row>
    <row r="5364" spans="4:7">
      <c r="D5364" s="200" t="s">
        <v>5589</v>
      </c>
      <c r="E5364" s="10">
        <v>85113</v>
      </c>
      <c r="F5364" s="201">
        <v>-12.6</v>
      </c>
      <c r="G5364" s="201">
        <v>8.6999999999999993</v>
      </c>
    </row>
    <row r="5365" spans="4:7">
      <c r="D5365" s="200" t="s">
        <v>5590</v>
      </c>
      <c r="E5365" s="10">
        <v>88285</v>
      </c>
      <c r="F5365" s="201">
        <v>-12.6</v>
      </c>
      <c r="G5365" s="201">
        <v>8.4</v>
      </c>
    </row>
    <row r="5366" spans="4:7">
      <c r="D5366" s="200" t="s">
        <v>5591</v>
      </c>
      <c r="E5366" s="10">
        <v>88348</v>
      </c>
      <c r="F5366" s="201">
        <v>-12.6</v>
      </c>
      <c r="G5366" s="201">
        <v>8.4</v>
      </c>
    </row>
    <row r="5367" spans="4:7">
      <c r="D5367" s="200" t="s">
        <v>5592</v>
      </c>
      <c r="E5367" s="10">
        <v>88373</v>
      </c>
      <c r="F5367" s="201">
        <v>-12.6</v>
      </c>
      <c r="G5367" s="201">
        <v>8.3000000000000007</v>
      </c>
    </row>
    <row r="5368" spans="4:7">
      <c r="D5368" s="200" t="s">
        <v>5593</v>
      </c>
      <c r="E5368" s="10">
        <v>88499</v>
      </c>
      <c r="F5368" s="201">
        <v>-12.6</v>
      </c>
      <c r="G5368" s="201">
        <v>8.6</v>
      </c>
    </row>
    <row r="5369" spans="4:7">
      <c r="D5369" s="200" t="s">
        <v>5034</v>
      </c>
      <c r="E5369" s="10">
        <v>89269</v>
      </c>
      <c r="F5369" s="201">
        <v>-12.6</v>
      </c>
      <c r="G5369" s="201">
        <v>8.9</v>
      </c>
    </row>
    <row r="5370" spans="4:7">
      <c r="D5370" s="200" t="s">
        <v>5594</v>
      </c>
      <c r="E5370" s="10">
        <v>89312</v>
      </c>
      <c r="F5370" s="201">
        <v>-12.6</v>
      </c>
      <c r="G5370" s="201">
        <v>9</v>
      </c>
    </row>
    <row r="5371" spans="4:7">
      <c r="D5371" s="200" t="s">
        <v>5595</v>
      </c>
      <c r="E5371" s="10">
        <v>89335</v>
      </c>
      <c r="F5371" s="201">
        <v>-12.6</v>
      </c>
      <c r="G5371" s="201">
        <v>8.9</v>
      </c>
    </row>
    <row r="5372" spans="4:7">
      <c r="D5372" s="200" t="s">
        <v>5596</v>
      </c>
      <c r="E5372" s="10">
        <v>89346</v>
      </c>
      <c r="F5372" s="201">
        <v>-12.6</v>
      </c>
      <c r="G5372" s="201">
        <v>8.8000000000000007</v>
      </c>
    </row>
    <row r="5373" spans="4:7">
      <c r="D5373" s="200" t="s">
        <v>5597</v>
      </c>
      <c r="E5373" s="10">
        <v>89347</v>
      </c>
      <c r="F5373" s="201">
        <v>-12.6</v>
      </c>
      <c r="G5373" s="201">
        <v>8.9</v>
      </c>
    </row>
    <row r="5374" spans="4:7">
      <c r="D5374" s="200" t="s">
        <v>5598</v>
      </c>
      <c r="E5374" s="10">
        <v>89359</v>
      </c>
      <c r="F5374" s="201">
        <v>-12.6</v>
      </c>
      <c r="G5374" s="201">
        <v>9</v>
      </c>
    </row>
    <row r="5375" spans="4:7">
      <c r="D5375" s="200" t="s">
        <v>4257</v>
      </c>
      <c r="E5375" s="10">
        <v>90425</v>
      </c>
      <c r="F5375" s="201">
        <v>-12.6</v>
      </c>
      <c r="G5375" s="201">
        <v>9.6999999999999993</v>
      </c>
    </row>
    <row r="5376" spans="4:7">
      <c r="D5376" s="200" t="s">
        <v>2630</v>
      </c>
      <c r="E5376" s="10">
        <v>91301</v>
      </c>
      <c r="F5376" s="201">
        <v>-12.6</v>
      </c>
      <c r="G5376" s="201">
        <v>9.5</v>
      </c>
    </row>
    <row r="5377" spans="4:7">
      <c r="D5377" s="200" t="s">
        <v>5599</v>
      </c>
      <c r="E5377" s="10">
        <v>91463</v>
      </c>
      <c r="F5377" s="201">
        <v>-12.6</v>
      </c>
      <c r="G5377" s="201">
        <v>9.3000000000000007</v>
      </c>
    </row>
    <row r="5378" spans="4:7">
      <c r="D5378" s="200" t="s">
        <v>5600</v>
      </c>
      <c r="E5378" s="10">
        <v>91471</v>
      </c>
      <c r="F5378" s="201">
        <v>-12.6</v>
      </c>
      <c r="G5378" s="201">
        <v>9.3000000000000007</v>
      </c>
    </row>
    <row r="5379" spans="4:7">
      <c r="D5379" s="200" t="s">
        <v>5601</v>
      </c>
      <c r="E5379" s="10">
        <v>91614</v>
      </c>
      <c r="F5379" s="201">
        <v>-12.6</v>
      </c>
      <c r="G5379" s="201">
        <v>8.8000000000000007</v>
      </c>
    </row>
    <row r="5380" spans="4:7">
      <c r="D5380" s="200" t="s">
        <v>5602</v>
      </c>
      <c r="E5380" s="10">
        <v>91634</v>
      </c>
      <c r="F5380" s="201">
        <v>-12.6</v>
      </c>
      <c r="G5380" s="201">
        <v>8.8000000000000007</v>
      </c>
    </row>
    <row r="5381" spans="4:7">
      <c r="D5381" s="200" t="s">
        <v>5603</v>
      </c>
      <c r="E5381" s="10">
        <v>91744</v>
      </c>
      <c r="F5381" s="201">
        <v>-12.6</v>
      </c>
      <c r="G5381" s="201">
        <v>8.9</v>
      </c>
    </row>
    <row r="5382" spans="4:7">
      <c r="D5382" s="200" t="s">
        <v>4895</v>
      </c>
      <c r="E5382" s="10">
        <v>93051</v>
      </c>
      <c r="F5382" s="201">
        <v>-12.6</v>
      </c>
      <c r="G5382" s="201">
        <v>9.3000000000000007</v>
      </c>
    </row>
    <row r="5383" spans="4:7">
      <c r="D5383" s="200" t="s">
        <v>5604</v>
      </c>
      <c r="E5383" s="10">
        <v>94157</v>
      </c>
      <c r="F5383" s="201">
        <v>-12.6</v>
      </c>
      <c r="G5383" s="201">
        <v>8.1999999999999993</v>
      </c>
    </row>
    <row r="5384" spans="4:7">
      <c r="D5384" s="200" t="s">
        <v>5605</v>
      </c>
      <c r="E5384" s="10">
        <v>94163</v>
      </c>
      <c r="F5384" s="201">
        <v>-12.6</v>
      </c>
      <c r="G5384" s="201">
        <v>8.1999999999999993</v>
      </c>
    </row>
    <row r="5385" spans="4:7">
      <c r="D5385" s="200" t="s">
        <v>5606</v>
      </c>
      <c r="E5385" s="10">
        <v>94439</v>
      </c>
      <c r="F5385" s="201">
        <v>-12.6</v>
      </c>
      <c r="G5385" s="201">
        <v>8.6</v>
      </c>
    </row>
    <row r="5386" spans="4:7">
      <c r="D5386" s="200" t="s">
        <v>5607</v>
      </c>
      <c r="E5386" s="10">
        <v>95339</v>
      </c>
      <c r="F5386" s="201">
        <v>-12.6</v>
      </c>
      <c r="G5386" s="201">
        <v>8.6</v>
      </c>
    </row>
    <row r="5387" spans="4:7">
      <c r="D5387" s="200" t="s">
        <v>5608</v>
      </c>
      <c r="E5387" s="10">
        <v>95364</v>
      </c>
      <c r="F5387" s="201">
        <v>-12.6</v>
      </c>
      <c r="G5387" s="201">
        <v>8.6</v>
      </c>
    </row>
    <row r="5388" spans="4:7">
      <c r="D5388" s="200" t="s">
        <v>5609</v>
      </c>
      <c r="E5388" s="10">
        <v>95500</v>
      </c>
      <c r="F5388" s="201">
        <v>-12.6</v>
      </c>
      <c r="G5388" s="201">
        <v>8.8000000000000007</v>
      </c>
    </row>
    <row r="5389" spans="4:7">
      <c r="D5389" s="200" t="s">
        <v>5610</v>
      </c>
      <c r="E5389" s="10">
        <v>95502</v>
      </c>
      <c r="F5389" s="201">
        <v>-12.6</v>
      </c>
      <c r="G5389" s="201">
        <v>8.6999999999999993</v>
      </c>
    </row>
    <row r="5390" spans="4:7">
      <c r="D5390" s="200" t="s">
        <v>5611</v>
      </c>
      <c r="E5390" s="10">
        <v>95512</v>
      </c>
      <c r="F5390" s="201">
        <v>-12.6</v>
      </c>
      <c r="G5390" s="201">
        <v>8.8000000000000007</v>
      </c>
    </row>
    <row r="5391" spans="4:7">
      <c r="D5391" s="200" t="s">
        <v>5612</v>
      </c>
      <c r="E5391" s="10">
        <v>96148</v>
      </c>
      <c r="F5391" s="201">
        <v>-12.6</v>
      </c>
      <c r="G5391" s="201">
        <v>8.8000000000000007</v>
      </c>
    </row>
    <row r="5392" spans="4:7">
      <c r="D5392" s="200" t="s">
        <v>5613</v>
      </c>
      <c r="E5392" s="10">
        <v>96181</v>
      </c>
      <c r="F5392" s="201">
        <v>-12.6</v>
      </c>
      <c r="G5392" s="201">
        <v>8.8000000000000007</v>
      </c>
    </row>
    <row r="5393" spans="4:7">
      <c r="D5393" s="200" t="s">
        <v>5614</v>
      </c>
      <c r="E5393" s="10">
        <v>96185</v>
      </c>
      <c r="F5393" s="201">
        <v>-12.6</v>
      </c>
      <c r="G5393" s="201">
        <v>9.1999999999999993</v>
      </c>
    </row>
    <row r="5394" spans="4:7">
      <c r="D5394" s="200" t="s">
        <v>5615</v>
      </c>
      <c r="E5394" s="10">
        <v>96224</v>
      </c>
      <c r="F5394" s="201">
        <v>-12.6</v>
      </c>
      <c r="G5394" s="201">
        <v>8.5</v>
      </c>
    </row>
    <row r="5395" spans="4:7">
      <c r="D5395" s="200" t="s">
        <v>5616</v>
      </c>
      <c r="E5395" s="10">
        <v>96332</v>
      </c>
      <c r="F5395" s="201">
        <v>-12.6</v>
      </c>
      <c r="G5395" s="201">
        <v>8.4</v>
      </c>
    </row>
    <row r="5396" spans="4:7">
      <c r="D5396" s="200" t="s">
        <v>5617</v>
      </c>
      <c r="E5396" s="10">
        <v>96528</v>
      </c>
      <c r="F5396" s="201">
        <v>-12.6</v>
      </c>
      <c r="G5396" s="201">
        <v>8.3000000000000007</v>
      </c>
    </row>
    <row r="5397" spans="4:7">
      <c r="D5397" s="200" t="s">
        <v>5618</v>
      </c>
      <c r="E5397" s="10">
        <v>97483</v>
      </c>
      <c r="F5397" s="201">
        <v>-12.6</v>
      </c>
      <c r="G5397" s="201">
        <v>8.6999999999999993</v>
      </c>
    </row>
    <row r="5398" spans="4:7">
      <c r="D5398" s="200" t="s">
        <v>4966</v>
      </c>
      <c r="E5398" s="10">
        <v>99085</v>
      </c>
      <c r="F5398" s="201">
        <v>-12.6</v>
      </c>
      <c r="G5398" s="201">
        <v>9.6999999999999993</v>
      </c>
    </row>
    <row r="5399" spans="4:7">
      <c r="D5399" s="200" t="s">
        <v>5619</v>
      </c>
      <c r="E5399" s="10">
        <v>99423</v>
      </c>
      <c r="F5399" s="201">
        <v>-12.6</v>
      </c>
      <c r="G5399" s="201">
        <v>9.5</v>
      </c>
    </row>
    <row r="5400" spans="4:7">
      <c r="D5400" s="200" t="s">
        <v>5620</v>
      </c>
      <c r="E5400" s="10">
        <v>99826</v>
      </c>
      <c r="F5400" s="201">
        <v>-12.6</v>
      </c>
      <c r="G5400" s="201">
        <v>9.1999999999999993</v>
      </c>
    </row>
    <row r="5401" spans="4:7">
      <c r="D5401" s="200" t="s">
        <v>5069</v>
      </c>
      <c r="E5401" s="10">
        <v>1139</v>
      </c>
      <c r="F5401" s="201">
        <v>-12.7</v>
      </c>
      <c r="G5401" s="201">
        <v>10.1</v>
      </c>
    </row>
    <row r="5402" spans="4:7">
      <c r="D5402" s="200" t="s">
        <v>5069</v>
      </c>
      <c r="E5402" s="10">
        <v>1237</v>
      </c>
      <c r="F5402" s="201">
        <v>-12.7</v>
      </c>
      <c r="G5402" s="201">
        <v>10.199999999999999</v>
      </c>
    </row>
    <row r="5403" spans="4:7">
      <c r="D5403" s="200" t="s">
        <v>5069</v>
      </c>
      <c r="E5403" s="10">
        <v>1277</v>
      </c>
      <c r="F5403" s="201">
        <v>-12.7</v>
      </c>
      <c r="G5403" s="201">
        <v>10.3</v>
      </c>
    </row>
    <row r="5404" spans="4:7">
      <c r="D5404" s="200" t="s">
        <v>4593</v>
      </c>
      <c r="E5404" s="10">
        <v>4205</v>
      </c>
      <c r="F5404" s="201">
        <v>-12.7</v>
      </c>
      <c r="G5404" s="201">
        <v>9.9</v>
      </c>
    </row>
    <row r="5405" spans="4:7">
      <c r="D5405" s="200" t="s">
        <v>4593</v>
      </c>
      <c r="E5405" s="10">
        <v>4277</v>
      </c>
      <c r="F5405" s="201">
        <v>-12.7</v>
      </c>
      <c r="G5405" s="201">
        <v>9.9</v>
      </c>
    </row>
    <row r="5406" spans="4:7">
      <c r="D5406" s="200" t="s">
        <v>4593</v>
      </c>
      <c r="E5406" s="10">
        <v>4279</v>
      </c>
      <c r="F5406" s="201">
        <v>-12.7</v>
      </c>
      <c r="G5406" s="201">
        <v>9.8000000000000007</v>
      </c>
    </row>
    <row r="5407" spans="4:7">
      <c r="D5407" s="200" t="s">
        <v>5621</v>
      </c>
      <c r="E5407" s="10">
        <v>13593</v>
      </c>
      <c r="F5407" s="201">
        <v>-12.7</v>
      </c>
      <c r="G5407" s="201">
        <v>9.6</v>
      </c>
    </row>
    <row r="5408" spans="4:7">
      <c r="D5408" s="200" t="s">
        <v>5081</v>
      </c>
      <c r="E5408" s="10">
        <v>14055</v>
      </c>
      <c r="F5408" s="201">
        <v>-12.7</v>
      </c>
      <c r="G5408" s="201">
        <v>9.5</v>
      </c>
    </row>
    <row r="5409" spans="4:7">
      <c r="D5409" s="200" t="s">
        <v>5622</v>
      </c>
      <c r="E5409" s="10">
        <v>14193</v>
      </c>
      <c r="F5409" s="201">
        <v>-12.7</v>
      </c>
      <c r="G5409" s="201">
        <v>9.5</v>
      </c>
    </row>
    <row r="5410" spans="4:7">
      <c r="D5410" s="200" t="s">
        <v>5082</v>
      </c>
      <c r="E5410" s="10">
        <v>14476</v>
      </c>
      <c r="F5410" s="201">
        <v>-12.7</v>
      </c>
      <c r="G5410" s="201">
        <v>9.6999999999999993</v>
      </c>
    </row>
    <row r="5411" spans="4:7">
      <c r="D5411" s="200" t="s">
        <v>5623</v>
      </c>
      <c r="E5411" s="10">
        <v>14542</v>
      </c>
      <c r="F5411" s="201">
        <v>-12.7</v>
      </c>
      <c r="G5411" s="201">
        <v>9.6999999999999993</v>
      </c>
    </row>
    <row r="5412" spans="4:7">
      <c r="D5412" s="200" t="s">
        <v>5624</v>
      </c>
      <c r="E5412" s="10">
        <v>16348</v>
      </c>
      <c r="F5412" s="201">
        <v>-12.7</v>
      </c>
      <c r="G5412" s="201">
        <v>9.5</v>
      </c>
    </row>
    <row r="5413" spans="4:7">
      <c r="D5413" s="200" t="s">
        <v>5625</v>
      </c>
      <c r="E5413" s="10">
        <v>16515</v>
      </c>
      <c r="F5413" s="201">
        <v>-12.7</v>
      </c>
      <c r="G5413" s="201">
        <v>9.6</v>
      </c>
    </row>
    <row r="5414" spans="4:7">
      <c r="D5414" s="200" t="s">
        <v>5626</v>
      </c>
      <c r="E5414" s="10">
        <v>16540</v>
      </c>
      <c r="F5414" s="201">
        <v>-12.7</v>
      </c>
      <c r="G5414" s="201">
        <v>9.6</v>
      </c>
    </row>
    <row r="5415" spans="4:7">
      <c r="D5415" s="200" t="s">
        <v>5627</v>
      </c>
      <c r="E5415" s="10">
        <v>16547</v>
      </c>
      <c r="F5415" s="201">
        <v>-12.7</v>
      </c>
      <c r="G5415" s="201">
        <v>9.6</v>
      </c>
    </row>
    <row r="5416" spans="4:7">
      <c r="D5416" s="200" t="s">
        <v>5628</v>
      </c>
      <c r="E5416" s="10">
        <v>16559</v>
      </c>
      <c r="F5416" s="201">
        <v>-12.7</v>
      </c>
      <c r="G5416" s="201">
        <v>9.5</v>
      </c>
    </row>
    <row r="5417" spans="4:7">
      <c r="D5417" s="200" t="s">
        <v>5629</v>
      </c>
      <c r="E5417" s="10">
        <v>16767</v>
      </c>
      <c r="F5417" s="201">
        <v>-12.7</v>
      </c>
      <c r="G5417" s="201">
        <v>9.6999999999999993</v>
      </c>
    </row>
    <row r="5418" spans="4:7">
      <c r="D5418" s="200" t="s">
        <v>5630</v>
      </c>
      <c r="E5418" s="10">
        <v>16928</v>
      </c>
      <c r="F5418" s="201">
        <v>-12.7</v>
      </c>
      <c r="G5418" s="201">
        <v>9.1</v>
      </c>
    </row>
    <row r="5419" spans="4:7">
      <c r="D5419" s="200" t="s">
        <v>5631</v>
      </c>
      <c r="E5419" s="10">
        <v>16949</v>
      </c>
      <c r="F5419" s="201">
        <v>-12.7</v>
      </c>
      <c r="G5419" s="201">
        <v>9.1999999999999993</v>
      </c>
    </row>
    <row r="5420" spans="4:7">
      <c r="D5420" s="200" t="s">
        <v>5632</v>
      </c>
      <c r="E5420" s="10">
        <v>17034</v>
      </c>
      <c r="F5420" s="201">
        <v>-12.7</v>
      </c>
      <c r="G5420" s="201">
        <v>9.6999999999999993</v>
      </c>
    </row>
    <row r="5421" spans="4:7">
      <c r="D5421" s="200" t="s">
        <v>5633</v>
      </c>
      <c r="E5421" s="10">
        <v>17111</v>
      </c>
      <c r="F5421" s="201">
        <v>-12.7</v>
      </c>
      <c r="G5421" s="201">
        <v>9.1999999999999993</v>
      </c>
    </row>
    <row r="5422" spans="4:7">
      <c r="D5422" s="200" t="s">
        <v>5634</v>
      </c>
      <c r="E5422" s="10">
        <v>17153</v>
      </c>
      <c r="F5422" s="201">
        <v>-12.7</v>
      </c>
      <c r="G5422" s="201">
        <v>9.1</v>
      </c>
    </row>
    <row r="5423" spans="4:7">
      <c r="D5423" s="200" t="s">
        <v>5635</v>
      </c>
      <c r="E5423" s="10">
        <v>17209</v>
      </c>
      <c r="F5423" s="201">
        <v>-12.7</v>
      </c>
      <c r="G5423" s="201">
        <v>9.1</v>
      </c>
    </row>
    <row r="5424" spans="4:7">
      <c r="D5424" s="200" t="s">
        <v>5636</v>
      </c>
      <c r="E5424" s="10">
        <v>17248</v>
      </c>
      <c r="F5424" s="201">
        <v>-12.7</v>
      </c>
      <c r="G5424" s="201">
        <v>9.1</v>
      </c>
    </row>
    <row r="5425" spans="4:7">
      <c r="D5425" s="200" t="s">
        <v>5637</v>
      </c>
      <c r="E5425" s="10">
        <v>35327</v>
      </c>
      <c r="F5425" s="201">
        <v>-12.7</v>
      </c>
      <c r="G5425" s="201">
        <v>7.4</v>
      </c>
    </row>
    <row r="5426" spans="4:7">
      <c r="D5426" s="200" t="s">
        <v>5638</v>
      </c>
      <c r="E5426" s="10">
        <v>36208</v>
      </c>
      <c r="F5426" s="201">
        <v>-12.7</v>
      </c>
      <c r="G5426" s="201">
        <v>8.6999999999999993</v>
      </c>
    </row>
    <row r="5427" spans="4:7">
      <c r="D5427" s="200" t="s">
        <v>5639</v>
      </c>
      <c r="E5427" s="10">
        <v>36251</v>
      </c>
      <c r="F5427" s="201">
        <v>-12.7</v>
      </c>
      <c r="G5427" s="201">
        <v>8.5</v>
      </c>
    </row>
    <row r="5428" spans="4:7">
      <c r="D5428" s="200" t="s">
        <v>5640</v>
      </c>
      <c r="E5428" s="10">
        <v>36466</v>
      </c>
      <c r="F5428" s="201">
        <v>-12.7</v>
      </c>
      <c r="G5428" s="201">
        <v>8.6</v>
      </c>
    </row>
    <row r="5429" spans="4:7">
      <c r="D5429" s="200" t="s">
        <v>4512</v>
      </c>
      <c r="E5429" s="10">
        <v>37217</v>
      </c>
      <c r="F5429" s="201">
        <v>-12.7</v>
      </c>
      <c r="G5429" s="201">
        <v>8.1999999999999993</v>
      </c>
    </row>
    <row r="5430" spans="4:7">
      <c r="D5430" s="200" t="s">
        <v>5641</v>
      </c>
      <c r="E5430" s="10">
        <v>37235</v>
      </c>
      <c r="F5430" s="201">
        <v>-12.7</v>
      </c>
      <c r="G5430" s="201">
        <v>8.1999999999999993</v>
      </c>
    </row>
    <row r="5431" spans="4:7">
      <c r="D5431" s="200" t="s">
        <v>5642</v>
      </c>
      <c r="E5431" s="10">
        <v>37345</v>
      </c>
      <c r="F5431" s="201">
        <v>-12.7</v>
      </c>
      <c r="G5431" s="201">
        <v>8.8000000000000007</v>
      </c>
    </row>
    <row r="5432" spans="4:7">
      <c r="D5432" s="200" t="s">
        <v>5643</v>
      </c>
      <c r="E5432" s="10">
        <v>37351</v>
      </c>
      <c r="F5432" s="201">
        <v>-12.7</v>
      </c>
      <c r="G5432" s="201">
        <v>8.6</v>
      </c>
    </row>
    <row r="5433" spans="4:7">
      <c r="D5433" s="200" t="s">
        <v>5644</v>
      </c>
      <c r="E5433" s="10">
        <v>37355</v>
      </c>
      <c r="F5433" s="201">
        <v>-12.7</v>
      </c>
      <c r="G5433" s="201">
        <v>8.6999999999999993</v>
      </c>
    </row>
    <row r="5434" spans="4:7">
      <c r="D5434" s="200" t="s">
        <v>5645</v>
      </c>
      <c r="E5434" s="10">
        <v>38685</v>
      </c>
      <c r="F5434" s="201">
        <v>-12.7</v>
      </c>
      <c r="G5434" s="201">
        <v>9</v>
      </c>
    </row>
    <row r="5435" spans="4:7">
      <c r="D5435" s="200" t="s">
        <v>5646</v>
      </c>
      <c r="E5435" s="10">
        <v>38822</v>
      </c>
      <c r="F5435" s="201">
        <v>-12.7</v>
      </c>
      <c r="G5435" s="201">
        <v>9.4</v>
      </c>
    </row>
    <row r="5436" spans="4:7">
      <c r="D5436" s="200" t="s">
        <v>5647</v>
      </c>
      <c r="E5436" s="10">
        <v>38835</v>
      </c>
      <c r="F5436" s="201">
        <v>-12.7</v>
      </c>
      <c r="G5436" s="201">
        <v>9.4</v>
      </c>
    </row>
    <row r="5437" spans="4:7" ht="30">
      <c r="D5437" s="200" t="s">
        <v>5648</v>
      </c>
      <c r="E5437" s="10">
        <v>39221</v>
      </c>
      <c r="F5437" s="201">
        <v>-12.7</v>
      </c>
      <c r="G5437" s="201">
        <v>9.4</v>
      </c>
    </row>
    <row r="5438" spans="4:7">
      <c r="D5438" s="200" t="s">
        <v>5649</v>
      </c>
      <c r="E5438" s="10">
        <v>39291</v>
      </c>
      <c r="F5438" s="201">
        <v>-12.7</v>
      </c>
      <c r="G5438" s="201">
        <v>9.3000000000000007</v>
      </c>
    </row>
    <row r="5439" spans="4:7">
      <c r="D5439" s="200" t="s">
        <v>5464</v>
      </c>
      <c r="E5439" s="10">
        <v>39443</v>
      </c>
      <c r="F5439" s="201">
        <v>-12.7</v>
      </c>
      <c r="G5439" s="201">
        <v>9.5</v>
      </c>
    </row>
    <row r="5440" spans="4:7">
      <c r="D5440" s="200" t="s">
        <v>5650</v>
      </c>
      <c r="E5440" s="10">
        <v>39596</v>
      </c>
      <c r="F5440" s="201">
        <v>-12.7</v>
      </c>
      <c r="G5440" s="201">
        <v>9.4</v>
      </c>
    </row>
    <row r="5441" spans="4:7">
      <c r="D5441" s="200" t="s">
        <v>5651</v>
      </c>
      <c r="E5441" s="10">
        <v>72296</v>
      </c>
      <c r="F5441" s="201">
        <v>-12.7</v>
      </c>
      <c r="G5441" s="201">
        <v>8.1999999999999993</v>
      </c>
    </row>
    <row r="5442" spans="4:7">
      <c r="D5442" s="200" t="s">
        <v>5652</v>
      </c>
      <c r="E5442" s="10">
        <v>72365</v>
      </c>
      <c r="F5442" s="201">
        <v>-12.7</v>
      </c>
      <c r="G5442" s="201">
        <v>8.1999999999999993</v>
      </c>
    </row>
    <row r="5443" spans="4:7">
      <c r="D5443" s="200" t="s">
        <v>5653</v>
      </c>
      <c r="E5443" s="10">
        <v>72367</v>
      </c>
      <c r="F5443" s="201">
        <v>-12.7</v>
      </c>
      <c r="G5443" s="201">
        <v>8.1999999999999993</v>
      </c>
    </row>
    <row r="5444" spans="4:7">
      <c r="D5444" s="200" t="s">
        <v>5654</v>
      </c>
      <c r="E5444" s="10">
        <v>72516</v>
      </c>
      <c r="F5444" s="201">
        <v>-12.7</v>
      </c>
      <c r="G5444" s="201">
        <v>8.1999999999999993</v>
      </c>
    </row>
    <row r="5445" spans="4:7">
      <c r="D5445" s="200" t="s">
        <v>4955</v>
      </c>
      <c r="E5445" s="10">
        <v>73431</v>
      </c>
      <c r="F5445" s="201">
        <v>-12.7</v>
      </c>
      <c r="G5445" s="201">
        <v>8.6</v>
      </c>
    </row>
    <row r="5446" spans="4:7">
      <c r="D5446" s="200" t="s">
        <v>5655</v>
      </c>
      <c r="E5446" s="10">
        <v>73450</v>
      </c>
      <c r="F5446" s="201">
        <v>-12.7</v>
      </c>
      <c r="G5446" s="201">
        <v>8.5</v>
      </c>
    </row>
    <row r="5447" spans="4:7">
      <c r="D5447" s="200" t="s">
        <v>5656</v>
      </c>
      <c r="E5447" s="10">
        <v>73491</v>
      </c>
      <c r="F5447" s="201">
        <v>-12.7</v>
      </c>
      <c r="G5447" s="201">
        <v>8.6999999999999993</v>
      </c>
    </row>
    <row r="5448" spans="4:7">
      <c r="D5448" s="200" t="s">
        <v>5657</v>
      </c>
      <c r="E5448" s="10">
        <v>73499</v>
      </c>
      <c r="F5448" s="201">
        <v>-12.7</v>
      </c>
      <c r="G5448" s="201">
        <v>8.8000000000000007</v>
      </c>
    </row>
    <row r="5449" spans="4:7">
      <c r="D5449" s="200" t="s">
        <v>5658</v>
      </c>
      <c r="E5449" s="10">
        <v>73667</v>
      </c>
      <c r="F5449" s="201">
        <v>-12.7</v>
      </c>
      <c r="G5449" s="201">
        <v>8.5</v>
      </c>
    </row>
    <row r="5450" spans="4:7">
      <c r="D5450" s="200" t="s">
        <v>5659</v>
      </c>
      <c r="E5450" s="10">
        <v>74597</v>
      </c>
      <c r="F5450" s="201">
        <v>-12.7</v>
      </c>
      <c r="G5450" s="201">
        <v>8.8000000000000007</v>
      </c>
    </row>
    <row r="5451" spans="4:7">
      <c r="D5451" s="200" t="s">
        <v>5660</v>
      </c>
      <c r="E5451" s="10">
        <v>74599</v>
      </c>
      <c r="F5451" s="201">
        <v>-12.7</v>
      </c>
      <c r="G5451" s="201">
        <v>8.9</v>
      </c>
    </row>
    <row r="5452" spans="4:7">
      <c r="D5452" s="200" t="s">
        <v>5661</v>
      </c>
      <c r="E5452" s="10">
        <v>78073</v>
      </c>
      <c r="F5452" s="201">
        <v>-12.7</v>
      </c>
      <c r="G5452" s="201">
        <v>8.3000000000000007</v>
      </c>
    </row>
    <row r="5453" spans="4:7">
      <c r="D5453" s="200" t="s">
        <v>5662</v>
      </c>
      <c r="E5453" s="10">
        <v>78086</v>
      </c>
      <c r="F5453" s="201">
        <v>-12.7</v>
      </c>
      <c r="G5453" s="201">
        <v>8.3000000000000007</v>
      </c>
    </row>
    <row r="5454" spans="4:7">
      <c r="D5454" s="200" t="s">
        <v>5663</v>
      </c>
      <c r="E5454" s="10">
        <v>78588</v>
      </c>
      <c r="F5454" s="201">
        <v>-12.7</v>
      </c>
      <c r="G5454" s="201">
        <v>8.1999999999999993</v>
      </c>
    </row>
    <row r="5455" spans="4:7">
      <c r="D5455" s="200" t="s">
        <v>5664</v>
      </c>
      <c r="E5455" s="10">
        <v>78591</v>
      </c>
      <c r="F5455" s="201">
        <v>-12.7</v>
      </c>
      <c r="G5455" s="201">
        <v>8.1999999999999993</v>
      </c>
    </row>
    <row r="5456" spans="4:7">
      <c r="D5456" s="200" t="s">
        <v>5665</v>
      </c>
      <c r="E5456" s="10">
        <v>78604</v>
      </c>
      <c r="F5456" s="201">
        <v>-12.7</v>
      </c>
      <c r="G5456" s="201">
        <v>8.1999999999999993</v>
      </c>
    </row>
    <row r="5457" spans="4:7">
      <c r="D5457" s="200" t="s">
        <v>5666</v>
      </c>
      <c r="E5457" s="10">
        <v>78647</v>
      </c>
      <c r="F5457" s="201">
        <v>-12.7</v>
      </c>
      <c r="G5457" s="201">
        <v>8.4</v>
      </c>
    </row>
    <row r="5458" spans="4:7">
      <c r="D5458" s="200" t="s">
        <v>5667</v>
      </c>
      <c r="E5458" s="10">
        <v>78733</v>
      </c>
      <c r="F5458" s="201">
        <v>-12.7</v>
      </c>
      <c r="G5458" s="201">
        <v>8.1999999999999993</v>
      </c>
    </row>
    <row r="5459" spans="4:7">
      <c r="D5459" s="200" t="s">
        <v>4162</v>
      </c>
      <c r="E5459" s="10">
        <v>80686</v>
      </c>
      <c r="F5459" s="201">
        <v>-12.7</v>
      </c>
      <c r="G5459" s="201">
        <v>9.1</v>
      </c>
    </row>
    <row r="5460" spans="4:7">
      <c r="D5460" s="200" t="s">
        <v>4162</v>
      </c>
      <c r="E5460" s="10">
        <v>80992</v>
      </c>
      <c r="F5460" s="201">
        <v>-12.7</v>
      </c>
      <c r="G5460" s="201">
        <v>9.1</v>
      </c>
    </row>
    <row r="5461" spans="4:7">
      <c r="D5461" s="200" t="s">
        <v>4162</v>
      </c>
      <c r="E5461" s="10">
        <v>81671</v>
      </c>
      <c r="F5461" s="201">
        <v>-12.7</v>
      </c>
      <c r="G5461" s="201">
        <v>9.1</v>
      </c>
    </row>
    <row r="5462" spans="4:7">
      <c r="D5462" s="200" t="s">
        <v>4162</v>
      </c>
      <c r="E5462" s="10">
        <v>81925</v>
      </c>
      <c r="F5462" s="201">
        <v>-12.7</v>
      </c>
      <c r="G5462" s="201">
        <v>9.1999999999999993</v>
      </c>
    </row>
    <row r="5463" spans="4:7">
      <c r="D5463" s="200" t="s">
        <v>5668</v>
      </c>
      <c r="E5463" s="10">
        <v>83139</v>
      </c>
      <c r="F5463" s="201">
        <v>-12.7</v>
      </c>
      <c r="G5463" s="201">
        <v>8.6999999999999993</v>
      </c>
    </row>
    <row r="5464" spans="4:7">
      <c r="D5464" s="200" t="s">
        <v>5669</v>
      </c>
      <c r="E5464" s="10">
        <v>83209</v>
      </c>
      <c r="F5464" s="201">
        <v>-12.7</v>
      </c>
      <c r="G5464" s="201">
        <v>8.6</v>
      </c>
    </row>
    <row r="5465" spans="4:7">
      <c r="D5465" s="200" t="s">
        <v>5670</v>
      </c>
      <c r="E5465" s="10">
        <v>83512</v>
      </c>
      <c r="F5465" s="201">
        <v>-12.7</v>
      </c>
      <c r="G5465" s="201">
        <v>8.6999999999999993</v>
      </c>
    </row>
    <row r="5466" spans="4:7">
      <c r="D5466" s="200" t="s">
        <v>5671</v>
      </c>
      <c r="E5466" s="10">
        <v>83543</v>
      </c>
      <c r="F5466" s="201">
        <v>-12.7</v>
      </c>
      <c r="G5466" s="201">
        <v>8.6999999999999993</v>
      </c>
    </row>
    <row r="5467" spans="4:7">
      <c r="D5467" s="200" t="s">
        <v>5672</v>
      </c>
      <c r="E5467" s="10">
        <v>83561</v>
      </c>
      <c r="F5467" s="201">
        <v>-12.7</v>
      </c>
      <c r="G5467" s="201">
        <v>8.6999999999999993</v>
      </c>
    </row>
    <row r="5468" spans="4:7">
      <c r="D5468" s="200" t="s">
        <v>5673</v>
      </c>
      <c r="E5468" s="10">
        <v>83569</v>
      </c>
      <c r="F5468" s="201">
        <v>-12.7</v>
      </c>
      <c r="G5468" s="201">
        <v>8.6999999999999993</v>
      </c>
    </row>
    <row r="5469" spans="4:7">
      <c r="D5469" s="200" t="s">
        <v>5674</v>
      </c>
      <c r="E5469" s="10">
        <v>84332</v>
      </c>
      <c r="F5469" s="201">
        <v>-12.7</v>
      </c>
      <c r="G5469" s="201">
        <v>8.8000000000000007</v>
      </c>
    </row>
    <row r="5470" spans="4:7">
      <c r="D5470" s="200" t="s">
        <v>5675</v>
      </c>
      <c r="E5470" s="10">
        <v>84389</v>
      </c>
      <c r="F5470" s="201">
        <v>-12.7</v>
      </c>
      <c r="G5470" s="201">
        <v>8.9</v>
      </c>
    </row>
    <row r="5471" spans="4:7">
      <c r="D5471" s="200" t="s">
        <v>5318</v>
      </c>
      <c r="E5471" s="10">
        <v>85053</v>
      </c>
      <c r="F5471" s="201">
        <v>-12.7</v>
      </c>
      <c r="G5471" s="201">
        <v>9.4</v>
      </c>
    </row>
    <row r="5472" spans="4:7">
      <c r="D5472" s="200" t="s">
        <v>5676</v>
      </c>
      <c r="E5472" s="10">
        <v>85072</v>
      </c>
      <c r="F5472" s="201">
        <v>-12.7</v>
      </c>
      <c r="G5472" s="201">
        <v>9.1</v>
      </c>
    </row>
    <row r="5473" spans="4:7">
      <c r="D5473" s="200" t="s">
        <v>5677</v>
      </c>
      <c r="E5473" s="10">
        <v>85122</v>
      </c>
      <c r="F5473" s="201">
        <v>-12.7</v>
      </c>
      <c r="G5473" s="201">
        <v>8.6999999999999993</v>
      </c>
    </row>
    <row r="5474" spans="4:7">
      <c r="D5474" s="200" t="s">
        <v>5678</v>
      </c>
      <c r="E5474" s="10">
        <v>85125</v>
      </c>
      <c r="F5474" s="201">
        <v>-12.7</v>
      </c>
      <c r="G5474" s="201">
        <v>9.1999999999999993</v>
      </c>
    </row>
    <row r="5475" spans="4:7">
      <c r="D5475" s="200" t="s">
        <v>5679</v>
      </c>
      <c r="E5475" s="10">
        <v>86736</v>
      </c>
      <c r="F5475" s="201">
        <v>-12.7</v>
      </c>
      <c r="G5475" s="201">
        <v>8.8000000000000007</v>
      </c>
    </row>
    <row r="5476" spans="4:7">
      <c r="D5476" s="200" t="s">
        <v>5680</v>
      </c>
      <c r="E5476" s="10">
        <v>86742</v>
      </c>
      <c r="F5476" s="201">
        <v>-12.7</v>
      </c>
      <c r="G5476" s="201">
        <v>8.6999999999999993</v>
      </c>
    </row>
    <row r="5477" spans="4:7">
      <c r="D5477" s="200" t="s">
        <v>5681</v>
      </c>
      <c r="E5477" s="10">
        <v>88281</v>
      </c>
      <c r="F5477" s="201">
        <v>-12.7</v>
      </c>
      <c r="G5477" s="201">
        <v>8.3000000000000007</v>
      </c>
    </row>
    <row r="5478" spans="4:7">
      <c r="D5478" s="200" t="s">
        <v>5148</v>
      </c>
      <c r="E5478" s="10">
        <v>89081</v>
      </c>
      <c r="F5478" s="201">
        <v>-12.7</v>
      </c>
      <c r="G5478" s="201">
        <v>8.4</v>
      </c>
    </row>
    <row r="5479" spans="4:7">
      <c r="D5479" s="200" t="s">
        <v>5682</v>
      </c>
      <c r="E5479" s="10">
        <v>89168</v>
      </c>
      <c r="F5479" s="201">
        <v>-12.7</v>
      </c>
      <c r="G5479" s="201">
        <v>8.9</v>
      </c>
    </row>
    <row r="5480" spans="4:7">
      <c r="D5480" s="200" t="s">
        <v>5683</v>
      </c>
      <c r="E5480" s="10">
        <v>89177</v>
      </c>
      <c r="F5480" s="201">
        <v>-12.7</v>
      </c>
      <c r="G5480" s="201">
        <v>8.5</v>
      </c>
    </row>
    <row r="5481" spans="4:7">
      <c r="D5481" s="200" t="s">
        <v>5684</v>
      </c>
      <c r="E5481" s="10">
        <v>89182</v>
      </c>
      <c r="F5481" s="201">
        <v>-12.7</v>
      </c>
      <c r="G5481" s="201">
        <v>8.6</v>
      </c>
    </row>
    <row r="5482" spans="4:7">
      <c r="D5482" s="200" t="s">
        <v>5685</v>
      </c>
      <c r="E5482" s="10">
        <v>89189</v>
      </c>
      <c r="F5482" s="201">
        <v>-12.7</v>
      </c>
      <c r="G5482" s="201">
        <v>8.5</v>
      </c>
    </row>
    <row r="5483" spans="4:7">
      <c r="D5483" s="200" t="s">
        <v>5686</v>
      </c>
      <c r="E5483" s="10">
        <v>89198</v>
      </c>
      <c r="F5483" s="201">
        <v>-12.7</v>
      </c>
      <c r="G5483" s="201">
        <v>8.5</v>
      </c>
    </row>
    <row r="5484" spans="4:7">
      <c r="D5484" s="200" t="s">
        <v>5687</v>
      </c>
      <c r="E5484" s="10">
        <v>89264</v>
      </c>
      <c r="F5484" s="201">
        <v>-12.7</v>
      </c>
      <c r="G5484" s="201">
        <v>8.6999999999999993</v>
      </c>
    </row>
    <row r="5485" spans="4:7">
      <c r="D5485" s="200" t="s">
        <v>5688</v>
      </c>
      <c r="E5485" s="10">
        <v>89362</v>
      </c>
      <c r="F5485" s="201">
        <v>-12.7</v>
      </c>
      <c r="G5485" s="201">
        <v>9</v>
      </c>
    </row>
    <row r="5486" spans="4:7">
      <c r="D5486" s="200" t="s">
        <v>5689</v>
      </c>
      <c r="E5486" s="10">
        <v>89367</v>
      </c>
      <c r="F5486" s="201">
        <v>-12.7</v>
      </c>
      <c r="G5486" s="201">
        <v>8.8000000000000007</v>
      </c>
    </row>
    <row r="5487" spans="4:7">
      <c r="D5487" s="200" t="s">
        <v>5329</v>
      </c>
      <c r="E5487" s="10">
        <v>89522</v>
      </c>
      <c r="F5487" s="201">
        <v>-12.7</v>
      </c>
      <c r="G5487" s="201">
        <v>8.5</v>
      </c>
    </row>
    <row r="5488" spans="4:7">
      <c r="D5488" s="200" t="s">
        <v>5690</v>
      </c>
      <c r="E5488" s="10">
        <v>89537</v>
      </c>
      <c r="F5488" s="201">
        <v>-12.7</v>
      </c>
      <c r="G5488" s="201">
        <v>8.9</v>
      </c>
    </row>
    <row r="5489" spans="4:7">
      <c r="D5489" s="200" t="s">
        <v>5691</v>
      </c>
      <c r="E5489" s="10">
        <v>89567</v>
      </c>
      <c r="F5489" s="201">
        <v>-12.7</v>
      </c>
      <c r="G5489" s="201">
        <v>9</v>
      </c>
    </row>
    <row r="5490" spans="4:7">
      <c r="D5490" s="200" t="s">
        <v>5692</v>
      </c>
      <c r="E5490" s="10">
        <v>89568</v>
      </c>
      <c r="F5490" s="201">
        <v>-12.7</v>
      </c>
      <c r="G5490" s="201">
        <v>9</v>
      </c>
    </row>
    <row r="5491" spans="4:7">
      <c r="D5491" s="200" t="s">
        <v>4257</v>
      </c>
      <c r="E5491" s="10">
        <v>90451</v>
      </c>
      <c r="F5491" s="201">
        <v>-12.7</v>
      </c>
      <c r="G5491" s="201">
        <v>9.8000000000000007</v>
      </c>
    </row>
    <row r="5492" spans="4:7">
      <c r="D5492" s="200" t="s">
        <v>4257</v>
      </c>
      <c r="E5492" s="10">
        <v>90471</v>
      </c>
      <c r="F5492" s="201">
        <v>-12.7</v>
      </c>
      <c r="G5492" s="201">
        <v>9.8000000000000007</v>
      </c>
    </row>
    <row r="5493" spans="4:7">
      <c r="D5493" s="200" t="s">
        <v>4257</v>
      </c>
      <c r="E5493" s="10">
        <v>90491</v>
      </c>
      <c r="F5493" s="201">
        <v>-12.7</v>
      </c>
      <c r="G5493" s="201">
        <v>9.6999999999999993</v>
      </c>
    </row>
    <row r="5494" spans="4:7">
      <c r="D5494" s="200" t="s">
        <v>5693</v>
      </c>
      <c r="E5494" s="10">
        <v>91567</v>
      </c>
      <c r="F5494" s="201">
        <v>-12.7</v>
      </c>
      <c r="G5494" s="201">
        <v>9</v>
      </c>
    </row>
    <row r="5495" spans="4:7">
      <c r="D5495" s="200" t="s">
        <v>5694</v>
      </c>
      <c r="E5495" s="10">
        <v>91616</v>
      </c>
      <c r="F5495" s="201">
        <v>-12.7</v>
      </c>
      <c r="G5495" s="201">
        <v>8.8000000000000007</v>
      </c>
    </row>
    <row r="5496" spans="4:7">
      <c r="D5496" s="200" t="s">
        <v>5695</v>
      </c>
      <c r="E5496" s="10">
        <v>91726</v>
      </c>
      <c r="F5496" s="201">
        <v>-12.7</v>
      </c>
      <c r="G5496" s="201">
        <v>8.9</v>
      </c>
    </row>
    <row r="5497" spans="4:7">
      <c r="D5497" s="200" t="s">
        <v>5696</v>
      </c>
      <c r="E5497" s="10">
        <v>91749</v>
      </c>
      <c r="F5497" s="201">
        <v>-12.7</v>
      </c>
      <c r="G5497" s="201">
        <v>8.6999999999999993</v>
      </c>
    </row>
    <row r="5498" spans="4:7">
      <c r="D5498" s="200" t="s">
        <v>5697</v>
      </c>
      <c r="E5498" s="10">
        <v>94551</v>
      </c>
      <c r="F5498" s="201">
        <v>-12.7</v>
      </c>
      <c r="G5498" s="201">
        <v>8.5</v>
      </c>
    </row>
    <row r="5499" spans="4:7">
      <c r="D5499" s="200" t="s">
        <v>5698</v>
      </c>
      <c r="E5499" s="10">
        <v>95499</v>
      </c>
      <c r="F5499" s="201">
        <v>-12.7</v>
      </c>
      <c r="G5499" s="201">
        <v>8.6999999999999993</v>
      </c>
    </row>
    <row r="5500" spans="4:7">
      <c r="D5500" s="200" t="s">
        <v>5699</v>
      </c>
      <c r="E5500" s="10">
        <v>96047</v>
      </c>
      <c r="F5500" s="201">
        <v>-12.7</v>
      </c>
      <c r="G5500" s="201">
        <v>9.6</v>
      </c>
    </row>
    <row r="5501" spans="4:7">
      <c r="D5501" s="200" t="s">
        <v>5699</v>
      </c>
      <c r="E5501" s="10">
        <v>96052</v>
      </c>
      <c r="F5501" s="201">
        <v>-12.7</v>
      </c>
      <c r="G5501" s="201">
        <v>9.6</v>
      </c>
    </row>
    <row r="5502" spans="4:7">
      <c r="D5502" s="200" t="s">
        <v>5700</v>
      </c>
      <c r="E5502" s="10">
        <v>96152</v>
      </c>
      <c r="F5502" s="201">
        <v>-12.7</v>
      </c>
      <c r="G5502" s="201">
        <v>9.1999999999999993</v>
      </c>
    </row>
    <row r="5503" spans="4:7">
      <c r="D5503" s="200" t="s">
        <v>5701</v>
      </c>
      <c r="E5503" s="10">
        <v>96154</v>
      </c>
      <c r="F5503" s="201">
        <v>-12.7</v>
      </c>
      <c r="G5503" s="201">
        <v>9</v>
      </c>
    </row>
    <row r="5504" spans="4:7">
      <c r="D5504" s="200" t="s">
        <v>5702</v>
      </c>
      <c r="E5504" s="10">
        <v>96179</v>
      </c>
      <c r="F5504" s="201">
        <v>-12.7</v>
      </c>
      <c r="G5504" s="201">
        <v>9.1</v>
      </c>
    </row>
    <row r="5505" spans="4:7">
      <c r="D5505" s="200" t="s">
        <v>5703</v>
      </c>
      <c r="E5505" s="10">
        <v>96250</v>
      </c>
      <c r="F5505" s="201">
        <v>-12.7</v>
      </c>
      <c r="G5505" s="201">
        <v>9.1</v>
      </c>
    </row>
    <row r="5506" spans="4:7">
      <c r="D5506" s="200" t="s">
        <v>5704</v>
      </c>
      <c r="E5506" s="10">
        <v>96317</v>
      </c>
      <c r="F5506" s="201">
        <v>-12.7</v>
      </c>
      <c r="G5506" s="201">
        <v>8.5</v>
      </c>
    </row>
    <row r="5507" spans="4:7">
      <c r="D5507" s="200" t="s">
        <v>5705</v>
      </c>
      <c r="E5507" s="10">
        <v>96364</v>
      </c>
      <c r="F5507" s="201">
        <v>-12.7</v>
      </c>
      <c r="G5507" s="201">
        <v>8.3000000000000007</v>
      </c>
    </row>
    <row r="5508" spans="4:7">
      <c r="D5508" s="200" t="s">
        <v>5706</v>
      </c>
      <c r="E5508" s="10">
        <v>97650</v>
      </c>
      <c r="F5508" s="201">
        <v>-12.7</v>
      </c>
      <c r="G5508" s="201">
        <v>8.3000000000000007</v>
      </c>
    </row>
    <row r="5509" spans="4:7">
      <c r="D5509" s="200" t="s">
        <v>5707</v>
      </c>
      <c r="E5509" s="10">
        <v>98646</v>
      </c>
      <c r="F5509" s="201">
        <v>-12.7</v>
      </c>
      <c r="G5509" s="201">
        <v>8.1</v>
      </c>
    </row>
    <row r="5510" spans="4:7">
      <c r="D5510" s="200" t="s">
        <v>5708</v>
      </c>
      <c r="E5510" s="10">
        <v>99834</v>
      </c>
      <c r="F5510" s="201">
        <v>-12.7</v>
      </c>
      <c r="G5510" s="201">
        <v>8.8000000000000007</v>
      </c>
    </row>
    <row r="5511" spans="4:7">
      <c r="D5511" s="200" t="s">
        <v>5709</v>
      </c>
      <c r="E5511" s="10">
        <v>99947</v>
      </c>
      <c r="F5511" s="201">
        <v>-12.7</v>
      </c>
      <c r="G5511" s="201">
        <v>9.4</v>
      </c>
    </row>
    <row r="5512" spans="4:7">
      <c r="D5512" s="200" t="s">
        <v>5710</v>
      </c>
      <c r="E5512" s="10">
        <v>99974</v>
      </c>
      <c r="F5512" s="201">
        <v>-12.7</v>
      </c>
      <c r="G5512" s="201">
        <v>9.1999999999999993</v>
      </c>
    </row>
    <row r="5513" spans="4:7">
      <c r="D5513" s="200" t="s">
        <v>5711</v>
      </c>
      <c r="E5513" s="10">
        <v>99991</v>
      </c>
      <c r="F5513" s="201">
        <v>-12.7</v>
      </c>
      <c r="G5513" s="201">
        <v>9.4</v>
      </c>
    </row>
    <row r="5514" spans="4:7">
      <c r="D5514" s="200" t="s">
        <v>5069</v>
      </c>
      <c r="E5514" s="10">
        <v>1129</v>
      </c>
      <c r="F5514" s="201">
        <v>-12.8</v>
      </c>
      <c r="G5514" s="201">
        <v>10</v>
      </c>
    </row>
    <row r="5515" spans="4:7">
      <c r="D5515" s="200" t="s">
        <v>5069</v>
      </c>
      <c r="E5515" s="10">
        <v>1187</v>
      </c>
      <c r="F5515" s="201">
        <v>-12.8</v>
      </c>
      <c r="G5515" s="201">
        <v>10</v>
      </c>
    </row>
    <row r="5516" spans="4:7">
      <c r="D5516" s="200" t="s">
        <v>5069</v>
      </c>
      <c r="E5516" s="10">
        <v>1239</v>
      </c>
      <c r="F5516" s="201">
        <v>-12.8</v>
      </c>
      <c r="G5516" s="201">
        <v>10</v>
      </c>
    </row>
    <row r="5517" spans="4:7">
      <c r="D5517" s="200" t="s">
        <v>5069</v>
      </c>
      <c r="E5517" s="10">
        <v>1257</v>
      </c>
      <c r="F5517" s="201">
        <v>-12.8</v>
      </c>
      <c r="G5517" s="201">
        <v>10.199999999999999</v>
      </c>
    </row>
    <row r="5518" spans="4:7">
      <c r="D5518" s="200" t="s">
        <v>5069</v>
      </c>
      <c r="E5518" s="10">
        <v>1259</v>
      </c>
      <c r="F5518" s="201">
        <v>-12.8</v>
      </c>
      <c r="G5518" s="201">
        <v>10.1</v>
      </c>
    </row>
    <row r="5519" spans="4:7">
      <c r="D5519" s="200" t="s">
        <v>5712</v>
      </c>
      <c r="E5519" s="10">
        <v>1445</v>
      </c>
      <c r="F5519" s="201">
        <v>-12.8</v>
      </c>
      <c r="G5519" s="201">
        <v>10</v>
      </c>
    </row>
    <row r="5520" spans="4:7">
      <c r="D5520" s="200" t="s">
        <v>5713</v>
      </c>
      <c r="E5520" s="10">
        <v>6108</v>
      </c>
      <c r="F5520" s="201">
        <v>-12.8</v>
      </c>
      <c r="G5520" s="201">
        <v>10.3</v>
      </c>
    </row>
    <row r="5521" spans="4:7">
      <c r="D5521" s="200" t="s">
        <v>5714</v>
      </c>
      <c r="E5521" s="10">
        <v>6366</v>
      </c>
      <c r="F5521" s="201">
        <v>-12.8</v>
      </c>
      <c r="G5521" s="201">
        <v>10</v>
      </c>
    </row>
    <row r="5522" spans="4:7">
      <c r="D5522" s="200" t="s">
        <v>5715</v>
      </c>
      <c r="E5522" s="10">
        <v>6408</v>
      </c>
      <c r="F5522" s="201">
        <v>-12.8</v>
      </c>
      <c r="G5522" s="201">
        <v>9.5</v>
      </c>
    </row>
    <row r="5523" spans="4:7">
      <c r="D5523" s="200" t="s">
        <v>5716</v>
      </c>
      <c r="E5523" s="10">
        <v>6466</v>
      </c>
      <c r="F5523" s="201">
        <v>-12.8</v>
      </c>
      <c r="G5523" s="201">
        <v>9.4</v>
      </c>
    </row>
    <row r="5524" spans="4:7">
      <c r="D5524" s="200" t="s">
        <v>5717</v>
      </c>
      <c r="E5524" s="10">
        <v>6749</v>
      </c>
      <c r="F5524" s="201">
        <v>-12.8</v>
      </c>
      <c r="G5524" s="201">
        <v>10.1</v>
      </c>
    </row>
    <row r="5525" spans="4:7">
      <c r="D5525" s="200" t="s">
        <v>5718</v>
      </c>
      <c r="E5525" s="10">
        <v>6868</v>
      </c>
      <c r="F5525" s="201">
        <v>-12.8</v>
      </c>
      <c r="G5525" s="201">
        <v>9.3000000000000007</v>
      </c>
    </row>
    <row r="5526" spans="4:7">
      <c r="D5526" s="200" t="s">
        <v>5719</v>
      </c>
      <c r="E5526" s="10">
        <v>7743</v>
      </c>
      <c r="F5526" s="201">
        <v>-12.8</v>
      </c>
      <c r="G5526" s="201">
        <v>9.6999999999999993</v>
      </c>
    </row>
    <row r="5527" spans="4:7">
      <c r="D5527" s="200" t="s">
        <v>5719</v>
      </c>
      <c r="E5527" s="10">
        <v>7745</v>
      </c>
      <c r="F5527" s="201">
        <v>-12.8</v>
      </c>
      <c r="G5527" s="201">
        <v>9.6999999999999993</v>
      </c>
    </row>
    <row r="5528" spans="4:7">
      <c r="D5528" s="200" t="s">
        <v>5719</v>
      </c>
      <c r="E5528" s="10">
        <v>7747</v>
      </c>
      <c r="F5528" s="201">
        <v>-12.8</v>
      </c>
      <c r="G5528" s="201">
        <v>9.6999999999999993</v>
      </c>
    </row>
    <row r="5529" spans="4:7">
      <c r="D5529" s="200" t="s">
        <v>5720</v>
      </c>
      <c r="E5529" s="10">
        <v>12353</v>
      </c>
      <c r="F5529" s="201">
        <v>-12.8</v>
      </c>
      <c r="G5529" s="201">
        <v>9.6999999999999993</v>
      </c>
    </row>
    <row r="5530" spans="4:7">
      <c r="D5530" s="200" t="s">
        <v>5721</v>
      </c>
      <c r="E5530" s="10">
        <v>13125</v>
      </c>
      <c r="F5530" s="201">
        <v>-12.8</v>
      </c>
      <c r="G5530" s="201">
        <v>9.6</v>
      </c>
    </row>
    <row r="5531" spans="4:7">
      <c r="D5531" s="200" t="s">
        <v>5722</v>
      </c>
      <c r="E5531" s="10">
        <v>13127</v>
      </c>
      <c r="F5531" s="201">
        <v>-12.8</v>
      </c>
      <c r="G5531" s="201">
        <v>9.6</v>
      </c>
    </row>
    <row r="5532" spans="4:7">
      <c r="D5532" s="200" t="s">
        <v>5248</v>
      </c>
      <c r="E5532" s="10">
        <v>13505</v>
      </c>
      <c r="F5532" s="201">
        <v>-12.8</v>
      </c>
      <c r="G5532" s="201">
        <v>9.6999999999999993</v>
      </c>
    </row>
    <row r="5533" spans="4:7">
      <c r="D5533" s="200" t="s">
        <v>5723</v>
      </c>
      <c r="E5533" s="10">
        <v>13587</v>
      </c>
      <c r="F5533" s="201">
        <v>-12.8</v>
      </c>
      <c r="G5533" s="201">
        <v>9.6999999999999993</v>
      </c>
    </row>
    <row r="5534" spans="4:7">
      <c r="D5534" s="200" t="s">
        <v>5724</v>
      </c>
      <c r="E5534" s="10">
        <v>14129</v>
      </c>
      <c r="F5534" s="201">
        <v>-12.8</v>
      </c>
      <c r="G5534" s="201">
        <v>9.6</v>
      </c>
    </row>
    <row r="5535" spans="4:7">
      <c r="D5535" s="200" t="s">
        <v>5725</v>
      </c>
      <c r="E5535" s="10">
        <v>14513</v>
      </c>
      <c r="F5535" s="201">
        <v>-12.8</v>
      </c>
      <c r="G5535" s="201">
        <v>9.6</v>
      </c>
    </row>
    <row r="5536" spans="4:7">
      <c r="D5536" s="200" t="s">
        <v>5726</v>
      </c>
      <c r="E5536" s="10">
        <v>14532</v>
      </c>
      <c r="F5536" s="201">
        <v>-12.8</v>
      </c>
      <c r="G5536" s="201">
        <v>9.6</v>
      </c>
    </row>
    <row r="5537" spans="4:7">
      <c r="D5537" s="200" t="s">
        <v>5727</v>
      </c>
      <c r="E5537" s="10">
        <v>14548</v>
      </c>
      <c r="F5537" s="201">
        <v>-12.8</v>
      </c>
      <c r="G5537" s="201">
        <v>9.6999999999999993</v>
      </c>
    </row>
    <row r="5538" spans="4:7">
      <c r="D5538" s="200" t="s">
        <v>5728</v>
      </c>
      <c r="E5538" s="10">
        <v>14552</v>
      </c>
      <c r="F5538" s="201">
        <v>-12.8</v>
      </c>
      <c r="G5538" s="201">
        <v>9.6</v>
      </c>
    </row>
    <row r="5539" spans="4:7">
      <c r="D5539" s="200" t="s">
        <v>5729</v>
      </c>
      <c r="E5539" s="10">
        <v>14621</v>
      </c>
      <c r="F5539" s="201">
        <v>-12.8</v>
      </c>
      <c r="G5539" s="201">
        <v>9.6</v>
      </c>
    </row>
    <row r="5540" spans="4:7">
      <c r="D5540" s="200" t="s">
        <v>5730</v>
      </c>
      <c r="E5540" s="10">
        <v>14624</v>
      </c>
      <c r="F5540" s="201">
        <v>-12.8</v>
      </c>
      <c r="G5540" s="201">
        <v>9.6</v>
      </c>
    </row>
    <row r="5541" spans="4:7">
      <c r="D5541" s="200" t="s">
        <v>5731</v>
      </c>
      <c r="E5541" s="10">
        <v>14656</v>
      </c>
      <c r="F5541" s="201">
        <v>-12.8</v>
      </c>
      <c r="G5541" s="201">
        <v>9.6999999999999993</v>
      </c>
    </row>
    <row r="5542" spans="4:7">
      <c r="D5542" s="200" t="s">
        <v>5732</v>
      </c>
      <c r="E5542" s="10">
        <v>14669</v>
      </c>
      <c r="F5542" s="201">
        <v>-12.8</v>
      </c>
      <c r="G5542" s="201">
        <v>9.6999999999999993</v>
      </c>
    </row>
    <row r="5543" spans="4:7">
      <c r="D5543" s="200" t="s">
        <v>5733</v>
      </c>
      <c r="E5543" s="10">
        <v>14727</v>
      </c>
      <c r="F5543" s="201">
        <v>-12.8</v>
      </c>
      <c r="G5543" s="201">
        <v>9.5</v>
      </c>
    </row>
    <row r="5544" spans="4:7">
      <c r="D5544" s="200" t="s">
        <v>5734</v>
      </c>
      <c r="E5544" s="10">
        <v>14728</v>
      </c>
      <c r="F5544" s="201">
        <v>-12.8</v>
      </c>
      <c r="G5544" s="201">
        <v>9.3000000000000007</v>
      </c>
    </row>
    <row r="5545" spans="4:7">
      <c r="D5545" s="200" t="s">
        <v>5735</v>
      </c>
      <c r="E5545" s="10">
        <v>14778</v>
      </c>
      <c r="F5545" s="201">
        <v>-12.8</v>
      </c>
      <c r="G5545" s="201">
        <v>9.6</v>
      </c>
    </row>
    <row r="5546" spans="4:7">
      <c r="D5546" s="200" t="s">
        <v>5736</v>
      </c>
      <c r="E5546" s="10">
        <v>14797</v>
      </c>
      <c r="F5546" s="201">
        <v>-12.8</v>
      </c>
      <c r="G5546" s="201">
        <v>9.5</v>
      </c>
    </row>
    <row r="5547" spans="4:7">
      <c r="D5547" s="200" t="s">
        <v>5737</v>
      </c>
      <c r="E5547" s="10">
        <v>15344</v>
      </c>
      <c r="F5547" s="201">
        <v>-12.8</v>
      </c>
      <c r="G5547" s="201">
        <v>9.4</v>
      </c>
    </row>
    <row r="5548" spans="4:7">
      <c r="D5548" s="200" t="s">
        <v>5738</v>
      </c>
      <c r="E5548" s="10">
        <v>15345</v>
      </c>
      <c r="F5548" s="201">
        <v>-12.8</v>
      </c>
      <c r="G5548" s="201">
        <v>9.5</v>
      </c>
    </row>
    <row r="5549" spans="4:7">
      <c r="D5549" s="200" t="s">
        <v>5739</v>
      </c>
      <c r="E5549" s="10">
        <v>15562</v>
      </c>
      <c r="F5549" s="201">
        <v>-12.8</v>
      </c>
      <c r="G5549" s="201">
        <v>9.4</v>
      </c>
    </row>
    <row r="5550" spans="4:7">
      <c r="D5550" s="200" t="s">
        <v>5740</v>
      </c>
      <c r="E5550" s="10">
        <v>16552</v>
      </c>
      <c r="F5550" s="201">
        <v>-12.8</v>
      </c>
      <c r="G5550" s="201">
        <v>9.6999999999999993</v>
      </c>
    </row>
    <row r="5551" spans="4:7">
      <c r="D5551" s="200" t="s">
        <v>5741</v>
      </c>
      <c r="E5551" s="10">
        <v>16562</v>
      </c>
      <c r="F5551" s="201">
        <v>-12.8</v>
      </c>
      <c r="G5551" s="201">
        <v>9.5</v>
      </c>
    </row>
    <row r="5552" spans="4:7">
      <c r="D5552" s="200" t="s">
        <v>5740</v>
      </c>
      <c r="E5552" s="10">
        <v>16567</v>
      </c>
      <c r="F5552" s="201">
        <v>-12.8</v>
      </c>
      <c r="G5552" s="201">
        <v>9.6</v>
      </c>
    </row>
    <row r="5553" spans="4:7">
      <c r="D5553" s="200" t="s">
        <v>5742</v>
      </c>
      <c r="E5553" s="10">
        <v>16727</v>
      </c>
      <c r="F5553" s="201">
        <v>-12.8</v>
      </c>
      <c r="G5553" s="201">
        <v>9.5</v>
      </c>
    </row>
    <row r="5554" spans="4:7">
      <c r="D5554" s="200" t="s">
        <v>5743</v>
      </c>
      <c r="E5554" s="10">
        <v>16792</v>
      </c>
      <c r="F5554" s="201">
        <v>-12.8</v>
      </c>
      <c r="G5554" s="201">
        <v>9.4</v>
      </c>
    </row>
    <row r="5555" spans="4:7">
      <c r="D5555" s="200" t="s">
        <v>5744</v>
      </c>
      <c r="E5555" s="10">
        <v>17252</v>
      </c>
      <c r="F5555" s="201">
        <v>-12.8</v>
      </c>
      <c r="G5555" s="201">
        <v>9.1</v>
      </c>
    </row>
    <row r="5556" spans="4:7">
      <c r="D5556" s="200" t="s">
        <v>5745</v>
      </c>
      <c r="E5556" s="10">
        <v>17391</v>
      </c>
      <c r="F5556" s="201">
        <v>-12.8</v>
      </c>
      <c r="G5556" s="201">
        <v>9.1999999999999993</v>
      </c>
    </row>
    <row r="5557" spans="4:7">
      <c r="D5557" s="200" t="s">
        <v>5746</v>
      </c>
      <c r="E5557" s="10">
        <v>34320</v>
      </c>
      <c r="F5557" s="201">
        <v>-12.8</v>
      </c>
      <c r="G5557" s="201">
        <v>7.8</v>
      </c>
    </row>
    <row r="5558" spans="4:7">
      <c r="D5558" s="200" t="s">
        <v>5747</v>
      </c>
      <c r="E5558" s="10">
        <v>34593</v>
      </c>
      <c r="F5558" s="201">
        <v>-12.8</v>
      </c>
      <c r="G5558" s="201">
        <v>7.7</v>
      </c>
    </row>
    <row r="5559" spans="4:7">
      <c r="D5559" s="200" t="s">
        <v>5748</v>
      </c>
      <c r="E5559" s="10">
        <v>36145</v>
      </c>
      <c r="F5559" s="201">
        <v>-12.8</v>
      </c>
      <c r="G5559" s="201">
        <v>8.1999999999999993</v>
      </c>
    </row>
    <row r="5560" spans="4:7">
      <c r="D5560" s="200" t="s">
        <v>4404</v>
      </c>
      <c r="E5560" s="10">
        <v>36163</v>
      </c>
      <c r="F5560" s="201">
        <v>-12.8</v>
      </c>
      <c r="G5560" s="201">
        <v>7.8</v>
      </c>
    </row>
    <row r="5561" spans="4:7">
      <c r="D5561" s="200" t="s">
        <v>5749</v>
      </c>
      <c r="E5561" s="10">
        <v>36286</v>
      </c>
      <c r="F5561" s="201">
        <v>-12.8</v>
      </c>
      <c r="G5561" s="201">
        <v>8.1</v>
      </c>
    </row>
    <row r="5562" spans="4:7">
      <c r="D5562" s="200" t="s">
        <v>5750</v>
      </c>
      <c r="E5562" s="10">
        <v>36289</v>
      </c>
      <c r="F5562" s="201">
        <v>-12.8</v>
      </c>
      <c r="G5562" s="201">
        <v>8.1</v>
      </c>
    </row>
    <row r="5563" spans="4:7">
      <c r="D5563" s="200" t="s">
        <v>5751</v>
      </c>
      <c r="E5563" s="10">
        <v>36419</v>
      </c>
      <c r="F5563" s="201">
        <v>-12.8</v>
      </c>
      <c r="G5563" s="201">
        <v>8.3000000000000007</v>
      </c>
    </row>
    <row r="5564" spans="4:7">
      <c r="D5564" s="200" t="s">
        <v>5752</v>
      </c>
      <c r="E5564" s="10">
        <v>36460</v>
      </c>
      <c r="F5564" s="201">
        <v>-12.8</v>
      </c>
      <c r="G5564" s="201">
        <v>8.5</v>
      </c>
    </row>
    <row r="5565" spans="4:7">
      <c r="D5565" s="200" t="s">
        <v>5753</v>
      </c>
      <c r="E5565" s="10">
        <v>37247</v>
      </c>
      <c r="F5565" s="201">
        <v>-12.8</v>
      </c>
      <c r="G5565" s="201">
        <v>7.9</v>
      </c>
    </row>
    <row r="5566" spans="4:7">
      <c r="D5566" s="200" t="s">
        <v>5754</v>
      </c>
      <c r="E5566" s="10">
        <v>37293</v>
      </c>
      <c r="F5566" s="201">
        <v>-12.8</v>
      </c>
      <c r="G5566" s="201">
        <v>8.6999999999999993</v>
      </c>
    </row>
    <row r="5567" spans="4:7">
      <c r="D5567" s="200" t="s">
        <v>5755</v>
      </c>
      <c r="E5567" s="10">
        <v>37296</v>
      </c>
      <c r="F5567" s="201">
        <v>-12.8</v>
      </c>
      <c r="G5567" s="201">
        <v>8.5</v>
      </c>
    </row>
    <row r="5568" spans="4:7">
      <c r="D5568" s="200" t="s">
        <v>5756</v>
      </c>
      <c r="E5568" s="10">
        <v>37299</v>
      </c>
      <c r="F5568" s="201">
        <v>-12.8</v>
      </c>
      <c r="G5568" s="201">
        <v>8.8000000000000007</v>
      </c>
    </row>
    <row r="5569" spans="4:7">
      <c r="D5569" s="200" t="s">
        <v>5757</v>
      </c>
      <c r="E5569" s="10">
        <v>37359</v>
      </c>
      <c r="F5569" s="201">
        <v>-12.8</v>
      </c>
      <c r="G5569" s="201">
        <v>8.1</v>
      </c>
    </row>
    <row r="5570" spans="4:7">
      <c r="D5570" s="200" t="s">
        <v>5758</v>
      </c>
      <c r="E5570" s="10">
        <v>38828</v>
      </c>
      <c r="F5570" s="201">
        <v>-12.8</v>
      </c>
      <c r="G5570" s="201">
        <v>9.4</v>
      </c>
    </row>
    <row r="5571" spans="4:7">
      <c r="D5571" s="200" t="s">
        <v>5759</v>
      </c>
      <c r="E5571" s="10">
        <v>38829</v>
      </c>
      <c r="F5571" s="201">
        <v>-12.8</v>
      </c>
      <c r="G5571" s="201">
        <v>9.4</v>
      </c>
    </row>
    <row r="5572" spans="4:7">
      <c r="D5572" s="200" t="s">
        <v>5760</v>
      </c>
      <c r="E5572" s="10">
        <v>39240</v>
      </c>
      <c r="F5572" s="201">
        <v>-12.8</v>
      </c>
      <c r="G5572" s="201">
        <v>9.5</v>
      </c>
    </row>
    <row r="5573" spans="4:7">
      <c r="D5573" s="200" t="s">
        <v>5761</v>
      </c>
      <c r="E5573" s="10">
        <v>39261</v>
      </c>
      <c r="F5573" s="201">
        <v>-12.8</v>
      </c>
      <c r="G5573" s="201">
        <v>9.5</v>
      </c>
    </row>
    <row r="5574" spans="4:7">
      <c r="D5574" s="200" t="s">
        <v>5762</v>
      </c>
      <c r="E5574" s="10">
        <v>39264</v>
      </c>
      <c r="F5574" s="201">
        <v>-12.8</v>
      </c>
      <c r="G5574" s="201">
        <v>9.4</v>
      </c>
    </row>
    <row r="5575" spans="4:7">
      <c r="D5575" s="200" t="s">
        <v>5763</v>
      </c>
      <c r="E5575" s="10">
        <v>39279</v>
      </c>
      <c r="F5575" s="201">
        <v>-12.8</v>
      </c>
      <c r="G5575" s="201">
        <v>9.3000000000000007</v>
      </c>
    </row>
    <row r="5576" spans="4:7">
      <c r="D5576" s="200" t="s">
        <v>5764</v>
      </c>
      <c r="E5576" s="10">
        <v>39288</v>
      </c>
      <c r="F5576" s="201">
        <v>-12.8</v>
      </c>
      <c r="G5576" s="201">
        <v>9.5</v>
      </c>
    </row>
    <row r="5577" spans="4:7">
      <c r="D5577" s="200" t="s">
        <v>5765</v>
      </c>
      <c r="E5577" s="10">
        <v>39439</v>
      </c>
      <c r="F5577" s="201">
        <v>-12.8</v>
      </c>
      <c r="G5577" s="201">
        <v>9.5</v>
      </c>
    </row>
    <row r="5578" spans="4:7">
      <c r="D5578" s="200" t="s">
        <v>5766</v>
      </c>
      <c r="E5578" s="10">
        <v>39444</v>
      </c>
      <c r="F5578" s="201">
        <v>-12.8</v>
      </c>
      <c r="G5578" s="201">
        <v>9.1999999999999993</v>
      </c>
    </row>
    <row r="5579" spans="4:7">
      <c r="D5579" s="200" t="s">
        <v>5767</v>
      </c>
      <c r="E5579" s="10">
        <v>72361</v>
      </c>
      <c r="F5579" s="201">
        <v>-12.8</v>
      </c>
      <c r="G5579" s="201">
        <v>7.9</v>
      </c>
    </row>
    <row r="5580" spans="4:7">
      <c r="D5580" s="200" t="s">
        <v>5768</v>
      </c>
      <c r="E5580" s="10">
        <v>72474</v>
      </c>
      <c r="F5580" s="201">
        <v>-12.8</v>
      </c>
      <c r="G5580" s="201">
        <v>8</v>
      </c>
    </row>
    <row r="5581" spans="4:7">
      <c r="D5581" s="200" t="s">
        <v>5769</v>
      </c>
      <c r="E5581" s="10">
        <v>72488</v>
      </c>
      <c r="F5581" s="201">
        <v>-12.8</v>
      </c>
      <c r="G5581" s="201">
        <v>8.1</v>
      </c>
    </row>
    <row r="5582" spans="4:7">
      <c r="D5582" s="200" t="s">
        <v>5770</v>
      </c>
      <c r="E5582" s="10">
        <v>72519</v>
      </c>
      <c r="F5582" s="201">
        <v>-12.8</v>
      </c>
      <c r="G5582" s="201">
        <v>8</v>
      </c>
    </row>
    <row r="5583" spans="4:7">
      <c r="D5583" s="200" t="s">
        <v>5771</v>
      </c>
      <c r="E5583" s="10">
        <v>73266</v>
      </c>
      <c r="F5583" s="201">
        <v>-12.8</v>
      </c>
      <c r="G5583" s="201">
        <v>8.1999999999999993</v>
      </c>
    </row>
    <row r="5584" spans="4:7">
      <c r="D5584" s="200" t="s">
        <v>5772</v>
      </c>
      <c r="E5584" s="10">
        <v>73312</v>
      </c>
      <c r="F5584" s="201">
        <v>-12.8</v>
      </c>
      <c r="G5584" s="201">
        <v>8.4</v>
      </c>
    </row>
    <row r="5585" spans="4:7">
      <c r="D5585" s="200" t="s">
        <v>5773</v>
      </c>
      <c r="E5585" s="10">
        <v>73344</v>
      </c>
      <c r="F5585" s="201">
        <v>-12.8</v>
      </c>
      <c r="G5585" s="201">
        <v>8.3000000000000007</v>
      </c>
    </row>
    <row r="5586" spans="4:7">
      <c r="D5586" s="200" t="s">
        <v>5774</v>
      </c>
      <c r="E5586" s="10">
        <v>73479</v>
      </c>
      <c r="F5586" s="201">
        <v>-12.8</v>
      </c>
      <c r="G5586" s="201">
        <v>8.6</v>
      </c>
    </row>
    <row r="5587" spans="4:7">
      <c r="D5587" s="200" t="s">
        <v>4157</v>
      </c>
      <c r="E5587" s="10">
        <v>73494</v>
      </c>
      <c r="F5587" s="201">
        <v>-12.8</v>
      </c>
      <c r="G5587" s="201">
        <v>8.6999999999999993</v>
      </c>
    </row>
    <row r="5588" spans="4:7">
      <c r="D5588" s="200" t="s">
        <v>5775</v>
      </c>
      <c r="E5588" s="10">
        <v>73495</v>
      </c>
      <c r="F5588" s="201">
        <v>-12.8</v>
      </c>
      <c r="G5588" s="201">
        <v>8.6</v>
      </c>
    </row>
    <row r="5589" spans="4:7">
      <c r="D5589" s="200" t="s">
        <v>5776</v>
      </c>
      <c r="E5589" s="10">
        <v>73565</v>
      </c>
      <c r="F5589" s="201">
        <v>-12.8</v>
      </c>
      <c r="G5589" s="201">
        <v>8.6</v>
      </c>
    </row>
    <row r="5590" spans="4:7">
      <c r="D5590" s="200" t="s">
        <v>5777</v>
      </c>
      <c r="E5590" s="10">
        <v>74594</v>
      </c>
      <c r="F5590" s="201">
        <v>-12.8</v>
      </c>
      <c r="G5590" s="201">
        <v>8.8000000000000007</v>
      </c>
    </row>
    <row r="5591" spans="4:7">
      <c r="D5591" s="200" t="s">
        <v>5560</v>
      </c>
      <c r="E5591" s="10">
        <v>75328</v>
      </c>
      <c r="F5591" s="201">
        <v>-12.8</v>
      </c>
      <c r="G5591" s="201">
        <v>8.1</v>
      </c>
    </row>
    <row r="5592" spans="4:7">
      <c r="D5592" s="200" t="s">
        <v>5778</v>
      </c>
      <c r="E5592" s="10">
        <v>75335</v>
      </c>
      <c r="F5592" s="201">
        <v>-12.8</v>
      </c>
      <c r="G5592" s="201">
        <v>8.1</v>
      </c>
    </row>
    <row r="5593" spans="4:7">
      <c r="D5593" s="200" t="s">
        <v>5480</v>
      </c>
      <c r="E5593" s="10">
        <v>78050</v>
      </c>
      <c r="F5593" s="201">
        <v>-12.8</v>
      </c>
      <c r="G5593" s="201">
        <v>8.3000000000000007</v>
      </c>
    </row>
    <row r="5594" spans="4:7">
      <c r="D5594" s="200" t="s">
        <v>5480</v>
      </c>
      <c r="E5594" s="10">
        <v>78054</v>
      </c>
      <c r="F5594" s="201">
        <v>-12.8</v>
      </c>
      <c r="G5594" s="201">
        <v>8.1999999999999993</v>
      </c>
    </row>
    <row r="5595" spans="4:7">
      <c r="D5595" s="200" t="s">
        <v>5779</v>
      </c>
      <c r="E5595" s="10">
        <v>78083</v>
      </c>
      <c r="F5595" s="201">
        <v>-12.8</v>
      </c>
      <c r="G5595" s="201">
        <v>8.1</v>
      </c>
    </row>
    <row r="5596" spans="4:7">
      <c r="D5596" s="200" t="s">
        <v>5780</v>
      </c>
      <c r="E5596" s="10">
        <v>78594</v>
      </c>
      <c r="F5596" s="201">
        <v>-12.8</v>
      </c>
      <c r="G5596" s="201">
        <v>8.1</v>
      </c>
    </row>
    <row r="5597" spans="4:7">
      <c r="D5597" s="200" t="s">
        <v>5781</v>
      </c>
      <c r="E5597" s="10">
        <v>78609</v>
      </c>
      <c r="F5597" s="201">
        <v>-12.8</v>
      </c>
      <c r="G5597" s="201">
        <v>8.1</v>
      </c>
    </row>
    <row r="5598" spans="4:7">
      <c r="D5598" s="200" t="s">
        <v>5782</v>
      </c>
      <c r="E5598" s="10">
        <v>78664</v>
      </c>
      <c r="F5598" s="201">
        <v>-12.8</v>
      </c>
      <c r="G5598" s="201">
        <v>8</v>
      </c>
    </row>
    <row r="5599" spans="4:7">
      <c r="D5599" s="200" t="s">
        <v>5783</v>
      </c>
      <c r="E5599" s="10">
        <v>78713</v>
      </c>
      <c r="F5599" s="201">
        <v>-12.8</v>
      </c>
      <c r="G5599" s="201">
        <v>8.1999999999999993</v>
      </c>
    </row>
    <row r="5600" spans="4:7">
      <c r="D5600" s="200" t="s">
        <v>5784</v>
      </c>
      <c r="E5600" s="10">
        <v>79736</v>
      </c>
      <c r="F5600" s="201">
        <v>-12.8</v>
      </c>
      <c r="G5600" s="201">
        <v>8.3000000000000007</v>
      </c>
    </row>
    <row r="5601" spans="4:7">
      <c r="D5601" s="200" t="s">
        <v>5785</v>
      </c>
      <c r="E5601" s="10">
        <v>79809</v>
      </c>
      <c r="F5601" s="201">
        <v>-12.8</v>
      </c>
      <c r="G5601" s="201">
        <v>8.4</v>
      </c>
    </row>
    <row r="5602" spans="4:7">
      <c r="D5602" s="200" t="s">
        <v>4162</v>
      </c>
      <c r="E5602" s="10">
        <v>80638</v>
      </c>
      <c r="F5602" s="201">
        <v>-12.8</v>
      </c>
      <c r="G5602" s="201">
        <v>9.1</v>
      </c>
    </row>
    <row r="5603" spans="4:7">
      <c r="D5603" s="200" t="s">
        <v>4162</v>
      </c>
      <c r="E5603" s="10">
        <v>80639</v>
      </c>
      <c r="F5603" s="201">
        <v>-12.8</v>
      </c>
      <c r="G5603" s="201">
        <v>9</v>
      </c>
    </row>
    <row r="5604" spans="4:7">
      <c r="D5604" s="200" t="s">
        <v>4162</v>
      </c>
      <c r="E5604" s="10">
        <v>80935</v>
      </c>
      <c r="F5604" s="201">
        <v>-12.8</v>
      </c>
      <c r="G5604" s="201">
        <v>9.1</v>
      </c>
    </row>
    <row r="5605" spans="4:7">
      <c r="D5605" s="200" t="s">
        <v>4162</v>
      </c>
      <c r="E5605" s="10">
        <v>81369</v>
      </c>
      <c r="F5605" s="201">
        <v>-12.8</v>
      </c>
      <c r="G5605" s="201">
        <v>9.1</v>
      </c>
    </row>
    <row r="5606" spans="4:7">
      <c r="D5606" s="200" t="s">
        <v>4162</v>
      </c>
      <c r="E5606" s="10">
        <v>81547</v>
      </c>
      <c r="F5606" s="201">
        <v>-12.8</v>
      </c>
      <c r="G5606" s="201">
        <v>9.1</v>
      </c>
    </row>
    <row r="5607" spans="4:7">
      <c r="D5607" s="200" t="s">
        <v>4162</v>
      </c>
      <c r="E5607" s="10">
        <v>81673</v>
      </c>
      <c r="F5607" s="201">
        <v>-12.8</v>
      </c>
      <c r="G5607" s="201">
        <v>9.1</v>
      </c>
    </row>
    <row r="5608" spans="4:7">
      <c r="D5608" s="200" t="s">
        <v>5786</v>
      </c>
      <c r="E5608" s="10">
        <v>83052</v>
      </c>
      <c r="F5608" s="201">
        <v>-12.8</v>
      </c>
      <c r="G5608" s="201">
        <v>8.6999999999999993</v>
      </c>
    </row>
    <row r="5609" spans="4:7">
      <c r="D5609" s="200" t="s">
        <v>5787</v>
      </c>
      <c r="E5609" s="10">
        <v>83125</v>
      </c>
      <c r="F5609" s="201">
        <v>-12.8</v>
      </c>
      <c r="G5609" s="201">
        <v>8.5</v>
      </c>
    </row>
    <row r="5610" spans="4:7">
      <c r="D5610" s="200" t="s">
        <v>5788</v>
      </c>
      <c r="E5610" s="10">
        <v>83128</v>
      </c>
      <c r="F5610" s="201">
        <v>-12.8</v>
      </c>
      <c r="G5610" s="201">
        <v>8.6</v>
      </c>
    </row>
    <row r="5611" spans="4:7">
      <c r="D5611" s="200" t="s">
        <v>5789</v>
      </c>
      <c r="E5611" s="10">
        <v>83134</v>
      </c>
      <c r="F5611" s="201">
        <v>-12.8</v>
      </c>
      <c r="G5611" s="201">
        <v>8.6</v>
      </c>
    </row>
    <row r="5612" spans="4:7">
      <c r="D5612" s="200" t="s">
        <v>5790</v>
      </c>
      <c r="E5612" s="10">
        <v>83224</v>
      </c>
      <c r="F5612" s="201">
        <v>-12.8</v>
      </c>
      <c r="G5612" s="201">
        <v>8.5</v>
      </c>
    </row>
    <row r="5613" spans="4:7">
      <c r="D5613" s="200" t="s">
        <v>5791</v>
      </c>
      <c r="E5613" s="10">
        <v>83233</v>
      </c>
      <c r="F5613" s="201">
        <v>-12.8</v>
      </c>
      <c r="G5613" s="201">
        <v>8.6</v>
      </c>
    </row>
    <row r="5614" spans="4:7">
      <c r="D5614" s="200" t="s">
        <v>5792</v>
      </c>
      <c r="E5614" s="10">
        <v>83236</v>
      </c>
      <c r="F5614" s="201">
        <v>-12.8</v>
      </c>
      <c r="G5614" s="201">
        <v>8.6</v>
      </c>
    </row>
    <row r="5615" spans="4:7">
      <c r="D5615" s="200" t="s">
        <v>5793</v>
      </c>
      <c r="E5615" s="10">
        <v>83250</v>
      </c>
      <c r="F5615" s="201">
        <v>-12.8</v>
      </c>
      <c r="G5615" s="201">
        <v>8.5</v>
      </c>
    </row>
    <row r="5616" spans="4:7">
      <c r="D5616" s="200" t="s">
        <v>5794</v>
      </c>
      <c r="E5616" s="10">
        <v>83253</v>
      </c>
      <c r="F5616" s="201">
        <v>-12.8</v>
      </c>
      <c r="G5616" s="201">
        <v>8.5</v>
      </c>
    </row>
    <row r="5617" spans="4:7">
      <c r="D5617" s="200" t="s">
        <v>5795</v>
      </c>
      <c r="E5617" s="10">
        <v>83254</v>
      </c>
      <c r="F5617" s="201">
        <v>-12.8</v>
      </c>
      <c r="G5617" s="201">
        <v>8.5</v>
      </c>
    </row>
    <row r="5618" spans="4:7">
      <c r="D5618" s="200" t="s">
        <v>5796</v>
      </c>
      <c r="E5618" s="10">
        <v>83256</v>
      </c>
      <c r="F5618" s="201">
        <v>-12.8</v>
      </c>
      <c r="G5618" s="201">
        <v>8.6</v>
      </c>
    </row>
    <row r="5619" spans="4:7">
      <c r="D5619" s="200" t="s">
        <v>5797</v>
      </c>
      <c r="E5619" s="10">
        <v>83257</v>
      </c>
      <c r="F5619" s="201">
        <v>-12.8</v>
      </c>
      <c r="G5619" s="201">
        <v>8.4</v>
      </c>
    </row>
    <row r="5620" spans="4:7">
      <c r="D5620" s="200" t="s">
        <v>5798</v>
      </c>
      <c r="E5620" s="10">
        <v>83278</v>
      </c>
      <c r="F5620" s="201">
        <v>-12.8</v>
      </c>
      <c r="G5620" s="201">
        <v>8.3000000000000007</v>
      </c>
    </row>
    <row r="5621" spans="4:7">
      <c r="D5621" s="200" t="s">
        <v>5799</v>
      </c>
      <c r="E5621" s="10">
        <v>83355</v>
      </c>
      <c r="F5621" s="201">
        <v>-12.8</v>
      </c>
      <c r="G5621" s="201">
        <v>8.6</v>
      </c>
    </row>
    <row r="5622" spans="4:7">
      <c r="D5622" s="200" t="s">
        <v>5800</v>
      </c>
      <c r="E5622" s="10">
        <v>83377</v>
      </c>
      <c r="F5622" s="201">
        <v>-12.8</v>
      </c>
      <c r="G5622" s="201">
        <v>8.4</v>
      </c>
    </row>
    <row r="5623" spans="4:7">
      <c r="D5623" s="200" t="s">
        <v>5801</v>
      </c>
      <c r="E5623" s="10">
        <v>83539</v>
      </c>
      <c r="F5623" s="201">
        <v>-12.8</v>
      </c>
      <c r="G5623" s="201">
        <v>8.6</v>
      </c>
    </row>
    <row r="5624" spans="4:7">
      <c r="D5624" s="200" t="s">
        <v>5802</v>
      </c>
      <c r="E5624" s="10">
        <v>83549</v>
      </c>
      <c r="F5624" s="201">
        <v>-12.8</v>
      </c>
      <c r="G5624" s="201">
        <v>8.6</v>
      </c>
    </row>
    <row r="5625" spans="4:7">
      <c r="D5625" s="200" t="s">
        <v>5803</v>
      </c>
      <c r="E5625" s="10">
        <v>83550</v>
      </c>
      <c r="F5625" s="201">
        <v>-12.8</v>
      </c>
      <c r="G5625" s="201">
        <v>8.6999999999999993</v>
      </c>
    </row>
    <row r="5626" spans="4:7">
      <c r="D5626" s="200" t="s">
        <v>5804</v>
      </c>
      <c r="E5626" s="10">
        <v>83556</v>
      </c>
      <c r="F5626" s="201">
        <v>-12.8</v>
      </c>
      <c r="G5626" s="201">
        <v>8.6999999999999993</v>
      </c>
    </row>
    <row r="5627" spans="4:7">
      <c r="D5627" s="200" t="s">
        <v>5805</v>
      </c>
      <c r="E5627" s="10">
        <v>84329</v>
      </c>
      <c r="F5627" s="201">
        <v>-12.8</v>
      </c>
      <c r="G5627" s="201">
        <v>8.6</v>
      </c>
    </row>
    <row r="5628" spans="4:7">
      <c r="D5628" s="200" t="s">
        <v>3523</v>
      </c>
      <c r="E5628" s="10">
        <v>84337</v>
      </c>
      <c r="F5628" s="201">
        <v>-12.8</v>
      </c>
      <c r="G5628" s="201">
        <v>8.6</v>
      </c>
    </row>
    <row r="5629" spans="4:7">
      <c r="D5629" s="200" t="s">
        <v>5806</v>
      </c>
      <c r="E5629" s="10">
        <v>84381</v>
      </c>
      <c r="F5629" s="201">
        <v>-12.8</v>
      </c>
      <c r="G5629" s="201">
        <v>9</v>
      </c>
    </row>
    <row r="5630" spans="4:7">
      <c r="D5630" s="200" t="s">
        <v>4244</v>
      </c>
      <c r="E5630" s="10">
        <v>85095</v>
      </c>
      <c r="F5630" s="201">
        <v>-12.8</v>
      </c>
      <c r="G5630" s="201">
        <v>8.6999999999999993</v>
      </c>
    </row>
    <row r="5631" spans="4:7">
      <c r="D5631" s="200" t="s">
        <v>5807</v>
      </c>
      <c r="E5631" s="10">
        <v>85120</v>
      </c>
      <c r="F5631" s="201">
        <v>-12.8</v>
      </c>
      <c r="G5631" s="201">
        <v>8.8000000000000007</v>
      </c>
    </row>
    <row r="5632" spans="4:7">
      <c r="D5632" s="200" t="s">
        <v>5808</v>
      </c>
      <c r="E5632" s="10">
        <v>85134</v>
      </c>
      <c r="F5632" s="201">
        <v>-12.8</v>
      </c>
      <c r="G5632" s="201">
        <v>8.6999999999999993</v>
      </c>
    </row>
    <row r="5633" spans="4:7">
      <c r="D5633" s="200" t="s">
        <v>5809</v>
      </c>
      <c r="E5633" s="10">
        <v>86653</v>
      </c>
      <c r="F5633" s="201">
        <v>-12.8</v>
      </c>
      <c r="G5633" s="201">
        <v>8.6</v>
      </c>
    </row>
    <row r="5634" spans="4:7">
      <c r="D5634" s="200" t="s">
        <v>5810</v>
      </c>
      <c r="E5634" s="10">
        <v>86732</v>
      </c>
      <c r="F5634" s="201">
        <v>-12.8</v>
      </c>
      <c r="G5634" s="201">
        <v>8.9</v>
      </c>
    </row>
    <row r="5635" spans="4:7">
      <c r="D5635" s="200" t="s">
        <v>5811</v>
      </c>
      <c r="E5635" s="10">
        <v>86741</v>
      </c>
      <c r="F5635" s="201">
        <v>-12.8</v>
      </c>
      <c r="G5635" s="201">
        <v>9</v>
      </c>
    </row>
    <row r="5636" spans="4:7">
      <c r="D5636" s="200" t="s">
        <v>5812</v>
      </c>
      <c r="E5636" s="10">
        <v>86748</v>
      </c>
      <c r="F5636" s="201">
        <v>-12.8</v>
      </c>
      <c r="G5636" s="201">
        <v>8.8000000000000007</v>
      </c>
    </row>
    <row r="5637" spans="4:7">
      <c r="D5637" s="200" t="s">
        <v>5813</v>
      </c>
      <c r="E5637" s="10">
        <v>88356</v>
      </c>
      <c r="F5637" s="201">
        <v>-12.8</v>
      </c>
      <c r="G5637" s="201">
        <v>8.1</v>
      </c>
    </row>
    <row r="5638" spans="4:7">
      <c r="D5638" s="200" t="s">
        <v>5814</v>
      </c>
      <c r="E5638" s="10">
        <v>88371</v>
      </c>
      <c r="F5638" s="201">
        <v>-12.8</v>
      </c>
      <c r="G5638" s="201">
        <v>8.3000000000000007</v>
      </c>
    </row>
    <row r="5639" spans="4:7">
      <c r="D5639" s="200" t="s">
        <v>5815</v>
      </c>
      <c r="E5639" s="10">
        <v>88376</v>
      </c>
      <c r="F5639" s="201">
        <v>-12.8</v>
      </c>
      <c r="G5639" s="201">
        <v>8.1999999999999993</v>
      </c>
    </row>
    <row r="5640" spans="4:7">
      <c r="D5640" s="200" t="s">
        <v>5816</v>
      </c>
      <c r="E5640" s="10">
        <v>88400</v>
      </c>
      <c r="F5640" s="201">
        <v>-12.8</v>
      </c>
      <c r="G5640" s="201">
        <v>8.9</v>
      </c>
    </row>
    <row r="5641" spans="4:7">
      <c r="D5641" s="200" t="s">
        <v>5817</v>
      </c>
      <c r="E5641" s="10">
        <v>88427</v>
      </c>
      <c r="F5641" s="201">
        <v>-12.8</v>
      </c>
      <c r="G5641" s="201">
        <v>8.5</v>
      </c>
    </row>
    <row r="5642" spans="4:7">
      <c r="D5642" s="200" t="s">
        <v>5818</v>
      </c>
      <c r="E5642" s="10">
        <v>88451</v>
      </c>
      <c r="F5642" s="201">
        <v>-12.8</v>
      </c>
      <c r="G5642" s="201">
        <v>8.6</v>
      </c>
    </row>
    <row r="5643" spans="4:7">
      <c r="D5643" s="200" t="s">
        <v>5819</v>
      </c>
      <c r="E5643" s="10">
        <v>88457</v>
      </c>
      <c r="F5643" s="201">
        <v>-12.8</v>
      </c>
      <c r="G5643" s="201">
        <v>8.5</v>
      </c>
    </row>
    <row r="5644" spans="4:7">
      <c r="D5644" s="200" t="s">
        <v>5820</v>
      </c>
      <c r="E5644" s="10">
        <v>88480</v>
      </c>
      <c r="F5644" s="201">
        <v>-12.8</v>
      </c>
      <c r="G5644" s="201">
        <v>8.9</v>
      </c>
    </row>
    <row r="5645" spans="4:7">
      <c r="D5645" s="200" t="s">
        <v>5821</v>
      </c>
      <c r="E5645" s="10">
        <v>88521</v>
      </c>
      <c r="F5645" s="201">
        <v>-12.8</v>
      </c>
      <c r="G5645" s="201">
        <v>8.5</v>
      </c>
    </row>
    <row r="5646" spans="4:7">
      <c r="D5646" s="200" t="s">
        <v>5822</v>
      </c>
      <c r="E5646" s="10">
        <v>88525</v>
      </c>
      <c r="F5646" s="201">
        <v>-12.8</v>
      </c>
      <c r="G5646" s="201">
        <v>8.5</v>
      </c>
    </row>
    <row r="5647" spans="4:7">
      <c r="D5647" s="200" t="s">
        <v>5823</v>
      </c>
      <c r="E5647" s="10">
        <v>88527</v>
      </c>
      <c r="F5647" s="201">
        <v>-12.8</v>
      </c>
      <c r="G5647" s="201">
        <v>8.5</v>
      </c>
    </row>
    <row r="5648" spans="4:7">
      <c r="D5648" s="200" t="s">
        <v>5824</v>
      </c>
      <c r="E5648" s="10">
        <v>88636</v>
      </c>
      <c r="F5648" s="201">
        <v>-12.8</v>
      </c>
      <c r="G5648" s="201">
        <v>8.1999999999999993</v>
      </c>
    </row>
    <row r="5649" spans="4:7">
      <c r="D5649" s="200" t="s">
        <v>5825</v>
      </c>
      <c r="E5649" s="10">
        <v>89134</v>
      </c>
      <c r="F5649" s="201">
        <v>-12.8</v>
      </c>
      <c r="G5649" s="201">
        <v>8.1999999999999993</v>
      </c>
    </row>
    <row r="5650" spans="4:7">
      <c r="D5650" s="200" t="s">
        <v>3834</v>
      </c>
      <c r="E5650" s="10">
        <v>89155</v>
      </c>
      <c r="F5650" s="201">
        <v>-12.8</v>
      </c>
      <c r="G5650" s="201">
        <v>8.8000000000000007</v>
      </c>
    </row>
    <row r="5651" spans="4:7">
      <c r="D5651" s="200" t="s">
        <v>5826</v>
      </c>
      <c r="E5651" s="10">
        <v>89173</v>
      </c>
      <c r="F5651" s="201">
        <v>-12.8</v>
      </c>
      <c r="G5651" s="201">
        <v>8.1999999999999993</v>
      </c>
    </row>
    <row r="5652" spans="4:7">
      <c r="D5652" s="200" t="s">
        <v>5827</v>
      </c>
      <c r="E5652" s="10">
        <v>89174</v>
      </c>
      <c r="F5652" s="201">
        <v>-12.8</v>
      </c>
      <c r="G5652" s="201">
        <v>8.4</v>
      </c>
    </row>
    <row r="5653" spans="4:7">
      <c r="D5653" s="200" t="s">
        <v>5828</v>
      </c>
      <c r="E5653" s="10">
        <v>89179</v>
      </c>
      <c r="F5653" s="201">
        <v>-12.8</v>
      </c>
      <c r="G5653" s="201">
        <v>8.4</v>
      </c>
    </row>
    <row r="5654" spans="4:7">
      <c r="D5654" s="200" t="s">
        <v>5829</v>
      </c>
      <c r="E5654" s="10">
        <v>89183</v>
      </c>
      <c r="F5654" s="201">
        <v>-12.8</v>
      </c>
      <c r="G5654" s="201">
        <v>8.5</v>
      </c>
    </row>
    <row r="5655" spans="4:7">
      <c r="D5655" s="200" t="s">
        <v>5830</v>
      </c>
      <c r="E5655" s="10">
        <v>89185</v>
      </c>
      <c r="F5655" s="201">
        <v>-12.8</v>
      </c>
      <c r="G5655" s="201">
        <v>8.8000000000000007</v>
      </c>
    </row>
    <row r="5656" spans="4:7">
      <c r="D5656" s="200" t="s">
        <v>5831</v>
      </c>
      <c r="E5656" s="10">
        <v>89287</v>
      </c>
      <c r="F5656" s="201">
        <v>-12.8</v>
      </c>
      <c r="G5656" s="201">
        <v>8.8000000000000007</v>
      </c>
    </row>
    <row r="5657" spans="4:7">
      <c r="D5657" s="200" t="s">
        <v>5832</v>
      </c>
      <c r="E5657" s="10">
        <v>89297</v>
      </c>
      <c r="F5657" s="201">
        <v>-12.8</v>
      </c>
      <c r="G5657" s="201">
        <v>8.8000000000000007</v>
      </c>
    </row>
    <row r="5658" spans="4:7">
      <c r="D5658" s="200" t="s">
        <v>5833</v>
      </c>
      <c r="E5658" s="10">
        <v>89331</v>
      </c>
      <c r="F5658" s="201">
        <v>-12.8</v>
      </c>
      <c r="G5658" s="201">
        <v>8.9</v>
      </c>
    </row>
    <row r="5659" spans="4:7">
      <c r="D5659" s="200" t="s">
        <v>5834</v>
      </c>
      <c r="E5659" s="10">
        <v>89352</v>
      </c>
      <c r="F5659" s="201">
        <v>-12.8</v>
      </c>
      <c r="G5659" s="201">
        <v>8.8000000000000007</v>
      </c>
    </row>
    <row r="5660" spans="4:7">
      <c r="D5660" s="200" t="s">
        <v>5835</v>
      </c>
      <c r="E5660" s="10">
        <v>89423</v>
      </c>
      <c r="F5660" s="201">
        <v>-12.8</v>
      </c>
      <c r="G5660" s="201">
        <v>9</v>
      </c>
    </row>
    <row r="5661" spans="4:7">
      <c r="D5661" s="200" t="s">
        <v>5836</v>
      </c>
      <c r="E5661" s="10">
        <v>89429</v>
      </c>
      <c r="F5661" s="201">
        <v>-12.8</v>
      </c>
      <c r="G5661" s="201">
        <v>8.8000000000000007</v>
      </c>
    </row>
    <row r="5662" spans="4:7">
      <c r="D5662" s="200" t="s">
        <v>5837</v>
      </c>
      <c r="E5662" s="10">
        <v>89431</v>
      </c>
      <c r="F5662" s="201">
        <v>-12.8</v>
      </c>
      <c r="G5662" s="201">
        <v>9</v>
      </c>
    </row>
    <row r="5663" spans="4:7">
      <c r="D5663" s="200" t="s">
        <v>5838</v>
      </c>
      <c r="E5663" s="10">
        <v>89547</v>
      </c>
      <c r="F5663" s="201">
        <v>-12.8</v>
      </c>
      <c r="G5663" s="201">
        <v>8.3000000000000007</v>
      </c>
    </row>
    <row r="5664" spans="4:7">
      <c r="D5664" s="200" t="s">
        <v>5839</v>
      </c>
      <c r="E5664" s="10">
        <v>89551</v>
      </c>
      <c r="F5664" s="201">
        <v>-12.8</v>
      </c>
      <c r="G5664" s="201">
        <v>8.3000000000000007</v>
      </c>
    </row>
    <row r="5665" spans="4:7">
      <c r="D5665" s="200" t="s">
        <v>5840</v>
      </c>
      <c r="E5665" s="10">
        <v>89607</v>
      </c>
      <c r="F5665" s="201">
        <v>-12.8</v>
      </c>
      <c r="G5665" s="201">
        <v>8.8000000000000007</v>
      </c>
    </row>
    <row r="5666" spans="4:7">
      <c r="D5666" s="200" t="s">
        <v>5841</v>
      </c>
      <c r="E5666" s="10">
        <v>89608</v>
      </c>
      <c r="F5666" s="201">
        <v>-12.8</v>
      </c>
      <c r="G5666" s="201">
        <v>8.9</v>
      </c>
    </row>
    <row r="5667" spans="4:7">
      <c r="D5667" s="200" t="s">
        <v>5842</v>
      </c>
      <c r="E5667" s="10">
        <v>91083</v>
      </c>
      <c r="F5667" s="201">
        <v>-12.8</v>
      </c>
      <c r="G5667" s="201">
        <v>9.5</v>
      </c>
    </row>
    <row r="5668" spans="4:7">
      <c r="D5668" s="200" t="s">
        <v>5843</v>
      </c>
      <c r="E5668" s="10">
        <v>91099</v>
      </c>
      <c r="F5668" s="201">
        <v>-12.8</v>
      </c>
      <c r="G5668" s="201">
        <v>9.4</v>
      </c>
    </row>
    <row r="5669" spans="4:7">
      <c r="D5669" s="200" t="s">
        <v>5844</v>
      </c>
      <c r="E5669" s="10">
        <v>91315</v>
      </c>
      <c r="F5669" s="201">
        <v>-12.8</v>
      </c>
      <c r="G5669" s="201">
        <v>9.3000000000000007</v>
      </c>
    </row>
    <row r="5670" spans="4:7">
      <c r="D5670" s="200" t="s">
        <v>5845</v>
      </c>
      <c r="E5670" s="10">
        <v>91443</v>
      </c>
      <c r="F5670" s="201">
        <v>-12.8</v>
      </c>
      <c r="G5670" s="201">
        <v>9.1</v>
      </c>
    </row>
    <row r="5671" spans="4:7">
      <c r="D5671" s="200" t="s">
        <v>5846</v>
      </c>
      <c r="E5671" s="10">
        <v>91456</v>
      </c>
      <c r="F5671" s="201">
        <v>-12.8</v>
      </c>
      <c r="G5671" s="201">
        <v>9.4</v>
      </c>
    </row>
    <row r="5672" spans="4:7">
      <c r="D5672" s="200" t="s">
        <v>5847</v>
      </c>
      <c r="E5672" s="10">
        <v>91550</v>
      </c>
      <c r="F5672" s="201">
        <v>-12.8</v>
      </c>
      <c r="G5672" s="201">
        <v>8.6999999999999993</v>
      </c>
    </row>
    <row r="5673" spans="4:7">
      <c r="D5673" s="200" t="s">
        <v>5848</v>
      </c>
      <c r="E5673" s="10">
        <v>91555</v>
      </c>
      <c r="F5673" s="201">
        <v>-12.8</v>
      </c>
      <c r="G5673" s="201">
        <v>8.9</v>
      </c>
    </row>
    <row r="5674" spans="4:7">
      <c r="D5674" s="200" t="s">
        <v>5849</v>
      </c>
      <c r="E5674" s="10">
        <v>91583</v>
      </c>
      <c r="F5674" s="201">
        <v>-12.8</v>
      </c>
      <c r="G5674" s="201">
        <v>8.9</v>
      </c>
    </row>
    <row r="5675" spans="4:7">
      <c r="D5675" s="200" t="s">
        <v>5850</v>
      </c>
      <c r="E5675" s="10">
        <v>91619</v>
      </c>
      <c r="F5675" s="201">
        <v>-12.8</v>
      </c>
      <c r="G5675" s="201">
        <v>9.1</v>
      </c>
    </row>
    <row r="5676" spans="4:7">
      <c r="D5676" s="200" t="s">
        <v>5851</v>
      </c>
      <c r="E5676" s="10">
        <v>91625</v>
      </c>
      <c r="F5676" s="201">
        <v>-12.8</v>
      </c>
      <c r="G5676" s="201">
        <v>8.8000000000000007</v>
      </c>
    </row>
    <row r="5677" spans="4:7">
      <c r="D5677" s="200" t="s">
        <v>5852</v>
      </c>
      <c r="E5677" s="10">
        <v>91635</v>
      </c>
      <c r="F5677" s="201">
        <v>-12.8</v>
      </c>
      <c r="G5677" s="201">
        <v>8.9</v>
      </c>
    </row>
    <row r="5678" spans="4:7">
      <c r="D5678" s="200" t="s">
        <v>5853</v>
      </c>
      <c r="E5678" s="10">
        <v>91637</v>
      </c>
      <c r="F5678" s="201">
        <v>-12.8</v>
      </c>
      <c r="G5678" s="201">
        <v>8.8000000000000007</v>
      </c>
    </row>
    <row r="5679" spans="4:7">
      <c r="D5679" s="200" t="s">
        <v>5854</v>
      </c>
      <c r="E5679" s="10">
        <v>91731</v>
      </c>
      <c r="F5679" s="201">
        <v>-12.8</v>
      </c>
      <c r="G5679" s="201">
        <v>8.6999999999999993</v>
      </c>
    </row>
    <row r="5680" spans="4:7">
      <c r="D5680" s="200" t="s">
        <v>5855</v>
      </c>
      <c r="E5680" s="10">
        <v>91747</v>
      </c>
      <c r="F5680" s="201">
        <v>-12.8</v>
      </c>
      <c r="G5680" s="201">
        <v>8.8000000000000007</v>
      </c>
    </row>
    <row r="5681" spans="4:7">
      <c r="D5681" s="200" t="s">
        <v>5856</v>
      </c>
      <c r="E5681" s="10">
        <v>92637</v>
      </c>
      <c r="F5681" s="201">
        <v>-12.8</v>
      </c>
      <c r="G5681" s="201">
        <v>8.9</v>
      </c>
    </row>
    <row r="5682" spans="4:7">
      <c r="D5682" s="200" t="s">
        <v>4895</v>
      </c>
      <c r="E5682" s="10">
        <v>93049</v>
      </c>
      <c r="F5682" s="201">
        <v>-12.8</v>
      </c>
      <c r="G5682" s="201">
        <v>9.4</v>
      </c>
    </row>
    <row r="5683" spans="4:7">
      <c r="D5683" s="200" t="s">
        <v>5857</v>
      </c>
      <c r="E5683" s="10">
        <v>95346</v>
      </c>
      <c r="F5683" s="201">
        <v>-12.8</v>
      </c>
      <c r="G5683" s="201">
        <v>8.5</v>
      </c>
    </row>
    <row r="5684" spans="4:7">
      <c r="D5684" s="200" t="s">
        <v>5858</v>
      </c>
      <c r="E5684" s="10">
        <v>95359</v>
      </c>
      <c r="F5684" s="201">
        <v>-12.8</v>
      </c>
      <c r="G5684" s="201">
        <v>8.4</v>
      </c>
    </row>
    <row r="5685" spans="4:7">
      <c r="D5685" s="200" t="s">
        <v>5859</v>
      </c>
      <c r="E5685" s="10">
        <v>95365</v>
      </c>
      <c r="F5685" s="201">
        <v>-12.8</v>
      </c>
      <c r="G5685" s="201">
        <v>8.4</v>
      </c>
    </row>
    <row r="5686" spans="4:7">
      <c r="D5686" s="200" t="s">
        <v>5860</v>
      </c>
      <c r="E5686" s="10">
        <v>95463</v>
      </c>
      <c r="F5686" s="201">
        <v>-12.8</v>
      </c>
      <c r="G5686" s="201">
        <v>8.6999999999999993</v>
      </c>
    </row>
    <row r="5687" spans="4:7">
      <c r="D5687" s="200" t="s">
        <v>5861</v>
      </c>
      <c r="E5687" s="10">
        <v>96110</v>
      </c>
      <c r="F5687" s="201">
        <v>-12.8</v>
      </c>
      <c r="G5687" s="201">
        <v>8.9</v>
      </c>
    </row>
    <row r="5688" spans="4:7">
      <c r="D5688" s="200" t="s">
        <v>5862</v>
      </c>
      <c r="E5688" s="10">
        <v>96169</v>
      </c>
      <c r="F5688" s="201">
        <v>-12.8</v>
      </c>
      <c r="G5688" s="201">
        <v>8.9</v>
      </c>
    </row>
    <row r="5689" spans="4:7">
      <c r="D5689" s="200" t="s">
        <v>5863</v>
      </c>
      <c r="E5689" s="10">
        <v>96182</v>
      </c>
      <c r="F5689" s="201">
        <v>-12.8</v>
      </c>
      <c r="G5689" s="201">
        <v>9.1999999999999993</v>
      </c>
    </row>
    <row r="5690" spans="4:7">
      <c r="D5690" s="200" t="s">
        <v>5864</v>
      </c>
      <c r="E5690" s="10">
        <v>96193</v>
      </c>
      <c r="F5690" s="201">
        <v>-12.8</v>
      </c>
      <c r="G5690" s="201">
        <v>9.1999999999999993</v>
      </c>
    </row>
    <row r="5691" spans="4:7">
      <c r="D5691" s="200" t="s">
        <v>5865</v>
      </c>
      <c r="E5691" s="10">
        <v>96194</v>
      </c>
      <c r="F5691" s="201">
        <v>-12.8</v>
      </c>
      <c r="G5691" s="201">
        <v>9</v>
      </c>
    </row>
    <row r="5692" spans="4:7">
      <c r="D5692" s="200" t="s">
        <v>5866</v>
      </c>
      <c r="E5692" s="10">
        <v>96260</v>
      </c>
      <c r="F5692" s="201">
        <v>-12.8</v>
      </c>
      <c r="G5692" s="201">
        <v>8.1</v>
      </c>
    </row>
    <row r="5693" spans="4:7">
      <c r="D5693" s="200" t="s">
        <v>5388</v>
      </c>
      <c r="E5693" s="10">
        <v>96486</v>
      </c>
      <c r="F5693" s="201">
        <v>-12.8</v>
      </c>
      <c r="G5693" s="201">
        <v>8.1</v>
      </c>
    </row>
    <row r="5694" spans="4:7">
      <c r="D5694" s="200" t="s">
        <v>5867</v>
      </c>
      <c r="E5694" s="10">
        <v>98673</v>
      </c>
      <c r="F5694" s="201">
        <v>-12.8</v>
      </c>
      <c r="G5694" s="201">
        <v>8</v>
      </c>
    </row>
    <row r="5695" spans="4:7">
      <c r="D5695" s="200" t="s">
        <v>4966</v>
      </c>
      <c r="E5695" s="10">
        <v>99087</v>
      </c>
      <c r="F5695" s="201">
        <v>-12.8</v>
      </c>
      <c r="G5695" s="201">
        <v>9.6</v>
      </c>
    </row>
    <row r="5696" spans="4:7">
      <c r="D5696" s="200" t="s">
        <v>4966</v>
      </c>
      <c r="E5696" s="10">
        <v>99091</v>
      </c>
      <c r="F5696" s="201">
        <v>-12.8</v>
      </c>
      <c r="G5696" s="201">
        <v>9.6</v>
      </c>
    </row>
    <row r="5697" spans="4:7">
      <c r="D5697" s="200" t="s">
        <v>5868</v>
      </c>
      <c r="E5697" s="10">
        <v>99631</v>
      </c>
      <c r="F5697" s="201">
        <v>-12.8</v>
      </c>
      <c r="G5697" s="201">
        <v>9.6</v>
      </c>
    </row>
    <row r="5698" spans="4:7">
      <c r="D5698" s="200" t="s">
        <v>5869</v>
      </c>
      <c r="E5698" s="10">
        <v>99734</v>
      </c>
      <c r="F5698" s="201">
        <v>-12.8</v>
      </c>
      <c r="G5698" s="201">
        <v>9.1999999999999993</v>
      </c>
    </row>
    <row r="5699" spans="4:7">
      <c r="D5699" s="200" t="s">
        <v>5870</v>
      </c>
      <c r="E5699" s="10">
        <v>99752</v>
      </c>
      <c r="F5699" s="201">
        <v>-12.8</v>
      </c>
      <c r="G5699" s="201">
        <v>8.9</v>
      </c>
    </row>
    <row r="5700" spans="4:7">
      <c r="D5700" s="200" t="s">
        <v>5871</v>
      </c>
      <c r="E5700" s="10">
        <v>99765</v>
      </c>
      <c r="F5700" s="201">
        <v>-12.8</v>
      </c>
      <c r="G5700" s="201">
        <v>9.4</v>
      </c>
    </row>
    <row r="5701" spans="4:7">
      <c r="D5701" s="200" t="s">
        <v>5872</v>
      </c>
      <c r="E5701" s="10">
        <v>99848</v>
      </c>
      <c r="F5701" s="201">
        <v>-12.8</v>
      </c>
      <c r="G5701" s="201">
        <v>9</v>
      </c>
    </row>
    <row r="5702" spans="4:7">
      <c r="D5702" s="200" t="s">
        <v>5873</v>
      </c>
      <c r="E5702" s="10">
        <v>99976</v>
      </c>
      <c r="F5702" s="201">
        <v>-12.8</v>
      </c>
      <c r="G5702" s="201">
        <v>8.8000000000000007</v>
      </c>
    </row>
    <row r="5703" spans="4:7">
      <c r="D5703" s="200" t="s">
        <v>5874</v>
      </c>
      <c r="E5703" s="10">
        <v>99986</v>
      </c>
      <c r="F5703" s="201">
        <v>-12.8</v>
      </c>
      <c r="G5703" s="201">
        <v>9</v>
      </c>
    </row>
    <row r="5704" spans="4:7">
      <c r="D5704" s="200" t="s">
        <v>5875</v>
      </c>
      <c r="E5704" s="10">
        <v>99988</v>
      </c>
      <c r="F5704" s="201">
        <v>-12.8</v>
      </c>
      <c r="G5704" s="201">
        <v>8.1999999999999993</v>
      </c>
    </row>
    <row r="5705" spans="4:7">
      <c r="D5705" s="200" t="s">
        <v>5069</v>
      </c>
      <c r="E5705" s="10">
        <v>1217</v>
      </c>
      <c r="F5705" s="201">
        <v>-12.9</v>
      </c>
      <c r="G5705" s="201">
        <v>9.9</v>
      </c>
    </row>
    <row r="5706" spans="4:7">
      <c r="D5706" s="200" t="s">
        <v>5876</v>
      </c>
      <c r="E5706" s="10">
        <v>1591</v>
      </c>
      <c r="F5706" s="201">
        <v>-12.9</v>
      </c>
      <c r="G5706" s="201">
        <v>9.6999999999999993</v>
      </c>
    </row>
    <row r="5707" spans="4:7">
      <c r="D5707" s="200" t="s">
        <v>5877</v>
      </c>
      <c r="E5707" s="10">
        <v>1662</v>
      </c>
      <c r="F5707" s="201">
        <v>-12.9</v>
      </c>
      <c r="G5707" s="201">
        <v>10</v>
      </c>
    </row>
    <row r="5708" spans="4:7">
      <c r="D5708" s="200" t="s">
        <v>4593</v>
      </c>
      <c r="E5708" s="10">
        <v>4316</v>
      </c>
      <c r="F5708" s="201">
        <v>-12.9</v>
      </c>
      <c r="G5708" s="201">
        <v>9.6</v>
      </c>
    </row>
    <row r="5709" spans="4:7">
      <c r="D5709" s="200" t="s">
        <v>4593</v>
      </c>
      <c r="E5709" s="10">
        <v>4329</v>
      </c>
      <c r="F5709" s="201">
        <v>-12.9</v>
      </c>
      <c r="G5709" s="201">
        <v>9.6999999999999993</v>
      </c>
    </row>
    <row r="5710" spans="4:7">
      <c r="D5710" s="200" t="s">
        <v>5878</v>
      </c>
      <c r="E5710" s="10">
        <v>4416</v>
      </c>
      <c r="F5710" s="201">
        <v>-12.9</v>
      </c>
      <c r="G5710" s="201">
        <v>9.6999999999999993</v>
      </c>
    </row>
    <row r="5711" spans="4:7">
      <c r="D5711" s="200" t="s">
        <v>5879</v>
      </c>
      <c r="E5711" s="10">
        <v>4552</v>
      </c>
      <c r="F5711" s="201">
        <v>-12.9</v>
      </c>
      <c r="G5711" s="201">
        <v>9.6999999999999993</v>
      </c>
    </row>
    <row r="5712" spans="4:7">
      <c r="D5712" s="200" t="s">
        <v>5880</v>
      </c>
      <c r="E5712" s="10">
        <v>4571</v>
      </c>
      <c r="F5712" s="201">
        <v>-12.9</v>
      </c>
      <c r="G5712" s="201">
        <v>9.6</v>
      </c>
    </row>
    <row r="5713" spans="4:7">
      <c r="D5713" s="200" t="s">
        <v>5881</v>
      </c>
      <c r="E5713" s="10">
        <v>6458</v>
      </c>
      <c r="F5713" s="201">
        <v>-12.9</v>
      </c>
      <c r="G5713" s="201">
        <v>9.1999999999999993</v>
      </c>
    </row>
    <row r="5714" spans="4:7">
      <c r="D5714" s="200" t="s">
        <v>5717</v>
      </c>
      <c r="E5714" s="10">
        <v>6803</v>
      </c>
      <c r="F5714" s="201">
        <v>-12.9</v>
      </c>
      <c r="G5714" s="201">
        <v>10.1</v>
      </c>
    </row>
    <row r="5715" spans="4:7">
      <c r="D5715" s="200" t="s">
        <v>5882</v>
      </c>
      <c r="E5715" s="10">
        <v>9122</v>
      </c>
      <c r="F5715" s="201">
        <v>-12.9</v>
      </c>
      <c r="G5715" s="201">
        <v>9.1</v>
      </c>
    </row>
    <row r="5716" spans="4:7">
      <c r="D5716" s="200" t="s">
        <v>5883</v>
      </c>
      <c r="E5716" s="10">
        <v>13159</v>
      </c>
      <c r="F5716" s="201">
        <v>-12.9</v>
      </c>
      <c r="G5716" s="201">
        <v>9.6</v>
      </c>
    </row>
    <row r="5717" spans="4:7">
      <c r="D5717" s="200" t="s">
        <v>5884</v>
      </c>
      <c r="E5717" s="10">
        <v>14547</v>
      </c>
      <c r="F5717" s="201">
        <v>-12.9</v>
      </c>
      <c r="G5717" s="201">
        <v>9.6</v>
      </c>
    </row>
    <row r="5718" spans="4:7">
      <c r="D5718" s="200" t="s">
        <v>5885</v>
      </c>
      <c r="E5718" s="10">
        <v>14550</v>
      </c>
      <c r="F5718" s="201">
        <v>-12.9</v>
      </c>
      <c r="G5718" s="201">
        <v>9.6</v>
      </c>
    </row>
    <row r="5719" spans="4:7">
      <c r="D5719" s="200" t="s">
        <v>5886</v>
      </c>
      <c r="E5719" s="10">
        <v>14558</v>
      </c>
      <c r="F5719" s="201">
        <v>-12.9</v>
      </c>
      <c r="G5719" s="201">
        <v>9.6</v>
      </c>
    </row>
    <row r="5720" spans="4:7">
      <c r="D5720" s="200" t="s">
        <v>5887</v>
      </c>
      <c r="E5720" s="10">
        <v>14712</v>
      </c>
      <c r="F5720" s="201">
        <v>-12.9</v>
      </c>
      <c r="G5720" s="201">
        <v>9.4</v>
      </c>
    </row>
    <row r="5721" spans="4:7">
      <c r="D5721" s="200" t="s">
        <v>5888</v>
      </c>
      <c r="E5721" s="10">
        <v>14715</v>
      </c>
      <c r="F5721" s="201">
        <v>-12.9</v>
      </c>
      <c r="G5721" s="201">
        <v>9.5</v>
      </c>
    </row>
    <row r="5722" spans="4:7">
      <c r="D5722" s="200" t="s">
        <v>5377</v>
      </c>
      <c r="E5722" s="10">
        <v>14772</v>
      </c>
      <c r="F5722" s="201">
        <v>-12.9</v>
      </c>
      <c r="G5722" s="201">
        <v>9.5</v>
      </c>
    </row>
    <row r="5723" spans="4:7">
      <c r="D5723" s="200" t="s">
        <v>5377</v>
      </c>
      <c r="E5723" s="10">
        <v>14776</v>
      </c>
      <c r="F5723" s="201">
        <v>-12.9</v>
      </c>
      <c r="G5723" s="201">
        <v>9.6</v>
      </c>
    </row>
    <row r="5724" spans="4:7">
      <c r="D5724" s="200" t="s">
        <v>5889</v>
      </c>
      <c r="E5724" s="10">
        <v>14798</v>
      </c>
      <c r="F5724" s="201">
        <v>-12.9</v>
      </c>
      <c r="G5724" s="201">
        <v>9.5</v>
      </c>
    </row>
    <row r="5725" spans="4:7">
      <c r="D5725" s="200" t="s">
        <v>5890</v>
      </c>
      <c r="E5725" s="10">
        <v>16356</v>
      </c>
      <c r="F5725" s="201">
        <v>-12.9</v>
      </c>
      <c r="G5725" s="201">
        <v>9.4</v>
      </c>
    </row>
    <row r="5726" spans="4:7">
      <c r="D5726" s="200" t="s">
        <v>5891</v>
      </c>
      <c r="E5726" s="10">
        <v>16359</v>
      </c>
      <c r="F5726" s="201">
        <v>-12.9</v>
      </c>
      <c r="G5726" s="201">
        <v>9.5</v>
      </c>
    </row>
    <row r="5727" spans="4:7">
      <c r="D5727" s="200" t="s">
        <v>5892</v>
      </c>
      <c r="E5727" s="10">
        <v>16866</v>
      </c>
      <c r="F5727" s="201">
        <v>-12.9</v>
      </c>
      <c r="G5727" s="201">
        <v>9.1999999999999993</v>
      </c>
    </row>
    <row r="5728" spans="4:7">
      <c r="D5728" s="200" t="s">
        <v>5893</v>
      </c>
      <c r="E5728" s="10">
        <v>17398</v>
      </c>
      <c r="F5728" s="201">
        <v>-12.9</v>
      </c>
      <c r="G5728" s="201">
        <v>9.1</v>
      </c>
    </row>
    <row r="5729" spans="4:7">
      <c r="D5729" s="200" t="s">
        <v>5894</v>
      </c>
      <c r="E5729" s="10">
        <v>37520</v>
      </c>
      <c r="F5729" s="201">
        <v>-12.9</v>
      </c>
      <c r="G5729" s="201">
        <v>8.4</v>
      </c>
    </row>
    <row r="5730" spans="4:7">
      <c r="D5730" s="200" t="s">
        <v>5281</v>
      </c>
      <c r="E5730" s="10">
        <v>38644</v>
      </c>
      <c r="F5730" s="201">
        <v>-12.9</v>
      </c>
      <c r="G5730" s="201">
        <v>8.8000000000000007</v>
      </c>
    </row>
    <row r="5731" spans="4:7">
      <c r="D5731" s="200" t="s">
        <v>5895</v>
      </c>
      <c r="E5731" s="10">
        <v>38855</v>
      </c>
      <c r="F5731" s="201">
        <v>-12.9</v>
      </c>
      <c r="G5731" s="201">
        <v>9.5</v>
      </c>
    </row>
    <row r="5732" spans="4:7">
      <c r="D5732" s="200" t="s">
        <v>5896</v>
      </c>
      <c r="E5732" s="10">
        <v>72359</v>
      </c>
      <c r="F5732" s="201">
        <v>-12.9</v>
      </c>
      <c r="G5732" s="201">
        <v>7.9</v>
      </c>
    </row>
    <row r="5733" spans="4:7">
      <c r="D5733" s="200" t="s">
        <v>5897</v>
      </c>
      <c r="E5733" s="10">
        <v>72511</v>
      </c>
      <c r="F5733" s="201">
        <v>-12.9</v>
      </c>
      <c r="G5733" s="201">
        <v>8</v>
      </c>
    </row>
    <row r="5734" spans="4:7">
      <c r="D5734" s="200" t="s">
        <v>5898</v>
      </c>
      <c r="E5734" s="10">
        <v>73457</v>
      </c>
      <c r="F5734" s="201">
        <v>-12.9</v>
      </c>
      <c r="G5734" s="201">
        <v>8.5</v>
      </c>
    </row>
    <row r="5735" spans="4:7">
      <c r="D5735" s="200" t="s">
        <v>5899</v>
      </c>
      <c r="E5735" s="10">
        <v>73497</v>
      </c>
      <c r="F5735" s="201">
        <v>-12.9</v>
      </c>
      <c r="G5735" s="201">
        <v>8.5</v>
      </c>
    </row>
    <row r="5736" spans="4:7">
      <c r="D5736" s="200" t="s">
        <v>5480</v>
      </c>
      <c r="E5736" s="10">
        <v>78048</v>
      </c>
      <c r="F5736" s="201">
        <v>-12.9</v>
      </c>
      <c r="G5736" s="201">
        <v>8.1999999999999993</v>
      </c>
    </row>
    <row r="5737" spans="4:7">
      <c r="D5737" s="200" t="s">
        <v>4030</v>
      </c>
      <c r="E5737" s="10">
        <v>78607</v>
      </c>
      <c r="F5737" s="201">
        <v>-12.9</v>
      </c>
      <c r="G5737" s="201">
        <v>8.1</v>
      </c>
    </row>
    <row r="5738" spans="4:7">
      <c r="D5738" s="200" t="s">
        <v>4162</v>
      </c>
      <c r="E5738" s="10">
        <v>80687</v>
      </c>
      <c r="F5738" s="201">
        <v>-12.9</v>
      </c>
      <c r="G5738" s="201">
        <v>9</v>
      </c>
    </row>
    <row r="5739" spans="4:7">
      <c r="D5739" s="200" t="s">
        <v>4162</v>
      </c>
      <c r="E5739" s="10">
        <v>80809</v>
      </c>
      <c r="F5739" s="201">
        <v>-12.9</v>
      </c>
      <c r="G5739" s="201">
        <v>9</v>
      </c>
    </row>
    <row r="5740" spans="4:7">
      <c r="D5740" s="200" t="s">
        <v>4162</v>
      </c>
      <c r="E5740" s="10">
        <v>80939</v>
      </c>
      <c r="F5740" s="201">
        <v>-12.9</v>
      </c>
      <c r="G5740" s="201">
        <v>9.1999999999999993</v>
      </c>
    </row>
    <row r="5741" spans="4:7">
      <c r="D5741" s="200" t="s">
        <v>4162</v>
      </c>
      <c r="E5741" s="10">
        <v>81825</v>
      </c>
      <c r="F5741" s="201">
        <v>-12.9</v>
      </c>
      <c r="G5741" s="201">
        <v>9.1</v>
      </c>
    </row>
    <row r="5742" spans="4:7">
      <c r="D5742" s="200" t="s">
        <v>5900</v>
      </c>
      <c r="E5742" s="10">
        <v>83083</v>
      </c>
      <c r="F5742" s="201">
        <v>-12.9</v>
      </c>
      <c r="G5742" s="201">
        <v>8.5</v>
      </c>
    </row>
    <row r="5743" spans="4:7">
      <c r="D5743" s="200" t="s">
        <v>5901</v>
      </c>
      <c r="E5743" s="10">
        <v>83137</v>
      </c>
      <c r="F5743" s="201">
        <v>-12.9</v>
      </c>
      <c r="G5743" s="201">
        <v>8.6</v>
      </c>
    </row>
    <row r="5744" spans="4:7">
      <c r="D5744" s="200" t="s">
        <v>5902</v>
      </c>
      <c r="E5744" s="10">
        <v>83246</v>
      </c>
      <c r="F5744" s="201">
        <v>-12.9</v>
      </c>
      <c r="G5744" s="201">
        <v>8.3000000000000007</v>
      </c>
    </row>
    <row r="5745" spans="4:7">
      <c r="D5745" s="200" t="s">
        <v>5903</v>
      </c>
      <c r="E5745" s="10">
        <v>83301</v>
      </c>
      <c r="F5745" s="201">
        <v>-12.9</v>
      </c>
      <c r="G5745" s="201">
        <v>8.6</v>
      </c>
    </row>
    <row r="5746" spans="4:7">
      <c r="D5746" s="200" t="s">
        <v>5904</v>
      </c>
      <c r="E5746" s="10">
        <v>83358</v>
      </c>
      <c r="F5746" s="201">
        <v>-12.9</v>
      </c>
      <c r="G5746" s="201">
        <v>8.5</v>
      </c>
    </row>
    <row r="5747" spans="4:7">
      <c r="D5747" s="200" t="s">
        <v>5905</v>
      </c>
      <c r="E5747" s="10">
        <v>83395</v>
      </c>
      <c r="F5747" s="201">
        <v>-12.9</v>
      </c>
      <c r="G5747" s="201">
        <v>9.6</v>
      </c>
    </row>
    <row r="5748" spans="4:7">
      <c r="D5748" s="200" t="s">
        <v>5906</v>
      </c>
      <c r="E5748" s="10">
        <v>83454</v>
      </c>
      <c r="F5748" s="201">
        <v>-12.9</v>
      </c>
      <c r="G5748" s="201">
        <v>8.5</v>
      </c>
    </row>
    <row r="5749" spans="4:7">
      <c r="D5749" s="200" t="s">
        <v>5907</v>
      </c>
      <c r="E5749" s="10">
        <v>83533</v>
      </c>
      <c r="F5749" s="201">
        <v>-12.9</v>
      </c>
      <c r="G5749" s="201">
        <v>8.5</v>
      </c>
    </row>
    <row r="5750" spans="4:7">
      <c r="D5750" s="200" t="s">
        <v>5908</v>
      </c>
      <c r="E5750" s="10">
        <v>83564</v>
      </c>
      <c r="F5750" s="201">
        <v>-12.9</v>
      </c>
      <c r="G5750" s="201">
        <v>8.5</v>
      </c>
    </row>
    <row r="5751" spans="4:7">
      <c r="D5751" s="200" t="s">
        <v>5909</v>
      </c>
      <c r="E5751" s="10">
        <v>84529</v>
      </c>
      <c r="F5751" s="201">
        <v>-12.9</v>
      </c>
      <c r="G5751" s="201">
        <v>9</v>
      </c>
    </row>
    <row r="5752" spans="4:7">
      <c r="D5752" s="200" t="s">
        <v>5910</v>
      </c>
      <c r="E5752" s="10">
        <v>85135</v>
      </c>
      <c r="F5752" s="201">
        <v>-12.9</v>
      </c>
      <c r="G5752" s="201">
        <v>8.8000000000000007</v>
      </c>
    </row>
    <row r="5753" spans="4:7">
      <c r="D5753" s="200" t="s">
        <v>5911</v>
      </c>
      <c r="E5753" s="10">
        <v>86700</v>
      </c>
      <c r="F5753" s="201">
        <v>-12.9</v>
      </c>
      <c r="G5753" s="201">
        <v>8.6999999999999993</v>
      </c>
    </row>
    <row r="5754" spans="4:7">
      <c r="D5754" s="200" t="s">
        <v>5912</v>
      </c>
      <c r="E5754" s="10">
        <v>86704</v>
      </c>
      <c r="F5754" s="201">
        <v>-12.9</v>
      </c>
      <c r="G5754" s="201">
        <v>8.5</v>
      </c>
    </row>
    <row r="5755" spans="4:7">
      <c r="D5755" s="200" t="s">
        <v>5913</v>
      </c>
      <c r="E5755" s="10">
        <v>86709</v>
      </c>
      <c r="F5755" s="201">
        <v>-12.9</v>
      </c>
      <c r="G5755" s="201">
        <v>8.6</v>
      </c>
    </row>
    <row r="5756" spans="4:7">
      <c r="D5756" s="200" t="s">
        <v>5914</v>
      </c>
      <c r="E5756" s="10">
        <v>86747</v>
      </c>
      <c r="F5756" s="201">
        <v>-12.9</v>
      </c>
      <c r="G5756" s="201">
        <v>9</v>
      </c>
    </row>
    <row r="5757" spans="4:7">
      <c r="D5757" s="200" t="s">
        <v>5915</v>
      </c>
      <c r="E5757" s="10">
        <v>86753</v>
      </c>
      <c r="F5757" s="201">
        <v>-12.9</v>
      </c>
      <c r="G5757" s="201">
        <v>9</v>
      </c>
    </row>
    <row r="5758" spans="4:7">
      <c r="D5758" s="200" t="s">
        <v>5916</v>
      </c>
      <c r="E5758" s="10">
        <v>87748</v>
      </c>
      <c r="F5758" s="201">
        <v>-12.9</v>
      </c>
      <c r="G5758" s="201">
        <v>8.5</v>
      </c>
    </row>
    <row r="5759" spans="4:7">
      <c r="D5759" s="200" t="s">
        <v>5917</v>
      </c>
      <c r="E5759" s="10">
        <v>87773</v>
      </c>
      <c r="F5759" s="201">
        <v>-12.9</v>
      </c>
      <c r="G5759" s="201">
        <v>8.6</v>
      </c>
    </row>
    <row r="5760" spans="4:7">
      <c r="D5760" s="200" t="s">
        <v>5918</v>
      </c>
      <c r="E5760" s="10">
        <v>88171</v>
      </c>
      <c r="F5760" s="201">
        <v>-12.9</v>
      </c>
      <c r="G5760" s="201">
        <v>8.1999999999999993</v>
      </c>
    </row>
    <row r="5761" spans="4:7">
      <c r="D5761" s="200" t="s">
        <v>5919</v>
      </c>
      <c r="E5761" s="10">
        <v>88422</v>
      </c>
      <c r="F5761" s="201">
        <v>-12.9</v>
      </c>
      <c r="G5761" s="201">
        <v>8.4</v>
      </c>
    </row>
    <row r="5762" spans="4:7">
      <c r="D5762" s="200" t="s">
        <v>5920</v>
      </c>
      <c r="E5762" s="10">
        <v>88471</v>
      </c>
      <c r="F5762" s="201">
        <v>-12.9</v>
      </c>
      <c r="G5762" s="201">
        <v>8.9</v>
      </c>
    </row>
    <row r="5763" spans="4:7">
      <c r="D5763" s="200" t="s">
        <v>5921</v>
      </c>
      <c r="E5763" s="10">
        <v>88484</v>
      </c>
      <c r="F5763" s="201">
        <v>-12.9</v>
      </c>
      <c r="G5763" s="201">
        <v>8.6</v>
      </c>
    </row>
    <row r="5764" spans="4:7">
      <c r="D5764" s="200" t="s">
        <v>5922</v>
      </c>
      <c r="E5764" s="10">
        <v>88486</v>
      </c>
      <c r="F5764" s="201">
        <v>-12.9</v>
      </c>
      <c r="G5764" s="201">
        <v>8.6</v>
      </c>
    </row>
    <row r="5765" spans="4:7">
      <c r="D5765" s="200" t="s">
        <v>5923</v>
      </c>
      <c r="E5765" s="10">
        <v>88529</v>
      </c>
      <c r="F5765" s="201">
        <v>-12.9</v>
      </c>
      <c r="G5765" s="201">
        <v>8.1999999999999993</v>
      </c>
    </row>
    <row r="5766" spans="4:7">
      <c r="D5766" s="200" t="s">
        <v>5924</v>
      </c>
      <c r="E5766" s="10">
        <v>88637</v>
      </c>
      <c r="F5766" s="201">
        <v>-12.9</v>
      </c>
      <c r="G5766" s="201">
        <v>7.8</v>
      </c>
    </row>
    <row r="5767" spans="4:7">
      <c r="D5767" s="200" t="s">
        <v>3297</v>
      </c>
      <c r="E5767" s="10">
        <v>89281</v>
      </c>
      <c r="F5767" s="201">
        <v>-12.9</v>
      </c>
      <c r="G5767" s="201">
        <v>8.5</v>
      </c>
    </row>
    <row r="5768" spans="4:7">
      <c r="D5768" s="200" t="s">
        <v>5925</v>
      </c>
      <c r="E5768" s="10">
        <v>89296</v>
      </c>
      <c r="F5768" s="201">
        <v>-12.9</v>
      </c>
      <c r="G5768" s="201">
        <v>8.6</v>
      </c>
    </row>
    <row r="5769" spans="4:7">
      <c r="D5769" s="200" t="s">
        <v>5926</v>
      </c>
      <c r="E5769" s="10">
        <v>89364</v>
      </c>
      <c r="F5769" s="201">
        <v>-12.9</v>
      </c>
      <c r="G5769" s="201">
        <v>8.8000000000000007</v>
      </c>
    </row>
    <row r="5770" spans="4:7">
      <c r="D5770" s="200" t="s">
        <v>5927</v>
      </c>
      <c r="E5770" s="10">
        <v>89584</v>
      </c>
      <c r="F5770" s="201">
        <v>-12.9</v>
      </c>
      <c r="G5770" s="201">
        <v>8.6999999999999993</v>
      </c>
    </row>
    <row r="5771" spans="4:7">
      <c r="D5771" s="200" t="s">
        <v>5928</v>
      </c>
      <c r="E5771" s="10">
        <v>89597</v>
      </c>
      <c r="F5771" s="201">
        <v>-12.9</v>
      </c>
      <c r="G5771" s="201">
        <v>8.6999999999999993</v>
      </c>
    </row>
    <row r="5772" spans="4:7">
      <c r="D5772" s="200" t="s">
        <v>5929</v>
      </c>
      <c r="E5772" s="10">
        <v>89610</v>
      </c>
      <c r="F5772" s="201">
        <v>-12.9</v>
      </c>
      <c r="G5772" s="201">
        <v>8.8000000000000007</v>
      </c>
    </row>
    <row r="5773" spans="4:7">
      <c r="D5773" s="200" t="s">
        <v>5930</v>
      </c>
      <c r="E5773" s="10">
        <v>89614</v>
      </c>
      <c r="F5773" s="201">
        <v>-12.9</v>
      </c>
      <c r="G5773" s="201">
        <v>8.6999999999999993</v>
      </c>
    </row>
    <row r="5774" spans="4:7">
      <c r="D5774" s="200" t="s">
        <v>5931</v>
      </c>
      <c r="E5774" s="10">
        <v>89616</v>
      </c>
      <c r="F5774" s="201">
        <v>-12.9</v>
      </c>
      <c r="G5774" s="201">
        <v>8.8000000000000007</v>
      </c>
    </row>
    <row r="5775" spans="4:7">
      <c r="D5775" s="200" t="s">
        <v>5932</v>
      </c>
      <c r="E5775" s="10">
        <v>91462</v>
      </c>
      <c r="F5775" s="201">
        <v>-12.9</v>
      </c>
      <c r="G5775" s="201">
        <v>9.4</v>
      </c>
    </row>
    <row r="5776" spans="4:7">
      <c r="D5776" s="200" t="s">
        <v>5933</v>
      </c>
      <c r="E5776" s="10">
        <v>91475</v>
      </c>
      <c r="F5776" s="201">
        <v>-12.9</v>
      </c>
      <c r="G5776" s="201">
        <v>9.3000000000000007</v>
      </c>
    </row>
    <row r="5777" spans="4:7">
      <c r="D5777" s="200" t="s">
        <v>5934</v>
      </c>
      <c r="E5777" s="10">
        <v>91592</v>
      </c>
      <c r="F5777" s="201">
        <v>-12.9</v>
      </c>
      <c r="G5777" s="201">
        <v>8.9</v>
      </c>
    </row>
    <row r="5778" spans="4:7">
      <c r="D5778" s="200" t="s">
        <v>5935</v>
      </c>
      <c r="E5778" s="10">
        <v>91596</v>
      </c>
      <c r="F5778" s="201">
        <v>-12.9</v>
      </c>
      <c r="G5778" s="201">
        <v>8.6999999999999993</v>
      </c>
    </row>
    <row r="5779" spans="4:7">
      <c r="D5779" s="200" t="s">
        <v>5936</v>
      </c>
      <c r="E5779" s="10">
        <v>91601</v>
      </c>
      <c r="F5779" s="201">
        <v>-12.9</v>
      </c>
      <c r="G5779" s="201">
        <v>8.6999999999999993</v>
      </c>
    </row>
    <row r="5780" spans="4:7">
      <c r="D5780" s="200" t="s">
        <v>5937</v>
      </c>
      <c r="E5780" s="10">
        <v>91602</v>
      </c>
      <c r="F5780" s="201">
        <v>-12.9</v>
      </c>
      <c r="G5780" s="201">
        <v>8.6</v>
      </c>
    </row>
    <row r="5781" spans="4:7">
      <c r="D5781" s="200" t="s">
        <v>5938</v>
      </c>
      <c r="E5781" s="10">
        <v>91608</v>
      </c>
      <c r="F5781" s="201">
        <v>-12.9</v>
      </c>
      <c r="G5781" s="201">
        <v>8.9</v>
      </c>
    </row>
    <row r="5782" spans="4:7">
      <c r="D5782" s="200" t="s">
        <v>5651</v>
      </c>
      <c r="E5782" s="10">
        <v>91626</v>
      </c>
      <c r="F5782" s="201">
        <v>-12.9</v>
      </c>
      <c r="G5782" s="201">
        <v>8.6</v>
      </c>
    </row>
    <row r="5783" spans="4:7">
      <c r="D5783" s="200" t="s">
        <v>5939</v>
      </c>
      <c r="E5783" s="10">
        <v>91632</v>
      </c>
      <c r="F5783" s="201">
        <v>-12.9</v>
      </c>
      <c r="G5783" s="201">
        <v>8.8000000000000007</v>
      </c>
    </row>
    <row r="5784" spans="4:7">
      <c r="D5784" s="200" t="s">
        <v>5940</v>
      </c>
      <c r="E5784" s="10">
        <v>91740</v>
      </c>
      <c r="F5784" s="201">
        <v>-12.9</v>
      </c>
      <c r="G5784" s="201">
        <v>8.8000000000000007</v>
      </c>
    </row>
    <row r="5785" spans="4:7">
      <c r="D5785" s="200" t="s">
        <v>5941</v>
      </c>
      <c r="E5785" s="10">
        <v>92345</v>
      </c>
      <c r="F5785" s="201">
        <v>-12.9</v>
      </c>
      <c r="G5785" s="201">
        <v>9.1999999999999993</v>
      </c>
    </row>
    <row r="5786" spans="4:7">
      <c r="D5786" s="200" t="s">
        <v>5942</v>
      </c>
      <c r="E5786" s="10">
        <v>94315</v>
      </c>
      <c r="F5786" s="201">
        <v>-12.9</v>
      </c>
      <c r="G5786" s="201">
        <v>9.5</v>
      </c>
    </row>
    <row r="5787" spans="4:7">
      <c r="D5787" s="200" t="s">
        <v>5943</v>
      </c>
      <c r="E5787" s="10">
        <v>97779</v>
      </c>
      <c r="F5787" s="201">
        <v>-12.9</v>
      </c>
      <c r="G5787" s="201">
        <v>7.6</v>
      </c>
    </row>
    <row r="5788" spans="4:7">
      <c r="D5788" s="200" t="s">
        <v>5944</v>
      </c>
      <c r="E5788" s="10">
        <v>98527</v>
      </c>
      <c r="F5788" s="201">
        <v>-12.9</v>
      </c>
      <c r="G5788" s="201">
        <v>8</v>
      </c>
    </row>
    <row r="5789" spans="4:7">
      <c r="D5789" s="200" t="s">
        <v>5944</v>
      </c>
      <c r="E5789" s="10">
        <v>98529</v>
      </c>
      <c r="F5789" s="201">
        <v>-12.9</v>
      </c>
      <c r="G5789" s="201">
        <v>8</v>
      </c>
    </row>
    <row r="5790" spans="4:7">
      <c r="D5790" s="200" t="s">
        <v>5945</v>
      </c>
      <c r="E5790" s="10">
        <v>98590</v>
      </c>
      <c r="F5790" s="201">
        <v>-12.9</v>
      </c>
      <c r="G5790" s="201">
        <v>8.1</v>
      </c>
    </row>
    <row r="5791" spans="4:7">
      <c r="D5791" s="200" t="s">
        <v>5946</v>
      </c>
      <c r="E5791" s="10">
        <v>99189</v>
      </c>
      <c r="F5791" s="201">
        <v>-12.9</v>
      </c>
      <c r="G5791" s="201">
        <v>9.5</v>
      </c>
    </row>
    <row r="5792" spans="4:7">
      <c r="D5792" s="200" t="s">
        <v>5947</v>
      </c>
      <c r="E5792" s="10">
        <v>99195</v>
      </c>
      <c r="F5792" s="201">
        <v>-12.9</v>
      </c>
      <c r="G5792" s="201">
        <v>9.5</v>
      </c>
    </row>
    <row r="5793" spans="4:7">
      <c r="D5793" s="200" t="s">
        <v>5619</v>
      </c>
      <c r="E5793" s="10">
        <v>99425</v>
      </c>
      <c r="F5793" s="201">
        <v>-12.9</v>
      </c>
      <c r="G5793" s="201">
        <v>9.3000000000000007</v>
      </c>
    </row>
    <row r="5794" spans="4:7">
      <c r="D5794" s="200" t="s">
        <v>5948</v>
      </c>
      <c r="E5794" s="10">
        <v>99759</v>
      </c>
      <c r="F5794" s="201">
        <v>-12.9</v>
      </c>
      <c r="G5794" s="201">
        <v>8.6</v>
      </c>
    </row>
    <row r="5795" spans="4:7">
      <c r="D5795" s="200" t="s">
        <v>5949</v>
      </c>
      <c r="E5795" s="10">
        <v>99819</v>
      </c>
      <c r="F5795" s="201">
        <v>-12.9</v>
      </c>
      <c r="G5795" s="201">
        <v>8.6999999999999993</v>
      </c>
    </row>
    <row r="5796" spans="4:7">
      <c r="D5796" s="200" t="s">
        <v>5950</v>
      </c>
      <c r="E5796" s="10">
        <v>99998</v>
      </c>
      <c r="F5796" s="201">
        <v>-12.9</v>
      </c>
      <c r="G5796" s="201">
        <v>9.1999999999999993</v>
      </c>
    </row>
    <row r="5797" spans="4:7">
      <c r="D5797" s="200" t="s">
        <v>5951</v>
      </c>
      <c r="E5797" s="10">
        <v>1616</v>
      </c>
      <c r="F5797" s="201">
        <v>-13</v>
      </c>
      <c r="G5797" s="201">
        <v>9.6999999999999993</v>
      </c>
    </row>
    <row r="5798" spans="4:7">
      <c r="D5798" s="200" t="s">
        <v>5952</v>
      </c>
      <c r="E5798" s="10">
        <v>1619</v>
      </c>
      <c r="F5798" s="201">
        <v>-13</v>
      </c>
      <c r="G5798" s="201">
        <v>9.6</v>
      </c>
    </row>
    <row r="5799" spans="4:7">
      <c r="D5799" s="200" t="s">
        <v>5953</v>
      </c>
      <c r="E5799" s="10">
        <v>1640</v>
      </c>
      <c r="F5799" s="201">
        <v>-13</v>
      </c>
      <c r="G5799" s="201">
        <v>9.9</v>
      </c>
    </row>
    <row r="5800" spans="4:7">
      <c r="D5800" s="200" t="s">
        <v>4593</v>
      </c>
      <c r="E5800" s="10">
        <v>4289</v>
      </c>
      <c r="F5800" s="201">
        <v>-13</v>
      </c>
      <c r="G5800" s="201">
        <v>9.8000000000000007</v>
      </c>
    </row>
    <row r="5801" spans="4:7">
      <c r="D5801" s="200" t="s">
        <v>5954</v>
      </c>
      <c r="E5801" s="10">
        <v>4683</v>
      </c>
      <c r="F5801" s="201">
        <v>-13</v>
      </c>
      <c r="G5801" s="201">
        <v>9.6</v>
      </c>
    </row>
    <row r="5802" spans="4:7">
      <c r="D5802" s="200" t="s">
        <v>5955</v>
      </c>
      <c r="E5802" s="10">
        <v>4828</v>
      </c>
      <c r="F5802" s="201">
        <v>-13</v>
      </c>
      <c r="G5802" s="201">
        <v>9.6</v>
      </c>
    </row>
    <row r="5803" spans="4:7">
      <c r="D5803" s="200" t="s">
        <v>5956</v>
      </c>
      <c r="E5803" s="10">
        <v>4861</v>
      </c>
      <c r="F5803" s="201">
        <v>-13</v>
      </c>
      <c r="G5803" s="201">
        <v>9.5</v>
      </c>
    </row>
    <row r="5804" spans="4:7">
      <c r="D5804" s="200" t="s">
        <v>5957</v>
      </c>
      <c r="E5804" s="10">
        <v>4862</v>
      </c>
      <c r="F5804" s="201">
        <v>-13</v>
      </c>
      <c r="G5804" s="201">
        <v>9.6</v>
      </c>
    </row>
    <row r="5805" spans="4:7">
      <c r="D5805" s="200" t="s">
        <v>5713</v>
      </c>
      <c r="E5805" s="10">
        <v>6114</v>
      </c>
      <c r="F5805" s="201">
        <v>-13</v>
      </c>
      <c r="G5805" s="201">
        <v>10.199999999999999</v>
      </c>
    </row>
    <row r="5806" spans="4:7">
      <c r="D5806" s="200" t="s">
        <v>5958</v>
      </c>
      <c r="E5806" s="10">
        <v>6429</v>
      </c>
      <c r="F5806" s="201">
        <v>-13</v>
      </c>
      <c r="G5806" s="201">
        <v>9.6</v>
      </c>
    </row>
    <row r="5807" spans="4:7">
      <c r="D5807" s="200" t="s">
        <v>5959</v>
      </c>
      <c r="E5807" s="10">
        <v>6449</v>
      </c>
      <c r="F5807" s="201">
        <v>-13</v>
      </c>
      <c r="G5807" s="201">
        <v>9.3000000000000007</v>
      </c>
    </row>
    <row r="5808" spans="4:7">
      <c r="D5808" s="200" t="s">
        <v>5716</v>
      </c>
      <c r="E5808" s="10">
        <v>6464</v>
      </c>
      <c r="F5808" s="201">
        <v>-13</v>
      </c>
      <c r="G5808" s="201">
        <v>9.3000000000000007</v>
      </c>
    </row>
    <row r="5809" spans="4:7">
      <c r="D5809" s="200" t="s">
        <v>5716</v>
      </c>
      <c r="E5809" s="10">
        <v>6467</v>
      </c>
      <c r="F5809" s="201">
        <v>-13</v>
      </c>
      <c r="G5809" s="201">
        <v>9.3000000000000007</v>
      </c>
    </row>
    <row r="5810" spans="4:7">
      <c r="D5810" s="200" t="s">
        <v>5716</v>
      </c>
      <c r="E5810" s="10">
        <v>6469</v>
      </c>
      <c r="F5810" s="201">
        <v>-13</v>
      </c>
      <c r="G5810" s="201">
        <v>9.4</v>
      </c>
    </row>
    <row r="5811" spans="4:7">
      <c r="D5811" s="200" t="s">
        <v>5960</v>
      </c>
      <c r="E5811" s="10">
        <v>6556</v>
      </c>
      <c r="F5811" s="201">
        <v>-13</v>
      </c>
      <c r="G5811" s="201">
        <v>9.6999999999999993</v>
      </c>
    </row>
    <row r="5812" spans="4:7" ht="30">
      <c r="D5812" s="200" t="s">
        <v>5961</v>
      </c>
      <c r="E5812" s="10">
        <v>6571</v>
      </c>
      <c r="F5812" s="201">
        <v>-13</v>
      </c>
      <c r="G5812" s="201">
        <v>9.6999999999999993</v>
      </c>
    </row>
    <row r="5813" spans="4:7">
      <c r="D5813" s="200" t="s">
        <v>5718</v>
      </c>
      <c r="E5813" s="10">
        <v>6869</v>
      </c>
      <c r="F5813" s="201">
        <v>-13</v>
      </c>
      <c r="G5813" s="201">
        <v>9.4</v>
      </c>
    </row>
    <row r="5814" spans="4:7">
      <c r="D5814" s="200" t="s">
        <v>5962</v>
      </c>
      <c r="E5814" s="10">
        <v>6886</v>
      </c>
      <c r="F5814" s="201">
        <v>-13</v>
      </c>
      <c r="G5814" s="201">
        <v>9.6999999999999993</v>
      </c>
    </row>
    <row r="5815" spans="4:7">
      <c r="D5815" s="200" t="s">
        <v>5882</v>
      </c>
      <c r="E5815" s="10">
        <v>9111</v>
      </c>
      <c r="F5815" s="201">
        <v>-13</v>
      </c>
      <c r="G5815" s="201">
        <v>9.6999999999999993</v>
      </c>
    </row>
    <row r="5816" spans="4:7">
      <c r="D5816" s="200" t="s">
        <v>5882</v>
      </c>
      <c r="E5816" s="10">
        <v>9112</v>
      </c>
      <c r="F5816" s="201">
        <v>-13</v>
      </c>
      <c r="G5816" s="201">
        <v>9.5</v>
      </c>
    </row>
    <row r="5817" spans="4:7">
      <c r="D5817" s="200" t="s">
        <v>4418</v>
      </c>
      <c r="E5817" s="10">
        <v>12307</v>
      </c>
      <c r="F5817" s="201">
        <v>-13</v>
      </c>
      <c r="G5817" s="201">
        <v>9.6</v>
      </c>
    </row>
    <row r="5818" spans="4:7">
      <c r="D5818" s="200" t="s">
        <v>5963</v>
      </c>
      <c r="E5818" s="10">
        <v>12589</v>
      </c>
      <c r="F5818" s="201">
        <v>-13</v>
      </c>
      <c r="G5818" s="201">
        <v>9.5</v>
      </c>
    </row>
    <row r="5819" spans="4:7">
      <c r="D5819" s="200" t="s">
        <v>5964</v>
      </c>
      <c r="E5819" s="10">
        <v>14554</v>
      </c>
      <c r="F5819" s="201">
        <v>-13</v>
      </c>
      <c r="G5819" s="201">
        <v>9.6</v>
      </c>
    </row>
    <row r="5820" spans="4:7">
      <c r="D5820" s="200" t="s">
        <v>5377</v>
      </c>
      <c r="E5820" s="10">
        <v>14774</v>
      </c>
      <c r="F5820" s="201">
        <v>-13</v>
      </c>
      <c r="G5820" s="201">
        <v>9.5</v>
      </c>
    </row>
    <row r="5821" spans="4:7">
      <c r="D5821" s="200" t="s">
        <v>5965</v>
      </c>
      <c r="E5821" s="10">
        <v>14806</v>
      </c>
      <c r="F5821" s="201">
        <v>-13</v>
      </c>
      <c r="G5821" s="201">
        <v>9.1</v>
      </c>
    </row>
    <row r="5822" spans="4:7">
      <c r="D5822" s="200" t="s">
        <v>5966</v>
      </c>
      <c r="E5822" s="10">
        <v>14822</v>
      </c>
      <c r="F5822" s="201">
        <v>-13</v>
      </c>
      <c r="G5822" s="201">
        <v>9.5</v>
      </c>
    </row>
    <row r="5823" spans="4:7">
      <c r="D5823" s="200" t="s">
        <v>5967</v>
      </c>
      <c r="E5823" s="10">
        <v>14823</v>
      </c>
      <c r="F5823" s="201">
        <v>-13</v>
      </c>
      <c r="G5823" s="201">
        <v>9.3000000000000007</v>
      </c>
    </row>
    <row r="5824" spans="4:7">
      <c r="D5824" s="200" t="s">
        <v>5968</v>
      </c>
      <c r="E5824" s="10">
        <v>14943</v>
      </c>
      <c r="F5824" s="201">
        <v>-13</v>
      </c>
      <c r="G5824" s="201">
        <v>9.6999999999999993</v>
      </c>
    </row>
    <row r="5825" spans="4:7">
      <c r="D5825" s="200" t="s">
        <v>5969</v>
      </c>
      <c r="E5825" s="10">
        <v>14974</v>
      </c>
      <c r="F5825" s="201">
        <v>-13</v>
      </c>
      <c r="G5825" s="201">
        <v>9.5</v>
      </c>
    </row>
    <row r="5826" spans="4:7">
      <c r="D5826" s="200" t="s">
        <v>5970</v>
      </c>
      <c r="E5826" s="10">
        <v>14979</v>
      </c>
      <c r="F5826" s="201">
        <v>-13</v>
      </c>
      <c r="G5826" s="201">
        <v>9.6</v>
      </c>
    </row>
    <row r="5827" spans="4:7">
      <c r="D5827" s="200" t="s">
        <v>5971</v>
      </c>
      <c r="E5827" s="10">
        <v>15528</v>
      </c>
      <c r="F5827" s="201">
        <v>-13</v>
      </c>
      <c r="G5827" s="201">
        <v>9.6</v>
      </c>
    </row>
    <row r="5828" spans="4:7">
      <c r="D5828" s="200" t="s">
        <v>5972</v>
      </c>
      <c r="E5828" s="10">
        <v>15537</v>
      </c>
      <c r="F5828" s="201">
        <v>-13</v>
      </c>
      <c r="G5828" s="201">
        <v>9.5</v>
      </c>
    </row>
    <row r="5829" spans="4:7">
      <c r="D5829" s="200" t="s">
        <v>4733</v>
      </c>
      <c r="E5829" s="10">
        <v>15569</v>
      </c>
      <c r="F5829" s="201">
        <v>-13</v>
      </c>
      <c r="G5829" s="201">
        <v>9.5</v>
      </c>
    </row>
    <row r="5830" spans="4:7">
      <c r="D5830" s="200" t="s">
        <v>5973</v>
      </c>
      <c r="E5830" s="10">
        <v>16766</v>
      </c>
      <c r="F5830" s="201">
        <v>-13</v>
      </c>
      <c r="G5830" s="201">
        <v>9.5</v>
      </c>
    </row>
    <row r="5831" spans="4:7">
      <c r="D5831" s="200" t="s">
        <v>5974</v>
      </c>
      <c r="E5831" s="10">
        <v>16816</v>
      </c>
      <c r="F5831" s="201">
        <v>-13</v>
      </c>
      <c r="G5831" s="201">
        <v>9.4</v>
      </c>
    </row>
    <row r="5832" spans="4:7">
      <c r="D5832" s="200" t="s">
        <v>5975</v>
      </c>
      <c r="E5832" s="10">
        <v>16831</v>
      </c>
      <c r="F5832" s="201">
        <v>-13</v>
      </c>
      <c r="G5832" s="201">
        <v>9.1999999999999993</v>
      </c>
    </row>
    <row r="5833" spans="4:7">
      <c r="D5833" s="200" t="s">
        <v>5975</v>
      </c>
      <c r="E5833" s="10">
        <v>16837</v>
      </c>
      <c r="F5833" s="201">
        <v>-13</v>
      </c>
      <c r="G5833" s="201">
        <v>9.1</v>
      </c>
    </row>
    <row r="5834" spans="4:7">
      <c r="D5834" s="200" t="s">
        <v>5976</v>
      </c>
      <c r="E5834" s="10">
        <v>16845</v>
      </c>
      <c r="F5834" s="201">
        <v>-13</v>
      </c>
      <c r="G5834" s="201">
        <v>9.3000000000000007</v>
      </c>
    </row>
    <row r="5835" spans="4:7">
      <c r="D5835" s="200" t="s">
        <v>5977</v>
      </c>
      <c r="E5835" s="10">
        <v>16868</v>
      </c>
      <c r="F5835" s="201">
        <v>-13</v>
      </c>
      <c r="G5835" s="201">
        <v>9.3000000000000007</v>
      </c>
    </row>
    <row r="5836" spans="4:7">
      <c r="D5836" s="200" t="s">
        <v>5978</v>
      </c>
      <c r="E5836" s="10">
        <v>16909</v>
      </c>
      <c r="F5836" s="201">
        <v>-13</v>
      </c>
      <c r="G5836" s="201">
        <v>9.1999999999999993</v>
      </c>
    </row>
    <row r="5837" spans="4:7">
      <c r="D5837" s="200" t="s">
        <v>5632</v>
      </c>
      <c r="E5837" s="10">
        <v>17036</v>
      </c>
      <c r="F5837" s="201">
        <v>-13</v>
      </c>
      <c r="G5837" s="201">
        <v>9.1</v>
      </c>
    </row>
    <row r="5838" spans="4:7">
      <c r="D5838" s="200" t="s">
        <v>5979</v>
      </c>
      <c r="E5838" s="10">
        <v>17039</v>
      </c>
      <c r="F5838" s="201">
        <v>-13</v>
      </c>
      <c r="G5838" s="201">
        <v>9.1999999999999993</v>
      </c>
    </row>
    <row r="5839" spans="4:7">
      <c r="D5839" s="200" t="s">
        <v>5980</v>
      </c>
      <c r="E5839" s="10">
        <v>17237</v>
      </c>
      <c r="F5839" s="201">
        <v>-13</v>
      </c>
      <c r="G5839" s="201">
        <v>8.9</v>
      </c>
    </row>
    <row r="5840" spans="4:7">
      <c r="D5840" s="200" t="s">
        <v>5981</v>
      </c>
      <c r="E5840" s="10">
        <v>17255</v>
      </c>
      <c r="F5840" s="201">
        <v>-13</v>
      </c>
      <c r="G5840" s="201">
        <v>9.1999999999999993</v>
      </c>
    </row>
    <row r="5841" spans="4:7">
      <c r="D5841" s="200" t="s">
        <v>5982</v>
      </c>
      <c r="E5841" s="10">
        <v>36452</v>
      </c>
      <c r="F5841" s="201">
        <v>-13</v>
      </c>
      <c r="G5841" s="201">
        <v>8.3000000000000007</v>
      </c>
    </row>
    <row r="5842" spans="4:7">
      <c r="D5842" s="200" t="s">
        <v>5983</v>
      </c>
      <c r="E5842" s="10">
        <v>37445</v>
      </c>
      <c r="F5842" s="201">
        <v>-13</v>
      </c>
      <c r="G5842" s="201">
        <v>8.6999999999999993</v>
      </c>
    </row>
    <row r="5843" spans="4:7">
      <c r="D5843" s="200" t="s">
        <v>5984</v>
      </c>
      <c r="E5843" s="10">
        <v>39319</v>
      </c>
      <c r="F5843" s="201">
        <v>-13</v>
      </c>
      <c r="G5843" s="201">
        <v>9.4</v>
      </c>
    </row>
    <row r="5844" spans="4:7">
      <c r="D5844" s="200" t="s">
        <v>5985</v>
      </c>
      <c r="E5844" s="10">
        <v>39524</v>
      </c>
      <c r="F5844" s="201">
        <v>-13</v>
      </c>
      <c r="G5844" s="201">
        <v>9.3000000000000007</v>
      </c>
    </row>
    <row r="5845" spans="4:7">
      <c r="D5845" s="200" t="s">
        <v>5986</v>
      </c>
      <c r="E5845" s="10">
        <v>72419</v>
      </c>
      <c r="F5845" s="201">
        <v>-13</v>
      </c>
      <c r="G5845" s="201">
        <v>7.9</v>
      </c>
    </row>
    <row r="5846" spans="4:7">
      <c r="D5846" s="200" t="s">
        <v>5987</v>
      </c>
      <c r="E5846" s="10">
        <v>72501</v>
      </c>
      <c r="F5846" s="201">
        <v>-13</v>
      </c>
      <c r="G5846" s="201">
        <v>7.8</v>
      </c>
    </row>
    <row r="5847" spans="4:7">
      <c r="D5847" s="200" t="s">
        <v>5988</v>
      </c>
      <c r="E5847" s="10">
        <v>72510</v>
      </c>
      <c r="F5847" s="201">
        <v>-13</v>
      </c>
      <c r="G5847" s="201">
        <v>7.9</v>
      </c>
    </row>
    <row r="5848" spans="4:7">
      <c r="D5848" s="200" t="s">
        <v>5989</v>
      </c>
      <c r="E5848" s="10">
        <v>72805</v>
      </c>
      <c r="F5848" s="201">
        <v>-13</v>
      </c>
      <c r="G5848" s="201">
        <v>7.9</v>
      </c>
    </row>
    <row r="5849" spans="4:7">
      <c r="D5849" s="200" t="s">
        <v>5990</v>
      </c>
      <c r="E5849" s="10">
        <v>73268</v>
      </c>
      <c r="F5849" s="201">
        <v>-13</v>
      </c>
      <c r="G5849" s="201">
        <v>8</v>
      </c>
    </row>
    <row r="5850" spans="4:7">
      <c r="D5850" s="200" t="s">
        <v>5991</v>
      </c>
      <c r="E5850" s="10">
        <v>73340</v>
      </c>
      <c r="F5850" s="201">
        <v>-13</v>
      </c>
      <c r="G5850" s="201">
        <v>8.1999999999999993</v>
      </c>
    </row>
    <row r="5851" spans="4:7">
      <c r="D5851" s="200" t="s">
        <v>5992</v>
      </c>
      <c r="E5851" s="10">
        <v>73466</v>
      </c>
      <c r="F5851" s="201">
        <v>-13</v>
      </c>
      <c r="G5851" s="201">
        <v>8.3000000000000007</v>
      </c>
    </row>
    <row r="5852" spans="4:7">
      <c r="D5852" s="200" t="s">
        <v>5689</v>
      </c>
      <c r="E5852" s="10">
        <v>73550</v>
      </c>
      <c r="F5852" s="201">
        <v>-13</v>
      </c>
      <c r="G5852" s="201">
        <v>8.3000000000000007</v>
      </c>
    </row>
    <row r="5853" spans="4:7">
      <c r="D5853" s="200" t="s">
        <v>5993</v>
      </c>
      <c r="E5853" s="10">
        <v>75337</v>
      </c>
      <c r="F5853" s="201">
        <v>-13</v>
      </c>
      <c r="G5853" s="201">
        <v>8</v>
      </c>
    </row>
    <row r="5854" spans="4:7">
      <c r="D5854" s="200" t="s">
        <v>5480</v>
      </c>
      <c r="E5854" s="10">
        <v>78052</v>
      </c>
      <c r="F5854" s="201">
        <v>-13</v>
      </c>
      <c r="G5854" s="201">
        <v>8.1</v>
      </c>
    </row>
    <row r="5855" spans="4:7">
      <c r="D5855" s="200" t="s">
        <v>5994</v>
      </c>
      <c r="E5855" s="10">
        <v>78087</v>
      </c>
      <c r="F5855" s="201">
        <v>-13</v>
      </c>
      <c r="G5855" s="201">
        <v>7.9</v>
      </c>
    </row>
    <row r="5856" spans="4:7">
      <c r="D5856" s="200" t="s">
        <v>5995</v>
      </c>
      <c r="E5856" s="10">
        <v>78183</v>
      </c>
      <c r="F5856" s="201">
        <v>-13</v>
      </c>
      <c r="G5856" s="201">
        <v>8.1</v>
      </c>
    </row>
    <row r="5857" spans="4:7">
      <c r="D5857" s="200" t="s">
        <v>5996</v>
      </c>
      <c r="E5857" s="10">
        <v>78199</v>
      </c>
      <c r="F5857" s="201">
        <v>-13</v>
      </c>
      <c r="G5857" s="201">
        <v>8.1</v>
      </c>
    </row>
    <row r="5858" spans="4:7">
      <c r="D5858" s="200" t="s">
        <v>5997</v>
      </c>
      <c r="E5858" s="10">
        <v>78589</v>
      </c>
      <c r="F5858" s="201">
        <v>-13</v>
      </c>
      <c r="G5858" s="201">
        <v>7.9</v>
      </c>
    </row>
    <row r="5859" spans="4:7">
      <c r="D5859" s="200" t="s">
        <v>5998</v>
      </c>
      <c r="E5859" s="10">
        <v>78606</v>
      </c>
      <c r="F5859" s="201">
        <v>-13</v>
      </c>
      <c r="G5859" s="201">
        <v>8</v>
      </c>
    </row>
    <row r="5860" spans="4:7">
      <c r="D5860" s="200" t="s">
        <v>5999</v>
      </c>
      <c r="E5860" s="10">
        <v>79244</v>
      </c>
      <c r="F5860" s="201">
        <v>-13</v>
      </c>
      <c r="G5860" s="201">
        <v>8</v>
      </c>
    </row>
    <row r="5861" spans="4:7">
      <c r="D5861" s="200" t="s">
        <v>4162</v>
      </c>
      <c r="E5861" s="10">
        <v>80993</v>
      </c>
      <c r="F5861" s="201">
        <v>-13</v>
      </c>
      <c r="G5861" s="201">
        <v>9</v>
      </c>
    </row>
    <row r="5862" spans="4:7">
      <c r="D5862" s="200" t="s">
        <v>4162</v>
      </c>
      <c r="E5862" s="10">
        <v>81247</v>
      </c>
      <c r="F5862" s="201">
        <v>-13</v>
      </c>
      <c r="G5862" s="201">
        <v>9</v>
      </c>
    </row>
    <row r="5863" spans="4:7">
      <c r="D5863" s="200" t="s">
        <v>4162</v>
      </c>
      <c r="E5863" s="10">
        <v>81379</v>
      </c>
      <c r="F5863" s="201">
        <v>-13</v>
      </c>
      <c r="G5863" s="201">
        <v>9</v>
      </c>
    </row>
    <row r="5864" spans="4:7">
      <c r="D5864" s="200" t="s">
        <v>4162</v>
      </c>
      <c r="E5864" s="10">
        <v>81677</v>
      </c>
      <c r="F5864" s="201">
        <v>-13</v>
      </c>
      <c r="G5864" s="201">
        <v>9</v>
      </c>
    </row>
    <row r="5865" spans="4:7">
      <c r="D5865" s="200" t="s">
        <v>4162</v>
      </c>
      <c r="E5865" s="10">
        <v>81735</v>
      </c>
      <c r="F5865" s="201">
        <v>-13</v>
      </c>
      <c r="G5865" s="201">
        <v>9</v>
      </c>
    </row>
    <row r="5866" spans="4:7">
      <c r="D5866" s="200" t="s">
        <v>4162</v>
      </c>
      <c r="E5866" s="10">
        <v>81737</v>
      </c>
      <c r="F5866" s="201">
        <v>-13</v>
      </c>
      <c r="G5866" s="201">
        <v>9.1</v>
      </c>
    </row>
    <row r="5867" spans="4:7">
      <c r="D5867" s="200" t="s">
        <v>4162</v>
      </c>
      <c r="E5867" s="10">
        <v>81927</v>
      </c>
      <c r="F5867" s="201">
        <v>-13</v>
      </c>
      <c r="G5867" s="201">
        <v>9</v>
      </c>
    </row>
    <row r="5868" spans="4:7">
      <c r="D5868" s="200" t="s">
        <v>6000</v>
      </c>
      <c r="E5868" s="10">
        <v>83104</v>
      </c>
      <c r="F5868" s="201">
        <v>-13</v>
      </c>
      <c r="G5868" s="201">
        <v>8.6</v>
      </c>
    </row>
    <row r="5869" spans="4:7">
      <c r="D5869" s="200" t="s">
        <v>6001</v>
      </c>
      <c r="E5869" s="10">
        <v>83123</v>
      </c>
      <c r="F5869" s="201">
        <v>-13</v>
      </c>
      <c r="G5869" s="201">
        <v>8.5</v>
      </c>
    </row>
    <row r="5870" spans="4:7">
      <c r="D5870" s="200" t="s">
        <v>6002</v>
      </c>
      <c r="E5870" s="10">
        <v>83329</v>
      </c>
      <c r="F5870" s="201">
        <v>-13</v>
      </c>
      <c r="G5870" s="201">
        <v>8.8000000000000007</v>
      </c>
    </row>
    <row r="5871" spans="4:7">
      <c r="D5871" s="200" t="s">
        <v>6003</v>
      </c>
      <c r="E5871" s="10">
        <v>83349</v>
      </c>
      <c r="F5871" s="201">
        <v>-13</v>
      </c>
      <c r="G5871" s="201">
        <v>8.5</v>
      </c>
    </row>
    <row r="5872" spans="4:7">
      <c r="D5872" s="200" t="s">
        <v>6004</v>
      </c>
      <c r="E5872" s="10">
        <v>83362</v>
      </c>
      <c r="F5872" s="201">
        <v>-13</v>
      </c>
      <c r="G5872" s="201">
        <v>8.5</v>
      </c>
    </row>
    <row r="5873" spans="4:7">
      <c r="D5873" s="200" t="s">
        <v>6005</v>
      </c>
      <c r="E5873" s="10">
        <v>83373</v>
      </c>
      <c r="F5873" s="201">
        <v>-13</v>
      </c>
      <c r="G5873" s="201">
        <v>8.6999999999999993</v>
      </c>
    </row>
    <row r="5874" spans="4:7">
      <c r="D5874" s="200" t="s">
        <v>6006</v>
      </c>
      <c r="E5874" s="10">
        <v>83413</v>
      </c>
      <c r="F5874" s="201">
        <v>-13</v>
      </c>
      <c r="G5874" s="201">
        <v>9.1999999999999993</v>
      </c>
    </row>
    <row r="5875" spans="4:7">
      <c r="D5875" s="200" t="s">
        <v>6007</v>
      </c>
      <c r="E5875" s="10">
        <v>83417</v>
      </c>
      <c r="F5875" s="201">
        <v>-13</v>
      </c>
      <c r="G5875" s="201">
        <v>9</v>
      </c>
    </row>
    <row r="5876" spans="4:7">
      <c r="D5876" s="200" t="s">
        <v>6008</v>
      </c>
      <c r="E5876" s="10">
        <v>83487</v>
      </c>
      <c r="F5876" s="201">
        <v>-13</v>
      </c>
      <c r="G5876" s="201">
        <v>8.1999999999999993</v>
      </c>
    </row>
    <row r="5877" spans="4:7">
      <c r="D5877" s="200" t="s">
        <v>6009</v>
      </c>
      <c r="E5877" s="10">
        <v>83553</v>
      </c>
      <c r="F5877" s="201">
        <v>-13</v>
      </c>
      <c r="G5877" s="201">
        <v>8.5</v>
      </c>
    </row>
    <row r="5878" spans="4:7">
      <c r="D5878" s="200" t="s">
        <v>6010</v>
      </c>
      <c r="E5878" s="10">
        <v>84333</v>
      </c>
      <c r="F5878" s="201">
        <v>-13</v>
      </c>
      <c r="G5878" s="201">
        <v>8.6999999999999993</v>
      </c>
    </row>
    <row r="5879" spans="4:7">
      <c r="D5879" s="200" t="s">
        <v>2271</v>
      </c>
      <c r="E5879" s="10">
        <v>84561</v>
      </c>
      <c r="F5879" s="201">
        <v>-13</v>
      </c>
      <c r="G5879" s="201">
        <v>9</v>
      </c>
    </row>
    <row r="5880" spans="4:7">
      <c r="D5880" s="200" t="s">
        <v>6011</v>
      </c>
      <c r="E5880" s="10">
        <v>85077</v>
      </c>
      <c r="F5880" s="201">
        <v>-13</v>
      </c>
      <c r="G5880" s="201">
        <v>9.1999999999999993</v>
      </c>
    </row>
    <row r="5881" spans="4:7">
      <c r="D5881" s="200" t="s">
        <v>6012</v>
      </c>
      <c r="E5881" s="10">
        <v>85088</v>
      </c>
      <c r="F5881" s="201">
        <v>-13</v>
      </c>
      <c r="G5881" s="201">
        <v>9.1999999999999993</v>
      </c>
    </row>
    <row r="5882" spans="4:7">
      <c r="D5882" s="200" t="s">
        <v>6013</v>
      </c>
      <c r="E5882" s="10">
        <v>85092</v>
      </c>
      <c r="F5882" s="201">
        <v>-13</v>
      </c>
      <c r="G5882" s="201">
        <v>8.9</v>
      </c>
    </row>
    <row r="5883" spans="4:7">
      <c r="D5883" s="200" t="s">
        <v>6014</v>
      </c>
      <c r="E5883" s="10">
        <v>85101</v>
      </c>
      <c r="F5883" s="201">
        <v>-13</v>
      </c>
      <c r="G5883" s="201">
        <v>9</v>
      </c>
    </row>
    <row r="5884" spans="4:7">
      <c r="D5884" s="200" t="s">
        <v>6015</v>
      </c>
      <c r="E5884" s="10">
        <v>85126</v>
      </c>
      <c r="F5884" s="201">
        <v>-13</v>
      </c>
      <c r="G5884" s="201">
        <v>9.1999999999999993</v>
      </c>
    </row>
    <row r="5885" spans="4:7">
      <c r="D5885" s="200" t="s">
        <v>6016</v>
      </c>
      <c r="E5885" s="10">
        <v>85131</v>
      </c>
      <c r="F5885" s="201">
        <v>-13</v>
      </c>
      <c r="G5885" s="201">
        <v>8.4</v>
      </c>
    </row>
    <row r="5886" spans="4:7">
      <c r="D5886" s="200" t="s">
        <v>6017</v>
      </c>
      <c r="E5886" s="10">
        <v>85643</v>
      </c>
      <c r="F5886" s="201">
        <v>-13</v>
      </c>
      <c r="G5886" s="201">
        <v>8.5</v>
      </c>
    </row>
    <row r="5887" spans="4:7">
      <c r="D5887" s="200" t="s">
        <v>6018</v>
      </c>
      <c r="E5887" s="10">
        <v>86488</v>
      </c>
      <c r="F5887" s="201">
        <v>-13</v>
      </c>
      <c r="G5887" s="201">
        <v>8.8000000000000007</v>
      </c>
    </row>
    <row r="5888" spans="4:7">
      <c r="D5888" s="200" t="s">
        <v>6019</v>
      </c>
      <c r="E5888" s="10">
        <v>86489</v>
      </c>
      <c r="F5888" s="201">
        <v>-13</v>
      </c>
      <c r="G5888" s="201">
        <v>8.8000000000000007</v>
      </c>
    </row>
    <row r="5889" spans="4:7">
      <c r="D5889" s="200" t="s">
        <v>3632</v>
      </c>
      <c r="E5889" s="10">
        <v>86519</v>
      </c>
      <c r="F5889" s="201">
        <v>-13</v>
      </c>
      <c r="G5889" s="201">
        <v>8.6999999999999993</v>
      </c>
    </row>
    <row r="5890" spans="4:7">
      <c r="D5890" s="200" t="s">
        <v>6020</v>
      </c>
      <c r="E5890" s="10">
        <v>86650</v>
      </c>
      <c r="F5890" s="201">
        <v>-13</v>
      </c>
      <c r="G5890" s="201">
        <v>8.9</v>
      </c>
    </row>
    <row r="5891" spans="4:7">
      <c r="D5891" s="200" t="s">
        <v>6021</v>
      </c>
      <c r="E5891" s="10">
        <v>86703</v>
      </c>
      <c r="F5891" s="201">
        <v>-13</v>
      </c>
      <c r="G5891" s="201">
        <v>8.5</v>
      </c>
    </row>
    <row r="5892" spans="4:7">
      <c r="D5892" s="200" t="s">
        <v>6022</v>
      </c>
      <c r="E5892" s="10">
        <v>86720</v>
      </c>
      <c r="F5892" s="201">
        <v>-13</v>
      </c>
      <c r="G5892" s="201">
        <v>9</v>
      </c>
    </row>
    <row r="5893" spans="4:7">
      <c r="D5893" s="200" t="s">
        <v>6023</v>
      </c>
      <c r="E5893" s="10">
        <v>86733</v>
      </c>
      <c r="F5893" s="201">
        <v>-13</v>
      </c>
      <c r="G5893" s="201">
        <v>9.1</v>
      </c>
    </row>
    <row r="5894" spans="4:7">
      <c r="D5894" s="200" t="s">
        <v>6024</v>
      </c>
      <c r="E5894" s="10">
        <v>86738</v>
      </c>
      <c r="F5894" s="201">
        <v>-13</v>
      </c>
      <c r="G5894" s="201">
        <v>9</v>
      </c>
    </row>
    <row r="5895" spans="4:7">
      <c r="D5895" s="200" t="s">
        <v>6025</v>
      </c>
      <c r="E5895" s="10">
        <v>86756</v>
      </c>
      <c r="F5895" s="201">
        <v>-13</v>
      </c>
      <c r="G5895" s="201">
        <v>9</v>
      </c>
    </row>
    <row r="5896" spans="4:7">
      <c r="D5896" s="200" t="s">
        <v>6026</v>
      </c>
      <c r="E5896" s="10">
        <v>86759</v>
      </c>
      <c r="F5896" s="201">
        <v>-13</v>
      </c>
      <c r="G5896" s="201">
        <v>9</v>
      </c>
    </row>
    <row r="5897" spans="4:7">
      <c r="D5897" s="200" t="s">
        <v>3060</v>
      </c>
      <c r="E5897" s="10">
        <v>87727</v>
      </c>
      <c r="F5897" s="201">
        <v>-13</v>
      </c>
      <c r="G5897" s="201">
        <v>8.6999999999999993</v>
      </c>
    </row>
    <row r="5898" spans="4:7">
      <c r="D5898" s="200" t="s">
        <v>6027</v>
      </c>
      <c r="E5898" s="10">
        <v>87785</v>
      </c>
      <c r="F5898" s="201">
        <v>-13</v>
      </c>
      <c r="G5898" s="201">
        <v>8.6</v>
      </c>
    </row>
    <row r="5899" spans="4:7">
      <c r="D5899" s="200" t="s">
        <v>6028</v>
      </c>
      <c r="E5899" s="10">
        <v>88374</v>
      </c>
      <c r="F5899" s="201">
        <v>-13</v>
      </c>
      <c r="G5899" s="201">
        <v>8.1</v>
      </c>
    </row>
    <row r="5900" spans="4:7">
      <c r="D5900" s="200" t="s">
        <v>6029</v>
      </c>
      <c r="E5900" s="10">
        <v>88437</v>
      </c>
      <c r="F5900" s="201">
        <v>-13</v>
      </c>
      <c r="G5900" s="201">
        <v>8.6</v>
      </c>
    </row>
    <row r="5901" spans="4:7">
      <c r="D5901" s="200" t="s">
        <v>6030</v>
      </c>
      <c r="E5901" s="10">
        <v>88441</v>
      </c>
      <c r="F5901" s="201">
        <v>-13</v>
      </c>
      <c r="G5901" s="201">
        <v>8.5</v>
      </c>
    </row>
    <row r="5902" spans="4:7">
      <c r="D5902" s="200" t="s">
        <v>6031</v>
      </c>
      <c r="E5902" s="10">
        <v>88444</v>
      </c>
      <c r="F5902" s="201">
        <v>-13</v>
      </c>
      <c r="G5902" s="201">
        <v>8.5</v>
      </c>
    </row>
    <row r="5903" spans="4:7">
      <c r="D5903" s="200" t="s">
        <v>6032</v>
      </c>
      <c r="E5903" s="10">
        <v>88456</v>
      </c>
      <c r="F5903" s="201">
        <v>-13</v>
      </c>
      <c r="G5903" s="201">
        <v>8.5</v>
      </c>
    </row>
    <row r="5904" spans="4:7">
      <c r="D5904" s="200" t="s">
        <v>6033</v>
      </c>
      <c r="E5904" s="10">
        <v>88481</v>
      </c>
      <c r="F5904" s="201">
        <v>-13</v>
      </c>
      <c r="G5904" s="201">
        <v>8.5</v>
      </c>
    </row>
    <row r="5905" spans="4:7">
      <c r="D5905" s="200" t="s">
        <v>6034</v>
      </c>
      <c r="E5905" s="10">
        <v>88483</v>
      </c>
      <c r="F5905" s="201">
        <v>-13</v>
      </c>
      <c r="G5905" s="201">
        <v>8.6</v>
      </c>
    </row>
    <row r="5906" spans="4:7">
      <c r="D5906" s="200" t="s">
        <v>6035</v>
      </c>
      <c r="E5906" s="10">
        <v>88487</v>
      </c>
      <c r="F5906" s="201">
        <v>-13</v>
      </c>
      <c r="G5906" s="201">
        <v>8.6999999999999993</v>
      </c>
    </row>
    <row r="5907" spans="4:7">
      <c r="D5907" s="200" t="s">
        <v>6036</v>
      </c>
      <c r="E5907" s="10">
        <v>88489</v>
      </c>
      <c r="F5907" s="201">
        <v>-13</v>
      </c>
      <c r="G5907" s="201">
        <v>8.6999999999999993</v>
      </c>
    </row>
    <row r="5908" spans="4:7">
      <c r="D5908" s="200" t="s">
        <v>6037</v>
      </c>
      <c r="E5908" s="10">
        <v>88524</v>
      </c>
      <c r="F5908" s="201">
        <v>-13</v>
      </c>
      <c r="G5908" s="201">
        <v>8.5</v>
      </c>
    </row>
    <row r="5909" spans="4:7">
      <c r="D5909" s="200" t="s">
        <v>6038</v>
      </c>
      <c r="E5909" s="10">
        <v>89160</v>
      </c>
      <c r="F5909" s="201">
        <v>-13</v>
      </c>
      <c r="G5909" s="201">
        <v>8.1999999999999993</v>
      </c>
    </row>
    <row r="5910" spans="4:7">
      <c r="D5910" s="200" t="s">
        <v>6039</v>
      </c>
      <c r="E5910" s="10">
        <v>89165</v>
      </c>
      <c r="F5910" s="201">
        <v>-13</v>
      </c>
      <c r="G5910" s="201">
        <v>8.6</v>
      </c>
    </row>
    <row r="5911" spans="4:7">
      <c r="D5911" s="200" t="s">
        <v>6040</v>
      </c>
      <c r="E5911" s="10">
        <v>89180</v>
      </c>
      <c r="F5911" s="201">
        <v>-13</v>
      </c>
      <c r="G5911" s="201">
        <v>8</v>
      </c>
    </row>
    <row r="5912" spans="4:7">
      <c r="D5912" s="200" t="s">
        <v>6041</v>
      </c>
      <c r="E5912" s="10">
        <v>89194</v>
      </c>
      <c r="F5912" s="201">
        <v>-13</v>
      </c>
      <c r="G5912" s="201">
        <v>8.6</v>
      </c>
    </row>
    <row r="5913" spans="4:7">
      <c r="D5913" s="200" t="s">
        <v>6042</v>
      </c>
      <c r="E5913" s="10">
        <v>89195</v>
      </c>
      <c r="F5913" s="201">
        <v>-13</v>
      </c>
      <c r="G5913" s="201">
        <v>8.6999999999999993</v>
      </c>
    </row>
    <row r="5914" spans="4:7">
      <c r="D5914" s="200" t="s">
        <v>6043</v>
      </c>
      <c r="E5914" s="10">
        <v>89197</v>
      </c>
      <c r="F5914" s="201">
        <v>-13</v>
      </c>
      <c r="G5914" s="201">
        <v>8.1999999999999993</v>
      </c>
    </row>
    <row r="5915" spans="4:7">
      <c r="D5915" s="200" t="s">
        <v>6044</v>
      </c>
      <c r="E5915" s="10">
        <v>89290</v>
      </c>
      <c r="F5915" s="201">
        <v>-13</v>
      </c>
      <c r="G5915" s="201">
        <v>8.6</v>
      </c>
    </row>
    <row r="5916" spans="4:7">
      <c r="D5916" s="200" t="s">
        <v>6045</v>
      </c>
      <c r="E5916" s="10">
        <v>89293</v>
      </c>
      <c r="F5916" s="201">
        <v>-13</v>
      </c>
      <c r="G5916" s="201">
        <v>8.4</v>
      </c>
    </row>
    <row r="5917" spans="4:7">
      <c r="D5917" s="200" t="s">
        <v>6046</v>
      </c>
      <c r="E5917" s="10">
        <v>89294</v>
      </c>
      <c r="F5917" s="201">
        <v>-13</v>
      </c>
      <c r="G5917" s="201">
        <v>8.5</v>
      </c>
    </row>
    <row r="5918" spans="4:7">
      <c r="D5918" s="200" t="s">
        <v>6047</v>
      </c>
      <c r="E5918" s="10">
        <v>89358</v>
      </c>
      <c r="F5918" s="201">
        <v>-13</v>
      </c>
      <c r="G5918" s="201">
        <v>8.6999999999999993</v>
      </c>
    </row>
    <row r="5919" spans="4:7">
      <c r="D5919" s="200" t="s">
        <v>6048</v>
      </c>
      <c r="E5919" s="10">
        <v>89428</v>
      </c>
      <c r="F5919" s="201">
        <v>-13</v>
      </c>
      <c r="G5919" s="201">
        <v>8.6999999999999993</v>
      </c>
    </row>
    <row r="5920" spans="4:7">
      <c r="D5920" s="200" t="s">
        <v>6049</v>
      </c>
      <c r="E5920" s="10">
        <v>89437</v>
      </c>
      <c r="F5920" s="201">
        <v>-13</v>
      </c>
      <c r="G5920" s="201">
        <v>8.6999999999999993</v>
      </c>
    </row>
    <row r="5921" spans="4:7">
      <c r="D5921" s="200" t="s">
        <v>6050</v>
      </c>
      <c r="E5921" s="10">
        <v>89441</v>
      </c>
      <c r="F5921" s="201">
        <v>-13</v>
      </c>
      <c r="G5921" s="201">
        <v>8.8000000000000007</v>
      </c>
    </row>
    <row r="5922" spans="4:7">
      <c r="D5922" s="200" t="s">
        <v>6051</v>
      </c>
      <c r="E5922" s="10">
        <v>89447</v>
      </c>
      <c r="F5922" s="201">
        <v>-13</v>
      </c>
      <c r="G5922" s="201">
        <v>8.6</v>
      </c>
    </row>
    <row r="5923" spans="4:7">
      <c r="D5923" s="200" t="s">
        <v>6052</v>
      </c>
      <c r="E5923" s="10">
        <v>89564</v>
      </c>
      <c r="F5923" s="201">
        <v>-13</v>
      </c>
      <c r="G5923" s="201">
        <v>8.1</v>
      </c>
    </row>
    <row r="5924" spans="4:7">
      <c r="D5924" s="200" t="s">
        <v>6053</v>
      </c>
      <c r="E5924" s="10">
        <v>89611</v>
      </c>
      <c r="F5924" s="201">
        <v>-13</v>
      </c>
      <c r="G5924" s="201">
        <v>8.4</v>
      </c>
    </row>
    <row r="5925" spans="4:7">
      <c r="D5925" s="200" t="s">
        <v>6054</v>
      </c>
      <c r="E5925" s="10">
        <v>89613</v>
      </c>
      <c r="F5925" s="201">
        <v>-13</v>
      </c>
      <c r="G5925" s="201">
        <v>8.6999999999999993</v>
      </c>
    </row>
    <row r="5926" spans="4:7">
      <c r="D5926" s="200" t="s">
        <v>6055</v>
      </c>
      <c r="E5926" s="10">
        <v>89617</v>
      </c>
      <c r="F5926" s="201">
        <v>-13</v>
      </c>
      <c r="G5926" s="201">
        <v>8.6</v>
      </c>
    </row>
    <row r="5927" spans="4:7">
      <c r="D5927" s="200" t="s">
        <v>6056</v>
      </c>
      <c r="E5927" s="10">
        <v>89619</v>
      </c>
      <c r="F5927" s="201">
        <v>-13</v>
      </c>
      <c r="G5927" s="201">
        <v>8.8000000000000007</v>
      </c>
    </row>
    <row r="5928" spans="4:7">
      <c r="D5928" s="200" t="s">
        <v>4257</v>
      </c>
      <c r="E5928" s="10">
        <v>90469</v>
      </c>
      <c r="F5928" s="201">
        <v>-13</v>
      </c>
      <c r="G5928" s="201">
        <v>9.6</v>
      </c>
    </row>
    <row r="5929" spans="4:7">
      <c r="D5929" s="200" t="s">
        <v>6057</v>
      </c>
      <c r="E5929" s="10">
        <v>90619</v>
      </c>
      <c r="F5929" s="201">
        <v>-13</v>
      </c>
      <c r="G5929" s="201">
        <v>9.1999999999999993</v>
      </c>
    </row>
    <row r="5930" spans="4:7">
      <c r="D5930" s="200" t="s">
        <v>3307</v>
      </c>
      <c r="E5930" s="10">
        <v>90765</v>
      </c>
      <c r="F5930" s="201">
        <v>-13</v>
      </c>
      <c r="G5930" s="201">
        <v>9.6</v>
      </c>
    </row>
    <row r="5931" spans="4:7">
      <c r="D5931" s="200" t="s">
        <v>6058</v>
      </c>
      <c r="E5931" s="10">
        <v>91088</v>
      </c>
      <c r="F5931" s="201">
        <v>-13</v>
      </c>
      <c r="G5931" s="201">
        <v>9.5</v>
      </c>
    </row>
    <row r="5932" spans="4:7">
      <c r="D5932" s="200" t="s">
        <v>6059</v>
      </c>
      <c r="E5932" s="10">
        <v>91325</v>
      </c>
      <c r="F5932" s="201">
        <v>-13</v>
      </c>
      <c r="G5932" s="201">
        <v>9.3000000000000007</v>
      </c>
    </row>
    <row r="5933" spans="4:7">
      <c r="D5933" s="200" t="s">
        <v>6060</v>
      </c>
      <c r="E5933" s="10">
        <v>91350</v>
      </c>
      <c r="F5933" s="201">
        <v>-13</v>
      </c>
      <c r="G5933" s="201">
        <v>9.3000000000000007</v>
      </c>
    </row>
    <row r="5934" spans="4:7">
      <c r="D5934" s="200" t="s">
        <v>3933</v>
      </c>
      <c r="E5934" s="10">
        <v>91353</v>
      </c>
      <c r="F5934" s="201">
        <v>-13</v>
      </c>
      <c r="G5934" s="201">
        <v>9.4</v>
      </c>
    </row>
    <row r="5935" spans="4:7">
      <c r="D5935" s="200" t="s">
        <v>6061</v>
      </c>
      <c r="E5935" s="10">
        <v>91361</v>
      </c>
      <c r="F5935" s="201">
        <v>-13</v>
      </c>
      <c r="G5935" s="201">
        <v>9.1999999999999993</v>
      </c>
    </row>
    <row r="5936" spans="4:7">
      <c r="D5936" s="200" t="s">
        <v>6062</v>
      </c>
      <c r="E5936" s="10">
        <v>91522</v>
      </c>
      <c r="F5936" s="201">
        <v>-13</v>
      </c>
      <c r="G5936" s="201">
        <v>9.1</v>
      </c>
    </row>
    <row r="5937" spans="4:7">
      <c r="D5937" s="200" t="s">
        <v>6063</v>
      </c>
      <c r="E5937" s="10">
        <v>91595</v>
      </c>
      <c r="F5937" s="201">
        <v>-13</v>
      </c>
      <c r="G5937" s="201">
        <v>8.6999999999999993</v>
      </c>
    </row>
    <row r="5938" spans="4:7">
      <c r="D5938" s="200" t="s">
        <v>6064</v>
      </c>
      <c r="E5938" s="10">
        <v>91599</v>
      </c>
      <c r="F5938" s="201">
        <v>-13</v>
      </c>
      <c r="G5938" s="201">
        <v>8.6999999999999993</v>
      </c>
    </row>
    <row r="5939" spans="4:7">
      <c r="D5939" s="200" t="s">
        <v>6065</v>
      </c>
      <c r="E5939" s="10">
        <v>91617</v>
      </c>
      <c r="F5939" s="201">
        <v>-13</v>
      </c>
      <c r="G5939" s="201">
        <v>8.9</v>
      </c>
    </row>
    <row r="5940" spans="4:7">
      <c r="D5940" s="200" t="s">
        <v>6066</v>
      </c>
      <c r="E5940" s="10">
        <v>91725</v>
      </c>
      <c r="F5940" s="201">
        <v>-13</v>
      </c>
      <c r="G5940" s="201">
        <v>8.6</v>
      </c>
    </row>
    <row r="5941" spans="4:7">
      <c r="D5941" s="200" t="s">
        <v>6067</v>
      </c>
      <c r="E5941" s="10">
        <v>91743</v>
      </c>
      <c r="F5941" s="201">
        <v>-13</v>
      </c>
      <c r="G5941" s="201">
        <v>8.9</v>
      </c>
    </row>
    <row r="5942" spans="4:7">
      <c r="D5942" s="200" t="s">
        <v>6068</v>
      </c>
      <c r="E5942" s="10">
        <v>92318</v>
      </c>
      <c r="F5942" s="201">
        <v>-13</v>
      </c>
      <c r="G5942" s="201">
        <v>9</v>
      </c>
    </row>
    <row r="5943" spans="4:7">
      <c r="D5943" s="200" t="s">
        <v>6069</v>
      </c>
      <c r="E5943" s="10">
        <v>92339</v>
      </c>
      <c r="F5943" s="201">
        <v>-13</v>
      </c>
      <c r="G5943" s="201">
        <v>8.6999999999999993</v>
      </c>
    </row>
    <row r="5944" spans="4:7">
      <c r="D5944" s="200" t="s">
        <v>4895</v>
      </c>
      <c r="E5944" s="10">
        <v>93059</v>
      </c>
      <c r="F5944" s="201">
        <v>-13</v>
      </c>
      <c r="G5944" s="201">
        <v>8.8000000000000007</v>
      </c>
    </row>
    <row r="5945" spans="4:7">
      <c r="D5945" s="200" t="s">
        <v>6070</v>
      </c>
      <c r="E5945" s="10">
        <v>94424</v>
      </c>
      <c r="F5945" s="201">
        <v>-13</v>
      </c>
      <c r="G5945" s="201">
        <v>8.6</v>
      </c>
    </row>
    <row r="5946" spans="4:7">
      <c r="D5946" s="200" t="s">
        <v>6071</v>
      </c>
      <c r="E5946" s="10">
        <v>94550</v>
      </c>
      <c r="F5946" s="201">
        <v>-13</v>
      </c>
      <c r="G5946" s="201">
        <v>9</v>
      </c>
    </row>
    <row r="5947" spans="4:7">
      <c r="D5947" s="200" t="s">
        <v>6072</v>
      </c>
      <c r="E5947" s="10">
        <v>95349</v>
      </c>
      <c r="F5947" s="201">
        <v>-13</v>
      </c>
      <c r="G5947" s="201">
        <v>8.3000000000000007</v>
      </c>
    </row>
    <row r="5948" spans="4:7">
      <c r="D5948" s="200" t="s">
        <v>4392</v>
      </c>
      <c r="E5948" s="10">
        <v>95448</v>
      </c>
      <c r="F5948" s="201">
        <v>-13</v>
      </c>
      <c r="G5948" s="201">
        <v>8.6999999999999993</v>
      </c>
    </row>
    <row r="5949" spans="4:7">
      <c r="D5949" s="200" t="s">
        <v>6073</v>
      </c>
      <c r="E5949" s="10">
        <v>96132</v>
      </c>
      <c r="F5949" s="201">
        <v>-13</v>
      </c>
      <c r="G5949" s="201">
        <v>8.9</v>
      </c>
    </row>
    <row r="5950" spans="4:7">
      <c r="D5950" s="200" t="s">
        <v>6074</v>
      </c>
      <c r="E5950" s="10">
        <v>96142</v>
      </c>
      <c r="F5950" s="201">
        <v>-13</v>
      </c>
      <c r="G5950" s="201">
        <v>8.5</v>
      </c>
    </row>
    <row r="5951" spans="4:7">
      <c r="D5951" s="200" t="s">
        <v>6075</v>
      </c>
      <c r="E5951" s="10">
        <v>96160</v>
      </c>
      <c r="F5951" s="201">
        <v>-13</v>
      </c>
      <c r="G5951" s="201">
        <v>8.9</v>
      </c>
    </row>
    <row r="5952" spans="4:7">
      <c r="D5952" s="200" t="s">
        <v>6076</v>
      </c>
      <c r="E5952" s="10">
        <v>96178</v>
      </c>
      <c r="F5952" s="201">
        <v>-13</v>
      </c>
      <c r="G5952" s="201">
        <v>9.1999999999999993</v>
      </c>
    </row>
    <row r="5953" spans="4:7">
      <c r="D5953" s="200" t="s">
        <v>6077</v>
      </c>
      <c r="E5953" s="10">
        <v>96196</v>
      </c>
      <c r="F5953" s="201">
        <v>-13</v>
      </c>
      <c r="G5953" s="201">
        <v>8</v>
      </c>
    </row>
    <row r="5954" spans="4:7">
      <c r="D5954" s="200" t="s">
        <v>6078</v>
      </c>
      <c r="E5954" s="10">
        <v>96199</v>
      </c>
      <c r="F5954" s="201">
        <v>-13</v>
      </c>
      <c r="G5954" s="201">
        <v>9.1</v>
      </c>
    </row>
    <row r="5955" spans="4:7">
      <c r="D5955" s="200" t="s">
        <v>6079</v>
      </c>
      <c r="E5955" s="10">
        <v>97514</v>
      </c>
      <c r="F5955" s="201">
        <v>-13</v>
      </c>
      <c r="G5955" s="201">
        <v>8.5</v>
      </c>
    </row>
    <row r="5956" spans="4:7">
      <c r="D5956" s="200" t="s">
        <v>4966</v>
      </c>
      <c r="E5956" s="10">
        <v>99095</v>
      </c>
      <c r="F5956" s="201">
        <v>-13</v>
      </c>
      <c r="G5956" s="201">
        <v>9.5</v>
      </c>
    </row>
    <row r="5957" spans="4:7">
      <c r="D5957" s="200" t="s">
        <v>6080</v>
      </c>
      <c r="E5957" s="10">
        <v>99198</v>
      </c>
      <c r="F5957" s="201">
        <v>-13</v>
      </c>
      <c r="G5957" s="201">
        <v>9.3000000000000007</v>
      </c>
    </row>
    <row r="5958" spans="4:7">
      <c r="D5958" s="200" t="s">
        <v>6081</v>
      </c>
      <c r="E5958" s="10">
        <v>99610</v>
      </c>
      <c r="F5958" s="201">
        <v>-13</v>
      </c>
      <c r="G5958" s="201">
        <v>9.5</v>
      </c>
    </row>
    <row r="5959" spans="4:7">
      <c r="D5959" s="200" t="s">
        <v>6082</v>
      </c>
      <c r="E5959" s="10">
        <v>99628</v>
      </c>
      <c r="F5959" s="201">
        <v>-13</v>
      </c>
      <c r="G5959" s="201">
        <v>9.5</v>
      </c>
    </row>
    <row r="5960" spans="4:7">
      <c r="D5960" s="200" t="s">
        <v>6083</v>
      </c>
      <c r="E5960" s="10">
        <v>99634</v>
      </c>
      <c r="F5960" s="201">
        <v>-13</v>
      </c>
      <c r="G5960" s="201">
        <v>9.5</v>
      </c>
    </row>
    <row r="5961" spans="4:7">
      <c r="D5961" s="200" t="s">
        <v>6084</v>
      </c>
      <c r="E5961" s="10">
        <v>99638</v>
      </c>
      <c r="F5961" s="201">
        <v>-13</v>
      </c>
      <c r="G5961" s="201">
        <v>9.4</v>
      </c>
    </row>
    <row r="5962" spans="4:7">
      <c r="D5962" s="200" t="s">
        <v>6085</v>
      </c>
      <c r="E5962" s="10">
        <v>99707</v>
      </c>
      <c r="F5962" s="201">
        <v>-13</v>
      </c>
      <c r="G5962" s="201">
        <v>9.4</v>
      </c>
    </row>
    <row r="5963" spans="4:7">
      <c r="D5963" s="200" t="s">
        <v>6086</v>
      </c>
      <c r="E5963" s="10">
        <v>99831</v>
      </c>
      <c r="F5963" s="201">
        <v>-13</v>
      </c>
      <c r="G5963" s="201">
        <v>8.5</v>
      </c>
    </row>
    <row r="5964" spans="4:7">
      <c r="D5964" s="200" t="s">
        <v>5069</v>
      </c>
      <c r="E5964" s="10">
        <v>1279</v>
      </c>
      <c r="F5964" s="201">
        <v>-13.1</v>
      </c>
      <c r="G5964" s="201">
        <v>9.9</v>
      </c>
    </row>
    <row r="5965" spans="4:7">
      <c r="D5965" s="200" t="s">
        <v>4593</v>
      </c>
      <c r="E5965" s="10">
        <v>4207</v>
      </c>
      <c r="F5965" s="201">
        <v>-13.1</v>
      </c>
      <c r="G5965" s="201">
        <v>9.6999999999999993</v>
      </c>
    </row>
    <row r="5966" spans="4:7">
      <c r="D5966" s="200" t="s">
        <v>4593</v>
      </c>
      <c r="E5966" s="10">
        <v>4288</v>
      </c>
      <c r="F5966" s="201">
        <v>-13.1</v>
      </c>
      <c r="G5966" s="201">
        <v>9.6</v>
      </c>
    </row>
    <row r="5967" spans="4:7">
      <c r="D5967" s="200" t="s">
        <v>4593</v>
      </c>
      <c r="E5967" s="10">
        <v>4319</v>
      </c>
      <c r="F5967" s="201">
        <v>-13.1</v>
      </c>
      <c r="G5967" s="201">
        <v>9.6</v>
      </c>
    </row>
    <row r="5968" spans="4:7">
      <c r="D5968" s="200" t="s">
        <v>4593</v>
      </c>
      <c r="E5968" s="10">
        <v>4349</v>
      </c>
      <c r="F5968" s="201">
        <v>-13.1</v>
      </c>
      <c r="G5968" s="201">
        <v>9.6999999999999993</v>
      </c>
    </row>
    <row r="5969" spans="4:7">
      <c r="D5969" s="200" t="s">
        <v>6087</v>
      </c>
      <c r="E5969" s="10">
        <v>4451</v>
      </c>
      <c r="F5969" s="201">
        <v>-13.1</v>
      </c>
      <c r="G5969" s="201">
        <v>9.6</v>
      </c>
    </row>
    <row r="5970" spans="4:7">
      <c r="D5970" s="200" t="s">
        <v>6088</v>
      </c>
      <c r="E5970" s="10">
        <v>4565</v>
      </c>
      <c r="F5970" s="201">
        <v>-13.1</v>
      </c>
      <c r="G5970" s="201">
        <v>9.6</v>
      </c>
    </row>
    <row r="5971" spans="4:7">
      <c r="D5971" s="200" t="s">
        <v>6089</v>
      </c>
      <c r="E5971" s="10">
        <v>4575</v>
      </c>
      <c r="F5971" s="201">
        <v>-13.1</v>
      </c>
      <c r="G5971" s="201">
        <v>9.6</v>
      </c>
    </row>
    <row r="5972" spans="4:7">
      <c r="D5972" s="200" t="s">
        <v>6090</v>
      </c>
      <c r="E5972" s="10">
        <v>4613</v>
      </c>
      <c r="F5972" s="201">
        <v>-13.1</v>
      </c>
      <c r="G5972" s="201">
        <v>9.6</v>
      </c>
    </row>
    <row r="5973" spans="4:7">
      <c r="D5973" s="200" t="s">
        <v>6091</v>
      </c>
      <c r="E5973" s="10">
        <v>4687</v>
      </c>
      <c r="F5973" s="201">
        <v>-13.1</v>
      </c>
      <c r="G5973" s="201">
        <v>9.6</v>
      </c>
    </row>
    <row r="5974" spans="4:7">
      <c r="D5974" s="200" t="s">
        <v>6092</v>
      </c>
      <c r="E5974" s="10">
        <v>4821</v>
      </c>
      <c r="F5974" s="201">
        <v>-13.1</v>
      </c>
      <c r="G5974" s="201">
        <v>9.6</v>
      </c>
    </row>
    <row r="5975" spans="4:7">
      <c r="D5975" s="200" t="s">
        <v>6092</v>
      </c>
      <c r="E5975" s="10">
        <v>4824</v>
      </c>
      <c r="F5975" s="201">
        <v>-13.1</v>
      </c>
      <c r="G5975" s="201">
        <v>9.6</v>
      </c>
    </row>
    <row r="5976" spans="4:7">
      <c r="D5976" s="200" t="s">
        <v>6093</v>
      </c>
      <c r="E5976" s="10">
        <v>4889</v>
      </c>
      <c r="F5976" s="201">
        <v>-13.1</v>
      </c>
      <c r="G5976" s="201">
        <v>9.6</v>
      </c>
    </row>
    <row r="5977" spans="4:7">
      <c r="D5977" s="200" t="s">
        <v>6094</v>
      </c>
      <c r="E5977" s="10">
        <v>4931</v>
      </c>
      <c r="F5977" s="201">
        <v>-13.1</v>
      </c>
      <c r="G5977" s="201">
        <v>9.6</v>
      </c>
    </row>
    <row r="5978" spans="4:7">
      <c r="D5978" s="200" t="s">
        <v>5713</v>
      </c>
      <c r="E5978" s="10">
        <v>6110</v>
      </c>
      <c r="F5978" s="201">
        <v>-13.1</v>
      </c>
      <c r="G5978" s="201">
        <v>10.199999999999999</v>
      </c>
    </row>
    <row r="5979" spans="4:7">
      <c r="D5979" s="200" t="s">
        <v>5713</v>
      </c>
      <c r="E5979" s="10">
        <v>6122</v>
      </c>
      <c r="F5979" s="201">
        <v>-13.1</v>
      </c>
      <c r="G5979" s="201">
        <v>10.199999999999999</v>
      </c>
    </row>
    <row r="5980" spans="4:7">
      <c r="D5980" s="200" t="s">
        <v>5713</v>
      </c>
      <c r="E5980" s="10">
        <v>6130</v>
      </c>
      <c r="F5980" s="201">
        <v>-13.1</v>
      </c>
      <c r="G5980" s="201">
        <v>10.1</v>
      </c>
    </row>
    <row r="5981" spans="4:7">
      <c r="D5981" s="200" t="s">
        <v>6095</v>
      </c>
      <c r="E5981" s="10">
        <v>6217</v>
      </c>
      <c r="F5981" s="201">
        <v>-13.1</v>
      </c>
      <c r="G5981" s="201">
        <v>10.1</v>
      </c>
    </row>
    <row r="5982" spans="4:7">
      <c r="D5982" s="200" t="s">
        <v>6096</v>
      </c>
      <c r="E5982" s="10">
        <v>6484</v>
      </c>
      <c r="F5982" s="201">
        <v>-13.1</v>
      </c>
      <c r="G5982" s="201">
        <v>9.4</v>
      </c>
    </row>
    <row r="5983" spans="4:7">
      <c r="D5983" s="200" t="s">
        <v>6097</v>
      </c>
      <c r="E5983" s="10">
        <v>6638</v>
      </c>
      <c r="F5983" s="201">
        <v>-13.1</v>
      </c>
      <c r="G5983" s="201">
        <v>9.6999999999999993</v>
      </c>
    </row>
    <row r="5984" spans="4:7">
      <c r="D5984" s="200" t="s">
        <v>6098</v>
      </c>
      <c r="E5984" s="10">
        <v>6729</v>
      </c>
      <c r="F5984" s="201">
        <v>-13.1</v>
      </c>
      <c r="G5984" s="201">
        <v>9.6999999999999993</v>
      </c>
    </row>
    <row r="5985" spans="4:7">
      <c r="D5985" s="200" t="s">
        <v>6099</v>
      </c>
      <c r="E5985" s="10">
        <v>6785</v>
      </c>
      <c r="F5985" s="201">
        <v>-13.1</v>
      </c>
      <c r="G5985" s="201">
        <v>9.6</v>
      </c>
    </row>
    <row r="5986" spans="4:7">
      <c r="D5986" s="200" t="s">
        <v>6100</v>
      </c>
      <c r="E5986" s="10">
        <v>6861</v>
      </c>
      <c r="F5986" s="201">
        <v>-13.1</v>
      </c>
      <c r="G5986" s="201">
        <v>9.5</v>
      </c>
    </row>
    <row r="5987" spans="4:7">
      <c r="D5987" s="200" t="s">
        <v>6100</v>
      </c>
      <c r="E5987" s="10">
        <v>6862</v>
      </c>
      <c r="F5987" s="201">
        <v>-13.1</v>
      </c>
      <c r="G5987" s="201">
        <v>9.5</v>
      </c>
    </row>
    <row r="5988" spans="4:7">
      <c r="D5988" s="200" t="s">
        <v>5962</v>
      </c>
      <c r="E5988" s="10">
        <v>6889</v>
      </c>
      <c r="F5988" s="201">
        <v>-13.1</v>
      </c>
      <c r="G5988" s="201">
        <v>9.1999999999999993</v>
      </c>
    </row>
    <row r="5989" spans="4:7">
      <c r="D5989" s="200" t="s">
        <v>6101</v>
      </c>
      <c r="E5989" s="10">
        <v>7381</v>
      </c>
      <c r="F5989" s="201">
        <v>-13.1</v>
      </c>
      <c r="G5989" s="201">
        <v>9.5</v>
      </c>
    </row>
    <row r="5990" spans="4:7">
      <c r="D5990" s="200" t="s">
        <v>6102</v>
      </c>
      <c r="E5990" s="10">
        <v>7768</v>
      </c>
      <c r="F5990" s="201">
        <v>-13.1</v>
      </c>
      <c r="G5990" s="201">
        <v>9.5</v>
      </c>
    </row>
    <row r="5991" spans="4:7">
      <c r="D5991" s="200" t="s">
        <v>6103</v>
      </c>
      <c r="E5991" s="10">
        <v>8056</v>
      </c>
      <c r="F5991" s="201">
        <v>-13.1</v>
      </c>
      <c r="G5991" s="201">
        <v>9.6</v>
      </c>
    </row>
    <row r="5992" spans="4:7">
      <c r="D5992" s="200" t="s">
        <v>5882</v>
      </c>
      <c r="E5992" s="10">
        <v>9116</v>
      </c>
      <c r="F5992" s="201">
        <v>-13.1</v>
      </c>
      <c r="G5992" s="201">
        <v>9.3000000000000007</v>
      </c>
    </row>
    <row r="5993" spans="4:7">
      <c r="D5993" s="200" t="s">
        <v>5882</v>
      </c>
      <c r="E5993" s="10">
        <v>9119</v>
      </c>
      <c r="F5993" s="201">
        <v>-13.1</v>
      </c>
      <c r="G5993" s="201">
        <v>9.4</v>
      </c>
    </row>
    <row r="5994" spans="4:7">
      <c r="D5994" s="200" t="s">
        <v>5882</v>
      </c>
      <c r="E5994" s="10">
        <v>9120</v>
      </c>
      <c r="F5994" s="201">
        <v>-13.1</v>
      </c>
      <c r="G5994" s="201">
        <v>9.5</v>
      </c>
    </row>
    <row r="5995" spans="4:7">
      <c r="D5995" s="200" t="s">
        <v>5882</v>
      </c>
      <c r="E5995" s="10">
        <v>9126</v>
      </c>
      <c r="F5995" s="201">
        <v>-13.1</v>
      </c>
      <c r="G5995" s="201">
        <v>9.4</v>
      </c>
    </row>
    <row r="5996" spans="4:7">
      <c r="D5996" s="200" t="s">
        <v>5882</v>
      </c>
      <c r="E5996" s="10">
        <v>9130</v>
      </c>
      <c r="F5996" s="201">
        <v>-13.1</v>
      </c>
      <c r="G5996" s="201">
        <v>9.5</v>
      </c>
    </row>
    <row r="5997" spans="4:7">
      <c r="D5997" s="200" t="s">
        <v>6104</v>
      </c>
      <c r="E5997" s="10">
        <v>14789</v>
      </c>
      <c r="F5997" s="201">
        <v>-13.1</v>
      </c>
      <c r="G5997" s="201">
        <v>9.4</v>
      </c>
    </row>
    <row r="5998" spans="4:7">
      <c r="D5998" s="200" t="s">
        <v>6105</v>
      </c>
      <c r="E5998" s="10">
        <v>14827</v>
      </c>
      <c r="F5998" s="201">
        <v>-13.1</v>
      </c>
      <c r="G5998" s="201">
        <v>8.9</v>
      </c>
    </row>
    <row r="5999" spans="4:7">
      <c r="D5999" s="200" t="s">
        <v>6106</v>
      </c>
      <c r="E5999" s="10">
        <v>14828</v>
      </c>
      <c r="F5999" s="201">
        <v>-13.1</v>
      </c>
      <c r="G5999" s="201">
        <v>9.1</v>
      </c>
    </row>
    <row r="6000" spans="4:7">
      <c r="D6000" s="200" t="s">
        <v>5739</v>
      </c>
      <c r="E6000" s="10">
        <v>15378</v>
      </c>
      <c r="F6000" s="201">
        <v>-13.1</v>
      </c>
      <c r="G6000" s="201">
        <v>9.5</v>
      </c>
    </row>
    <row r="6001" spans="4:7">
      <c r="D6001" s="200" t="s">
        <v>6107</v>
      </c>
      <c r="E6001" s="10">
        <v>15566</v>
      </c>
      <c r="F6001" s="201">
        <v>-13.1</v>
      </c>
      <c r="G6001" s="201">
        <v>9.5</v>
      </c>
    </row>
    <row r="6002" spans="4:7" ht="30">
      <c r="D6002" s="200" t="s">
        <v>6108</v>
      </c>
      <c r="E6002" s="10">
        <v>16818</v>
      </c>
      <c r="F6002" s="201">
        <v>-13.1</v>
      </c>
      <c r="G6002" s="201">
        <v>9.4</v>
      </c>
    </row>
    <row r="6003" spans="4:7">
      <c r="D6003" s="200" t="s">
        <v>6109</v>
      </c>
      <c r="E6003" s="10">
        <v>17087</v>
      </c>
      <c r="F6003" s="201">
        <v>-13.1</v>
      </c>
      <c r="G6003" s="201">
        <v>9.1999999999999993</v>
      </c>
    </row>
    <row r="6004" spans="4:7">
      <c r="D6004" s="200" t="s">
        <v>6110</v>
      </c>
      <c r="E6004" s="10">
        <v>17089</v>
      </c>
      <c r="F6004" s="201">
        <v>-13.1</v>
      </c>
      <c r="G6004" s="201">
        <v>9.1999999999999993</v>
      </c>
    </row>
    <row r="6005" spans="4:7">
      <c r="D6005" s="200" t="s">
        <v>6111</v>
      </c>
      <c r="E6005" s="10">
        <v>17091</v>
      </c>
      <c r="F6005" s="201">
        <v>-13.1</v>
      </c>
      <c r="G6005" s="201">
        <v>9.1999999999999993</v>
      </c>
    </row>
    <row r="6006" spans="4:7">
      <c r="D6006" s="200" t="s">
        <v>6112</v>
      </c>
      <c r="E6006" s="10">
        <v>17217</v>
      </c>
      <c r="F6006" s="201">
        <v>-13.1</v>
      </c>
      <c r="G6006" s="201">
        <v>9.1</v>
      </c>
    </row>
    <row r="6007" spans="4:7">
      <c r="D6007" s="200" t="s">
        <v>6113</v>
      </c>
      <c r="E6007" s="10">
        <v>17235</v>
      </c>
      <c r="F6007" s="201">
        <v>-13.1</v>
      </c>
      <c r="G6007" s="201">
        <v>9.1</v>
      </c>
    </row>
    <row r="6008" spans="4:7">
      <c r="D6008" s="200" t="s">
        <v>6114</v>
      </c>
      <c r="E6008" s="10">
        <v>34639</v>
      </c>
      <c r="F6008" s="201">
        <v>-13.1</v>
      </c>
      <c r="G6008" s="201">
        <v>7.6</v>
      </c>
    </row>
    <row r="6009" spans="4:7">
      <c r="D6009" s="200" t="s">
        <v>6115</v>
      </c>
      <c r="E6009" s="10">
        <v>36115</v>
      </c>
      <c r="F6009" s="201">
        <v>-13.1</v>
      </c>
      <c r="G6009" s="201">
        <v>8</v>
      </c>
    </row>
    <row r="6010" spans="4:7">
      <c r="D6010" s="200" t="s">
        <v>6116</v>
      </c>
      <c r="E6010" s="10">
        <v>37308</v>
      </c>
      <c r="F6010" s="201">
        <v>-13.1</v>
      </c>
      <c r="G6010" s="201">
        <v>7.8</v>
      </c>
    </row>
    <row r="6011" spans="4:7">
      <c r="D6011" s="200" t="s">
        <v>6117</v>
      </c>
      <c r="E6011" s="10">
        <v>38871</v>
      </c>
      <c r="F6011" s="201">
        <v>-13.1</v>
      </c>
      <c r="G6011" s="201">
        <v>9.4</v>
      </c>
    </row>
    <row r="6012" spans="4:7">
      <c r="D6012" s="200" t="s">
        <v>6118</v>
      </c>
      <c r="E6012" s="10">
        <v>39317</v>
      </c>
      <c r="F6012" s="201">
        <v>-13.1</v>
      </c>
      <c r="G6012" s="201">
        <v>9.4</v>
      </c>
    </row>
    <row r="6013" spans="4:7">
      <c r="D6013" s="200" t="s">
        <v>6119</v>
      </c>
      <c r="E6013" s="10">
        <v>72280</v>
      </c>
      <c r="F6013" s="201">
        <v>-13.1</v>
      </c>
      <c r="G6013" s="201">
        <v>8</v>
      </c>
    </row>
    <row r="6014" spans="4:7">
      <c r="D6014" s="200" t="s">
        <v>3503</v>
      </c>
      <c r="E6014" s="10">
        <v>72531</v>
      </c>
      <c r="F6014" s="201">
        <v>-13.1</v>
      </c>
      <c r="G6014" s="201">
        <v>7.9</v>
      </c>
    </row>
    <row r="6015" spans="4:7">
      <c r="D6015" s="200" t="s">
        <v>6120</v>
      </c>
      <c r="E6015" s="10">
        <v>72532</v>
      </c>
      <c r="F6015" s="201">
        <v>-13.1</v>
      </c>
      <c r="G6015" s="201">
        <v>7.9</v>
      </c>
    </row>
    <row r="6016" spans="4:7">
      <c r="D6016" s="200" t="s">
        <v>6121</v>
      </c>
      <c r="E6016" s="10">
        <v>72534</v>
      </c>
      <c r="F6016" s="201">
        <v>-13.1</v>
      </c>
      <c r="G6016" s="201">
        <v>7.9</v>
      </c>
    </row>
    <row r="6017" spans="4:7">
      <c r="D6017" s="200" t="s">
        <v>6122</v>
      </c>
      <c r="E6017" s="10">
        <v>72574</v>
      </c>
      <c r="F6017" s="201">
        <v>-13.1</v>
      </c>
      <c r="G6017" s="201">
        <v>7.9</v>
      </c>
    </row>
    <row r="6018" spans="4:7">
      <c r="D6018" s="200" t="s">
        <v>6123</v>
      </c>
      <c r="E6018" s="10">
        <v>72582</v>
      </c>
      <c r="F6018" s="201">
        <v>-13.1</v>
      </c>
      <c r="G6018" s="201">
        <v>7.9</v>
      </c>
    </row>
    <row r="6019" spans="4:7">
      <c r="D6019" s="200" t="s">
        <v>6124</v>
      </c>
      <c r="E6019" s="10">
        <v>72584</v>
      </c>
      <c r="F6019" s="201">
        <v>-13.1</v>
      </c>
      <c r="G6019" s="201">
        <v>7.9</v>
      </c>
    </row>
    <row r="6020" spans="4:7">
      <c r="D6020" s="200" t="s">
        <v>6125</v>
      </c>
      <c r="E6020" s="10">
        <v>72800</v>
      </c>
      <c r="F6020" s="201">
        <v>-13.1</v>
      </c>
      <c r="G6020" s="201">
        <v>7.8</v>
      </c>
    </row>
    <row r="6021" spans="4:7">
      <c r="D6021" s="200" t="s">
        <v>6126</v>
      </c>
      <c r="E6021" s="10">
        <v>72818</v>
      </c>
      <c r="F6021" s="201">
        <v>-13.1</v>
      </c>
      <c r="G6021" s="201">
        <v>7.8</v>
      </c>
    </row>
    <row r="6022" spans="4:7">
      <c r="D6022" s="200" t="s">
        <v>6127</v>
      </c>
      <c r="E6022" s="10">
        <v>72820</v>
      </c>
      <c r="F6022" s="201">
        <v>-13.1</v>
      </c>
      <c r="G6022" s="201">
        <v>7.8</v>
      </c>
    </row>
    <row r="6023" spans="4:7">
      <c r="D6023" s="200" t="s">
        <v>6128</v>
      </c>
      <c r="E6023" s="10">
        <v>72829</v>
      </c>
      <c r="F6023" s="201">
        <v>-13.1</v>
      </c>
      <c r="G6023" s="201">
        <v>7.9</v>
      </c>
    </row>
    <row r="6024" spans="4:7">
      <c r="D6024" s="200" t="s">
        <v>6129</v>
      </c>
      <c r="E6024" s="10">
        <v>73337</v>
      </c>
      <c r="F6024" s="201">
        <v>-13.1</v>
      </c>
      <c r="G6024" s="201">
        <v>8.1</v>
      </c>
    </row>
    <row r="6025" spans="4:7">
      <c r="D6025" s="200" t="s">
        <v>6130</v>
      </c>
      <c r="E6025" s="10">
        <v>73469</v>
      </c>
      <c r="F6025" s="201">
        <v>-13.1</v>
      </c>
      <c r="G6025" s="201">
        <v>8.9</v>
      </c>
    </row>
    <row r="6026" spans="4:7">
      <c r="D6026" s="200" t="s">
        <v>6131</v>
      </c>
      <c r="E6026" s="10">
        <v>73540</v>
      </c>
      <c r="F6026" s="201">
        <v>-13.1</v>
      </c>
      <c r="G6026" s="201">
        <v>8.1</v>
      </c>
    </row>
    <row r="6027" spans="4:7">
      <c r="D6027" s="200" t="s">
        <v>6132</v>
      </c>
      <c r="E6027" s="10">
        <v>74579</v>
      </c>
      <c r="F6027" s="201">
        <v>-13.1</v>
      </c>
      <c r="G6027" s="201">
        <v>8.5</v>
      </c>
    </row>
    <row r="6028" spans="4:7">
      <c r="D6028" s="200" t="s">
        <v>6133</v>
      </c>
      <c r="E6028" s="10">
        <v>75389</v>
      </c>
      <c r="F6028" s="201">
        <v>-13.1</v>
      </c>
      <c r="G6028" s="201">
        <v>7.9</v>
      </c>
    </row>
    <row r="6029" spans="4:7">
      <c r="D6029" s="200" t="s">
        <v>6134</v>
      </c>
      <c r="E6029" s="10">
        <v>75394</v>
      </c>
      <c r="F6029" s="201">
        <v>-13.1</v>
      </c>
      <c r="G6029" s="201">
        <v>7.9</v>
      </c>
    </row>
    <row r="6030" spans="4:7">
      <c r="D6030" s="200" t="s">
        <v>6135</v>
      </c>
      <c r="E6030" s="10">
        <v>78089</v>
      </c>
      <c r="F6030" s="201">
        <v>-13.1</v>
      </c>
      <c r="G6030" s="201">
        <v>7.8</v>
      </c>
    </row>
    <row r="6031" spans="4:7">
      <c r="D6031" s="200" t="s">
        <v>6136</v>
      </c>
      <c r="E6031" s="10">
        <v>78147</v>
      </c>
      <c r="F6031" s="201">
        <v>-13.1</v>
      </c>
      <c r="G6031" s="201">
        <v>7.7</v>
      </c>
    </row>
    <row r="6032" spans="4:7">
      <c r="D6032" s="200" t="s">
        <v>6137</v>
      </c>
      <c r="E6032" s="10">
        <v>78194</v>
      </c>
      <c r="F6032" s="201">
        <v>-13.1</v>
      </c>
      <c r="G6032" s="201">
        <v>7.8</v>
      </c>
    </row>
    <row r="6033" spans="4:7">
      <c r="D6033" s="200" t="s">
        <v>6138</v>
      </c>
      <c r="E6033" s="10">
        <v>78559</v>
      </c>
      <c r="F6033" s="201">
        <v>-13.1</v>
      </c>
      <c r="G6033" s="201">
        <v>7.7</v>
      </c>
    </row>
    <row r="6034" spans="4:7">
      <c r="D6034" s="200" t="s">
        <v>6139</v>
      </c>
      <c r="E6034" s="10">
        <v>78564</v>
      </c>
      <c r="F6034" s="201">
        <v>-13.1</v>
      </c>
      <c r="G6034" s="201">
        <v>7.8</v>
      </c>
    </row>
    <row r="6035" spans="4:7">
      <c r="D6035" s="200" t="s">
        <v>6140</v>
      </c>
      <c r="E6035" s="10">
        <v>78570</v>
      </c>
      <c r="F6035" s="201">
        <v>-13.1</v>
      </c>
      <c r="G6035" s="201">
        <v>7.8</v>
      </c>
    </row>
    <row r="6036" spans="4:7">
      <c r="D6036" s="200" t="s">
        <v>6141</v>
      </c>
      <c r="E6036" s="10">
        <v>78739</v>
      </c>
      <c r="F6036" s="201">
        <v>-13.1</v>
      </c>
      <c r="G6036" s="201">
        <v>7.8</v>
      </c>
    </row>
    <row r="6037" spans="4:7">
      <c r="D6037" s="200" t="s">
        <v>6142</v>
      </c>
      <c r="E6037" s="10">
        <v>79733</v>
      </c>
      <c r="F6037" s="201">
        <v>-13.1</v>
      </c>
      <c r="G6037" s="201">
        <v>8</v>
      </c>
    </row>
    <row r="6038" spans="4:7">
      <c r="D6038" s="200" t="s">
        <v>4162</v>
      </c>
      <c r="E6038" s="10">
        <v>80805</v>
      </c>
      <c r="F6038" s="201">
        <v>-13.1</v>
      </c>
      <c r="G6038" s="201">
        <v>9</v>
      </c>
    </row>
    <row r="6039" spans="4:7">
      <c r="D6039" s="200" t="s">
        <v>4162</v>
      </c>
      <c r="E6039" s="10">
        <v>80933</v>
      </c>
      <c r="F6039" s="201">
        <v>-13.1</v>
      </c>
      <c r="G6039" s="201">
        <v>9</v>
      </c>
    </row>
    <row r="6040" spans="4:7">
      <c r="D6040" s="200" t="s">
        <v>4162</v>
      </c>
      <c r="E6040" s="10">
        <v>81241</v>
      </c>
      <c r="F6040" s="201">
        <v>-13.1</v>
      </c>
      <c r="G6040" s="201">
        <v>9</v>
      </c>
    </row>
    <row r="6041" spans="4:7">
      <c r="D6041" s="200" t="s">
        <v>4162</v>
      </c>
      <c r="E6041" s="10">
        <v>81245</v>
      </c>
      <c r="F6041" s="201">
        <v>-13.1</v>
      </c>
      <c r="G6041" s="201">
        <v>9</v>
      </c>
    </row>
    <row r="6042" spans="4:7">
      <c r="D6042" s="200" t="s">
        <v>4162</v>
      </c>
      <c r="E6042" s="10">
        <v>81549</v>
      </c>
      <c r="F6042" s="201">
        <v>-13.1</v>
      </c>
      <c r="G6042" s="201">
        <v>9</v>
      </c>
    </row>
    <row r="6043" spans="4:7">
      <c r="D6043" s="200" t="s">
        <v>6143</v>
      </c>
      <c r="E6043" s="10">
        <v>83112</v>
      </c>
      <c r="F6043" s="201">
        <v>-13.1</v>
      </c>
      <c r="G6043" s="201">
        <v>8.3000000000000007</v>
      </c>
    </row>
    <row r="6044" spans="4:7">
      <c r="D6044" s="200" t="s">
        <v>6144</v>
      </c>
      <c r="E6044" s="10">
        <v>83119</v>
      </c>
      <c r="F6044" s="201">
        <v>-13.1</v>
      </c>
      <c r="G6044" s="201">
        <v>8.3000000000000007</v>
      </c>
    </row>
    <row r="6045" spans="4:7">
      <c r="D6045" s="200" t="s">
        <v>6145</v>
      </c>
      <c r="E6045" s="10">
        <v>83129</v>
      </c>
      <c r="F6045" s="201">
        <v>-13.1</v>
      </c>
      <c r="G6045" s="201">
        <v>8.3000000000000007</v>
      </c>
    </row>
    <row r="6046" spans="4:7">
      <c r="D6046" s="200" t="s">
        <v>6146</v>
      </c>
      <c r="E6046" s="10">
        <v>83308</v>
      </c>
      <c r="F6046" s="201">
        <v>-13.1</v>
      </c>
      <c r="G6046" s="201">
        <v>8.6999999999999993</v>
      </c>
    </row>
    <row r="6047" spans="4:7">
      <c r="D6047" s="200" t="s">
        <v>6147</v>
      </c>
      <c r="E6047" s="10">
        <v>83317</v>
      </c>
      <c r="F6047" s="201">
        <v>-13.1</v>
      </c>
      <c r="G6047" s="201">
        <v>8.9</v>
      </c>
    </row>
    <row r="6048" spans="4:7">
      <c r="D6048" s="200" t="s">
        <v>6148</v>
      </c>
      <c r="E6048" s="10">
        <v>83339</v>
      </c>
      <c r="F6048" s="201">
        <v>-13.1</v>
      </c>
      <c r="G6048" s="201">
        <v>8.5</v>
      </c>
    </row>
    <row r="6049" spans="4:7">
      <c r="D6049" s="200" t="s">
        <v>6149</v>
      </c>
      <c r="E6049" s="10">
        <v>83361</v>
      </c>
      <c r="F6049" s="201">
        <v>-13.1</v>
      </c>
      <c r="G6049" s="201">
        <v>8.3000000000000007</v>
      </c>
    </row>
    <row r="6050" spans="4:7">
      <c r="D6050" s="200" t="s">
        <v>6150</v>
      </c>
      <c r="E6050" s="10">
        <v>83368</v>
      </c>
      <c r="F6050" s="201">
        <v>-13.1</v>
      </c>
      <c r="G6050" s="201">
        <v>8.4</v>
      </c>
    </row>
    <row r="6051" spans="4:7">
      <c r="D6051" s="200" t="s">
        <v>5903</v>
      </c>
      <c r="E6051" s="10">
        <v>83374</v>
      </c>
      <c r="F6051" s="201">
        <v>-13.1</v>
      </c>
      <c r="G6051" s="201">
        <v>8.5</v>
      </c>
    </row>
    <row r="6052" spans="4:7">
      <c r="D6052" s="200" t="s">
        <v>5904</v>
      </c>
      <c r="E6052" s="10">
        <v>83376</v>
      </c>
      <c r="F6052" s="201">
        <v>-13.1</v>
      </c>
      <c r="G6052" s="201">
        <v>8.6</v>
      </c>
    </row>
    <row r="6053" spans="4:7">
      <c r="D6053" s="200" t="s">
        <v>6151</v>
      </c>
      <c r="E6053" s="10">
        <v>83410</v>
      </c>
      <c r="F6053" s="201">
        <v>-13.1</v>
      </c>
      <c r="G6053" s="201">
        <v>9.1</v>
      </c>
    </row>
    <row r="6054" spans="4:7">
      <c r="D6054" s="200" t="s">
        <v>6152</v>
      </c>
      <c r="E6054" s="10">
        <v>83416</v>
      </c>
      <c r="F6054" s="201">
        <v>-13.1</v>
      </c>
      <c r="G6054" s="201">
        <v>9</v>
      </c>
    </row>
    <row r="6055" spans="4:7">
      <c r="D6055" s="200" t="s">
        <v>6153</v>
      </c>
      <c r="E6055" s="10">
        <v>83562</v>
      </c>
      <c r="F6055" s="201">
        <v>-13.1</v>
      </c>
      <c r="G6055" s="201">
        <v>8.5</v>
      </c>
    </row>
    <row r="6056" spans="4:7">
      <c r="D6056" s="200" t="s">
        <v>6154</v>
      </c>
      <c r="E6056" s="10">
        <v>84326</v>
      </c>
      <c r="F6056" s="201">
        <v>-13.1</v>
      </c>
      <c r="G6056" s="201">
        <v>8.6</v>
      </c>
    </row>
    <row r="6057" spans="4:7">
      <c r="D6057" s="200" t="s">
        <v>6155</v>
      </c>
      <c r="E6057" s="10">
        <v>84503</v>
      </c>
      <c r="F6057" s="201">
        <v>-13.1</v>
      </c>
      <c r="G6057" s="201">
        <v>8.9</v>
      </c>
    </row>
    <row r="6058" spans="4:7">
      <c r="D6058" s="200" t="s">
        <v>6156</v>
      </c>
      <c r="E6058" s="10">
        <v>84508</v>
      </c>
      <c r="F6058" s="201">
        <v>-13.1</v>
      </c>
      <c r="G6058" s="201">
        <v>8.6999999999999993</v>
      </c>
    </row>
    <row r="6059" spans="4:7">
      <c r="D6059" s="200" t="s">
        <v>6157</v>
      </c>
      <c r="E6059" s="10">
        <v>84533</v>
      </c>
      <c r="F6059" s="201">
        <v>-13.1</v>
      </c>
      <c r="G6059" s="201">
        <v>9</v>
      </c>
    </row>
    <row r="6060" spans="4:7">
      <c r="D6060" s="200" t="s">
        <v>6158</v>
      </c>
      <c r="E6060" s="10">
        <v>84558</v>
      </c>
      <c r="F6060" s="201">
        <v>-13.1</v>
      </c>
      <c r="G6060" s="201">
        <v>8.6</v>
      </c>
    </row>
    <row r="6061" spans="4:7">
      <c r="D6061" s="200" t="s">
        <v>6159</v>
      </c>
      <c r="E6061" s="10">
        <v>84567</v>
      </c>
      <c r="F6061" s="201">
        <v>-13.1</v>
      </c>
      <c r="G6061" s="201">
        <v>8.5</v>
      </c>
    </row>
    <row r="6062" spans="4:7">
      <c r="D6062" s="200" t="s">
        <v>6160</v>
      </c>
      <c r="E6062" s="10">
        <v>85098</v>
      </c>
      <c r="F6062" s="201">
        <v>-13.1</v>
      </c>
      <c r="G6062" s="201">
        <v>9.1</v>
      </c>
    </row>
    <row r="6063" spans="4:7">
      <c r="D6063" s="200" t="s">
        <v>6161</v>
      </c>
      <c r="E6063" s="10">
        <v>85104</v>
      </c>
      <c r="F6063" s="201">
        <v>-13.1</v>
      </c>
      <c r="G6063" s="201">
        <v>9.1</v>
      </c>
    </row>
    <row r="6064" spans="4:7">
      <c r="D6064" s="200" t="s">
        <v>6162</v>
      </c>
      <c r="E6064" s="10">
        <v>85139</v>
      </c>
      <c r="F6064" s="201">
        <v>-13.1</v>
      </c>
      <c r="G6064" s="201">
        <v>8.9</v>
      </c>
    </row>
    <row r="6065" spans="4:7">
      <c r="D6065" s="200" t="s">
        <v>6163</v>
      </c>
      <c r="E6065" s="10">
        <v>85368</v>
      </c>
      <c r="F6065" s="201">
        <v>-13.1</v>
      </c>
      <c r="G6065" s="201">
        <v>9.1</v>
      </c>
    </row>
    <row r="6066" spans="4:7">
      <c r="D6066" s="200" t="s">
        <v>6164</v>
      </c>
      <c r="E6066" s="10">
        <v>86381</v>
      </c>
      <c r="F6066" s="201">
        <v>-13.1</v>
      </c>
      <c r="G6066" s="201">
        <v>8.6</v>
      </c>
    </row>
    <row r="6067" spans="4:7">
      <c r="D6067" s="200" t="s">
        <v>6165</v>
      </c>
      <c r="E6067" s="10">
        <v>86491</v>
      </c>
      <c r="F6067" s="201">
        <v>-13.1</v>
      </c>
      <c r="G6067" s="201">
        <v>8.6999999999999993</v>
      </c>
    </row>
    <row r="6068" spans="4:7">
      <c r="D6068" s="200" t="s">
        <v>6166</v>
      </c>
      <c r="E6068" s="10">
        <v>86609</v>
      </c>
      <c r="F6068" s="201">
        <v>-13.1</v>
      </c>
      <c r="G6068" s="201">
        <v>9.1</v>
      </c>
    </row>
    <row r="6069" spans="4:7">
      <c r="D6069" s="200" t="s">
        <v>6167</v>
      </c>
      <c r="E6069" s="10">
        <v>86675</v>
      </c>
      <c r="F6069" s="201">
        <v>-13.1</v>
      </c>
      <c r="G6069" s="201">
        <v>8.4</v>
      </c>
    </row>
    <row r="6070" spans="4:7">
      <c r="D6070" s="200" t="s">
        <v>6168</v>
      </c>
      <c r="E6070" s="10">
        <v>86681</v>
      </c>
      <c r="F6070" s="201">
        <v>-13.1</v>
      </c>
      <c r="G6070" s="201">
        <v>8.6999999999999993</v>
      </c>
    </row>
    <row r="6071" spans="4:7">
      <c r="D6071" s="200" t="s">
        <v>6169</v>
      </c>
      <c r="E6071" s="10">
        <v>86685</v>
      </c>
      <c r="F6071" s="201">
        <v>-13.1</v>
      </c>
      <c r="G6071" s="201">
        <v>8.8000000000000007</v>
      </c>
    </row>
    <row r="6072" spans="4:7">
      <c r="D6072" s="200" t="s">
        <v>6170</v>
      </c>
      <c r="E6072" s="10">
        <v>86687</v>
      </c>
      <c r="F6072" s="201">
        <v>-13.1</v>
      </c>
      <c r="G6072" s="201">
        <v>8.5</v>
      </c>
    </row>
    <row r="6073" spans="4:7">
      <c r="D6073" s="200" t="s">
        <v>6171</v>
      </c>
      <c r="E6073" s="10">
        <v>86744</v>
      </c>
      <c r="F6073" s="201">
        <v>-13.1</v>
      </c>
      <c r="G6073" s="201">
        <v>8.8000000000000007</v>
      </c>
    </row>
    <row r="6074" spans="4:7">
      <c r="D6074" s="200" t="s">
        <v>6172</v>
      </c>
      <c r="E6074" s="10">
        <v>86745</v>
      </c>
      <c r="F6074" s="201">
        <v>-13.1</v>
      </c>
      <c r="G6074" s="201">
        <v>8.9</v>
      </c>
    </row>
    <row r="6075" spans="4:7">
      <c r="D6075" s="200" t="s">
        <v>6173</v>
      </c>
      <c r="E6075" s="10">
        <v>86754</v>
      </c>
      <c r="F6075" s="201">
        <v>-13.1</v>
      </c>
      <c r="G6075" s="201">
        <v>9</v>
      </c>
    </row>
    <row r="6076" spans="4:7">
      <c r="D6076" s="200" t="s">
        <v>6174</v>
      </c>
      <c r="E6076" s="10">
        <v>86757</v>
      </c>
      <c r="F6076" s="201">
        <v>-13.1</v>
      </c>
      <c r="G6076" s="201">
        <v>8.9</v>
      </c>
    </row>
    <row r="6077" spans="4:7">
      <c r="D6077" s="200" t="s">
        <v>6175</v>
      </c>
      <c r="E6077" s="10">
        <v>87700</v>
      </c>
      <c r="F6077" s="201">
        <v>-13.1</v>
      </c>
      <c r="G6077" s="201">
        <v>8.4</v>
      </c>
    </row>
    <row r="6078" spans="4:7">
      <c r="D6078" s="200" t="s">
        <v>6176</v>
      </c>
      <c r="E6078" s="10">
        <v>87751</v>
      </c>
      <c r="F6078" s="201">
        <v>-13.1</v>
      </c>
      <c r="G6078" s="201">
        <v>8.4</v>
      </c>
    </row>
    <row r="6079" spans="4:7">
      <c r="D6079" s="200" t="s">
        <v>6177</v>
      </c>
      <c r="E6079" s="10">
        <v>88339</v>
      </c>
      <c r="F6079" s="201">
        <v>-13.1</v>
      </c>
      <c r="G6079" s="201">
        <v>8.3000000000000007</v>
      </c>
    </row>
    <row r="6080" spans="4:7">
      <c r="D6080" s="200" t="s">
        <v>6178</v>
      </c>
      <c r="E6080" s="10">
        <v>88433</v>
      </c>
      <c r="F6080" s="201">
        <v>-13.1</v>
      </c>
      <c r="G6080" s="201">
        <v>8.6</v>
      </c>
    </row>
    <row r="6081" spans="4:7">
      <c r="D6081" s="200" t="s">
        <v>6179</v>
      </c>
      <c r="E6081" s="10">
        <v>88447</v>
      </c>
      <c r="F6081" s="201">
        <v>-13.1</v>
      </c>
      <c r="G6081" s="201">
        <v>8.4</v>
      </c>
    </row>
    <row r="6082" spans="4:7">
      <c r="D6082" s="200" t="s">
        <v>6180</v>
      </c>
      <c r="E6082" s="10">
        <v>88448</v>
      </c>
      <c r="F6082" s="201">
        <v>-13.1</v>
      </c>
      <c r="G6082" s="201">
        <v>8.3000000000000007</v>
      </c>
    </row>
    <row r="6083" spans="4:7">
      <c r="D6083" s="200" t="s">
        <v>6181</v>
      </c>
      <c r="E6083" s="10">
        <v>88453</v>
      </c>
      <c r="F6083" s="201">
        <v>-13.1</v>
      </c>
      <c r="G6083" s="201">
        <v>8.4</v>
      </c>
    </row>
    <row r="6084" spans="4:7">
      <c r="D6084" s="200" t="s">
        <v>6182</v>
      </c>
      <c r="E6084" s="10">
        <v>88477</v>
      </c>
      <c r="F6084" s="201">
        <v>-13.1</v>
      </c>
      <c r="G6084" s="201">
        <v>8.5</v>
      </c>
    </row>
    <row r="6085" spans="4:7">
      <c r="D6085" s="200" t="s">
        <v>6183</v>
      </c>
      <c r="E6085" s="10">
        <v>89186</v>
      </c>
      <c r="F6085" s="201">
        <v>-13.1</v>
      </c>
      <c r="G6085" s="201">
        <v>8.6</v>
      </c>
    </row>
    <row r="6086" spans="4:7">
      <c r="D6086" s="200" t="s">
        <v>6184</v>
      </c>
      <c r="E6086" s="10">
        <v>89299</v>
      </c>
      <c r="F6086" s="201">
        <v>-13.1</v>
      </c>
      <c r="G6086" s="201">
        <v>8.4</v>
      </c>
    </row>
    <row r="6087" spans="4:7">
      <c r="D6087" s="200" t="s">
        <v>6185</v>
      </c>
      <c r="E6087" s="10">
        <v>89343</v>
      </c>
      <c r="F6087" s="201">
        <v>-13.1</v>
      </c>
      <c r="G6087" s="201">
        <v>8.6999999999999993</v>
      </c>
    </row>
    <row r="6088" spans="4:7">
      <c r="D6088" s="200" t="s">
        <v>6186</v>
      </c>
      <c r="E6088" s="10">
        <v>89349</v>
      </c>
      <c r="F6088" s="201">
        <v>-13.1</v>
      </c>
      <c r="G6088" s="201">
        <v>8.6999999999999993</v>
      </c>
    </row>
    <row r="6089" spans="4:7">
      <c r="D6089" s="200" t="s">
        <v>6187</v>
      </c>
      <c r="E6089" s="10">
        <v>89350</v>
      </c>
      <c r="F6089" s="201">
        <v>-13.1</v>
      </c>
      <c r="G6089" s="201">
        <v>8.8000000000000007</v>
      </c>
    </row>
    <row r="6090" spans="4:7">
      <c r="D6090" s="200" t="s">
        <v>6188</v>
      </c>
      <c r="E6090" s="10">
        <v>89356</v>
      </c>
      <c r="F6090" s="201">
        <v>-13.1</v>
      </c>
      <c r="G6090" s="201">
        <v>8.6999999999999993</v>
      </c>
    </row>
    <row r="6091" spans="4:7">
      <c r="D6091" s="200" t="s">
        <v>6189</v>
      </c>
      <c r="E6091" s="10">
        <v>89365</v>
      </c>
      <c r="F6091" s="201">
        <v>-13.1</v>
      </c>
      <c r="G6091" s="201">
        <v>8.6999999999999993</v>
      </c>
    </row>
    <row r="6092" spans="4:7">
      <c r="D6092" s="200" t="s">
        <v>6190</v>
      </c>
      <c r="E6092" s="10">
        <v>89415</v>
      </c>
      <c r="F6092" s="201">
        <v>-13.1</v>
      </c>
      <c r="G6092" s="201">
        <v>9</v>
      </c>
    </row>
    <row r="6093" spans="4:7">
      <c r="D6093" s="200" t="s">
        <v>6191</v>
      </c>
      <c r="E6093" s="10">
        <v>89446</v>
      </c>
      <c r="F6093" s="201">
        <v>-13.1</v>
      </c>
      <c r="G6093" s="201">
        <v>8.9</v>
      </c>
    </row>
    <row r="6094" spans="4:7">
      <c r="D6094" s="200" t="s">
        <v>6192</v>
      </c>
      <c r="E6094" s="10">
        <v>89555</v>
      </c>
      <c r="F6094" s="201">
        <v>-13.1</v>
      </c>
      <c r="G6094" s="201">
        <v>8.1999999999999993</v>
      </c>
    </row>
    <row r="6095" spans="4:7">
      <c r="D6095" s="200" t="s">
        <v>6193</v>
      </c>
      <c r="E6095" s="10">
        <v>89561</v>
      </c>
      <c r="F6095" s="201">
        <v>-13.1</v>
      </c>
      <c r="G6095" s="201">
        <v>8.6</v>
      </c>
    </row>
    <row r="6096" spans="4:7">
      <c r="D6096" s="200" t="s">
        <v>6194</v>
      </c>
      <c r="E6096" s="10">
        <v>89604</v>
      </c>
      <c r="F6096" s="201">
        <v>-13.1</v>
      </c>
      <c r="G6096" s="201">
        <v>8.5</v>
      </c>
    </row>
    <row r="6097" spans="4:7">
      <c r="D6097" s="200" t="s">
        <v>6195</v>
      </c>
      <c r="E6097" s="10">
        <v>89605</v>
      </c>
      <c r="F6097" s="201">
        <v>-13.1</v>
      </c>
      <c r="G6097" s="201">
        <v>8.4</v>
      </c>
    </row>
    <row r="6098" spans="4:7">
      <c r="D6098" s="200" t="s">
        <v>6196</v>
      </c>
      <c r="E6098" s="10">
        <v>90616</v>
      </c>
      <c r="F6098" s="201">
        <v>-13.1</v>
      </c>
      <c r="G6098" s="201">
        <v>9</v>
      </c>
    </row>
    <row r="6099" spans="4:7">
      <c r="D6099" s="200" t="s">
        <v>5330</v>
      </c>
      <c r="E6099" s="10">
        <v>91056</v>
      </c>
      <c r="F6099" s="201">
        <v>-13.1</v>
      </c>
      <c r="G6099" s="201">
        <v>9.4</v>
      </c>
    </row>
    <row r="6100" spans="4:7">
      <c r="D6100" s="200" t="s">
        <v>6197</v>
      </c>
      <c r="E6100" s="10">
        <v>91080</v>
      </c>
      <c r="F6100" s="201">
        <v>-13.1</v>
      </c>
      <c r="G6100" s="201">
        <v>9.4</v>
      </c>
    </row>
    <row r="6101" spans="4:7">
      <c r="D6101" s="200" t="s">
        <v>6198</v>
      </c>
      <c r="E6101" s="10">
        <v>91330</v>
      </c>
      <c r="F6101" s="201">
        <v>-13.1</v>
      </c>
      <c r="G6101" s="201">
        <v>9.1999999999999993</v>
      </c>
    </row>
    <row r="6102" spans="4:7">
      <c r="D6102" s="200" t="s">
        <v>6199</v>
      </c>
      <c r="E6102" s="10">
        <v>91466</v>
      </c>
      <c r="F6102" s="201">
        <v>-13.1</v>
      </c>
      <c r="G6102" s="201">
        <v>9.3000000000000007</v>
      </c>
    </row>
    <row r="6103" spans="4:7">
      <c r="D6103" s="200" t="s">
        <v>6200</v>
      </c>
      <c r="E6103" s="10">
        <v>91486</v>
      </c>
      <c r="F6103" s="201">
        <v>-13.1</v>
      </c>
      <c r="G6103" s="201">
        <v>9.3000000000000007</v>
      </c>
    </row>
    <row r="6104" spans="4:7">
      <c r="D6104" s="200" t="s">
        <v>6201</v>
      </c>
      <c r="E6104" s="10">
        <v>91487</v>
      </c>
      <c r="F6104" s="201">
        <v>-13.1</v>
      </c>
      <c r="G6104" s="201">
        <v>9.1</v>
      </c>
    </row>
    <row r="6105" spans="4:7">
      <c r="D6105" s="200" t="s">
        <v>3185</v>
      </c>
      <c r="E6105" s="10">
        <v>91572</v>
      </c>
      <c r="F6105" s="201">
        <v>-13.1</v>
      </c>
      <c r="G6105" s="201">
        <v>8.6999999999999993</v>
      </c>
    </row>
    <row r="6106" spans="4:7">
      <c r="D6106" s="200" t="s">
        <v>6202</v>
      </c>
      <c r="E6106" s="10">
        <v>91578</v>
      </c>
      <c r="F6106" s="201">
        <v>-13.1</v>
      </c>
      <c r="G6106" s="201">
        <v>8.6999999999999993</v>
      </c>
    </row>
    <row r="6107" spans="4:7">
      <c r="D6107" s="200" t="s">
        <v>6203</v>
      </c>
      <c r="E6107" s="10">
        <v>91589</v>
      </c>
      <c r="F6107" s="201">
        <v>-13.1</v>
      </c>
      <c r="G6107" s="201">
        <v>8.5</v>
      </c>
    </row>
    <row r="6108" spans="4:7">
      <c r="D6108" s="200" t="s">
        <v>6204</v>
      </c>
      <c r="E6108" s="10">
        <v>91604</v>
      </c>
      <c r="F6108" s="201">
        <v>-13.1</v>
      </c>
      <c r="G6108" s="201">
        <v>8.6</v>
      </c>
    </row>
    <row r="6109" spans="4:7">
      <c r="D6109" s="200" t="s">
        <v>6205</v>
      </c>
      <c r="E6109" s="10">
        <v>91611</v>
      </c>
      <c r="F6109" s="201">
        <v>-13.1</v>
      </c>
      <c r="G6109" s="201">
        <v>8.9</v>
      </c>
    </row>
    <row r="6110" spans="4:7">
      <c r="D6110" s="200" t="s">
        <v>6206</v>
      </c>
      <c r="E6110" s="10">
        <v>91710</v>
      </c>
      <c r="F6110" s="201">
        <v>-13.1</v>
      </c>
      <c r="G6110" s="201">
        <v>9.1</v>
      </c>
    </row>
    <row r="6111" spans="4:7">
      <c r="D6111" s="200" t="s">
        <v>6207</v>
      </c>
      <c r="E6111" s="10">
        <v>91717</v>
      </c>
      <c r="F6111" s="201">
        <v>-13.1</v>
      </c>
      <c r="G6111" s="201">
        <v>8.6999999999999993</v>
      </c>
    </row>
    <row r="6112" spans="4:7">
      <c r="D6112" s="200" t="s">
        <v>6208</v>
      </c>
      <c r="E6112" s="10">
        <v>91728</v>
      </c>
      <c r="F6112" s="201">
        <v>-13.1</v>
      </c>
      <c r="G6112" s="201">
        <v>8.6999999999999993</v>
      </c>
    </row>
    <row r="6113" spans="4:7">
      <c r="D6113" s="200" t="s">
        <v>6209</v>
      </c>
      <c r="E6113" s="10">
        <v>91793</v>
      </c>
      <c r="F6113" s="201">
        <v>-13.1</v>
      </c>
      <c r="G6113" s="201">
        <v>9.1999999999999993</v>
      </c>
    </row>
    <row r="6114" spans="4:7">
      <c r="D6114" s="200" t="s">
        <v>6210</v>
      </c>
      <c r="E6114" s="10">
        <v>91795</v>
      </c>
      <c r="F6114" s="201">
        <v>-13.1</v>
      </c>
      <c r="G6114" s="201">
        <v>8.9</v>
      </c>
    </row>
    <row r="6115" spans="4:7">
      <c r="D6115" s="200" t="s">
        <v>6211</v>
      </c>
      <c r="E6115" s="10">
        <v>91804</v>
      </c>
      <c r="F6115" s="201">
        <v>-13.1</v>
      </c>
      <c r="G6115" s="201">
        <v>8.4</v>
      </c>
    </row>
    <row r="6116" spans="4:7">
      <c r="D6116" s="200" t="s">
        <v>6212</v>
      </c>
      <c r="E6116" s="10">
        <v>91805</v>
      </c>
      <c r="F6116" s="201">
        <v>-13.1</v>
      </c>
      <c r="G6116" s="201">
        <v>8.3000000000000007</v>
      </c>
    </row>
    <row r="6117" spans="4:7">
      <c r="D6117" s="200" t="s">
        <v>6213</v>
      </c>
      <c r="E6117" s="10">
        <v>93333</v>
      </c>
      <c r="F6117" s="201">
        <v>-13.1</v>
      </c>
      <c r="G6117" s="201">
        <v>9.1999999999999993</v>
      </c>
    </row>
    <row r="6118" spans="4:7">
      <c r="D6118" s="200" t="s">
        <v>6214</v>
      </c>
      <c r="E6118" s="10">
        <v>93339</v>
      </c>
      <c r="F6118" s="201">
        <v>-13.1</v>
      </c>
      <c r="G6118" s="201">
        <v>9</v>
      </c>
    </row>
    <row r="6119" spans="4:7">
      <c r="D6119" s="200" t="s">
        <v>6215</v>
      </c>
      <c r="E6119" s="10">
        <v>94110</v>
      </c>
      <c r="F6119" s="201">
        <v>-13.1</v>
      </c>
      <c r="G6119" s="201">
        <v>7.6</v>
      </c>
    </row>
    <row r="6120" spans="4:7">
      <c r="D6120" s="200" t="s">
        <v>6216</v>
      </c>
      <c r="E6120" s="10">
        <v>94118</v>
      </c>
      <c r="F6120" s="201">
        <v>-13.1</v>
      </c>
      <c r="G6120" s="201">
        <v>7.6</v>
      </c>
    </row>
    <row r="6121" spans="4:7">
      <c r="D6121" s="200" t="s">
        <v>6217</v>
      </c>
      <c r="E6121" s="10">
        <v>94428</v>
      </c>
      <c r="F6121" s="201">
        <v>-13.1</v>
      </c>
      <c r="G6121" s="201">
        <v>8.9</v>
      </c>
    </row>
    <row r="6122" spans="4:7">
      <c r="D6122" s="200" t="s">
        <v>6218</v>
      </c>
      <c r="E6122" s="10">
        <v>94469</v>
      </c>
      <c r="F6122" s="201">
        <v>-13.1</v>
      </c>
      <c r="G6122" s="201">
        <v>9.1</v>
      </c>
    </row>
    <row r="6123" spans="4:7">
      <c r="D6123" s="200" t="s">
        <v>4668</v>
      </c>
      <c r="E6123" s="10">
        <v>94481</v>
      </c>
      <c r="F6123" s="201">
        <v>-13.1</v>
      </c>
      <c r="G6123" s="201">
        <v>7.5</v>
      </c>
    </row>
    <row r="6124" spans="4:7">
      <c r="D6124" s="200" t="s">
        <v>6219</v>
      </c>
      <c r="E6124" s="10">
        <v>94577</v>
      </c>
      <c r="F6124" s="201">
        <v>-13.1</v>
      </c>
      <c r="G6124" s="201">
        <v>9.1999999999999993</v>
      </c>
    </row>
    <row r="6125" spans="4:7">
      <c r="D6125" s="200" t="s">
        <v>6220</v>
      </c>
      <c r="E6125" s="10">
        <v>95369</v>
      </c>
      <c r="F6125" s="201">
        <v>-13.1</v>
      </c>
      <c r="G6125" s="201">
        <v>8.3000000000000007</v>
      </c>
    </row>
    <row r="6126" spans="4:7">
      <c r="D6126" s="200" t="s">
        <v>6221</v>
      </c>
      <c r="E6126" s="10">
        <v>96123</v>
      </c>
      <c r="F6126" s="201">
        <v>-13.1</v>
      </c>
      <c r="G6126" s="201">
        <v>8.6999999999999993</v>
      </c>
    </row>
    <row r="6127" spans="4:7">
      <c r="D6127" s="200" t="s">
        <v>6222</v>
      </c>
      <c r="E6127" s="10">
        <v>96129</v>
      </c>
      <c r="F6127" s="201">
        <v>-13.1</v>
      </c>
      <c r="G6127" s="201">
        <v>8.8000000000000007</v>
      </c>
    </row>
    <row r="6128" spans="4:7">
      <c r="D6128" s="200" t="s">
        <v>6223</v>
      </c>
      <c r="E6128" s="10">
        <v>96138</v>
      </c>
      <c r="F6128" s="201">
        <v>-13.1</v>
      </c>
      <c r="G6128" s="201">
        <v>9.1999999999999993</v>
      </c>
    </row>
    <row r="6129" spans="4:7">
      <c r="D6129" s="200" t="s">
        <v>6224</v>
      </c>
      <c r="E6129" s="10">
        <v>96167</v>
      </c>
      <c r="F6129" s="201">
        <v>-13.1</v>
      </c>
      <c r="G6129" s="201">
        <v>8.1</v>
      </c>
    </row>
    <row r="6130" spans="4:7">
      <c r="D6130" s="200" t="s">
        <v>3424</v>
      </c>
      <c r="E6130" s="10">
        <v>96172</v>
      </c>
      <c r="F6130" s="201">
        <v>-13.1</v>
      </c>
      <c r="G6130" s="201">
        <v>9.1</v>
      </c>
    </row>
    <row r="6131" spans="4:7">
      <c r="D6131" s="200" t="s">
        <v>6225</v>
      </c>
      <c r="E6131" s="10">
        <v>96173</v>
      </c>
      <c r="F6131" s="201">
        <v>-13.1</v>
      </c>
      <c r="G6131" s="201">
        <v>9.1</v>
      </c>
    </row>
    <row r="6132" spans="4:7">
      <c r="D6132" s="200" t="s">
        <v>6226</v>
      </c>
      <c r="E6132" s="10">
        <v>96187</v>
      </c>
      <c r="F6132" s="201">
        <v>-13.1</v>
      </c>
      <c r="G6132" s="201">
        <v>8.1</v>
      </c>
    </row>
    <row r="6133" spans="4:7">
      <c r="D6133" s="200" t="s">
        <v>6227</v>
      </c>
      <c r="E6133" s="10">
        <v>96188</v>
      </c>
      <c r="F6133" s="201">
        <v>-13.1</v>
      </c>
      <c r="G6133" s="201">
        <v>9.1999999999999993</v>
      </c>
    </row>
    <row r="6134" spans="4:7">
      <c r="D6134" s="200" t="s">
        <v>6228</v>
      </c>
      <c r="E6134" s="10">
        <v>96197</v>
      </c>
      <c r="F6134" s="201">
        <v>-13.1</v>
      </c>
      <c r="G6134" s="201">
        <v>8.1</v>
      </c>
    </row>
    <row r="6135" spans="4:7">
      <c r="D6135" s="200" t="s">
        <v>6229</v>
      </c>
      <c r="E6135" s="10">
        <v>99510</v>
      </c>
      <c r="F6135" s="201">
        <v>-13.1</v>
      </c>
      <c r="G6135" s="201">
        <v>9.3000000000000007</v>
      </c>
    </row>
    <row r="6136" spans="4:7">
      <c r="D6136" s="200" t="s">
        <v>6230</v>
      </c>
      <c r="E6136" s="10">
        <v>99625</v>
      </c>
      <c r="F6136" s="201">
        <v>-13.1</v>
      </c>
      <c r="G6136" s="201">
        <v>9.4</v>
      </c>
    </row>
    <row r="6137" spans="4:7">
      <c r="D6137" s="200" t="s">
        <v>6231</v>
      </c>
      <c r="E6137" s="10">
        <v>99755</v>
      </c>
      <c r="F6137" s="201">
        <v>-13.1</v>
      </c>
      <c r="G6137" s="201">
        <v>8.6</v>
      </c>
    </row>
    <row r="6138" spans="4:7">
      <c r="D6138" s="200" t="s">
        <v>5571</v>
      </c>
      <c r="E6138" s="10">
        <v>99846</v>
      </c>
      <c r="F6138" s="201">
        <v>-13.1</v>
      </c>
      <c r="G6138" s="201">
        <v>8.6</v>
      </c>
    </row>
    <row r="6139" spans="4:7">
      <c r="D6139" s="200" t="s">
        <v>6232</v>
      </c>
      <c r="E6139" s="10">
        <v>99867</v>
      </c>
      <c r="F6139" s="201">
        <v>-13.1</v>
      </c>
      <c r="G6139" s="201">
        <v>9</v>
      </c>
    </row>
    <row r="6140" spans="4:7">
      <c r="D6140" s="200" t="s">
        <v>6233</v>
      </c>
      <c r="E6140" s="10">
        <v>99869</v>
      </c>
      <c r="F6140" s="201">
        <v>-13.1</v>
      </c>
      <c r="G6140" s="201">
        <v>9</v>
      </c>
    </row>
    <row r="6141" spans="4:7">
      <c r="D6141" s="200" t="s">
        <v>6234</v>
      </c>
      <c r="E6141" s="10">
        <v>99955</v>
      </c>
      <c r="F6141" s="201">
        <v>-13.1</v>
      </c>
      <c r="G6141" s="201">
        <v>9.3000000000000007</v>
      </c>
    </row>
    <row r="6142" spans="4:7">
      <c r="D6142" s="200" t="s">
        <v>6235</v>
      </c>
      <c r="E6142" s="10">
        <v>99958</v>
      </c>
      <c r="F6142" s="201">
        <v>-13.1</v>
      </c>
      <c r="G6142" s="201">
        <v>9.1999999999999993</v>
      </c>
    </row>
    <row r="6143" spans="4:7">
      <c r="D6143" s="200" t="s">
        <v>6236</v>
      </c>
      <c r="E6143" s="10">
        <v>4442</v>
      </c>
      <c r="F6143" s="201">
        <v>-13.2</v>
      </c>
      <c r="G6143" s="201">
        <v>9.6999999999999993</v>
      </c>
    </row>
    <row r="6144" spans="4:7">
      <c r="D6144" s="200" t="s">
        <v>6237</v>
      </c>
      <c r="E6144" s="10">
        <v>4539</v>
      </c>
      <c r="F6144" s="201">
        <v>-13.2</v>
      </c>
      <c r="G6144" s="201">
        <v>9.6</v>
      </c>
    </row>
    <row r="6145" spans="4:7">
      <c r="D6145" s="200" t="s">
        <v>6238</v>
      </c>
      <c r="E6145" s="10">
        <v>4564</v>
      </c>
      <c r="F6145" s="201">
        <v>-13.2</v>
      </c>
      <c r="G6145" s="201">
        <v>9.6999999999999993</v>
      </c>
    </row>
    <row r="6146" spans="4:7">
      <c r="D6146" s="200" t="s">
        <v>6239</v>
      </c>
      <c r="E6146" s="10">
        <v>4860</v>
      </c>
      <c r="F6146" s="201">
        <v>-13.2</v>
      </c>
      <c r="G6146" s="201">
        <v>9.5</v>
      </c>
    </row>
    <row r="6147" spans="4:7">
      <c r="D6147" s="200" t="s">
        <v>6093</v>
      </c>
      <c r="E6147" s="10">
        <v>4874</v>
      </c>
      <c r="F6147" s="201">
        <v>-13.2</v>
      </c>
      <c r="G6147" s="201">
        <v>9.6</v>
      </c>
    </row>
    <row r="6148" spans="4:7">
      <c r="D6148" s="200" t="s">
        <v>6240</v>
      </c>
      <c r="E6148" s="10">
        <v>6528</v>
      </c>
      <c r="F6148" s="201">
        <v>-13.2</v>
      </c>
      <c r="G6148" s="201">
        <v>9.6</v>
      </c>
    </row>
    <row r="6149" spans="4:7">
      <c r="D6149" s="200" t="s">
        <v>6241</v>
      </c>
      <c r="E6149" s="10">
        <v>6567</v>
      </c>
      <c r="F6149" s="201">
        <v>-13.2</v>
      </c>
      <c r="G6149" s="201">
        <v>9.6</v>
      </c>
    </row>
    <row r="6150" spans="4:7">
      <c r="D6150" s="200" t="s">
        <v>6242</v>
      </c>
      <c r="E6150" s="10">
        <v>6577</v>
      </c>
      <c r="F6150" s="201">
        <v>-13.2</v>
      </c>
      <c r="G6150" s="201">
        <v>9.6</v>
      </c>
    </row>
    <row r="6151" spans="4:7">
      <c r="D6151" s="200" t="s">
        <v>6243</v>
      </c>
      <c r="E6151" s="10">
        <v>6642</v>
      </c>
      <c r="F6151" s="201">
        <v>-13.2</v>
      </c>
      <c r="G6151" s="201">
        <v>9.5</v>
      </c>
    </row>
    <row r="6152" spans="4:7">
      <c r="D6152" s="200" t="s">
        <v>5962</v>
      </c>
      <c r="E6152" s="10">
        <v>6888</v>
      </c>
      <c r="F6152" s="201">
        <v>-13.2</v>
      </c>
      <c r="G6152" s="201">
        <v>9.6999999999999993</v>
      </c>
    </row>
    <row r="6153" spans="4:7">
      <c r="D6153" s="200" t="s">
        <v>6244</v>
      </c>
      <c r="E6153" s="10">
        <v>7778</v>
      </c>
      <c r="F6153" s="201">
        <v>-13.2</v>
      </c>
      <c r="G6153" s="201">
        <v>9.6</v>
      </c>
    </row>
    <row r="6154" spans="4:7">
      <c r="D6154" s="200" t="s">
        <v>6245</v>
      </c>
      <c r="E6154" s="10">
        <v>12529</v>
      </c>
      <c r="F6154" s="201">
        <v>-13.2</v>
      </c>
      <c r="G6154" s="201">
        <v>9.5</v>
      </c>
    </row>
    <row r="6155" spans="4:7">
      <c r="D6155" s="200" t="s">
        <v>6246</v>
      </c>
      <c r="E6155" s="10">
        <v>12559</v>
      </c>
      <c r="F6155" s="201">
        <v>-13.2</v>
      </c>
      <c r="G6155" s="201">
        <v>9.6</v>
      </c>
    </row>
    <row r="6156" spans="4:7">
      <c r="D6156" s="200" t="s">
        <v>6247</v>
      </c>
      <c r="E6156" s="10">
        <v>12587</v>
      </c>
      <c r="F6156" s="201">
        <v>-13.2</v>
      </c>
      <c r="G6156" s="201">
        <v>9.5</v>
      </c>
    </row>
    <row r="6157" spans="4:7">
      <c r="D6157" s="200" t="s">
        <v>6248</v>
      </c>
      <c r="E6157" s="10">
        <v>14662</v>
      </c>
      <c r="F6157" s="201">
        <v>-13.2</v>
      </c>
      <c r="G6157" s="201">
        <v>9.4</v>
      </c>
    </row>
    <row r="6158" spans="4:7">
      <c r="D6158" s="200" t="s">
        <v>6249</v>
      </c>
      <c r="E6158" s="10">
        <v>14793</v>
      </c>
      <c r="F6158" s="201">
        <v>-13.2</v>
      </c>
      <c r="G6158" s="201">
        <v>9.3000000000000007</v>
      </c>
    </row>
    <row r="6159" spans="4:7">
      <c r="D6159" s="200" t="s">
        <v>6250</v>
      </c>
      <c r="E6159" s="10">
        <v>14929</v>
      </c>
      <c r="F6159" s="201">
        <v>-13.2</v>
      </c>
      <c r="G6159" s="201">
        <v>9.4</v>
      </c>
    </row>
    <row r="6160" spans="4:7">
      <c r="D6160" s="200" t="s">
        <v>6251</v>
      </c>
      <c r="E6160" s="10">
        <v>14959</v>
      </c>
      <c r="F6160" s="201">
        <v>-13.2</v>
      </c>
      <c r="G6160" s="201">
        <v>9.6</v>
      </c>
    </row>
    <row r="6161" spans="4:7">
      <c r="D6161" s="200" t="s">
        <v>5525</v>
      </c>
      <c r="E6161" s="10">
        <v>15712</v>
      </c>
      <c r="F6161" s="201">
        <v>-13.2</v>
      </c>
      <c r="G6161" s="201">
        <v>9.6</v>
      </c>
    </row>
    <row r="6162" spans="4:7">
      <c r="D6162" s="200" t="s">
        <v>5525</v>
      </c>
      <c r="E6162" s="10">
        <v>15713</v>
      </c>
      <c r="F6162" s="201">
        <v>-13.2</v>
      </c>
      <c r="G6162" s="201">
        <v>9.5</v>
      </c>
    </row>
    <row r="6163" spans="4:7">
      <c r="D6163" s="200" t="s">
        <v>6252</v>
      </c>
      <c r="E6163" s="10">
        <v>15749</v>
      </c>
      <c r="F6163" s="201">
        <v>-13.2</v>
      </c>
      <c r="G6163" s="201">
        <v>9.5</v>
      </c>
    </row>
    <row r="6164" spans="4:7">
      <c r="D6164" s="200" t="s">
        <v>6253</v>
      </c>
      <c r="E6164" s="10">
        <v>15827</v>
      </c>
      <c r="F6164" s="201">
        <v>-13.2</v>
      </c>
      <c r="G6164" s="201">
        <v>9.5</v>
      </c>
    </row>
    <row r="6165" spans="4:7">
      <c r="D6165" s="200" t="s">
        <v>6254</v>
      </c>
      <c r="E6165" s="10">
        <v>15831</v>
      </c>
      <c r="F6165" s="201">
        <v>-13.2</v>
      </c>
      <c r="G6165" s="201">
        <v>9.5</v>
      </c>
    </row>
    <row r="6166" spans="4:7">
      <c r="D6166" s="200" t="s">
        <v>6255</v>
      </c>
      <c r="E6166" s="10">
        <v>15834</v>
      </c>
      <c r="F6166" s="201">
        <v>-13.2</v>
      </c>
      <c r="G6166" s="201">
        <v>9.5</v>
      </c>
    </row>
    <row r="6167" spans="4:7">
      <c r="D6167" s="200" t="s">
        <v>6256</v>
      </c>
      <c r="E6167" s="10">
        <v>15859</v>
      </c>
      <c r="F6167" s="201">
        <v>-13.2</v>
      </c>
      <c r="G6167" s="201">
        <v>9.6</v>
      </c>
    </row>
    <row r="6168" spans="4:7">
      <c r="D6168" s="200" t="s">
        <v>6257</v>
      </c>
      <c r="E6168" s="10">
        <v>15864</v>
      </c>
      <c r="F6168" s="201">
        <v>-13.2</v>
      </c>
      <c r="G6168" s="201">
        <v>9.6</v>
      </c>
    </row>
    <row r="6169" spans="4:7">
      <c r="D6169" s="200" t="s">
        <v>6258</v>
      </c>
      <c r="E6169" s="10">
        <v>16775</v>
      </c>
      <c r="F6169" s="201">
        <v>-13.2</v>
      </c>
      <c r="G6169" s="201">
        <v>9.3000000000000007</v>
      </c>
    </row>
    <row r="6170" spans="4:7">
      <c r="D6170" s="200" t="s">
        <v>6259</v>
      </c>
      <c r="E6170" s="10">
        <v>16833</v>
      </c>
      <c r="F6170" s="201">
        <v>-13.2</v>
      </c>
      <c r="G6170" s="201">
        <v>9.4</v>
      </c>
    </row>
    <row r="6171" spans="4:7">
      <c r="D6171" s="200" t="s">
        <v>6260</v>
      </c>
      <c r="E6171" s="10">
        <v>16835</v>
      </c>
      <c r="F6171" s="201">
        <v>-13.2</v>
      </c>
      <c r="G6171" s="201">
        <v>9.3000000000000007</v>
      </c>
    </row>
    <row r="6172" spans="4:7">
      <c r="D6172" s="200" t="s">
        <v>5632</v>
      </c>
      <c r="E6172" s="10">
        <v>17033</v>
      </c>
      <c r="F6172" s="201">
        <v>-13.2</v>
      </c>
      <c r="G6172" s="201">
        <v>9.3000000000000007</v>
      </c>
    </row>
    <row r="6173" spans="4:7">
      <c r="D6173" s="200" t="s">
        <v>6261</v>
      </c>
      <c r="E6173" s="10">
        <v>17094</v>
      </c>
      <c r="F6173" s="201">
        <v>-13.2</v>
      </c>
      <c r="G6173" s="201">
        <v>9</v>
      </c>
    </row>
    <row r="6174" spans="4:7">
      <c r="D6174" s="200" t="s">
        <v>5108</v>
      </c>
      <c r="E6174" s="10">
        <v>17098</v>
      </c>
      <c r="F6174" s="201">
        <v>-13.2</v>
      </c>
      <c r="G6174" s="201">
        <v>9.3000000000000007</v>
      </c>
    </row>
    <row r="6175" spans="4:7">
      <c r="D6175" s="200" t="s">
        <v>6262</v>
      </c>
      <c r="E6175" s="10">
        <v>17258</v>
      </c>
      <c r="F6175" s="201">
        <v>-13.2</v>
      </c>
      <c r="G6175" s="201">
        <v>8.8000000000000007</v>
      </c>
    </row>
    <row r="6176" spans="4:7">
      <c r="D6176" s="200" t="s">
        <v>6263</v>
      </c>
      <c r="E6176" s="10">
        <v>17358</v>
      </c>
      <c r="F6176" s="201">
        <v>-13.2</v>
      </c>
      <c r="G6176" s="201">
        <v>9.1</v>
      </c>
    </row>
    <row r="6177" spans="4:7">
      <c r="D6177" s="200" t="s">
        <v>6264</v>
      </c>
      <c r="E6177" s="10">
        <v>17367</v>
      </c>
      <c r="F6177" s="201">
        <v>-13.2</v>
      </c>
      <c r="G6177" s="201">
        <v>9</v>
      </c>
    </row>
    <row r="6178" spans="4:7">
      <c r="D6178" s="200" t="s">
        <v>6265</v>
      </c>
      <c r="E6178" s="10">
        <v>17379</v>
      </c>
      <c r="F6178" s="201">
        <v>-13.2</v>
      </c>
      <c r="G6178" s="201">
        <v>9.1</v>
      </c>
    </row>
    <row r="6179" spans="4:7">
      <c r="D6179" s="200" t="s">
        <v>6266</v>
      </c>
      <c r="E6179" s="10">
        <v>17392</v>
      </c>
      <c r="F6179" s="201">
        <v>-13.2</v>
      </c>
      <c r="G6179" s="201">
        <v>9.1999999999999993</v>
      </c>
    </row>
    <row r="6180" spans="4:7">
      <c r="D6180" s="200" t="s">
        <v>6267</v>
      </c>
      <c r="E6180" s="10">
        <v>34508</v>
      </c>
      <c r="F6180" s="201">
        <v>-13.2</v>
      </c>
      <c r="G6180" s="201">
        <v>7</v>
      </c>
    </row>
    <row r="6181" spans="4:7">
      <c r="D6181" s="200" t="s">
        <v>5585</v>
      </c>
      <c r="E6181" s="10">
        <v>36142</v>
      </c>
      <c r="F6181" s="201">
        <v>-13.2</v>
      </c>
      <c r="G6181" s="201">
        <v>8</v>
      </c>
    </row>
    <row r="6182" spans="4:7">
      <c r="D6182" s="200" t="s">
        <v>6268</v>
      </c>
      <c r="E6182" s="10">
        <v>36448</v>
      </c>
      <c r="F6182" s="201">
        <v>-13.2</v>
      </c>
      <c r="G6182" s="201">
        <v>8.1999999999999993</v>
      </c>
    </row>
    <row r="6183" spans="4:7">
      <c r="D6183" s="200" t="s">
        <v>6269</v>
      </c>
      <c r="E6183" s="10">
        <v>37339</v>
      </c>
      <c r="F6183" s="201">
        <v>-13.2</v>
      </c>
      <c r="G6183" s="201">
        <v>8</v>
      </c>
    </row>
    <row r="6184" spans="4:7">
      <c r="D6184" s="200" t="s">
        <v>6270</v>
      </c>
      <c r="E6184" s="10">
        <v>37441</v>
      </c>
      <c r="F6184" s="201">
        <v>-13.2</v>
      </c>
      <c r="G6184" s="201">
        <v>8.3000000000000007</v>
      </c>
    </row>
    <row r="6185" spans="4:7">
      <c r="D6185" s="200" t="s">
        <v>6271</v>
      </c>
      <c r="E6185" s="10">
        <v>38895</v>
      </c>
      <c r="F6185" s="201">
        <v>-13.2</v>
      </c>
      <c r="G6185" s="201">
        <v>9.3000000000000007</v>
      </c>
    </row>
    <row r="6186" spans="4:7">
      <c r="D6186" s="200" t="s">
        <v>6272</v>
      </c>
      <c r="E6186" s="10">
        <v>39307</v>
      </c>
      <c r="F6186" s="201">
        <v>-13.2</v>
      </c>
      <c r="G6186" s="201">
        <v>9.4</v>
      </c>
    </row>
    <row r="6187" spans="4:7">
      <c r="D6187" s="200" t="s">
        <v>6273</v>
      </c>
      <c r="E6187" s="10">
        <v>59955</v>
      </c>
      <c r="F6187" s="201">
        <v>-13.2</v>
      </c>
      <c r="G6187" s="201">
        <v>6.8</v>
      </c>
    </row>
    <row r="6188" spans="4:7">
      <c r="D6188" s="200" t="s">
        <v>6274</v>
      </c>
      <c r="E6188" s="10">
        <v>72393</v>
      </c>
      <c r="F6188" s="201">
        <v>-13.2</v>
      </c>
      <c r="G6188" s="201">
        <v>7.5</v>
      </c>
    </row>
    <row r="6189" spans="4:7">
      <c r="D6189" s="200" t="s">
        <v>6275</v>
      </c>
      <c r="E6189" s="10">
        <v>72461</v>
      </c>
      <c r="F6189" s="201">
        <v>-13.2</v>
      </c>
      <c r="G6189" s="201">
        <v>7.6</v>
      </c>
    </row>
    <row r="6190" spans="4:7">
      <c r="D6190" s="200" t="s">
        <v>6276</v>
      </c>
      <c r="E6190" s="10">
        <v>72479</v>
      </c>
      <c r="F6190" s="201">
        <v>-13.2</v>
      </c>
      <c r="G6190" s="201">
        <v>7.6</v>
      </c>
    </row>
    <row r="6191" spans="4:7">
      <c r="D6191" s="200" t="s">
        <v>6277</v>
      </c>
      <c r="E6191" s="10">
        <v>72513</v>
      </c>
      <c r="F6191" s="201">
        <v>-13.2</v>
      </c>
      <c r="G6191" s="201">
        <v>7.6</v>
      </c>
    </row>
    <row r="6192" spans="4:7">
      <c r="D6192" s="200" t="s">
        <v>6278</v>
      </c>
      <c r="E6192" s="10">
        <v>72539</v>
      </c>
      <c r="F6192" s="201">
        <v>-13.2</v>
      </c>
      <c r="G6192" s="201">
        <v>7.8</v>
      </c>
    </row>
    <row r="6193" spans="4:7">
      <c r="D6193" s="200" t="s">
        <v>4955</v>
      </c>
      <c r="E6193" s="10">
        <v>73432</v>
      </c>
      <c r="F6193" s="201">
        <v>-13.2</v>
      </c>
      <c r="G6193" s="201">
        <v>8.1</v>
      </c>
    </row>
    <row r="6194" spans="4:7">
      <c r="D6194" s="200" t="s">
        <v>6279</v>
      </c>
      <c r="E6194" s="10">
        <v>73566</v>
      </c>
      <c r="F6194" s="201">
        <v>-13.2</v>
      </c>
      <c r="G6194" s="201">
        <v>8.1</v>
      </c>
    </row>
    <row r="6195" spans="4:7">
      <c r="D6195" s="200" t="s">
        <v>6280</v>
      </c>
      <c r="E6195" s="10">
        <v>77776</v>
      </c>
      <c r="F6195" s="201">
        <v>-13.2</v>
      </c>
      <c r="G6195" s="201">
        <v>7.8</v>
      </c>
    </row>
    <row r="6196" spans="4:7">
      <c r="D6196" s="200" t="s">
        <v>6281</v>
      </c>
      <c r="E6196" s="10">
        <v>78126</v>
      </c>
      <c r="F6196" s="201">
        <v>-13.2</v>
      </c>
      <c r="G6196" s="201">
        <v>7.8</v>
      </c>
    </row>
    <row r="6197" spans="4:7">
      <c r="D6197" s="200" t="s">
        <v>5783</v>
      </c>
      <c r="E6197" s="10">
        <v>78144</v>
      </c>
      <c r="F6197" s="201">
        <v>-13.2</v>
      </c>
      <c r="G6197" s="201">
        <v>7.5</v>
      </c>
    </row>
    <row r="6198" spans="4:7">
      <c r="D6198" s="200" t="s">
        <v>6282</v>
      </c>
      <c r="E6198" s="10">
        <v>78586</v>
      </c>
      <c r="F6198" s="201">
        <v>-13.2</v>
      </c>
      <c r="G6198" s="201">
        <v>7.7</v>
      </c>
    </row>
    <row r="6199" spans="4:7">
      <c r="D6199" s="200" t="s">
        <v>6283</v>
      </c>
      <c r="E6199" s="10">
        <v>78595</v>
      </c>
      <c r="F6199" s="201">
        <v>-13.2</v>
      </c>
      <c r="G6199" s="201">
        <v>7.7</v>
      </c>
    </row>
    <row r="6200" spans="4:7">
      <c r="D6200" s="200" t="s">
        <v>6284</v>
      </c>
      <c r="E6200" s="10">
        <v>78600</v>
      </c>
      <c r="F6200" s="201">
        <v>-13.2</v>
      </c>
      <c r="G6200" s="201">
        <v>7.6</v>
      </c>
    </row>
    <row r="6201" spans="4:7">
      <c r="D6201" s="200" t="s">
        <v>4162</v>
      </c>
      <c r="E6201" s="10">
        <v>80689</v>
      </c>
      <c r="F6201" s="201">
        <v>-13.2</v>
      </c>
      <c r="G6201" s="201">
        <v>8.9</v>
      </c>
    </row>
    <row r="6202" spans="4:7">
      <c r="D6202" s="200" t="s">
        <v>4162</v>
      </c>
      <c r="E6202" s="10">
        <v>81243</v>
      </c>
      <c r="F6202" s="201">
        <v>-13.2</v>
      </c>
      <c r="G6202" s="201">
        <v>9</v>
      </c>
    </row>
    <row r="6203" spans="4:7">
      <c r="D6203" s="200" t="s">
        <v>4162</v>
      </c>
      <c r="E6203" s="10">
        <v>81829</v>
      </c>
      <c r="F6203" s="201">
        <v>-13.2</v>
      </c>
      <c r="G6203" s="201">
        <v>8.9</v>
      </c>
    </row>
    <row r="6204" spans="4:7">
      <c r="D6204" s="200" t="s">
        <v>6285</v>
      </c>
      <c r="E6204" s="10">
        <v>83132</v>
      </c>
      <c r="F6204" s="201">
        <v>-13.2</v>
      </c>
      <c r="G6204" s="201">
        <v>8.3000000000000007</v>
      </c>
    </row>
    <row r="6205" spans="4:7">
      <c r="D6205" s="200" t="s">
        <v>6286</v>
      </c>
      <c r="E6205" s="10">
        <v>83352</v>
      </c>
      <c r="F6205" s="201">
        <v>-13.2</v>
      </c>
      <c r="G6205" s="201">
        <v>8.5</v>
      </c>
    </row>
    <row r="6206" spans="4:7">
      <c r="D6206" s="200" t="s">
        <v>6287</v>
      </c>
      <c r="E6206" s="10">
        <v>83364</v>
      </c>
      <c r="F6206" s="201">
        <v>-13.2</v>
      </c>
      <c r="G6206" s="201">
        <v>7.9</v>
      </c>
    </row>
    <row r="6207" spans="4:7">
      <c r="D6207" s="200" t="s">
        <v>6288</v>
      </c>
      <c r="E6207" s="10">
        <v>83367</v>
      </c>
      <c r="F6207" s="201">
        <v>-13.2</v>
      </c>
      <c r="G6207" s="201">
        <v>9</v>
      </c>
    </row>
    <row r="6208" spans="4:7">
      <c r="D6208" s="200" t="s">
        <v>5904</v>
      </c>
      <c r="E6208" s="10">
        <v>83370</v>
      </c>
      <c r="F6208" s="201">
        <v>-13.2</v>
      </c>
      <c r="G6208" s="201">
        <v>8.5</v>
      </c>
    </row>
    <row r="6209" spans="4:7">
      <c r="D6209" s="200" t="s">
        <v>6289</v>
      </c>
      <c r="E6209" s="10">
        <v>83371</v>
      </c>
      <c r="F6209" s="201">
        <v>-13.2</v>
      </c>
      <c r="G6209" s="201">
        <v>8.5</v>
      </c>
    </row>
    <row r="6210" spans="4:7">
      <c r="D6210" s="200" t="s">
        <v>6290</v>
      </c>
      <c r="E6210" s="10">
        <v>83379</v>
      </c>
      <c r="F6210" s="201">
        <v>-13.2</v>
      </c>
      <c r="G6210" s="201">
        <v>8.5</v>
      </c>
    </row>
    <row r="6211" spans="4:7">
      <c r="D6211" s="200" t="s">
        <v>6291</v>
      </c>
      <c r="E6211" s="10">
        <v>83435</v>
      </c>
      <c r="F6211" s="201">
        <v>-13.2</v>
      </c>
      <c r="G6211" s="201">
        <v>9</v>
      </c>
    </row>
    <row r="6212" spans="4:7">
      <c r="D6212" s="200" t="s">
        <v>6292</v>
      </c>
      <c r="E6212" s="10">
        <v>83547</v>
      </c>
      <c r="F6212" s="201">
        <v>-13.2</v>
      </c>
      <c r="G6212" s="201">
        <v>8.4</v>
      </c>
    </row>
    <row r="6213" spans="4:7">
      <c r="D6213" s="200" t="s">
        <v>5491</v>
      </c>
      <c r="E6213" s="10">
        <v>84034</v>
      </c>
      <c r="F6213" s="201">
        <v>-13.2</v>
      </c>
      <c r="G6213" s="201">
        <v>9.1</v>
      </c>
    </row>
    <row r="6214" spans="4:7">
      <c r="D6214" s="200" t="s">
        <v>6293</v>
      </c>
      <c r="E6214" s="10">
        <v>84163</v>
      </c>
      <c r="F6214" s="201">
        <v>-13.2</v>
      </c>
      <c r="G6214" s="201">
        <v>8.8000000000000007</v>
      </c>
    </row>
    <row r="6215" spans="4:7">
      <c r="D6215" s="200" t="s">
        <v>6294</v>
      </c>
      <c r="E6215" s="10">
        <v>84335</v>
      </c>
      <c r="F6215" s="201">
        <v>-13.2</v>
      </c>
      <c r="G6215" s="201">
        <v>8.6999999999999993</v>
      </c>
    </row>
    <row r="6216" spans="4:7">
      <c r="D6216" s="200" t="s">
        <v>6295</v>
      </c>
      <c r="E6216" s="10">
        <v>84339</v>
      </c>
      <c r="F6216" s="201">
        <v>-13.2</v>
      </c>
      <c r="G6216" s="201">
        <v>8.6999999999999993</v>
      </c>
    </row>
    <row r="6217" spans="4:7">
      <c r="D6217" s="200" t="s">
        <v>6296</v>
      </c>
      <c r="E6217" s="10">
        <v>84547</v>
      </c>
      <c r="F6217" s="201">
        <v>-13.2</v>
      </c>
      <c r="G6217" s="201">
        <v>8.9</v>
      </c>
    </row>
    <row r="6218" spans="4:7">
      <c r="D6218" s="200" t="s">
        <v>6297</v>
      </c>
      <c r="E6218" s="10">
        <v>85111</v>
      </c>
      <c r="F6218" s="201">
        <v>-13.2</v>
      </c>
      <c r="G6218" s="201">
        <v>8.8000000000000007</v>
      </c>
    </row>
    <row r="6219" spans="4:7">
      <c r="D6219" s="200" t="s">
        <v>6298</v>
      </c>
      <c r="E6219" s="10">
        <v>85119</v>
      </c>
      <c r="F6219" s="201">
        <v>-13.2</v>
      </c>
      <c r="G6219" s="201">
        <v>9.1</v>
      </c>
    </row>
    <row r="6220" spans="4:7">
      <c r="D6220" s="200" t="s">
        <v>6299</v>
      </c>
      <c r="E6220" s="10">
        <v>85129</v>
      </c>
      <c r="F6220" s="201">
        <v>-13.2</v>
      </c>
      <c r="G6220" s="201">
        <v>8.8000000000000007</v>
      </c>
    </row>
    <row r="6221" spans="4:7">
      <c r="D6221" s="200" t="s">
        <v>6300</v>
      </c>
      <c r="E6221" s="10">
        <v>85290</v>
      </c>
      <c r="F6221" s="201">
        <v>-13.2</v>
      </c>
      <c r="G6221" s="201">
        <v>9.1</v>
      </c>
    </row>
    <row r="6222" spans="4:7">
      <c r="D6222" s="200" t="s">
        <v>6301</v>
      </c>
      <c r="E6222" s="10">
        <v>86476</v>
      </c>
      <c r="F6222" s="201">
        <v>-13.2</v>
      </c>
      <c r="G6222" s="201">
        <v>8.6</v>
      </c>
    </row>
    <row r="6223" spans="4:7">
      <c r="D6223" s="200" t="s">
        <v>6302</v>
      </c>
      <c r="E6223" s="10">
        <v>86480</v>
      </c>
      <c r="F6223" s="201">
        <v>-13.2</v>
      </c>
      <c r="G6223" s="201">
        <v>8.6999999999999993</v>
      </c>
    </row>
    <row r="6224" spans="4:7">
      <c r="D6224" s="200" t="s">
        <v>6303</v>
      </c>
      <c r="E6224" s="10">
        <v>86498</v>
      </c>
      <c r="F6224" s="201">
        <v>-13.2</v>
      </c>
      <c r="G6224" s="201">
        <v>8.6</v>
      </c>
    </row>
    <row r="6225" spans="4:7">
      <c r="D6225" s="200" t="s">
        <v>6304</v>
      </c>
      <c r="E6225" s="10">
        <v>86660</v>
      </c>
      <c r="F6225" s="201">
        <v>-13.2</v>
      </c>
      <c r="G6225" s="201">
        <v>9</v>
      </c>
    </row>
    <row r="6226" spans="4:7">
      <c r="D6226" s="200" t="s">
        <v>6305</v>
      </c>
      <c r="E6226" s="10">
        <v>86682</v>
      </c>
      <c r="F6226" s="201">
        <v>-13.2</v>
      </c>
      <c r="G6226" s="201">
        <v>9</v>
      </c>
    </row>
    <row r="6227" spans="4:7">
      <c r="D6227" s="200" t="s">
        <v>6306</v>
      </c>
      <c r="E6227" s="10">
        <v>86735</v>
      </c>
      <c r="F6227" s="201">
        <v>-13.2</v>
      </c>
      <c r="G6227" s="201">
        <v>8.5</v>
      </c>
    </row>
    <row r="6228" spans="4:7">
      <c r="D6228" s="200" t="s">
        <v>6307</v>
      </c>
      <c r="E6228" s="10">
        <v>86750</v>
      </c>
      <c r="F6228" s="201">
        <v>-13.2</v>
      </c>
      <c r="G6228" s="201">
        <v>8.9</v>
      </c>
    </row>
    <row r="6229" spans="4:7">
      <c r="D6229" s="200" t="s">
        <v>6308</v>
      </c>
      <c r="E6229" s="10">
        <v>87737</v>
      </c>
      <c r="F6229" s="201">
        <v>-13.2</v>
      </c>
      <c r="G6229" s="201">
        <v>8.4</v>
      </c>
    </row>
    <row r="6230" spans="4:7">
      <c r="D6230" s="200" t="s">
        <v>6309</v>
      </c>
      <c r="E6230" s="10">
        <v>87743</v>
      </c>
      <c r="F6230" s="201">
        <v>-13.2</v>
      </c>
      <c r="G6230" s="201">
        <v>8.4</v>
      </c>
    </row>
    <row r="6231" spans="4:7">
      <c r="D6231" s="200" t="s">
        <v>6310</v>
      </c>
      <c r="E6231" s="10">
        <v>87784</v>
      </c>
      <c r="F6231" s="201">
        <v>-13.2</v>
      </c>
      <c r="G6231" s="201">
        <v>8.3000000000000007</v>
      </c>
    </row>
    <row r="6232" spans="4:7">
      <c r="D6232" s="200" t="s">
        <v>6311</v>
      </c>
      <c r="E6232" s="10">
        <v>88175</v>
      </c>
      <c r="F6232" s="201">
        <v>-13.2</v>
      </c>
      <c r="G6232" s="201">
        <v>7.9</v>
      </c>
    </row>
    <row r="6233" spans="4:7">
      <c r="D6233" s="200" t="s">
        <v>6312</v>
      </c>
      <c r="E6233" s="10">
        <v>88459</v>
      </c>
      <c r="F6233" s="201">
        <v>-13.2</v>
      </c>
      <c r="G6233" s="201">
        <v>8.4</v>
      </c>
    </row>
    <row r="6234" spans="4:7">
      <c r="D6234" s="200" t="s">
        <v>6313</v>
      </c>
      <c r="E6234" s="10">
        <v>88515</v>
      </c>
      <c r="F6234" s="201">
        <v>-13.2</v>
      </c>
      <c r="G6234" s="201">
        <v>7.8</v>
      </c>
    </row>
    <row r="6235" spans="4:7">
      <c r="D6235" s="200" t="s">
        <v>6314</v>
      </c>
      <c r="E6235" s="10">
        <v>89188</v>
      </c>
      <c r="F6235" s="201">
        <v>-13.2</v>
      </c>
      <c r="G6235" s="201">
        <v>8</v>
      </c>
    </row>
    <row r="6236" spans="4:7">
      <c r="D6236" s="200" t="s">
        <v>6315</v>
      </c>
      <c r="E6236" s="10">
        <v>89191</v>
      </c>
      <c r="F6236" s="201">
        <v>-13.2</v>
      </c>
      <c r="G6236" s="201">
        <v>8</v>
      </c>
    </row>
    <row r="6237" spans="4:7">
      <c r="D6237" s="200" t="s">
        <v>6316</v>
      </c>
      <c r="E6237" s="10">
        <v>89355</v>
      </c>
      <c r="F6237" s="201">
        <v>-13.2</v>
      </c>
      <c r="G6237" s="201">
        <v>8.6999999999999993</v>
      </c>
    </row>
    <row r="6238" spans="4:7">
      <c r="D6238" s="200" t="s">
        <v>6317</v>
      </c>
      <c r="E6238" s="10">
        <v>89426</v>
      </c>
      <c r="F6238" s="201">
        <v>-13.2</v>
      </c>
      <c r="G6238" s="201">
        <v>8.9</v>
      </c>
    </row>
    <row r="6239" spans="4:7">
      <c r="D6239" s="200" t="s">
        <v>5329</v>
      </c>
      <c r="E6239" s="10">
        <v>89520</v>
      </c>
      <c r="F6239" s="201">
        <v>-13.2</v>
      </c>
      <c r="G6239" s="201">
        <v>8.1</v>
      </c>
    </row>
    <row r="6240" spans="4:7">
      <c r="D6240" s="200" t="s">
        <v>4257</v>
      </c>
      <c r="E6240" s="10">
        <v>90411</v>
      </c>
      <c r="F6240" s="201">
        <v>-13.2</v>
      </c>
      <c r="G6240" s="201">
        <v>9.4</v>
      </c>
    </row>
    <row r="6241" spans="4:7">
      <c r="D6241" s="200" t="s">
        <v>4257</v>
      </c>
      <c r="E6241" s="10">
        <v>90427</v>
      </c>
      <c r="F6241" s="201">
        <v>-13.2</v>
      </c>
      <c r="G6241" s="201">
        <v>9.4</v>
      </c>
    </row>
    <row r="6242" spans="4:7">
      <c r="D6242" s="200" t="s">
        <v>4257</v>
      </c>
      <c r="E6242" s="10">
        <v>90482</v>
      </c>
      <c r="F6242" s="201">
        <v>-13.2</v>
      </c>
      <c r="G6242" s="201">
        <v>9.4</v>
      </c>
    </row>
    <row r="6243" spans="4:7">
      <c r="D6243" s="200" t="s">
        <v>6318</v>
      </c>
      <c r="E6243" s="10">
        <v>90522</v>
      </c>
      <c r="F6243" s="201">
        <v>-13.2</v>
      </c>
      <c r="G6243" s="201">
        <v>9.5</v>
      </c>
    </row>
    <row r="6244" spans="4:7">
      <c r="D6244" s="200" t="s">
        <v>6319</v>
      </c>
      <c r="E6244" s="10">
        <v>90599</v>
      </c>
      <c r="F6244" s="201">
        <v>-13.2</v>
      </c>
      <c r="G6244" s="201">
        <v>9.1</v>
      </c>
    </row>
    <row r="6245" spans="4:7">
      <c r="D6245" s="200" t="s">
        <v>5330</v>
      </c>
      <c r="E6245" s="10">
        <v>91058</v>
      </c>
      <c r="F6245" s="201">
        <v>-13.2</v>
      </c>
      <c r="G6245" s="201">
        <v>9.5</v>
      </c>
    </row>
    <row r="6246" spans="4:7">
      <c r="D6246" s="200" t="s">
        <v>6320</v>
      </c>
      <c r="E6246" s="10">
        <v>91074</v>
      </c>
      <c r="F6246" s="201">
        <v>-13.2</v>
      </c>
      <c r="G6246" s="201">
        <v>9.4</v>
      </c>
    </row>
    <row r="6247" spans="4:7">
      <c r="D6247" s="200" t="s">
        <v>6321</v>
      </c>
      <c r="E6247" s="10">
        <v>91091</v>
      </c>
      <c r="F6247" s="201">
        <v>-13.2</v>
      </c>
      <c r="G6247" s="201">
        <v>9.3000000000000007</v>
      </c>
    </row>
    <row r="6248" spans="4:7">
      <c r="D6248" s="200" t="s">
        <v>6322</v>
      </c>
      <c r="E6248" s="10">
        <v>91093</v>
      </c>
      <c r="F6248" s="201">
        <v>-13.2</v>
      </c>
      <c r="G6248" s="201">
        <v>9.4</v>
      </c>
    </row>
    <row r="6249" spans="4:7">
      <c r="D6249" s="200" t="s">
        <v>6323</v>
      </c>
      <c r="E6249" s="10">
        <v>91094</v>
      </c>
      <c r="F6249" s="201">
        <v>-13.2</v>
      </c>
      <c r="G6249" s="201">
        <v>9.3000000000000007</v>
      </c>
    </row>
    <row r="6250" spans="4:7">
      <c r="D6250" s="200" t="s">
        <v>6324</v>
      </c>
      <c r="E6250" s="10">
        <v>91096</v>
      </c>
      <c r="F6250" s="201">
        <v>-13.2</v>
      </c>
      <c r="G6250" s="201">
        <v>9.3000000000000007</v>
      </c>
    </row>
    <row r="6251" spans="4:7">
      <c r="D6251" s="200" t="s">
        <v>6325</v>
      </c>
      <c r="E6251" s="10">
        <v>91341</v>
      </c>
      <c r="F6251" s="201">
        <v>-13.2</v>
      </c>
      <c r="G6251" s="201">
        <v>9.3000000000000007</v>
      </c>
    </row>
    <row r="6252" spans="4:7">
      <c r="D6252" s="200" t="s">
        <v>6326</v>
      </c>
      <c r="E6252" s="10">
        <v>91352</v>
      </c>
      <c r="F6252" s="201">
        <v>-13.2</v>
      </c>
      <c r="G6252" s="201">
        <v>9.3000000000000007</v>
      </c>
    </row>
    <row r="6253" spans="4:7">
      <c r="D6253" s="200" t="s">
        <v>6327</v>
      </c>
      <c r="E6253" s="10">
        <v>91480</v>
      </c>
      <c r="F6253" s="201">
        <v>-13.2</v>
      </c>
      <c r="G6253" s="201">
        <v>8.9</v>
      </c>
    </row>
    <row r="6254" spans="4:7">
      <c r="D6254" s="200" t="s">
        <v>6328</v>
      </c>
      <c r="E6254" s="10">
        <v>91590</v>
      </c>
      <c r="F6254" s="201">
        <v>-13.2</v>
      </c>
      <c r="G6254" s="201">
        <v>9</v>
      </c>
    </row>
    <row r="6255" spans="4:7">
      <c r="D6255" s="200" t="s">
        <v>6329</v>
      </c>
      <c r="E6255" s="10">
        <v>91598</v>
      </c>
      <c r="F6255" s="201">
        <v>-13.2</v>
      </c>
      <c r="G6255" s="201">
        <v>8.5</v>
      </c>
    </row>
    <row r="6256" spans="4:7">
      <c r="D6256" s="200" t="s">
        <v>6330</v>
      </c>
      <c r="E6256" s="10">
        <v>91623</v>
      </c>
      <c r="F6256" s="201">
        <v>-13.2</v>
      </c>
      <c r="G6256" s="201">
        <v>9</v>
      </c>
    </row>
    <row r="6257" spans="4:7">
      <c r="D6257" s="200" t="s">
        <v>6331</v>
      </c>
      <c r="E6257" s="10">
        <v>91629</v>
      </c>
      <c r="F6257" s="201">
        <v>-13.2</v>
      </c>
      <c r="G6257" s="201">
        <v>9</v>
      </c>
    </row>
    <row r="6258" spans="4:7">
      <c r="D6258" s="200" t="s">
        <v>6332</v>
      </c>
      <c r="E6258" s="10">
        <v>91722</v>
      </c>
      <c r="F6258" s="201">
        <v>-13.2</v>
      </c>
      <c r="G6258" s="201">
        <v>8.6</v>
      </c>
    </row>
    <row r="6259" spans="4:7">
      <c r="D6259" s="200" t="s">
        <v>6333</v>
      </c>
      <c r="E6259" s="10">
        <v>91723</v>
      </c>
      <c r="F6259" s="201">
        <v>-13.2</v>
      </c>
      <c r="G6259" s="201">
        <v>9</v>
      </c>
    </row>
    <row r="6260" spans="4:7">
      <c r="D6260" s="200" t="s">
        <v>6334</v>
      </c>
      <c r="E6260" s="10">
        <v>91798</v>
      </c>
      <c r="F6260" s="201">
        <v>-13.2</v>
      </c>
      <c r="G6260" s="201">
        <v>9.1999999999999993</v>
      </c>
    </row>
    <row r="6261" spans="4:7">
      <c r="D6261" s="200" t="s">
        <v>4895</v>
      </c>
      <c r="E6261" s="10">
        <v>93055</v>
      </c>
      <c r="F6261" s="201">
        <v>-13.2</v>
      </c>
      <c r="G6261" s="201">
        <v>9.1</v>
      </c>
    </row>
    <row r="6262" spans="4:7">
      <c r="D6262" s="200" t="s">
        <v>6335</v>
      </c>
      <c r="E6262" s="10">
        <v>93349</v>
      </c>
      <c r="F6262" s="201">
        <v>-13.2</v>
      </c>
      <c r="G6262" s="201">
        <v>8.9</v>
      </c>
    </row>
    <row r="6263" spans="4:7">
      <c r="D6263" s="200" t="s">
        <v>6336</v>
      </c>
      <c r="E6263" s="10">
        <v>93413</v>
      </c>
      <c r="F6263" s="201">
        <v>-13.2</v>
      </c>
      <c r="G6263" s="201">
        <v>8.8000000000000007</v>
      </c>
    </row>
    <row r="6264" spans="4:7">
      <c r="D6264" s="200" t="s">
        <v>6337</v>
      </c>
      <c r="E6264" s="10">
        <v>93437</v>
      </c>
      <c r="F6264" s="201">
        <v>-13.2</v>
      </c>
      <c r="G6264" s="201">
        <v>8.6</v>
      </c>
    </row>
    <row r="6265" spans="4:7">
      <c r="D6265" s="200" t="s">
        <v>6338</v>
      </c>
      <c r="E6265" s="10">
        <v>93458</v>
      </c>
      <c r="F6265" s="201">
        <v>-13.2</v>
      </c>
      <c r="G6265" s="201">
        <v>8.3000000000000007</v>
      </c>
    </row>
    <row r="6266" spans="4:7">
      <c r="D6266" s="200" t="s">
        <v>6339</v>
      </c>
      <c r="E6266" s="10">
        <v>94419</v>
      </c>
      <c r="F6266" s="201">
        <v>-13.2</v>
      </c>
      <c r="G6266" s="201">
        <v>8.6</v>
      </c>
    </row>
    <row r="6267" spans="4:7">
      <c r="D6267" s="200" t="s">
        <v>6340</v>
      </c>
      <c r="E6267" s="10">
        <v>94436</v>
      </c>
      <c r="F6267" s="201">
        <v>-13.2</v>
      </c>
      <c r="G6267" s="201">
        <v>8.5</v>
      </c>
    </row>
    <row r="6268" spans="4:7">
      <c r="D6268" s="200" t="s">
        <v>6341</v>
      </c>
      <c r="E6268" s="10">
        <v>94548</v>
      </c>
      <c r="F6268" s="201">
        <v>-13.2</v>
      </c>
      <c r="G6268" s="201">
        <v>7.4</v>
      </c>
    </row>
    <row r="6269" spans="4:7">
      <c r="D6269" s="200" t="s">
        <v>6342</v>
      </c>
      <c r="E6269" s="10">
        <v>95460</v>
      </c>
      <c r="F6269" s="201">
        <v>-13.2</v>
      </c>
      <c r="G6269" s="201">
        <v>8.4</v>
      </c>
    </row>
    <row r="6270" spans="4:7">
      <c r="D6270" s="200" t="s">
        <v>6343</v>
      </c>
      <c r="E6270" s="10">
        <v>95488</v>
      </c>
      <c r="F6270" s="201">
        <v>-13.2</v>
      </c>
      <c r="G6270" s="201">
        <v>8.3000000000000007</v>
      </c>
    </row>
    <row r="6271" spans="4:7">
      <c r="D6271" s="200" t="s">
        <v>6344</v>
      </c>
      <c r="E6271" s="10">
        <v>95490</v>
      </c>
      <c r="F6271" s="201">
        <v>-13.2</v>
      </c>
      <c r="G6271" s="201">
        <v>8.5</v>
      </c>
    </row>
    <row r="6272" spans="4:7">
      <c r="D6272" s="200" t="s">
        <v>6345</v>
      </c>
      <c r="E6272" s="10">
        <v>96117</v>
      </c>
      <c r="F6272" s="201">
        <v>-13.2</v>
      </c>
      <c r="G6272" s="201">
        <v>9.1999999999999993</v>
      </c>
    </row>
    <row r="6273" spans="4:7">
      <c r="D6273" s="200" t="s">
        <v>6346</v>
      </c>
      <c r="E6273" s="10">
        <v>96120</v>
      </c>
      <c r="F6273" s="201">
        <v>-13.2</v>
      </c>
      <c r="G6273" s="201">
        <v>9</v>
      </c>
    </row>
    <row r="6274" spans="4:7">
      <c r="D6274" s="200" t="s">
        <v>6347</v>
      </c>
      <c r="E6274" s="10">
        <v>96191</v>
      </c>
      <c r="F6274" s="201">
        <v>-13.2</v>
      </c>
      <c r="G6274" s="201">
        <v>9.1999999999999993</v>
      </c>
    </row>
    <row r="6275" spans="4:7">
      <c r="D6275" s="200" t="s">
        <v>4966</v>
      </c>
      <c r="E6275" s="10">
        <v>99098</v>
      </c>
      <c r="F6275" s="201">
        <v>-13.2</v>
      </c>
      <c r="G6275" s="201">
        <v>9.3000000000000007</v>
      </c>
    </row>
    <row r="6276" spans="4:7">
      <c r="D6276" s="200" t="s">
        <v>6348</v>
      </c>
      <c r="E6276" s="10">
        <v>99334</v>
      </c>
      <c r="F6276" s="201">
        <v>-13.2</v>
      </c>
      <c r="G6276" s="201">
        <v>9.1</v>
      </c>
    </row>
    <row r="6277" spans="4:7">
      <c r="D6277" s="200" t="s">
        <v>6349</v>
      </c>
      <c r="E6277" s="10">
        <v>99518</v>
      </c>
      <c r="F6277" s="201">
        <v>-13.2</v>
      </c>
      <c r="G6277" s="201">
        <v>9.6999999999999993</v>
      </c>
    </row>
    <row r="6278" spans="4:7">
      <c r="D6278" s="200" t="s">
        <v>6350</v>
      </c>
      <c r="E6278" s="10">
        <v>99636</v>
      </c>
      <c r="F6278" s="201">
        <v>-13.2</v>
      </c>
      <c r="G6278" s="201">
        <v>9.1999999999999993</v>
      </c>
    </row>
    <row r="6279" spans="4:7">
      <c r="D6279" s="200" t="s">
        <v>6351</v>
      </c>
      <c r="E6279" s="10">
        <v>99718</v>
      </c>
      <c r="F6279" s="201">
        <v>-13.2</v>
      </c>
      <c r="G6279" s="201">
        <v>9</v>
      </c>
    </row>
    <row r="6280" spans="4:7">
      <c r="D6280" s="200" t="s">
        <v>6352</v>
      </c>
      <c r="E6280" s="10">
        <v>99735</v>
      </c>
      <c r="F6280" s="201">
        <v>-13.2</v>
      </c>
      <c r="G6280" s="201">
        <v>8.8000000000000007</v>
      </c>
    </row>
    <row r="6281" spans="4:7">
      <c r="D6281" s="200" t="s">
        <v>6353</v>
      </c>
      <c r="E6281" s="10">
        <v>99880</v>
      </c>
      <c r="F6281" s="201">
        <v>-13.2</v>
      </c>
      <c r="G6281" s="201">
        <v>8.8000000000000007</v>
      </c>
    </row>
    <row r="6282" spans="4:7">
      <c r="D6282" s="200" t="s">
        <v>5069</v>
      </c>
      <c r="E6282" s="10">
        <v>1169</v>
      </c>
      <c r="F6282" s="201">
        <v>-13.3</v>
      </c>
      <c r="G6282" s="201">
        <v>9.8000000000000007</v>
      </c>
    </row>
    <row r="6283" spans="4:7">
      <c r="D6283" s="200" t="s">
        <v>5069</v>
      </c>
      <c r="E6283" s="10">
        <v>1189</v>
      </c>
      <c r="F6283" s="201">
        <v>-13.3</v>
      </c>
      <c r="G6283" s="201">
        <v>9.6999999999999993</v>
      </c>
    </row>
    <row r="6284" spans="4:7">
      <c r="D6284" s="200" t="s">
        <v>5876</v>
      </c>
      <c r="E6284" s="10">
        <v>1587</v>
      </c>
      <c r="F6284" s="201">
        <v>-13.3</v>
      </c>
      <c r="G6284" s="201">
        <v>9.6999999999999993</v>
      </c>
    </row>
    <row r="6285" spans="4:7">
      <c r="D6285" s="200" t="s">
        <v>5876</v>
      </c>
      <c r="E6285" s="10">
        <v>1589</v>
      </c>
      <c r="F6285" s="201">
        <v>-13.3</v>
      </c>
      <c r="G6285" s="201">
        <v>9.6999999999999993</v>
      </c>
    </row>
    <row r="6286" spans="4:7">
      <c r="D6286" s="200" t="s">
        <v>6354</v>
      </c>
      <c r="E6286" s="10">
        <v>1609</v>
      </c>
      <c r="F6286" s="201">
        <v>-13.3</v>
      </c>
      <c r="G6286" s="201">
        <v>9.6</v>
      </c>
    </row>
    <row r="6287" spans="4:7">
      <c r="D6287" s="200" t="s">
        <v>6355</v>
      </c>
      <c r="E6287" s="10">
        <v>3046</v>
      </c>
      <c r="F6287" s="201">
        <v>-13.3</v>
      </c>
      <c r="G6287" s="201">
        <v>9.9</v>
      </c>
    </row>
    <row r="6288" spans="4:7">
      <c r="D6288" s="200" t="s">
        <v>4593</v>
      </c>
      <c r="E6288" s="10">
        <v>4159</v>
      </c>
      <c r="F6288" s="201">
        <v>-13.3</v>
      </c>
      <c r="G6288" s="201">
        <v>9.8000000000000007</v>
      </c>
    </row>
    <row r="6289" spans="4:7">
      <c r="D6289" s="200" t="s">
        <v>4593</v>
      </c>
      <c r="E6289" s="10">
        <v>4249</v>
      </c>
      <c r="F6289" s="201">
        <v>-13.3</v>
      </c>
      <c r="G6289" s="201">
        <v>9.6999999999999993</v>
      </c>
    </row>
    <row r="6290" spans="4:7">
      <c r="D6290" s="200" t="s">
        <v>6356</v>
      </c>
      <c r="E6290" s="10">
        <v>4425</v>
      </c>
      <c r="F6290" s="201">
        <v>-13.3</v>
      </c>
      <c r="G6290" s="201">
        <v>9.6</v>
      </c>
    </row>
    <row r="6291" spans="4:7">
      <c r="D6291" s="200" t="s">
        <v>6357</v>
      </c>
      <c r="E6291" s="10">
        <v>4463</v>
      </c>
      <c r="F6291" s="201">
        <v>-13.3</v>
      </c>
      <c r="G6291" s="201">
        <v>9.5</v>
      </c>
    </row>
    <row r="6292" spans="4:7">
      <c r="D6292" s="200" t="s">
        <v>6358</v>
      </c>
      <c r="E6292" s="10">
        <v>4523</v>
      </c>
      <c r="F6292" s="201">
        <v>-13.3</v>
      </c>
      <c r="G6292" s="201">
        <v>9.6999999999999993</v>
      </c>
    </row>
    <row r="6293" spans="4:7">
      <c r="D6293" s="200" t="s">
        <v>6359</v>
      </c>
      <c r="E6293" s="10">
        <v>4567</v>
      </c>
      <c r="F6293" s="201">
        <v>-13.3</v>
      </c>
      <c r="G6293" s="201">
        <v>9.5</v>
      </c>
    </row>
    <row r="6294" spans="4:7">
      <c r="D6294" s="200" t="s">
        <v>6360</v>
      </c>
      <c r="E6294" s="10">
        <v>4610</v>
      </c>
      <c r="F6294" s="201">
        <v>-13.3</v>
      </c>
      <c r="G6294" s="201">
        <v>9.5</v>
      </c>
    </row>
    <row r="6295" spans="4:7">
      <c r="D6295" s="200" t="s">
        <v>6361</v>
      </c>
      <c r="E6295" s="10">
        <v>4680</v>
      </c>
      <c r="F6295" s="201">
        <v>-13.3</v>
      </c>
      <c r="G6295" s="201">
        <v>9.6</v>
      </c>
    </row>
    <row r="6296" spans="4:7">
      <c r="D6296" s="200" t="s">
        <v>6362</v>
      </c>
      <c r="E6296" s="10">
        <v>4736</v>
      </c>
      <c r="F6296" s="201">
        <v>-13.3</v>
      </c>
      <c r="G6296" s="201">
        <v>9.5</v>
      </c>
    </row>
    <row r="6297" spans="4:7">
      <c r="D6297" s="200" t="s">
        <v>6363</v>
      </c>
      <c r="E6297" s="10">
        <v>4827</v>
      </c>
      <c r="F6297" s="201">
        <v>-13.3</v>
      </c>
      <c r="G6297" s="201">
        <v>9.5</v>
      </c>
    </row>
    <row r="6298" spans="4:7">
      <c r="D6298" s="200" t="s">
        <v>6364</v>
      </c>
      <c r="E6298" s="10">
        <v>4880</v>
      </c>
      <c r="F6298" s="201">
        <v>-13.3</v>
      </c>
      <c r="G6298" s="201">
        <v>9.5</v>
      </c>
    </row>
    <row r="6299" spans="4:7">
      <c r="D6299" s="200" t="s">
        <v>6365</v>
      </c>
      <c r="E6299" s="10">
        <v>4886</v>
      </c>
      <c r="F6299" s="201">
        <v>-13.3</v>
      </c>
      <c r="G6299" s="201">
        <v>9.5</v>
      </c>
    </row>
    <row r="6300" spans="4:7">
      <c r="D6300" s="200" t="s">
        <v>6366</v>
      </c>
      <c r="E6300" s="10">
        <v>4895</v>
      </c>
      <c r="F6300" s="201">
        <v>-13.3</v>
      </c>
      <c r="G6300" s="201">
        <v>9.5</v>
      </c>
    </row>
    <row r="6301" spans="4:7">
      <c r="D6301" s="200" t="s">
        <v>6367</v>
      </c>
      <c r="E6301" s="10">
        <v>4910</v>
      </c>
      <c r="F6301" s="201">
        <v>-13.3</v>
      </c>
      <c r="G6301" s="201">
        <v>9.6</v>
      </c>
    </row>
    <row r="6302" spans="4:7">
      <c r="D6302" s="200" t="s">
        <v>6368</v>
      </c>
      <c r="E6302" s="10">
        <v>4932</v>
      </c>
      <c r="F6302" s="201">
        <v>-13.3</v>
      </c>
      <c r="G6302" s="201">
        <v>9.6</v>
      </c>
    </row>
    <row r="6303" spans="4:7">
      <c r="D6303" s="200" t="s">
        <v>5713</v>
      </c>
      <c r="E6303" s="10">
        <v>6126</v>
      </c>
      <c r="F6303" s="201">
        <v>-13.3</v>
      </c>
      <c r="G6303" s="201">
        <v>10</v>
      </c>
    </row>
    <row r="6304" spans="4:7">
      <c r="D6304" s="200" t="s">
        <v>5713</v>
      </c>
      <c r="E6304" s="10">
        <v>6128</v>
      </c>
      <c r="F6304" s="201">
        <v>-13.3</v>
      </c>
      <c r="G6304" s="201">
        <v>10</v>
      </c>
    </row>
    <row r="6305" spans="4:7">
      <c r="D6305" s="200" t="s">
        <v>5713</v>
      </c>
      <c r="E6305" s="10">
        <v>6132</v>
      </c>
      <c r="F6305" s="201">
        <v>-13.3</v>
      </c>
      <c r="G6305" s="201">
        <v>10</v>
      </c>
    </row>
    <row r="6306" spans="4:7">
      <c r="D6306" s="200" t="s">
        <v>6369</v>
      </c>
      <c r="E6306" s="10">
        <v>6385</v>
      </c>
      <c r="F6306" s="201">
        <v>-13.3</v>
      </c>
      <c r="G6306" s="201">
        <v>9.6999999999999993</v>
      </c>
    </row>
    <row r="6307" spans="4:7">
      <c r="D6307" s="200" t="s">
        <v>6370</v>
      </c>
      <c r="E6307" s="10">
        <v>6388</v>
      </c>
      <c r="F6307" s="201">
        <v>-13.3</v>
      </c>
      <c r="G6307" s="201">
        <v>9.6</v>
      </c>
    </row>
    <row r="6308" spans="4:7">
      <c r="D6308" s="200" t="s">
        <v>6371</v>
      </c>
      <c r="E6308" s="10">
        <v>6406</v>
      </c>
      <c r="F6308" s="201">
        <v>-13.3</v>
      </c>
      <c r="G6308" s="201">
        <v>9.6</v>
      </c>
    </row>
    <row r="6309" spans="4:7">
      <c r="D6309" s="200" t="s">
        <v>6372</v>
      </c>
      <c r="E6309" s="10">
        <v>6463</v>
      </c>
      <c r="F6309" s="201">
        <v>-13.3</v>
      </c>
      <c r="G6309" s="201">
        <v>9.1</v>
      </c>
    </row>
    <row r="6310" spans="4:7">
      <c r="D6310" s="200" t="s">
        <v>6373</v>
      </c>
      <c r="E6310" s="10">
        <v>6537</v>
      </c>
      <c r="F6310" s="201">
        <v>-13.3</v>
      </c>
      <c r="G6310" s="201">
        <v>9.5</v>
      </c>
    </row>
    <row r="6311" spans="4:7">
      <c r="D6311" s="200" t="s">
        <v>6374</v>
      </c>
      <c r="E6311" s="10">
        <v>6636</v>
      </c>
      <c r="F6311" s="201">
        <v>-13.3</v>
      </c>
      <c r="G6311" s="201">
        <v>9.6</v>
      </c>
    </row>
    <row r="6312" spans="4:7">
      <c r="D6312" s="200" t="s">
        <v>6375</v>
      </c>
      <c r="E6312" s="10">
        <v>6667</v>
      </c>
      <c r="F6312" s="201">
        <v>-13.3</v>
      </c>
      <c r="G6312" s="201">
        <v>9.8000000000000007</v>
      </c>
    </row>
    <row r="6313" spans="4:7">
      <c r="D6313" s="200" t="s">
        <v>6376</v>
      </c>
      <c r="E6313" s="10">
        <v>6679</v>
      </c>
      <c r="F6313" s="201">
        <v>-13.3</v>
      </c>
      <c r="G6313" s="201">
        <v>9.5</v>
      </c>
    </row>
    <row r="6314" spans="4:7">
      <c r="D6314" s="200" t="s">
        <v>6377</v>
      </c>
      <c r="E6314" s="10">
        <v>6711</v>
      </c>
      <c r="F6314" s="201">
        <v>-13.3</v>
      </c>
      <c r="G6314" s="201">
        <v>9.6</v>
      </c>
    </row>
    <row r="6315" spans="4:7">
      <c r="D6315" s="200" t="s">
        <v>6378</v>
      </c>
      <c r="E6315" s="10">
        <v>6722</v>
      </c>
      <c r="F6315" s="201">
        <v>-13.3</v>
      </c>
      <c r="G6315" s="201">
        <v>9.6</v>
      </c>
    </row>
    <row r="6316" spans="4:7">
      <c r="D6316" s="200" t="s">
        <v>6379</v>
      </c>
      <c r="E6316" s="10">
        <v>6772</v>
      </c>
      <c r="F6316" s="201">
        <v>-13.3</v>
      </c>
      <c r="G6316" s="201">
        <v>9.6</v>
      </c>
    </row>
    <row r="6317" spans="4:7">
      <c r="D6317" s="200" t="s">
        <v>6379</v>
      </c>
      <c r="E6317" s="10">
        <v>6773</v>
      </c>
      <c r="F6317" s="201">
        <v>-13.3</v>
      </c>
      <c r="G6317" s="201">
        <v>9.6</v>
      </c>
    </row>
    <row r="6318" spans="4:7">
      <c r="D6318" s="200" t="s">
        <v>6380</v>
      </c>
      <c r="E6318" s="10">
        <v>6779</v>
      </c>
      <c r="F6318" s="201">
        <v>-13.3</v>
      </c>
      <c r="G6318" s="201">
        <v>9.6</v>
      </c>
    </row>
    <row r="6319" spans="4:7">
      <c r="D6319" s="200" t="s">
        <v>6100</v>
      </c>
      <c r="E6319" s="10">
        <v>6842</v>
      </c>
      <c r="F6319" s="201">
        <v>-13.3</v>
      </c>
      <c r="G6319" s="201">
        <v>9.6</v>
      </c>
    </row>
    <row r="6320" spans="4:7">
      <c r="D6320" s="200" t="s">
        <v>6100</v>
      </c>
      <c r="E6320" s="10">
        <v>6844</v>
      </c>
      <c r="F6320" s="201">
        <v>-13.3</v>
      </c>
      <c r="G6320" s="201">
        <v>9.6999999999999993</v>
      </c>
    </row>
    <row r="6321" spans="4:7">
      <c r="D6321" s="200" t="s">
        <v>6100</v>
      </c>
      <c r="E6321" s="10">
        <v>6846</v>
      </c>
      <c r="F6321" s="201">
        <v>-13.3</v>
      </c>
      <c r="G6321" s="201">
        <v>9.6999999999999993</v>
      </c>
    </row>
    <row r="6322" spans="4:7">
      <c r="D6322" s="200" t="s">
        <v>6100</v>
      </c>
      <c r="E6322" s="10">
        <v>6847</v>
      </c>
      <c r="F6322" s="201">
        <v>-13.3</v>
      </c>
      <c r="G6322" s="201">
        <v>9.6999999999999993</v>
      </c>
    </row>
    <row r="6323" spans="4:7">
      <c r="D6323" s="200" t="s">
        <v>6381</v>
      </c>
      <c r="E6323" s="10">
        <v>6895</v>
      </c>
      <c r="F6323" s="201">
        <v>-13.3</v>
      </c>
      <c r="G6323" s="201">
        <v>9.6</v>
      </c>
    </row>
    <row r="6324" spans="4:7">
      <c r="D6324" s="200" t="s">
        <v>6382</v>
      </c>
      <c r="E6324" s="10">
        <v>6901</v>
      </c>
      <c r="F6324" s="201">
        <v>-13.3</v>
      </c>
      <c r="G6324" s="201">
        <v>9.6</v>
      </c>
    </row>
    <row r="6325" spans="4:7">
      <c r="D6325" s="200" t="s">
        <v>6383</v>
      </c>
      <c r="E6325" s="10">
        <v>7333</v>
      </c>
      <c r="F6325" s="201">
        <v>-13.3</v>
      </c>
      <c r="G6325" s="201">
        <v>9.1999999999999993</v>
      </c>
    </row>
    <row r="6326" spans="4:7">
      <c r="D6326" s="200" t="s">
        <v>6384</v>
      </c>
      <c r="E6326" s="10">
        <v>7545</v>
      </c>
      <c r="F6326" s="201">
        <v>-13.3</v>
      </c>
      <c r="G6326" s="201">
        <v>9.9</v>
      </c>
    </row>
    <row r="6327" spans="4:7">
      <c r="D6327" s="200" t="s">
        <v>5719</v>
      </c>
      <c r="E6327" s="10">
        <v>7749</v>
      </c>
      <c r="F6327" s="201">
        <v>-13.3</v>
      </c>
      <c r="G6327" s="201">
        <v>9.3000000000000007</v>
      </c>
    </row>
    <row r="6328" spans="4:7">
      <c r="D6328" s="200" t="s">
        <v>6385</v>
      </c>
      <c r="E6328" s="10">
        <v>7774</v>
      </c>
      <c r="F6328" s="201">
        <v>-13.3</v>
      </c>
      <c r="G6328" s="201">
        <v>9.5</v>
      </c>
    </row>
    <row r="6329" spans="4:7">
      <c r="D6329" s="200" t="s">
        <v>6103</v>
      </c>
      <c r="E6329" s="10">
        <v>8062</v>
      </c>
      <c r="F6329" s="201">
        <v>-13.3</v>
      </c>
      <c r="G6329" s="201">
        <v>9.3000000000000007</v>
      </c>
    </row>
    <row r="6330" spans="4:7">
      <c r="D6330" s="200" t="s">
        <v>5882</v>
      </c>
      <c r="E6330" s="10">
        <v>9113</v>
      </c>
      <c r="F6330" s="201">
        <v>-13.3</v>
      </c>
      <c r="G6330" s="201">
        <v>9.1999999999999993</v>
      </c>
    </row>
    <row r="6331" spans="4:7">
      <c r="D6331" s="200" t="s">
        <v>5882</v>
      </c>
      <c r="E6331" s="10">
        <v>9114</v>
      </c>
      <c r="F6331" s="201">
        <v>-13.3</v>
      </c>
      <c r="G6331" s="201">
        <v>9.4</v>
      </c>
    </row>
    <row r="6332" spans="4:7">
      <c r="D6332" s="200" t="s">
        <v>5882</v>
      </c>
      <c r="E6332" s="10">
        <v>9127</v>
      </c>
      <c r="F6332" s="201">
        <v>-13.3</v>
      </c>
      <c r="G6332" s="201">
        <v>8.9</v>
      </c>
    </row>
    <row r="6333" spans="4:7">
      <c r="D6333" s="200" t="s">
        <v>6386</v>
      </c>
      <c r="E6333" s="10">
        <v>9306</v>
      </c>
      <c r="F6333" s="201">
        <v>-13.3</v>
      </c>
      <c r="G6333" s="201">
        <v>9.3000000000000007</v>
      </c>
    </row>
    <row r="6334" spans="4:7">
      <c r="D6334" s="200" t="s">
        <v>6387</v>
      </c>
      <c r="E6334" s="10">
        <v>9599</v>
      </c>
      <c r="F6334" s="201">
        <v>-13.3</v>
      </c>
      <c r="G6334" s="201">
        <v>8.8000000000000007</v>
      </c>
    </row>
    <row r="6335" spans="4:7">
      <c r="D6335" s="200" t="s">
        <v>6388</v>
      </c>
      <c r="E6335" s="10">
        <v>9648</v>
      </c>
      <c r="F6335" s="201">
        <v>-13.3</v>
      </c>
      <c r="G6335" s="201">
        <v>9.4</v>
      </c>
    </row>
    <row r="6336" spans="4:7">
      <c r="D6336" s="200" t="s">
        <v>6389</v>
      </c>
      <c r="E6336" s="10">
        <v>12527</v>
      </c>
      <c r="F6336" s="201">
        <v>-13.3</v>
      </c>
      <c r="G6336" s="201">
        <v>9.5</v>
      </c>
    </row>
    <row r="6337" spans="4:7">
      <c r="D6337" s="200" t="s">
        <v>6390</v>
      </c>
      <c r="E6337" s="10">
        <v>15526</v>
      </c>
      <c r="F6337" s="201">
        <v>-13.3</v>
      </c>
      <c r="G6337" s="201">
        <v>9.6</v>
      </c>
    </row>
    <row r="6338" spans="4:7">
      <c r="D6338" s="200" t="s">
        <v>6391</v>
      </c>
      <c r="E6338" s="10">
        <v>15754</v>
      </c>
      <c r="F6338" s="201">
        <v>-13.3</v>
      </c>
      <c r="G6338" s="201">
        <v>9.6</v>
      </c>
    </row>
    <row r="6339" spans="4:7">
      <c r="D6339" s="200" t="s">
        <v>6392</v>
      </c>
      <c r="E6339" s="10">
        <v>16227</v>
      </c>
      <c r="F6339" s="201">
        <v>-13.3</v>
      </c>
      <c r="G6339" s="201">
        <v>9.5</v>
      </c>
    </row>
    <row r="6340" spans="4:7">
      <c r="D6340" s="200" t="s">
        <v>6393</v>
      </c>
      <c r="E6340" s="10">
        <v>16244</v>
      </c>
      <c r="F6340" s="201">
        <v>-13.3</v>
      </c>
      <c r="G6340" s="201">
        <v>9.1999999999999993</v>
      </c>
    </row>
    <row r="6341" spans="4:7">
      <c r="D6341" s="200" t="s">
        <v>4514</v>
      </c>
      <c r="E6341" s="10">
        <v>16798</v>
      </c>
      <c r="F6341" s="201">
        <v>-13.3</v>
      </c>
      <c r="G6341" s="201">
        <v>9.1</v>
      </c>
    </row>
    <row r="6342" spans="4:7">
      <c r="D6342" s="200" t="s">
        <v>5974</v>
      </c>
      <c r="E6342" s="10">
        <v>16827</v>
      </c>
      <c r="F6342" s="201">
        <v>-13.3</v>
      </c>
      <c r="G6342" s="201">
        <v>9.3000000000000007</v>
      </c>
    </row>
    <row r="6343" spans="4:7">
      <c r="D6343" s="200" t="s">
        <v>6394</v>
      </c>
      <c r="E6343" s="10">
        <v>17099</v>
      </c>
      <c r="F6343" s="201">
        <v>-13.3</v>
      </c>
      <c r="G6343" s="201">
        <v>9.1999999999999993</v>
      </c>
    </row>
    <row r="6344" spans="4:7">
      <c r="D6344" s="200" t="s">
        <v>6395</v>
      </c>
      <c r="E6344" s="10">
        <v>17348</v>
      </c>
      <c r="F6344" s="201">
        <v>-13.3</v>
      </c>
      <c r="G6344" s="201">
        <v>8.9</v>
      </c>
    </row>
    <row r="6345" spans="4:7">
      <c r="D6345" s="200" t="s">
        <v>6396</v>
      </c>
      <c r="E6345" s="10">
        <v>17349</v>
      </c>
      <c r="F6345" s="201">
        <v>-13.3</v>
      </c>
      <c r="G6345" s="201">
        <v>9</v>
      </c>
    </row>
    <row r="6346" spans="4:7" ht="30">
      <c r="D6346" s="200" t="s">
        <v>6397</v>
      </c>
      <c r="E6346" s="10">
        <v>17375</v>
      </c>
      <c r="F6346" s="201">
        <v>-13.3</v>
      </c>
      <c r="G6346" s="201">
        <v>9</v>
      </c>
    </row>
    <row r="6347" spans="4:7">
      <c r="D6347" s="200" t="s">
        <v>6398</v>
      </c>
      <c r="E6347" s="10">
        <v>36129</v>
      </c>
      <c r="F6347" s="201">
        <v>-13.3</v>
      </c>
      <c r="G6347" s="201">
        <v>7.3</v>
      </c>
    </row>
    <row r="6348" spans="4:7">
      <c r="D6348" s="200" t="s">
        <v>6399</v>
      </c>
      <c r="E6348" s="10">
        <v>36404</v>
      </c>
      <c r="F6348" s="201">
        <v>-13.3</v>
      </c>
      <c r="G6348" s="201">
        <v>7.9</v>
      </c>
    </row>
    <row r="6349" spans="4:7">
      <c r="D6349" s="200" t="s">
        <v>6400</v>
      </c>
      <c r="E6349" s="10">
        <v>38709</v>
      </c>
      <c r="F6349" s="201">
        <v>-13.3</v>
      </c>
      <c r="G6349" s="201">
        <v>8.1</v>
      </c>
    </row>
    <row r="6350" spans="4:7">
      <c r="D6350" s="200" t="s">
        <v>6401</v>
      </c>
      <c r="E6350" s="10">
        <v>72250</v>
      </c>
      <c r="F6350" s="201">
        <v>-13.3</v>
      </c>
      <c r="G6350" s="201">
        <v>7.6</v>
      </c>
    </row>
    <row r="6351" spans="4:7">
      <c r="D6351" s="200" t="s">
        <v>6402</v>
      </c>
      <c r="E6351" s="10">
        <v>72475</v>
      </c>
      <c r="F6351" s="201">
        <v>-13.3</v>
      </c>
      <c r="G6351" s="201">
        <v>7.5</v>
      </c>
    </row>
    <row r="6352" spans="4:7">
      <c r="D6352" s="200" t="s">
        <v>6403</v>
      </c>
      <c r="E6352" s="10">
        <v>72477</v>
      </c>
      <c r="F6352" s="201">
        <v>-13.3</v>
      </c>
      <c r="G6352" s="201">
        <v>7.5</v>
      </c>
    </row>
    <row r="6353" spans="4:7">
      <c r="D6353" s="200" t="s">
        <v>6404</v>
      </c>
      <c r="E6353" s="10">
        <v>72537</v>
      </c>
      <c r="F6353" s="201">
        <v>-13.3</v>
      </c>
      <c r="G6353" s="201">
        <v>7.7</v>
      </c>
    </row>
    <row r="6354" spans="4:7">
      <c r="D6354" s="200" t="s">
        <v>6405</v>
      </c>
      <c r="E6354" s="10">
        <v>72813</v>
      </c>
      <c r="F6354" s="201">
        <v>-13.3</v>
      </c>
      <c r="G6354" s="201">
        <v>7.6</v>
      </c>
    </row>
    <row r="6355" spans="4:7">
      <c r="D6355" s="200" t="s">
        <v>6406</v>
      </c>
      <c r="E6355" s="10">
        <v>73488</v>
      </c>
      <c r="F6355" s="201">
        <v>-13.3</v>
      </c>
      <c r="G6355" s="201">
        <v>8.1999999999999993</v>
      </c>
    </row>
    <row r="6356" spans="4:7">
      <c r="D6356" s="200" t="s">
        <v>6407</v>
      </c>
      <c r="E6356" s="10">
        <v>77887</v>
      </c>
      <c r="F6356" s="201">
        <v>-13.3</v>
      </c>
      <c r="G6356" s="201">
        <v>7.7</v>
      </c>
    </row>
    <row r="6357" spans="4:7">
      <c r="D6357" s="200" t="s">
        <v>6408</v>
      </c>
      <c r="E6357" s="10">
        <v>78098</v>
      </c>
      <c r="F6357" s="201">
        <v>-13.3</v>
      </c>
      <c r="G6357" s="201">
        <v>7.6</v>
      </c>
    </row>
    <row r="6358" spans="4:7">
      <c r="D6358" s="200" t="s">
        <v>6409</v>
      </c>
      <c r="E6358" s="10">
        <v>78112</v>
      </c>
      <c r="F6358" s="201">
        <v>-13.3</v>
      </c>
      <c r="G6358" s="201">
        <v>7.6</v>
      </c>
    </row>
    <row r="6359" spans="4:7">
      <c r="D6359" s="200" t="s">
        <v>6410</v>
      </c>
      <c r="E6359" s="10">
        <v>78120</v>
      </c>
      <c r="F6359" s="201">
        <v>-13.3</v>
      </c>
      <c r="G6359" s="201">
        <v>7.3</v>
      </c>
    </row>
    <row r="6360" spans="4:7">
      <c r="D6360" s="200" t="s">
        <v>6411</v>
      </c>
      <c r="E6360" s="10">
        <v>78187</v>
      </c>
      <c r="F6360" s="201">
        <v>-13.3</v>
      </c>
      <c r="G6360" s="201">
        <v>7.8</v>
      </c>
    </row>
    <row r="6361" spans="4:7">
      <c r="D6361" s="200" t="s">
        <v>6412</v>
      </c>
      <c r="E6361" s="10">
        <v>78597</v>
      </c>
      <c r="F6361" s="201">
        <v>-13.3</v>
      </c>
      <c r="G6361" s="201">
        <v>7.5</v>
      </c>
    </row>
    <row r="6362" spans="4:7">
      <c r="D6362" s="200" t="s">
        <v>6413</v>
      </c>
      <c r="E6362" s="10">
        <v>79274</v>
      </c>
      <c r="F6362" s="201">
        <v>-13.3</v>
      </c>
      <c r="G6362" s="201">
        <v>7.5</v>
      </c>
    </row>
    <row r="6363" spans="4:7">
      <c r="D6363" s="200" t="s">
        <v>6414</v>
      </c>
      <c r="E6363" s="10">
        <v>79695</v>
      </c>
      <c r="F6363" s="201">
        <v>-13.3</v>
      </c>
      <c r="G6363" s="201">
        <v>7.6</v>
      </c>
    </row>
    <row r="6364" spans="4:7">
      <c r="D6364" s="200" t="s">
        <v>6415</v>
      </c>
      <c r="E6364" s="10">
        <v>79879</v>
      </c>
      <c r="F6364" s="201">
        <v>-13.3</v>
      </c>
      <c r="G6364" s="201">
        <v>7.9</v>
      </c>
    </row>
    <row r="6365" spans="4:7">
      <c r="D6365" s="200" t="s">
        <v>4162</v>
      </c>
      <c r="E6365" s="10">
        <v>80997</v>
      </c>
      <c r="F6365" s="201">
        <v>-13.3</v>
      </c>
      <c r="G6365" s="201">
        <v>8.9</v>
      </c>
    </row>
    <row r="6366" spans="4:7">
      <c r="D6366" s="200" t="s">
        <v>4162</v>
      </c>
      <c r="E6366" s="10">
        <v>80999</v>
      </c>
      <c r="F6366" s="201">
        <v>-13.3</v>
      </c>
      <c r="G6366" s="201">
        <v>8.9</v>
      </c>
    </row>
    <row r="6367" spans="4:7">
      <c r="D6367" s="200" t="s">
        <v>4162</v>
      </c>
      <c r="E6367" s="10">
        <v>81375</v>
      </c>
      <c r="F6367" s="201">
        <v>-13.3</v>
      </c>
      <c r="G6367" s="201">
        <v>8.9</v>
      </c>
    </row>
    <row r="6368" spans="4:7">
      <c r="D6368" s="200" t="s">
        <v>4162</v>
      </c>
      <c r="E6368" s="10">
        <v>81377</v>
      </c>
      <c r="F6368" s="201">
        <v>-13.3</v>
      </c>
      <c r="G6368" s="201">
        <v>8.9</v>
      </c>
    </row>
    <row r="6369" spans="4:7">
      <c r="D6369" s="200" t="s">
        <v>6416</v>
      </c>
      <c r="E6369" s="10">
        <v>82194</v>
      </c>
      <c r="F6369" s="201">
        <v>-13.3</v>
      </c>
      <c r="G6369" s="201">
        <v>9</v>
      </c>
    </row>
    <row r="6370" spans="4:7">
      <c r="D6370" s="200" t="s">
        <v>6417</v>
      </c>
      <c r="E6370" s="10">
        <v>83080</v>
      </c>
      <c r="F6370" s="201">
        <v>-13.3</v>
      </c>
      <c r="G6370" s="201">
        <v>7.8</v>
      </c>
    </row>
    <row r="6371" spans="4:7">
      <c r="D6371" s="200" t="s">
        <v>6418</v>
      </c>
      <c r="E6371" s="10">
        <v>83122</v>
      </c>
      <c r="F6371" s="201">
        <v>-13.3</v>
      </c>
      <c r="G6371" s="201">
        <v>8.1</v>
      </c>
    </row>
    <row r="6372" spans="4:7">
      <c r="D6372" s="200" t="s">
        <v>6419</v>
      </c>
      <c r="E6372" s="10">
        <v>83229</v>
      </c>
      <c r="F6372" s="201">
        <v>-13.3</v>
      </c>
      <c r="G6372" s="201">
        <v>8.1</v>
      </c>
    </row>
    <row r="6373" spans="4:7">
      <c r="D6373" s="200" t="s">
        <v>6420</v>
      </c>
      <c r="E6373" s="10">
        <v>83334</v>
      </c>
      <c r="F6373" s="201">
        <v>-13.3</v>
      </c>
      <c r="G6373" s="201">
        <v>7.8</v>
      </c>
    </row>
    <row r="6374" spans="4:7">
      <c r="D6374" s="200" t="s">
        <v>6421</v>
      </c>
      <c r="E6374" s="10">
        <v>83365</v>
      </c>
      <c r="F6374" s="201">
        <v>-13.3</v>
      </c>
      <c r="G6374" s="201">
        <v>8.4</v>
      </c>
    </row>
    <row r="6375" spans="4:7">
      <c r="D6375" s="200" t="s">
        <v>6422</v>
      </c>
      <c r="E6375" s="10">
        <v>83404</v>
      </c>
      <c r="F6375" s="201">
        <v>-13.3</v>
      </c>
      <c r="G6375" s="201">
        <v>9.1</v>
      </c>
    </row>
    <row r="6376" spans="4:7">
      <c r="D6376" s="200" t="s">
        <v>6423</v>
      </c>
      <c r="E6376" s="10">
        <v>83483</v>
      </c>
      <c r="F6376" s="201">
        <v>-13.3</v>
      </c>
      <c r="G6376" s="201">
        <v>7.9</v>
      </c>
    </row>
    <row r="6377" spans="4:7">
      <c r="D6377" s="200" t="s">
        <v>6424</v>
      </c>
      <c r="E6377" s="10">
        <v>83530</v>
      </c>
      <c r="F6377" s="201">
        <v>-13.3</v>
      </c>
      <c r="G6377" s="201">
        <v>8.3000000000000007</v>
      </c>
    </row>
    <row r="6378" spans="4:7">
      <c r="D6378" s="200" t="s">
        <v>6425</v>
      </c>
      <c r="E6378" s="10">
        <v>83544</v>
      </c>
      <c r="F6378" s="201">
        <v>-13.3</v>
      </c>
      <c r="G6378" s="201">
        <v>8.3000000000000007</v>
      </c>
    </row>
    <row r="6379" spans="4:7">
      <c r="D6379" s="200" t="s">
        <v>6426</v>
      </c>
      <c r="E6379" s="10">
        <v>83565</v>
      </c>
      <c r="F6379" s="201">
        <v>-13.3</v>
      </c>
      <c r="G6379" s="201">
        <v>8.4</v>
      </c>
    </row>
    <row r="6380" spans="4:7">
      <c r="D6380" s="200" t="s">
        <v>6427</v>
      </c>
      <c r="E6380" s="10">
        <v>83567</v>
      </c>
      <c r="F6380" s="201">
        <v>-13.3</v>
      </c>
      <c r="G6380" s="201">
        <v>8.4</v>
      </c>
    </row>
    <row r="6381" spans="4:7">
      <c r="D6381" s="200" t="s">
        <v>6428</v>
      </c>
      <c r="E6381" s="10">
        <v>84076</v>
      </c>
      <c r="F6381" s="201">
        <v>-13.3</v>
      </c>
      <c r="G6381" s="201">
        <v>8.6999999999999993</v>
      </c>
    </row>
    <row r="6382" spans="4:7">
      <c r="D6382" s="200" t="s">
        <v>6429</v>
      </c>
      <c r="E6382" s="10">
        <v>84094</v>
      </c>
      <c r="F6382" s="201">
        <v>-13.3</v>
      </c>
      <c r="G6382" s="201">
        <v>8.9</v>
      </c>
    </row>
    <row r="6383" spans="4:7">
      <c r="D6383" s="200" t="s">
        <v>6430</v>
      </c>
      <c r="E6383" s="10">
        <v>84171</v>
      </c>
      <c r="F6383" s="201">
        <v>-13.3</v>
      </c>
      <c r="G6383" s="201">
        <v>8.6</v>
      </c>
    </row>
    <row r="6384" spans="4:7">
      <c r="D6384" s="200" t="s">
        <v>6431</v>
      </c>
      <c r="E6384" s="10">
        <v>84323</v>
      </c>
      <c r="F6384" s="201">
        <v>-13.3</v>
      </c>
      <c r="G6384" s="201">
        <v>8.6</v>
      </c>
    </row>
    <row r="6385" spans="4:7">
      <c r="D6385" s="200" t="s">
        <v>6432</v>
      </c>
      <c r="E6385" s="10">
        <v>84405</v>
      </c>
      <c r="F6385" s="201">
        <v>-13.3</v>
      </c>
      <c r="G6385" s="201">
        <v>8.6999999999999993</v>
      </c>
    </row>
    <row r="6386" spans="4:7">
      <c r="D6386" s="200" t="s">
        <v>6433</v>
      </c>
      <c r="E6386" s="10">
        <v>84524</v>
      </c>
      <c r="F6386" s="201">
        <v>-13.3</v>
      </c>
      <c r="G6386" s="201">
        <v>8.6999999999999993</v>
      </c>
    </row>
    <row r="6387" spans="4:7">
      <c r="D6387" s="200" t="s">
        <v>6434</v>
      </c>
      <c r="E6387" s="10">
        <v>84543</v>
      </c>
      <c r="F6387" s="201">
        <v>-13.3</v>
      </c>
      <c r="G6387" s="201">
        <v>8.9</v>
      </c>
    </row>
    <row r="6388" spans="4:7">
      <c r="D6388" s="200" t="s">
        <v>6435</v>
      </c>
      <c r="E6388" s="10">
        <v>84553</v>
      </c>
      <c r="F6388" s="201">
        <v>-13.3</v>
      </c>
      <c r="G6388" s="201">
        <v>8.6</v>
      </c>
    </row>
    <row r="6389" spans="4:7">
      <c r="D6389" s="200" t="s">
        <v>6436</v>
      </c>
      <c r="E6389" s="10">
        <v>84556</v>
      </c>
      <c r="F6389" s="201">
        <v>-13.3</v>
      </c>
      <c r="G6389" s="201">
        <v>8.6</v>
      </c>
    </row>
    <row r="6390" spans="4:7">
      <c r="D6390" s="200" t="s">
        <v>5318</v>
      </c>
      <c r="E6390" s="10">
        <v>85049</v>
      </c>
      <c r="F6390" s="201">
        <v>-13.3</v>
      </c>
      <c r="G6390" s="201">
        <v>9</v>
      </c>
    </row>
    <row r="6391" spans="4:7">
      <c r="D6391" s="200" t="s">
        <v>5318</v>
      </c>
      <c r="E6391" s="10">
        <v>85051</v>
      </c>
      <c r="F6391" s="201">
        <v>-13.3</v>
      </c>
      <c r="G6391" s="201">
        <v>9.1999999999999993</v>
      </c>
    </row>
    <row r="6392" spans="4:7">
      <c r="D6392" s="200" t="s">
        <v>6437</v>
      </c>
      <c r="E6392" s="10">
        <v>85084</v>
      </c>
      <c r="F6392" s="201">
        <v>-13.3</v>
      </c>
      <c r="G6392" s="201">
        <v>9</v>
      </c>
    </row>
    <row r="6393" spans="4:7">
      <c r="D6393" s="200" t="s">
        <v>6438</v>
      </c>
      <c r="E6393" s="10">
        <v>85107</v>
      </c>
      <c r="F6393" s="201">
        <v>-13.3</v>
      </c>
      <c r="G6393" s="201">
        <v>9.1</v>
      </c>
    </row>
    <row r="6394" spans="4:7">
      <c r="D6394" s="200" t="s">
        <v>6439</v>
      </c>
      <c r="E6394" s="10">
        <v>85114</v>
      </c>
      <c r="F6394" s="201">
        <v>-13.3</v>
      </c>
      <c r="G6394" s="201">
        <v>8.8000000000000007</v>
      </c>
    </row>
    <row r="6395" spans="4:7">
      <c r="D6395" s="200" t="s">
        <v>6440</v>
      </c>
      <c r="E6395" s="10">
        <v>85123</v>
      </c>
      <c r="F6395" s="201">
        <v>-13.3</v>
      </c>
      <c r="G6395" s="201">
        <v>9.1</v>
      </c>
    </row>
    <row r="6396" spans="4:7">
      <c r="D6396" s="200" t="s">
        <v>6441</v>
      </c>
      <c r="E6396" s="10">
        <v>85128</v>
      </c>
      <c r="F6396" s="201">
        <v>-13.3</v>
      </c>
      <c r="G6396" s="201">
        <v>8.9</v>
      </c>
    </row>
    <row r="6397" spans="4:7">
      <c r="D6397" s="200" t="s">
        <v>6442</v>
      </c>
      <c r="E6397" s="10">
        <v>85132</v>
      </c>
      <c r="F6397" s="201">
        <v>-13.3</v>
      </c>
      <c r="G6397" s="201">
        <v>8.3000000000000007</v>
      </c>
    </row>
    <row r="6398" spans="4:7">
      <c r="D6398" s="200" t="s">
        <v>6443</v>
      </c>
      <c r="E6398" s="10">
        <v>85283</v>
      </c>
      <c r="F6398" s="201">
        <v>-13.3</v>
      </c>
      <c r="G6398" s="201">
        <v>8.9</v>
      </c>
    </row>
    <row r="6399" spans="4:7">
      <c r="D6399" s="200" t="s">
        <v>6444</v>
      </c>
      <c r="E6399" s="10">
        <v>85579</v>
      </c>
      <c r="F6399" s="201">
        <v>-13.3</v>
      </c>
      <c r="G6399" s="201">
        <v>8.8000000000000007</v>
      </c>
    </row>
    <row r="6400" spans="4:7">
      <c r="D6400" s="200" t="s">
        <v>6445</v>
      </c>
      <c r="E6400" s="10">
        <v>85617</v>
      </c>
      <c r="F6400" s="201">
        <v>-13.3</v>
      </c>
      <c r="G6400" s="201">
        <v>8.4</v>
      </c>
    </row>
    <row r="6401" spans="4:7">
      <c r="D6401" s="200" t="s">
        <v>6446</v>
      </c>
      <c r="E6401" s="10">
        <v>86152</v>
      </c>
      <c r="F6401" s="201">
        <v>-13.3</v>
      </c>
      <c r="G6401" s="201">
        <v>9.3000000000000007</v>
      </c>
    </row>
    <row r="6402" spans="4:7">
      <c r="D6402" s="200" t="s">
        <v>6446</v>
      </c>
      <c r="E6402" s="10">
        <v>86153</v>
      </c>
      <c r="F6402" s="201">
        <v>-13.3</v>
      </c>
      <c r="G6402" s="201">
        <v>9.3000000000000007</v>
      </c>
    </row>
    <row r="6403" spans="4:7">
      <c r="D6403" s="200" t="s">
        <v>6446</v>
      </c>
      <c r="E6403" s="10">
        <v>86154</v>
      </c>
      <c r="F6403" s="201">
        <v>-13.3</v>
      </c>
      <c r="G6403" s="201">
        <v>9.3000000000000007</v>
      </c>
    </row>
    <row r="6404" spans="4:7">
      <c r="D6404" s="200" t="s">
        <v>6447</v>
      </c>
      <c r="E6404" s="10">
        <v>86505</v>
      </c>
      <c r="F6404" s="201">
        <v>-13.3</v>
      </c>
      <c r="G6404" s="201">
        <v>8.6999999999999993</v>
      </c>
    </row>
    <row r="6405" spans="4:7">
      <c r="D6405" s="200" t="s">
        <v>6448</v>
      </c>
      <c r="E6405" s="10">
        <v>86633</v>
      </c>
      <c r="F6405" s="201">
        <v>-13.3</v>
      </c>
      <c r="G6405" s="201">
        <v>9</v>
      </c>
    </row>
    <row r="6406" spans="4:7">
      <c r="D6406" s="200" t="s">
        <v>6449</v>
      </c>
      <c r="E6406" s="10">
        <v>86655</v>
      </c>
      <c r="F6406" s="201">
        <v>-13.3</v>
      </c>
      <c r="G6406" s="201">
        <v>8.6</v>
      </c>
    </row>
    <row r="6407" spans="4:7">
      <c r="D6407" s="200" t="s">
        <v>6450</v>
      </c>
      <c r="E6407" s="10">
        <v>86657</v>
      </c>
      <c r="F6407" s="201">
        <v>-13.3</v>
      </c>
      <c r="G6407" s="201">
        <v>8.6999999999999993</v>
      </c>
    </row>
    <row r="6408" spans="4:7">
      <c r="D6408" s="200" t="s">
        <v>6451</v>
      </c>
      <c r="E6408" s="10">
        <v>86663</v>
      </c>
      <c r="F6408" s="201">
        <v>-13.3</v>
      </c>
      <c r="G6408" s="201">
        <v>9.1</v>
      </c>
    </row>
    <row r="6409" spans="4:7">
      <c r="D6409" s="200" t="s">
        <v>6452</v>
      </c>
      <c r="E6409" s="10">
        <v>86694</v>
      </c>
      <c r="F6409" s="201">
        <v>-13.3</v>
      </c>
      <c r="G6409" s="201">
        <v>9</v>
      </c>
    </row>
    <row r="6410" spans="4:7">
      <c r="D6410" s="200" t="s">
        <v>6453</v>
      </c>
      <c r="E6410" s="10">
        <v>86706</v>
      </c>
      <c r="F6410" s="201">
        <v>-13.3</v>
      </c>
      <c r="G6410" s="201">
        <v>9.1</v>
      </c>
    </row>
    <row r="6411" spans="4:7">
      <c r="D6411" s="200" t="s">
        <v>6454</v>
      </c>
      <c r="E6411" s="10">
        <v>86739</v>
      </c>
      <c r="F6411" s="201">
        <v>-13.3</v>
      </c>
      <c r="G6411" s="201">
        <v>8.3000000000000007</v>
      </c>
    </row>
    <row r="6412" spans="4:7">
      <c r="D6412" s="200" t="s">
        <v>6455</v>
      </c>
      <c r="E6412" s="10">
        <v>86751</v>
      </c>
      <c r="F6412" s="201">
        <v>-13.3</v>
      </c>
      <c r="G6412" s="201">
        <v>8.4</v>
      </c>
    </row>
    <row r="6413" spans="4:7">
      <c r="D6413" s="200" t="s">
        <v>6456</v>
      </c>
      <c r="E6413" s="10">
        <v>87734</v>
      </c>
      <c r="F6413" s="201">
        <v>-13.3</v>
      </c>
      <c r="G6413" s="201">
        <v>8.3000000000000007</v>
      </c>
    </row>
    <row r="6414" spans="4:7">
      <c r="D6414" s="200" t="s">
        <v>6457</v>
      </c>
      <c r="E6414" s="10">
        <v>87739</v>
      </c>
      <c r="F6414" s="201">
        <v>-13.3</v>
      </c>
      <c r="G6414" s="201">
        <v>8.6</v>
      </c>
    </row>
    <row r="6415" spans="4:7">
      <c r="D6415" s="200" t="s">
        <v>6439</v>
      </c>
      <c r="E6415" s="10">
        <v>87740</v>
      </c>
      <c r="F6415" s="201">
        <v>-13.3</v>
      </c>
      <c r="G6415" s="201">
        <v>8.1999999999999993</v>
      </c>
    </row>
    <row r="6416" spans="4:7">
      <c r="D6416" s="200" t="s">
        <v>6458</v>
      </c>
      <c r="E6416" s="10">
        <v>87752</v>
      </c>
      <c r="F6416" s="201">
        <v>-13.3</v>
      </c>
      <c r="G6416" s="201">
        <v>8.3000000000000007</v>
      </c>
    </row>
    <row r="6417" spans="4:7">
      <c r="D6417" s="200" t="s">
        <v>6459</v>
      </c>
      <c r="E6417" s="10">
        <v>87755</v>
      </c>
      <c r="F6417" s="201">
        <v>-13.3</v>
      </c>
      <c r="G6417" s="201">
        <v>8.4</v>
      </c>
    </row>
    <row r="6418" spans="4:7">
      <c r="D6418" s="200" t="s">
        <v>6460</v>
      </c>
      <c r="E6418" s="10">
        <v>87761</v>
      </c>
      <c r="F6418" s="201">
        <v>-13.3</v>
      </c>
      <c r="G6418" s="201">
        <v>8.4</v>
      </c>
    </row>
    <row r="6419" spans="4:7">
      <c r="D6419" s="200" t="s">
        <v>6461</v>
      </c>
      <c r="E6419" s="10">
        <v>87769</v>
      </c>
      <c r="F6419" s="201">
        <v>-13.3</v>
      </c>
      <c r="G6419" s="201">
        <v>8.5</v>
      </c>
    </row>
    <row r="6420" spans="4:7">
      <c r="D6420" s="200" t="s">
        <v>6462</v>
      </c>
      <c r="E6420" s="10">
        <v>87770</v>
      </c>
      <c r="F6420" s="201">
        <v>-13.3</v>
      </c>
      <c r="G6420" s="201">
        <v>8.5</v>
      </c>
    </row>
    <row r="6421" spans="4:7">
      <c r="D6421" s="200" t="s">
        <v>6463</v>
      </c>
      <c r="E6421" s="10">
        <v>87779</v>
      </c>
      <c r="F6421" s="201">
        <v>-13.3</v>
      </c>
      <c r="G6421" s="201">
        <v>8.3000000000000007</v>
      </c>
    </row>
    <row r="6422" spans="4:7">
      <c r="D6422" s="200" t="s">
        <v>6464</v>
      </c>
      <c r="E6422" s="10">
        <v>88178</v>
      </c>
      <c r="F6422" s="201">
        <v>-13.3</v>
      </c>
      <c r="G6422" s="201">
        <v>8</v>
      </c>
    </row>
    <row r="6423" spans="4:7">
      <c r="D6423" s="200" t="s">
        <v>6465</v>
      </c>
      <c r="E6423" s="10">
        <v>88260</v>
      </c>
      <c r="F6423" s="201">
        <v>-13.3</v>
      </c>
      <c r="G6423" s="201">
        <v>8.1</v>
      </c>
    </row>
    <row r="6424" spans="4:7">
      <c r="D6424" s="200" t="s">
        <v>6466</v>
      </c>
      <c r="E6424" s="10">
        <v>88289</v>
      </c>
      <c r="F6424" s="201">
        <v>-13.3</v>
      </c>
      <c r="G6424" s="201">
        <v>7.9</v>
      </c>
    </row>
    <row r="6425" spans="4:7">
      <c r="D6425" s="200" t="s">
        <v>6467</v>
      </c>
      <c r="E6425" s="10">
        <v>88368</v>
      </c>
      <c r="F6425" s="201">
        <v>-13.3</v>
      </c>
      <c r="G6425" s="201">
        <v>8.3000000000000007</v>
      </c>
    </row>
    <row r="6426" spans="4:7">
      <c r="D6426" s="200" t="s">
        <v>6468</v>
      </c>
      <c r="E6426" s="10">
        <v>88379</v>
      </c>
      <c r="F6426" s="201">
        <v>-13.3</v>
      </c>
      <c r="G6426" s="201">
        <v>8.1</v>
      </c>
    </row>
    <row r="6427" spans="4:7">
      <c r="D6427" s="200" t="s">
        <v>6469</v>
      </c>
      <c r="E6427" s="10">
        <v>88416</v>
      </c>
      <c r="F6427" s="201">
        <v>-13.3</v>
      </c>
      <c r="G6427" s="201">
        <v>8.3000000000000007</v>
      </c>
    </row>
    <row r="6428" spans="4:7">
      <c r="D6428" s="200" t="s">
        <v>6470</v>
      </c>
      <c r="E6428" s="10">
        <v>88450</v>
      </c>
      <c r="F6428" s="201">
        <v>-13.3</v>
      </c>
      <c r="G6428" s="201">
        <v>8.3000000000000007</v>
      </c>
    </row>
    <row r="6429" spans="4:7">
      <c r="D6429" s="200" t="s">
        <v>6471</v>
      </c>
      <c r="E6429" s="10">
        <v>89344</v>
      </c>
      <c r="F6429" s="201">
        <v>-13.3</v>
      </c>
      <c r="G6429" s="201">
        <v>8.9</v>
      </c>
    </row>
    <row r="6430" spans="4:7">
      <c r="D6430" s="200" t="s">
        <v>4242</v>
      </c>
      <c r="E6430" s="10">
        <v>89368</v>
      </c>
      <c r="F6430" s="201">
        <v>-13.3</v>
      </c>
      <c r="G6430" s="201">
        <v>8.8000000000000007</v>
      </c>
    </row>
    <row r="6431" spans="4:7">
      <c r="D6431" s="200" t="s">
        <v>6472</v>
      </c>
      <c r="E6431" s="10">
        <v>89435</v>
      </c>
      <c r="F6431" s="201">
        <v>-13.3</v>
      </c>
      <c r="G6431" s="201">
        <v>8.8000000000000007</v>
      </c>
    </row>
    <row r="6432" spans="4:7">
      <c r="D6432" s="200" t="s">
        <v>6473</v>
      </c>
      <c r="E6432" s="10">
        <v>89440</v>
      </c>
      <c r="F6432" s="201">
        <v>-13.3</v>
      </c>
      <c r="G6432" s="201">
        <v>8.6</v>
      </c>
    </row>
    <row r="6433" spans="4:7">
      <c r="D6433" s="200" t="s">
        <v>6403</v>
      </c>
      <c r="E6433" s="10">
        <v>89443</v>
      </c>
      <c r="F6433" s="201">
        <v>-13.3</v>
      </c>
      <c r="G6433" s="201">
        <v>9</v>
      </c>
    </row>
    <row r="6434" spans="4:7">
      <c r="D6434" s="200" t="s">
        <v>6474</v>
      </c>
      <c r="E6434" s="10">
        <v>89558</v>
      </c>
      <c r="F6434" s="201">
        <v>-13.3</v>
      </c>
      <c r="G6434" s="201">
        <v>7.9</v>
      </c>
    </row>
    <row r="6435" spans="4:7">
      <c r="D6435" s="200" t="s">
        <v>4257</v>
      </c>
      <c r="E6435" s="10">
        <v>90453</v>
      </c>
      <c r="F6435" s="201">
        <v>-13.3</v>
      </c>
      <c r="G6435" s="201">
        <v>9.4</v>
      </c>
    </row>
    <row r="6436" spans="4:7">
      <c r="D6436" s="200" t="s">
        <v>4257</v>
      </c>
      <c r="E6436" s="10">
        <v>90473</v>
      </c>
      <c r="F6436" s="201">
        <v>-13.3</v>
      </c>
      <c r="G6436" s="201">
        <v>9.3000000000000007</v>
      </c>
    </row>
    <row r="6437" spans="4:7">
      <c r="D6437" s="200" t="s">
        <v>4257</v>
      </c>
      <c r="E6437" s="10">
        <v>90480</v>
      </c>
      <c r="F6437" s="201">
        <v>-13.3</v>
      </c>
      <c r="G6437" s="201">
        <v>9.4</v>
      </c>
    </row>
    <row r="6438" spans="4:7">
      <c r="D6438" s="200" t="s">
        <v>3307</v>
      </c>
      <c r="E6438" s="10">
        <v>90768</v>
      </c>
      <c r="F6438" s="201">
        <v>-13.3</v>
      </c>
      <c r="G6438" s="201">
        <v>9.4</v>
      </c>
    </row>
    <row r="6439" spans="4:7">
      <c r="D6439" s="200" t="s">
        <v>6475</v>
      </c>
      <c r="E6439" s="10">
        <v>91085</v>
      </c>
      <c r="F6439" s="201">
        <v>-13.3</v>
      </c>
      <c r="G6439" s="201">
        <v>9.1999999999999993</v>
      </c>
    </row>
    <row r="6440" spans="4:7">
      <c r="D6440" s="200" t="s">
        <v>6476</v>
      </c>
      <c r="E6440" s="10">
        <v>91086</v>
      </c>
      <c r="F6440" s="201">
        <v>-13.3</v>
      </c>
      <c r="G6440" s="201">
        <v>9.3000000000000007</v>
      </c>
    </row>
    <row r="6441" spans="4:7">
      <c r="D6441" s="200" t="s">
        <v>6477</v>
      </c>
      <c r="E6441" s="10">
        <v>91174</v>
      </c>
      <c r="F6441" s="201">
        <v>-13.3</v>
      </c>
      <c r="G6441" s="201">
        <v>9.1</v>
      </c>
    </row>
    <row r="6442" spans="4:7">
      <c r="D6442" s="200" t="s">
        <v>6478</v>
      </c>
      <c r="E6442" s="10">
        <v>91334</v>
      </c>
      <c r="F6442" s="201">
        <v>-13.3</v>
      </c>
      <c r="G6442" s="201">
        <v>9.1999999999999993</v>
      </c>
    </row>
    <row r="6443" spans="4:7">
      <c r="D6443" s="200" t="s">
        <v>6479</v>
      </c>
      <c r="E6443" s="10">
        <v>91336</v>
      </c>
      <c r="F6443" s="201">
        <v>-13.3</v>
      </c>
      <c r="G6443" s="201">
        <v>9.1</v>
      </c>
    </row>
    <row r="6444" spans="4:7">
      <c r="D6444" s="200" t="s">
        <v>6480</v>
      </c>
      <c r="E6444" s="10">
        <v>91362</v>
      </c>
      <c r="F6444" s="201">
        <v>-13.3</v>
      </c>
      <c r="G6444" s="201">
        <v>9</v>
      </c>
    </row>
    <row r="6445" spans="4:7">
      <c r="D6445" s="200" t="s">
        <v>6481</v>
      </c>
      <c r="E6445" s="10">
        <v>91365</v>
      </c>
      <c r="F6445" s="201">
        <v>-13.3</v>
      </c>
      <c r="G6445" s="201">
        <v>9.1</v>
      </c>
    </row>
    <row r="6446" spans="4:7">
      <c r="D6446" s="200" t="s">
        <v>6482</v>
      </c>
      <c r="E6446" s="10">
        <v>91369</v>
      </c>
      <c r="F6446" s="201">
        <v>-13.3</v>
      </c>
      <c r="G6446" s="201">
        <v>9.1</v>
      </c>
    </row>
    <row r="6447" spans="4:7">
      <c r="D6447" s="200" t="s">
        <v>6483</v>
      </c>
      <c r="E6447" s="10">
        <v>91452</v>
      </c>
      <c r="F6447" s="201">
        <v>-13.3</v>
      </c>
      <c r="G6447" s="201">
        <v>9.1</v>
      </c>
    </row>
    <row r="6448" spans="4:7">
      <c r="D6448" s="200" t="s">
        <v>6484</v>
      </c>
      <c r="E6448" s="10">
        <v>91459</v>
      </c>
      <c r="F6448" s="201">
        <v>-13.3</v>
      </c>
      <c r="G6448" s="201">
        <v>8.9</v>
      </c>
    </row>
    <row r="6449" spans="4:7">
      <c r="D6449" s="200" t="s">
        <v>6485</v>
      </c>
      <c r="E6449" s="10">
        <v>91468</v>
      </c>
      <c r="F6449" s="201">
        <v>-13.3</v>
      </c>
      <c r="G6449" s="201">
        <v>9</v>
      </c>
    </row>
    <row r="6450" spans="4:7">
      <c r="D6450" s="200" t="s">
        <v>6486</v>
      </c>
      <c r="E6450" s="10">
        <v>91481</v>
      </c>
      <c r="F6450" s="201">
        <v>-13.3</v>
      </c>
      <c r="G6450" s="201">
        <v>9</v>
      </c>
    </row>
    <row r="6451" spans="4:7">
      <c r="D6451" s="200" t="s">
        <v>2762</v>
      </c>
      <c r="E6451" s="10">
        <v>91586</v>
      </c>
      <c r="F6451" s="201">
        <v>-13.3</v>
      </c>
      <c r="G6451" s="201">
        <v>8.8000000000000007</v>
      </c>
    </row>
    <row r="6452" spans="4:7">
      <c r="D6452" s="200" t="s">
        <v>6487</v>
      </c>
      <c r="E6452" s="10">
        <v>91622</v>
      </c>
      <c r="F6452" s="201">
        <v>-13.3</v>
      </c>
      <c r="G6452" s="201">
        <v>8.9</v>
      </c>
    </row>
    <row r="6453" spans="4:7">
      <c r="D6453" s="200" t="s">
        <v>6488</v>
      </c>
      <c r="E6453" s="10">
        <v>91719</v>
      </c>
      <c r="F6453" s="201">
        <v>-13.3</v>
      </c>
      <c r="G6453" s="201">
        <v>8.1999999999999993</v>
      </c>
    </row>
    <row r="6454" spans="4:7">
      <c r="D6454" s="200" t="s">
        <v>6489</v>
      </c>
      <c r="E6454" s="10">
        <v>91735</v>
      </c>
      <c r="F6454" s="201">
        <v>-13.3</v>
      </c>
      <c r="G6454" s="201">
        <v>9.1</v>
      </c>
    </row>
    <row r="6455" spans="4:7">
      <c r="D6455" s="200" t="s">
        <v>6490</v>
      </c>
      <c r="E6455" s="10">
        <v>91737</v>
      </c>
      <c r="F6455" s="201">
        <v>-13.3</v>
      </c>
      <c r="G6455" s="201">
        <v>9.1</v>
      </c>
    </row>
    <row r="6456" spans="4:7">
      <c r="D6456" s="200" t="s">
        <v>6491</v>
      </c>
      <c r="E6456" s="10">
        <v>91746</v>
      </c>
      <c r="F6456" s="201">
        <v>-13.3</v>
      </c>
      <c r="G6456" s="201">
        <v>8.8000000000000007</v>
      </c>
    </row>
    <row r="6457" spans="4:7">
      <c r="D6457" s="200" t="s">
        <v>6492</v>
      </c>
      <c r="E6457" s="10">
        <v>91757</v>
      </c>
      <c r="F6457" s="201">
        <v>-13.3</v>
      </c>
      <c r="G6457" s="201">
        <v>8.5</v>
      </c>
    </row>
    <row r="6458" spans="4:7">
      <c r="D6458" s="200" t="s">
        <v>6493</v>
      </c>
      <c r="E6458" s="10">
        <v>91790</v>
      </c>
      <c r="F6458" s="201">
        <v>-13.3</v>
      </c>
      <c r="G6458" s="201">
        <v>8.4</v>
      </c>
    </row>
    <row r="6459" spans="4:7">
      <c r="D6459" s="200" t="s">
        <v>6494</v>
      </c>
      <c r="E6459" s="10">
        <v>91792</v>
      </c>
      <c r="F6459" s="201">
        <v>-13.3</v>
      </c>
      <c r="G6459" s="201">
        <v>9</v>
      </c>
    </row>
    <row r="6460" spans="4:7">
      <c r="D6460" s="200" t="s">
        <v>6495</v>
      </c>
      <c r="E6460" s="10">
        <v>91799</v>
      </c>
      <c r="F6460" s="201">
        <v>-13.3</v>
      </c>
      <c r="G6460" s="201">
        <v>8.5</v>
      </c>
    </row>
    <row r="6461" spans="4:7">
      <c r="D6461" s="200" t="s">
        <v>6496</v>
      </c>
      <c r="E6461" s="10">
        <v>91801</v>
      </c>
      <c r="F6461" s="201">
        <v>-13.3</v>
      </c>
      <c r="G6461" s="201">
        <v>9</v>
      </c>
    </row>
    <row r="6462" spans="4:7">
      <c r="D6462" s="200" t="s">
        <v>6497</v>
      </c>
      <c r="E6462" s="10">
        <v>91802</v>
      </c>
      <c r="F6462" s="201">
        <v>-13.3</v>
      </c>
      <c r="G6462" s="201">
        <v>9</v>
      </c>
    </row>
    <row r="6463" spans="4:7">
      <c r="D6463" s="200" t="s">
        <v>6498</v>
      </c>
      <c r="E6463" s="10">
        <v>91807</v>
      </c>
      <c r="F6463" s="201">
        <v>-13.3</v>
      </c>
      <c r="G6463" s="201">
        <v>9</v>
      </c>
    </row>
    <row r="6464" spans="4:7">
      <c r="D6464" s="200" t="s">
        <v>6499</v>
      </c>
      <c r="E6464" s="10">
        <v>91809</v>
      </c>
      <c r="F6464" s="201">
        <v>-13.3</v>
      </c>
      <c r="G6464" s="201">
        <v>8.8000000000000007</v>
      </c>
    </row>
    <row r="6465" spans="4:7">
      <c r="D6465" s="200" t="s">
        <v>6500</v>
      </c>
      <c r="E6465" s="10">
        <v>92660</v>
      </c>
      <c r="F6465" s="201">
        <v>-13.3</v>
      </c>
      <c r="G6465" s="201">
        <v>8.6</v>
      </c>
    </row>
    <row r="6466" spans="4:7">
      <c r="D6466" s="200" t="s">
        <v>6501</v>
      </c>
      <c r="E6466" s="10">
        <v>92694</v>
      </c>
      <c r="F6466" s="201">
        <v>-13.3</v>
      </c>
      <c r="G6466" s="201">
        <v>8.6</v>
      </c>
    </row>
    <row r="6467" spans="4:7">
      <c r="D6467" s="200" t="s">
        <v>6502</v>
      </c>
      <c r="E6467" s="10">
        <v>92699</v>
      </c>
      <c r="F6467" s="201">
        <v>-13.3</v>
      </c>
      <c r="G6467" s="201">
        <v>8.4</v>
      </c>
    </row>
    <row r="6468" spans="4:7">
      <c r="D6468" s="200" t="s">
        <v>6503</v>
      </c>
      <c r="E6468" s="10">
        <v>92706</v>
      </c>
      <c r="F6468" s="201">
        <v>-13.3</v>
      </c>
      <c r="G6468" s="201">
        <v>8.5</v>
      </c>
    </row>
    <row r="6469" spans="4:7">
      <c r="D6469" s="200" t="s">
        <v>6504</v>
      </c>
      <c r="E6469" s="10">
        <v>92708</v>
      </c>
      <c r="F6469" s="201">
        <v>-13.3</v>
      </c>
      <c r="G6469" s="201">
        <v>8.4</v>
      </c>
    </row>
    <row r="6470" spans="4:7">
      <c r="D6470" s="200" t="s">
        <v>6505</v>
      </c>
      <c r="E6470" s="10">
        <v>92712</v>
      </c>
      <c r="F6470" s="201">
        <v>-13.3</v>
      </c>
      <c r="G6470" s="201">
        <v>8.4</v>
      </c>
    </row>
    <row r="6471" spans="4:7">
      <c r="D6471" s="200" t="s">
        <v>6506</v>
      </c>
      <c r="E6471" s="10">
        <v>92718</v>
      </c>
      <c r="F6471" s="201">
        <v>-13.3</v>
      </c>
      <c r="G6471" s="201">
        <v>8.5</v>
      </c>
    </row>
    <row r="6472" spans="4:7">
      <c r="D6472" s="200" t="s">
        <v>6507</v>
      </c>
      <c r="E6472" s="10">
        <v>92729</v>
      </c>
      <c r="F6472" s="201">
        <v>-13.3</v>
      </c>
      <c r="G6472" s="201">
        <v>8.4</v>
      </c>
    </row>
    <row r="6473" spans="4:7">
      <c r="D6473" s="200" t="s">
        <v>4895</v>
      </c>
      <c r="E6473" s="10">
        <v>93053</v>
      </c>
      <c r="F6473" s="201">
        <v>-13.3</v>
      </c>
      <c r="G6473" s="201">
        <v>8.8000000000000007</v>
      </c>
    </row>
    <row r="6474" spans="4:7">
      <c r="D6474" s="200" t="s">
        <v>4895</v>
      </c>
      <c r="E6474" s="10">
        <v>93057</v>
      </c>
      <c r="F6474" s="201">
        <v>-13.3</v>
      </c>
      <c r="G6474" s="201">
        <v>8.6999999999999993</v>
      </c>
    </row>
    <row r="6475" spans="4:7">
      <c r="D6475" s="200" t="s">
        <v>6508</v>
      </c>
      <c r="E6475" s="10">
        <v>93102</v>
      </c>
      <c r="F6475" s="201">
        <v>-13.3</v>
      </c>
      <c r="G6475" s="201">
        <v>9</v>
      </c>
    </row>
    <row r="6476" spans="4:7">
      <c r="D6476" s="200" t="s">
        <v>6509</v>
      </c>
      <c r="E6476" s="10">
        <v>93309</v>
      </c>
      <c r="F6476" s="201">
        <v>-13.3</v>
      </c>
      <c r="G6476" s="201">
        <v>9</v>
      </c>
    </row>
    <row r="6477" spans="4:7">
      <c r="D6477" s="200" t="s">
        <v>6510</v>
      </c>
      <c r="E6477" s="10">
        <v>93326</v>
      </c>
      <c r="F6477" s="201">
        <v>-13.3</v>
      </c>
      <c r="G6477" s="201">
        <v>8.8000000000000007</v>
      </c>
    </row>
    <row r="6478" spans="4:7">
      <c r="D6478" s="200" t="s">
        <v>6511</v>
      </c>
      <c r="E6478" s="10">
        <v>93336</v>
      </c>
      <c r="F6478" s="201">
        <v>-13.3</v>
      </c>
      <c r="G6478" s="201">
        <v>8.8000000000000007</v>
      </c>
    </row>
    <row r="6479" spans="4:7">
      <c r="D6479" s="200" t="s">
        <v>6512</v>
      </c>
      <c r="E6479" s="10">
        <v>93354</v>
      </c>
      <c r="F6479" s="201">
        <v>-13.3</v>
      </c>
      <c r="G6479" s="201">
        <v>8.9</v>
      </c>
    </row>
    <row r="6480" spans="4:7">
      <c r="D6480" s="200" t="s">
        <v>6513</v>
      </c>
      <c r="E6480" s="10">
        <v>93358</v>
      </c>
      <c r="F6480" s="201">
        <v>-13.3</v>
      </c>
      <c r="G6480" s="201">
        <v>8.9</v>
      </c>
    </row>
    <row r="6481" spans="4:7">
      <c r="D6481" s="200" t="s">
        <v>6514</v>
      </c>
      <c r="E6481" s="10">
        <v>93453</v>
      </c>
      <c r="F6481" s="201">
        <v>-13.3</v>
      </c>
      <c r="G6481" s="201">
        <v>7.7</v>
      </c>
    </row>
    <row r="6482" spans="4:7">
      <c r="D6482" s="200" t="s">
        <v>6515</v>
      </c>
      <c r="E6482" s="10">
        <v>93471</v>
      </c>
      <c r="F6482" s="201">
        <v>-13.3</v>
      </c>
      <c r="G6482" s="201">
        <v>7.6</v>
      </c>
    </row>
    <row r="6483" spans="4:7">
      <c r="D6483" s="200" t="s">
        <v>6516</v>
      </c>
      <c r="E6483" s="10">
        <v>93480</v>
      </c>
      <c r="F6483" s="201">
        <v>-13.3</v>
      </c>
      <c r="G6483" s="201">
        <v>7.8</v>
      </c>
    </row>
    <row r="6484" spans="4:7">
      <c r="D6484" s="200" t="s">
        <v>6517</v>
      </c>
      <c r="E6484" s="10">
        <v>93483</v>
      </c>
      <c r="F6484" s="201">
        <v>-13.3</v>
      </c>
      <c r="G6484" s="201">
        <v>8.8000000000000007</v>
      </c>
    </row>
    <row r="6485" spans="4:7">
      <c r="D6485" s="200" t="s">
        <v>3059</v>
      </c>
      <c r="E6485" s="10">
        <v>93485</v>
      </c>
      <c r="F6485" s="201">
        <v>-13.3</v>
      </c>
      <c r="G6485" s="201">
        <v>7.7</v>
      </c>
    </row>
    <row r="6486" spans="4:7">
      <c r="D6486" s="200" t="s">
        <v>6518</v>
      </c>
      <c r="E6486" s="10">
        <v>93495</v>
      </c>
      <c r="F6486" s="201">
        <v>-13.3</v>
      </c>
      <c r="G6486" s="201">
        <v>8.6</v>
      </c>
    </row>
    <row r="6487" spans="4:7">
      <c r="D6487" s="200" t="s">
        <v>6519</v>
      </c>
      <c r="E6487" s="10">
        <v>94262</v>
      </c>
      <c r="F6487" s="201">
        <v>-13.3</v>
      </c>
      <c r="G6487" s="201">
        <v>8</v>
      </c>
    </row>
    <row r="6488" spans="4:7">
      <c r="D6488" s="200" t="s">
        <v>6520</v>
      </c>
      <c r="E6488" s="10">
        <v>94265</v>
      </c>
      <c r="F6488" s="201">
        <v>-13.3</v>
      </c>
      <c r="G6488" s="201">
        <v>7.7</v>
      </c>
    </row>
    <row r="6489" spans="4:7">
      <c r="D6489" s="200" t="s">
        <v>6521</v>
      </c>
      <c r="E6489" s="10">
        <v>94447</v>
      </c>
      <c r="F6489" s="201">
        <v>-13.3</v>
      </c>
      <c r="G6489" s="201">
        <v>9.1</v>
      </c>
    </row>
    <row r="6490" spans="4:7">
      <c r="D6490" s="200" t="s">
        <v>6522</v>
      </c>
      <c r="E6490" s="10">
        <v>94486</v>
      </c>
      <c r="F6490" s="201">
        <v>-13.3</v>
      </c>
      <c r="G6490" s="201">
        <v>9.1</v>
      </c>
    </row>
    <row r="6491" spans="4:7">
      <c r="D6491" s="200" t="s">
        <v>6523</v>
      </c>
      <c r="E6491" s="10">
        <v>94491</v>
      </c>
      <c r="F6491" s="201">
        <v>-13.3</v>
      </c>
      <c r="G6491" s="201">
        <v>9</v>
      </c>
    </row>
    <row r="6492" spans="4:7">
      <c r="D6492" s="200" t="s">
        <v>6524</v>
      </c>
      <c r="E6492" s="10">
        <v>94541</v>
      </c>
      <c r="F6492" s="201">
        <v>-13.3</v>
      </c>
      <c r="G6492" s="201">
        <v>7.7</v>
      </c>
    </row>
    <row r="6493" spans="4:7">
      <c r="D6493" s="200" t="s">
        <v>6525</v>
      </c>
      <c r="E6493" s="10">
        <v>94571</v>
      </c>
      <c r="F6493" s="201">
        <v>-13.3</v>
      </c>
      <c r="G6493" s="201">
        <v>8.1999999999999993</v>
      </c>
    </row>
    <row r="6494" spans="4:7">
      <c r="D6494" s="200" t="s">
        <v>6526</v>
      </c>
      <c r="E6494" s="10">
        <v>95367</v>
      </c>
      <c r="F6494" s="201">
        <v>-13.3</v>
      </c>
      <c r="G6494" s="201">
        <v>8.1999999999999993</v>
      </c>
    </row>
    <row r="6495" spans="4:7">
      <c r="D6495" s="200" t="s">
        <v>6527</v>
      </c>
      <c r="E6495" s="10">
        <v>95494</v>
      </c>
      <c r="F6495" s="201">
        <v>-13.3</v>
      </c>
      <c r="G6495" s="201">
        <v>8.5</v>
      </c>
    </row>
    <row r="6496" spans="4:7">
      <c r="D6496" s="200" t="s">
        <v>4342</v>
      </c>
      <c r="E6496" s="10">
        <v>95496</v>
      </c>
      <c r="F6496" s="201">
        <v>-13.3</v>
      </c>
      <c r="G6496" s="201">
        <v>8.4</v>
      </c>
    </row>
    <row r="6497" spans="4:7">
      <c r="D6497" s="200" t="s">
        <v>6528</v>
      </c>
      <c r="E6497" s="10">
        <v>95511</v>
      </c>
      <c r="F6497" s="201">
        <v>-13.3</v>
      </c>
      <c r="G6497" s="201">
        <v>8.5</v>
      </c>
    </row>
    <row r="6498" spans="4:7">
      <c r="D6498" s="200" t="s">
        <v>6529</v>
      </c>
      <c r="E6498" s="10">
        <v>95515</v>
      </c>
      <c r="F6498" s="201">
        <v>-13.3</v>
      </c>
      <c r="G6498" s="201">
        <v>8.6999999999999993</v>
      </c>
    </row>
    <row r="6499" spans="4:7">
      <c r="D6499" s="200" t="s">
        <v>5699</v>
      </c>
      <c r="E6499" s="10">
        <v>96049</v>
      </c>
      <c r="F6499" s="201">
        <v>-13.3</v>
      </c>
      <c r="G6499" s="201">
        <v>8.9</v>
      </c>
    </row>
    <row r="6500" spans="4:7">
      <c r="D6500" s="200" t="s">
        <v>6530</v>
      </c>
      <c r="E6500" s="10">
        <v>96135</v>
      </c>
      <c r="F6500" s="201">
        <v>-13.3</v>
      </c>
      <c r="G6500" s="201">
        <v>9.1999999999999993</v>
      </c>
    </row>
    <row r="6501" spans="4:7">
      <c r="D6501" s="200" t="s">
        <v>6531</v>
      </c>
      <c r="E6501" s="10">
        <v>96146</v>
      </c>
      <c r="F6501" s="201">
        <v>-13.3</v>
      </c>
      <c r="G6501" s="201">
        <v>9.1999999999999993</v>
      </c>
    </row>
    <row r="6502" spans="4:7">
      <c r="D6502" s="200" t="s">
        <v>6532</v>
      </c>
      <c r="E6502" s="10">
        <v>96149</v>
      </c>
      <c r="F6502" s="201">
        <v>-13.3</v>
      </c>
      <c r="G6502" s="201">
        <v>9.1</v>
      </c>
    </row>
    <row r="6503" spans="4:7">
      <c r="D6503" s="200" t="s">
        <v>6533</v>
      </c>
      <c r="E6503" s="10">
        <v>96158</v>
      </c>
      <c r="F6503" s="201">
        <v>-13.3</v>
      </c>
      <c r="G6503" s="201">
        <v>9.1</v>
      </c>
    </row>
    <row r="6504" spans="4:7">
      <c r="D6504" s="200" t="s">
        <v>6534</v>
      </c>
      <c r="E6504" s="10">
        <v>98596</v>
      </c>
      <c r="F6504" s="201">
        <v>-13.3</v>
      </c>
      <c r="G6504" s="201">
        <v>7.9</v>
      </c>
    </row>
    <row r="6505" spans="4:7">
      <c r="D6505" s="200" t="s">
        <v>4966</v>
      </c>
      <c r="E6505" s="10">
        <v>99094</v>
      </c>
      <c r="F6505" s="201">
        <v>-13.3</v>
      </c>
      <c r="G6505" s="201">
        <v>9.1</v>
      </c>
    </row>
    <row r="6506" spans="4:7">
      <c r="D6506" s="200" t="s">
        <v>4966</v>
      </c>
      <c r="E6506" s="10">
        <v>99096</v>
      </c>
      <c r="F6506" s="201">
        <v>-13.3</v>
      </c>
      <c r="G6506" s="201">
        <v>9.1999999999999993</v>
      </c>
    </row>
    <row r="6507" spans="4:7">
      <c r="D6507" s="200" t="s">
        <v>6535</v>
      </c>
      <c r="E6507" s="10">
        <v>99100</v>
      </c>
      <c r="F6507" s="201">
        <v>-13.3</v>
      </c>
      <c r="G6507" s="201">
        <v>9.1999999999999993</v>
      </c>
    </row>
    <row r="6508" spans="4:7">
      <c r="D6508" s="200" t="s">
        <v>6536</v>
      </c>
      <c r="E6508" s="10">
        <v>99439</v>
      </c>
      <c r="F6508" s="201">
        <v>-13.3</v>
      </c>
      <c r="G6508" s="201">
        <v>9.1999999999999993</v>
      </c>
    </row>
    <row r="6509" spans="4:7">
      <c r="D6509" s="200" t="s">
        <v>6537</v>
      </c>
      <c r="E6509" s="10">
        <v>99994</v>
      </c>
      <c r="F6509" s="201">
        <v>-13.3</v>
      </c>
      <c r="G6509" s="201">
        <v>9</v>
      </c>
    </row>
    <row r="6510" spans="4:7">
      <c r="D6510" s="200" t="s">
        <v>6538</v>
      </c>
      <c r="E6510" s="10">
        <v>99996</v>
      </c>
      <c r="F6510" s="201">
        <v>-13.3</v>
      </c>
      <c r="G6510" s="201">
        <v>8.5</v>
      </c>
    </row>
    <row r="6511" spans="4:7">
      <c r="D6511" s="200" t="s">
        <v>6539</v>
      </c>
      <c r="E6511" s="10">
        <v>1689</v>
      </c>
      <c r="F6511" s="201">
        <v>-13.4</v>
      </c>
      <c r="G6511" s="201">
        <v>9.8000000000000007</v>
      </c>
    </row>
    <row r="6512" spans="4:7">
      <c r="D6512" s="200" t="s">
        <v>6540</v>
      </c>
      <c r="E6512" s="10">
        <v>1705</v>
      </c>
      <c r="F6512" s="201">
        <v>-13.4</v>
      </c>
      <c r="G6512" s="201">
        <v>9.5</v>
      </c>
    </row>
    <row r="6513" spans="4:7">
      <c r="D6513" s="200" t="s">
        <v>6355</v>
      </c>
      <c r="E6513" s="10">
        <v>3044</v>
      </c>
      <c r="F6513" s="201">
        <v>-13.4</v>
      </c>
      <c r="G6513" s="201">
        <v>9.9</v>
      </c>
    </row>
    <row r="6514" spans="4:7">
      <c r="D6514" s="200" t="s">
        <v>6541</v>
      </c>
      <c r="E6514" s="10">
        <v>4600</v>
      </c>
      <c r="F6514" s="201">
        <v>-13.4</v>
      </c>
      <c r="G6514" s="201">
        <v>9.5</v>
      </c>
    </row>
    <row r="6515" spans="4:7">
      <c r="D6515" s="200" t="s">
        <v>6542</v>
      </c>
      <c r="E6515" s="10">
        <v>4617</v>
      </c>
      <c r="F6515" s="201">
        <v>-13.4</v>
      </c>
      <c r="G6515" s="201">
        <v>9.4</v>
      </c>
    </row>
    <row r="6516" spans="4:7">
      <c r="D6516" s="200" t="s">
        <v>6543</v>
      </c>
      <c r="E6516" s="10">
        <v>4618</v>
      </c>
      <c r="F6516" s="201">
        <v>-13.4</v>
      </c>
      <c r="G6516" s="201">
        <v>9.4</v>
      </c>
    </row>
    <row r="6517" spans="4:7">
      <c r="D6517" s="200" t="s">
        <v>6544</v>
      </c>
      <c r="E6517" s="10">
        <v>4838</v>
      </c>
      <c r="F6517" s="201">
        <v>-13.4</v>
      </c>
      <c r="G6517" s="201">
        <v>9.6999999999999993</v>
      </c>
    </row>
    <row r="6518" spans="4:7">
      <c r="D6518" s="200" t="s">
        <v>6545</v>
      </c>
      <c r="E6518" s="10">
        <v>4924</v>
      </c>
      <c r="F6518" s="201">
        <v>-13.4</v>
      </c>
      <c r="G6518" s="201">
        <v>9.6</v>
      </c>
    </row>
    <row r="6519" spans="4:7">
      <c r="D6519" s="200" t="s">
        <v>6546</v>
      </c>
      <c r="E6519" s="10">
        <v>4938</v>
      </c>
      <c r="F6519" s="201">
        <v>-13.4</v>
      </c>
      <c r="G6519" s="201">
        <v>9.5</v>
      </c>
    </row>
    <row r="6520" spans="4:7">
      <c r="D6520" s="200" t="s">
        <v>5713</v>
      </c>
      <c r="E6520" s="10">
        <v>6124</v>
      </c>
      <c r="F6520" s="201">
        <v>-13.4</v>
      </c>
      <c r="G6520" s="201">
        <v>9.9</v>
      </c>
    </row>
    <row r="6521" spans="4:7">
      <c r="D6521" s="200" t="s">
        <v>6547</v>
      </c>
      <c r="E6521" s="10">
        <v>6242</v>
      </c>
      <c r="F6521" s="201">
        <v>-13.4</v>
      </c>
      <c r="G6521" s="201">
        <v>9.6999999999999993</v>
      </c>
    </row>
    <row r="6522" spans="4:7">
      <c r="D6522" s="200" t="s">
        <v>6548</v>
      </c>
      <c r="E6522" s="10">
        <v>6313</v>
      </c>
      <c r="F6522" s="201">
        <v>-13.4</v>
      </c>
      <c r="G6522" s="201">
        <v>9.1</v>
      </c>
    </row>
    <row r="6523" spans="4:7" ht="30">
      <c r="D6523" s="200" t="s">
        <v>6549</v>
      </c>
      <c r="E6523" s="10">
        <v>6386</v>
      </c>
      <c r="F6523" s="201">
        <v>-13.4</v>
      </c>
      <c r="G6523" s="201">
        <v>9.6</v>
      </c>
    </row>
    <row r="6524" spans="4:7">
      <c r="D6524" s="200" t="s">
        <v>6550</v>
      </c>
      <c r="E6524" s="10">
        <v>6578</v>
      </c>
      <c r="F6524" s="201">
        <v>-13.4</v>
      </c>
      <c r="G6524" s="201">
        <v>8.8000000000000007</v>
      </c>
    </row>
    <row r="6525" spans="4:7">
      <c r="D6525" s="200" t="s">
        <v>6551</v>
      </c>
      <c r="E6525" s="10">
        <v>6682</v>
      </c>
      <c r="F6525" s="201">
        <v>-13.4</v>
      </c>
      <c r="G6525" s="201">
        <v>9.5</v>
      </c>
    </row>
    <row r="6526" spans="4:7">
      <c r="D6526" s="200" t="s">
        <v>6100</v>
      </c>
      <c r="E6526" s="10">
        <v>6849</v>
      </c>
      <c r="F6526" s="201">
        <v>-13.4</v>
      </c>
      <c r="G6526" s="201">
        <v>9.6</v>
      </c>
    </row>
    <row r="6527" spans="4:7">
      <c r="D6527" s="200" t="s">
        <v>6552</v>
      </c>
      <c r="E6527" s="10">
        <v>8280</v>
      </c>
      <c r="F6527" s="201">
        <v>-13.4</v>
      </c>
      <c r="G6527" s="201">
        <v>8.9</v>
      </c>
    </row>
    <row r="6528" spans="4:7">
      <c r="D6528" s="200" t="s">
        <v>6553</v>
      </c>
      <c r="E6528" s="10">
        <v>9557</v>
      </c>
      <c r="F6528" s="201">
        <v>-13.4</v>
      </c>
      <c r="G6528" s="201">
        <v>9.3000000000000007</v>
      </c>
    </row>
    <row r="6529" spans="4:7">
      <c r="D6529" s="200" t="s">
        <v>6554</v>
      </c>
      <c r="E6529" s="10">
        <v>15377</v>
      </c>
      <c r="F6529" s="201">
        <v>-13.4</v>
      </c>
      <c r="G6529" s="201">
        <v>9.3000000000000007</v>
      </c>
    </row>
    <row r="6530" spans="4:7">
      <c r="D6530" s="200" t="s">
        <v>6555</v>
      </c>
      <c r="E6530" s="10">
        <v>17373</v>
      </c>
      <c r="F6530" s="201">
        <v>-13.4</v>
      </c>
      <c r="G6530" s="201">
        <v>9</v>
      </c>
    </row>
    <row r="6531" spans="4:7">
      <c r="D6531" s="200" t="s">
        <v>6556</v>
      </c>
      <c r="E6531" s="10">
        <v>72525</v>
      </c>
      <c r="F6531" s="201">
        <v>-13.4</v>
      </c>
      <c r="G6531" s="201">
        <v>7.6</v>
      </c>
    </row>
    <row r="6532" spans="4:7">
      <c r="D6532" s="200" t="s">
        <v>6557</v>
      </c>
      <c r="E6532" s="10">
        <v>78592</v>
      </c>
      <c r="F6532" s="201">
        <v>-13.4</v>
      </c>
      <c r="G6532" s="201">
        <v>7.4</v>
      </c>
    </row>
    <row r="6533" spans="4:7">
      <c r="D6533" s="200" t="s">
        <v>6558</v>
      </c>
      <c r="E6533" s="10">
        <v>78598</v>
      </c>
      <c r="F6533" s="201">
        <v>-13.4</v>
      </c>
      <c r="G6533" s="201">
        <v>7.4</v>
      </c>
    </row>
    <row r="6534" spans="4:7">
      <c r="D6534" s="200" t="s">
        <v>6559</v>
      </c>
      <c r="E6534" s="10">
        <v>78601</v>
      </c>
      <c r="F6534" s="201">
        <v>-13.4</v>
      </c>
      <c r="G6534" s="201">
        <v>7.5</v>
      </c>
    </row>
    <row r="6535" spans="4:7">
      <c r="D6535" s="200" t="s">
        <v>6560</v>
      </c>
      <c r="E6535" s="10">
        <v>79843</v>
      </c>
      <c r="F6535" s="201">
        <v>-13.4</v>
      </c>
      <c r="G6535" s="201">
        <v>7.7</v>
      </c>
    </row>
    <row r="6536" spans="4:7">
      <c r="D6536" s="200" t="s">
        <v>4162</v>
      </c>
      <c r="E6536" s="10">
        <v>81929</v>
      </c>
      <c r="F6536" s="201">
        <v>-13.4</v>
      </c>
      <c r="G6536" s="201">
        <v>8.8000000000000007</v>
      </c>
    </row>
    <row r="6537" spans="4:7">
      <c r="D6537" s="200" t="s">
        <v>6561</v>
      </c>
      <c r="E6537" s="10">
        <v>83342</v>
      </c>
      <c r="F6537" s="201">
        <v>-13.4</v>
      </c>
      <c r="G6537" s="201">
        <v>8.4</v>
      </c>
    </row>
    <row r="6538" spans="4:7">
      <c r="D6538" s="200" t="s">
        <v>6562</v>
      </c>
      <c r="E6538" s="10">
        <v>83536</v>
      </c>
      <c r="F6538" s="201">
        <v>-13.4</v>
      </c>
      <c r="G6538" s="201">
        <v>8.5</v>
      </c>
    </row>
    <row r="6539" spans="4:7">
      <c r="D6539" s="200" t="s">
        <v>6563</v>
      </c>
      <c r="E6539" s="10">
        <v>84051</v>
      </c>
      <c r="F6539" s="201">
        <v>-13.4</v>
      </c>
      <c r="G6539" s="201">
        <v>8.6999999999999993</v>
      </c>
    </row>
    <row r="6540" spans="4:7">
      <c r="D6540" s="200" t="s">
        <v>6564</v>
      </c>
      <c r="E6540" s="10">
        <v>84089</v>
      </c>
      <c r="F6540" s="201">
        <v>-13.4</v>
      </c>
      <c r="G6540" s="201">
        <v>8.8000000000000007</v>
      </c>
    </row>
    <row r="6541" spans="4:7">
      <c r="D6541" s="200" t="s">
        <v>6565</v>
      </c>
      <c r="E6541" s="10">
        <v>84169</v>
      </c>
      <c r="F6541" s="201">
        <v>-13.4</v>
      </c>
      <c r="G6541" s="201">
        <v>8.5</v>
      </c>
    </row>
    <row r="6542" spans="4:7">
      <c r="D6542" s="200" t="s">
        <v>6566</v>
      </c>
      <c r="E6542" s="10">
        <v>84181</v>
      </c>
      <c r="F6542" s="201">
        <v>-13.4</v>
      </c>
      <c r="G6542" s="201">
        <v>8.5</v>
      </c>
    </row>
    <row r="6543" spans="4:7">
      <c r="D6543" s="200" t="s">
        <v>6567</v>
      </c>
      <c r="E6543" s="10">
        <v>84550</v>
      </c>
      <c r="F6543" s="201">
        <v>-13.4</v>
      </c>
      <c r="G6543" s="201">
        <v>8.5</v>
      </c>
    </row>
    <row r="6544" spans="4:7">
      <c r="D6544" s="200" t="s">
        <v>6568</v>
      </c>
      <c r="E6544" s="10">
        <v>84571</v>
      </c>
      <c r="F6544" s="201">
        <v>-13.4</v>
      </c>
      <c r="G6544" s="201">
        <v>8.5</v>
      </c>
    </row>
    <row r="6545" spans="4:7">
      <c r="D6545" s="200" t="s">
        <v>6569</v>
      </c>
      <c r="E6545" s="10">
        <v>85080</v>
      </c>
      <c r="F6545" s="201">
        <v>-13.4</v>
      </c>
      <c r="G6545" s="201">
        <v>9</v>
      </c>
    </row>
    <row r="6546" spans="4:7">
      <c r="D6546" s="200" t="s">
        <v>6570</v>
      </c>
      <c r="E6546" s="10">
        <v>85116</v>
      </c>
      <c r="F6546" s="201">
        <v>-13.4</v>
      </c>
      <c r="G6546" s="201">
        <v>8.9</v>
      </c>
    </row>
    <row r="6547" spans="4:7">
      <c r="D6547" s="200" t="s">
        <v>6571</v>
      </c>
      <c r="E6547" s="10">
        <v>85117</v>
      </c>
      <c r="F6547" s="201">
        <v>-13.4</v>
      </c>
      <c r="G6547" s="201">
        <v>8.9</v>
      </c>
    </row>
    <row r="6548" spans="4:7">
      <c r="D6548" s="200" t="s">
        <v>6572</v>
      </c>
      <c r="E6548" s="10">
        <v>85625</v>
      </c>
      <c r="F6548" s="201">
        <v>-13.4</v>
      </c>
      <c r="G6548" s="201">
        <v>8.4</v>
      </c>
    </row>
    <row r="6549" spans="4:7">
      <c r="D6549" s="200" t="s">
        <v>6573</v>
      </c>
      <c r="E6549" s="10">
        <v>87746</v>
      </c>
      <c r="F6549" s="201">
        <v>-13.4</v>
      </c>
      <c r="G6549" s="201">
        <v>8.4</v>
      </c>
    </row>
    <row r="6550" spans="4:7">
      <c r="D6550" s="200" t="s">
        <v>6574</v>
      </c>
      <c r="E6550" s="10">
        <v>87757</v>
      </c>
      <c r="F6550" s="201">
        <v>-13.4</v>
      </c>
      <c r="G6550" s="201">
        <v>8.6999999999999993</v>
      </c>
    </row>
    <row r="6551" spans="4:7">
      <c r="D6551" s="200" t="s">
        <v>6575</v>
      </c>
      <c r="E6551" s="10">
        <v>87781</v>
      </c>
      <c r="F6551" s="201">
        <v>-13.4</v>
      </c>
      <c r="G6551" s="201">
        <v>8.1999999999999993</v>
      </c>
    </row>
    <row r="6552" spans="4:7">
      <c r="D6552" s="200" t="s">
        <v>6576</v>
      </c>
      <c r="E6552" s="10">
        <v>88267</v>
      </c>
      <c r="F6552" s="201">
        <v>-13.4</v>
      </c>
      <c r="G6552" s="201">
        <v>8</v>
      </c>
    </row>
    <row r="6553" spans="4:7">
      <c r="D6553" s="200" t="s">
        <v>6577</v>
      </c>
      <c r="E6553" s="10">
        <v>89353</v>
      </c>
      <c r="F6553" s="201">
        <v>-13.4</v>
      </c>
      <c r="G6553" s="201">
        <v>8.8000000000000007</v>
      </c>
    </row>
    <row r="6554" spans="4:7">
      <c r="D6554" s="200" t="s">
        <v>6578</v>
      </c>
      <c r="E6554" s="10">
        <v>89434</v>
      </c>
      <c r="F6554" s="201">
        <v>-13.4</v>
      </c>
      <c r="G6554" s="201">
        <v>9</v>
      </c>
    </row>
    <row r="6555" spans="4:7">
      <c r="D6555" s="200" t="s">
        <v>6579</v>
      </c>
      <c r="E6555" s="10">
        <v>89601</v>
      </c>
      <c r="F6555" s="201">
        <v>-13.4</v>
      </c>
      <c r="G6555" s="201">
        <v>7.8</v>
      </c>
    </row>
    <row r="6556" spans="4:7">
      <c r="D6556" s="200" t="s">
        <v>6580</v>
      </c>
      <c r="E6556" s="10">
        <v>90513</v>
      </c>
      <c r="F6556" s="201">
        <v>-13.4</v>
      </c>
      <c r="G6556" s="201">
        <v>9.4</v>
      </c>
    </row>
    <row r="6557" spans="4:7">
      <c r="D6557" s="200" t="s">
        <v>6581</v>
      </c>
      <c r="E6557" s="10">
        <v>90537</v>
      </c>
      <c r="F6557" s="201">
        <v>-13.4</v>
      </c>
      <c r="G6557" s="201">
        <v>9</v>
      </c>
    </row>
    <row r="6558" spans="4:7">
      <c r="D6558" s="200" t="s">
        <v>6582</v>
      </c>
      <c r="E6558" s="10">
        <v>90574</v>
      </c>
      <c r="F6558" s="201">
        <v>-13.4</v>
      </c>
      <c r="G6558" s="201">
        <v>8.9</v>
      </c>
    </row>
    <row r="6559" spans="4:7">
      <c r="D6559" s="200" t="s">
        <v>6583</v>
      </c>
      <c r="E6559" s="10">
        <v>90587</v>
      </c>
      <c r="F6559" s="201">
        <v>-13.4</v>
      </c>
      <c r="G6559" s="201">
        <v>9.3000000000000007</v>
      </c>
    </row>
    <row r="6560" spans="4:7">
      <c r="D6560" s="200" t="s">
        <v>6584</v>
      </c>
      <c r="E6560" s="10">
        <v>91077</v>
      </c>
      <c r="F6560" s="201">
        <v>-13.4</v>
      </c>
      <c r="G6560" s="201">
        <v>9.1</v>
      </c>
    </row>
    <row r="6561" spans="4:7">
      <c r="D6561" s="200" t="s">
        <v>6585</v>
      </c>
      <c r="E6561" s="10">
        <v>91090</v>
      </c>
      <c r="F6561" s="201">
        <v>-13.4</v>
      </c>
      <c r="G6561" s="201">
        <v>9.1</v>
      </c>
    </row>
    <row r="6562" spans="4:7">
      <c r="D6562" s="200" t="s">
        <v>6134</v>
      </c>
      <c r="E6562" s="10">
        <v>91097</v>
      </c>
      <c r="F6562" s="201">
        <v>-13.4</v>
      </c>
      <c r="G6562" s="201">
        <v>9.1</v>
      </c>
    </row>
    <row r="6563" spans="4:7">
      <c r="D6563" s="200" t="s">
        <v>6586</v>
      </c>
      <c r="E6563" s="10">
        <v>91171</v>
      </c>
      <c r="F6563" s="201">
        <v>-13.4</v>
      </c>
      <c r="G6563" s="201">
        <v>8.8000000000000007</v>
      </c>
    </row>
    <row r="6564" spans="4:7">
      <c r="D6564" s="200" t="s">
        <v>6587</v>
      </c>
      <c r="E6564" s="10">
        <v>91180</v>
      </c>
      <c r="F6564" s="201">
        <v>-13.4</v>
      </c>
      <c r="G6564" s="201">
        <v>9</v>
      </c>
    </row>
    <row r="6565" spans="4:7">
      <c r="D6565" s="200" t="s">
        <v>6588</v>
      </c>
      <c r="E6565" s="10">
        <v>91189</v>
      </c>
      <c r="F6565" s="201">
        <v>-13.4</v>
      </c>
      <c r="G6565" s="201">
        <v>9</v>
      </c>
    </row>
    <row r="6566" spans="4:7">
      <c r="D6566" s="200" t="s">
        <v>6589</v>
      </c>
      <c r="E6566" s="10">
        <v>91358</v>
      </c>
      <c r="F6566" s="201">
        <v>-13.4</v>
      </c>
      <c r="G6566" s="201">
        <v>9.1</v>
      </c>
    </row>
    <row r="6567" spans="4:7">
      <c r="D6567" s="200" t="s">
        <v>6590</v>
      </c>
      <c r="E6567" s="10">
        <v>91560</v>
      </c>
      <c r="F6567" s="201">
        <v>-13.4</v>
      </c>
      <c r="G6567" s="201">
        <v>8.9</v>
      </c>
    </row>
    <row r="6568" spans="4:7">
      <c r="D6568" s="200" t="s">
        <v>6591</v>
      </c>
      <c r="E6568" s="10">
        <v>91732</v>
      </c>
      <c r="F6568" s="201">
        <v>-13.4</v>
      </c>
      <c r="G6568" s="201">
        <v>8.9</v>
      </c>
    </row>
    <row r="6569" spans="4:7">
      <c r="D6569" s="200" t="s">
        <v>6592</v>
      </c>
      <c r="E6569" s="10">
        <v>91734</v>
      </c>
      <c r="F6569" s="201">
        <v>-13.4</v>
      </c>
      <c r="G6569" s="201">
        <v>8.9</v>
      </c>
    </row>
    <row r="6570" spans="4:7">
      <c r="D6570" s="200" t="s">
        <v>6593</v>
      </c>
      <c r="E6570" s="10">
        <v>91741</v>
      </c>
      <c r="F6570" s="201">
        <v>-13.4</v>
      </c>
      <c r="G6570" s="201">
        <v>8.8000000000000007</v>
      </c>
    </row>
    <row r="6571" spans="4:7">
      <c r="D6571" s="200" t="s">
        <v>6594</v>
      </c>
      <c r="E6571" s="10">
        <v>92253</v>
      </c>
      <c r="F6571" s="201">
        <v>-13.4</v>
      </c>
      <c r="G6571" s="201">
        <v>8.4</v>
      </c>
    </row>
    <row r="6572" spans="4:7">
      <c r="D6572" s="200" t="s">
        <v>6595</v>
      </c>
      <c r="E6572" s="10">
        <v>93105</v>
      </c>
      <c r="F6572" s="201">
        <v>-13.4</v>
      </c>
      <c r="G6572" s="201">
        <v>9</v>
      </c>
    </row>
    <row r="6573" spans="4:7">
      <c r="D6573" s="200" t="s">
        <v>6596</v>
      </c>
      <c r="E6573" s="10">
        <v>93343</v>
      </c>
      <c r="F6573" s="201">
        <v>-13.4</v>
      </c>
      <c r="G6573" s="201">
        <v>8.6</v>
      </c>
    </row>
    <row r="6574" spans="4:7">
      <c r="D6574" s="200" t="s">
        <v>6597</v>
      </c>
      <c r="E6574" s="10">
        <v>93348</v>
      </c>
      <c r="F6574" s="201">
        <v>-13.4</v>
      </c>
      <c r="G6574" s="201">
        <v>8.6999999999999993</v>
      </c>
    </row>
    <row r="6575" spans="4:7">
      <c r="D6575" s="200" t="s">
        <v>6598</v>
      </c>
      <c r="E6575" s="10">
        <v>93359</v>
      </c>
      <c r="F6575" s="201">
        <v>-13.4</v>
      </c>
      <c r="G6575" s="201">
        <v>8.8000000000000007</v>
      </c>
    </row>
    <row r="6576" spans="4:7">
      <c r="D6576" s="200" t="s">
        <v>6599</v>
      </c>
      <c r="E6576" s="10">
        <v>93473</v>
      </c>
      <c r="F6576" s="201">
        <v>-13.4</v>
      </c>
      <c r="G6576" s="201">
        <v>8.3000000000000007</v>
      </c>
    </row>
    <row r="6577" spans="4:7">
      <c r="D6577" s="200" t="s">
        <v>6600</v>
      </c>
      <c r="E6577" s="10">
        <v>94530</v>
      </c>
      <c r="F6577" s="201">
        <v>-13.4</v>
      </c>
      <c r="G6577" s="201">
        <v>9</v>
      </c>
    </row>
    <row r="6578" spans="4:7">
      <c r="D6578" s="200" t="s">
        <v>2536</v>
      </c>
      <c r="E6578" s="10">
        <v>94554</v>
      </c>
      <c r="F6578" s="201">
        <v>-13.4</v>
      </c>
      <c r="G6578" s="201">
        <v>9.1</v>
      </c>
    </row>
    <row r="6579" spans="4:7">
      <c r="D6579" s="200" t="s">
        <v>6601</v>
      </c>
      <c r="E6579" s="10">
        <v>94557</v>
      </c>
      <c r="F6579" s="201">
        <v>-13.4</v>
      </c>
      <c r="G6579" s="201">
        <v>9.1999999999999993</v>
      </c>
    </row>
    <row r="6580" spans="4:7">
      <c r="D6580" s="200" t="s">
        <v>6602</v>
      </c>
      <c r="E6580" s="10">
        <v>97792</v>
      </c>
      <c r="F6580" s="201">
        <v>-13.4</v>
      </c>
      <c r="G6580" s="201">
        <v>7.3</v>
      </c>
    </row>
    <row r="6581" spans="4:7">
      <c r="D6581" s="200" t="s">
        <v>6603</v>
      </c>
      <c r="E6581" s="10">
        <v>98547</v>
      </c>
      <c r="F6581" s="201">
        <v>-13.4</v>
      </c>
      <c r="G6581" s="201">
        <v>7.6</v>
      </c>
    </row>
    <row r="6582" spans="4:7">
      <c r="D6582" s="200" t="s">
        <v>4966</v>
      </c>
      <c r="E6582" s="10">
        <v>99099</v>
      </c>
      <c r="F6582" s="201">
        <v>-13.4</v>
      </c>
      <c r="G6582" s="201">
        <v>9</v>
      </c>
    </row>
    <row r="6583" spans="4:7">
      <c r="D6583" s="200" t="s">
        <v>6604</v>
      </c>
      <c r="E6583" s="10">
        <v>99192</v>
      </c>
      <c r="F6583" s="201">
        <v>-13.4</v>
      </c>
      <c r="G6583" s="201">
        <v>8.9</v>
      </c>
    </row>
    <row r="6584" spans="4:7">
      <c r="D6584" s="200" t="s">
        <v>5619</v>
      </c>
      <c r="E6584" s="10">
        <v>99428</v>
      </c>
      <c r="F6584" s="201">
        <v>-13.4</v>
      </c>
      <c r="G6584" s="201">
        <v>8.8000000000000007</v>
      </c>
    </row>
    <row r="6585" spans="4:7">
      <c r="D6585" s="200" t="s">
        <v>6605</v>
      </c>
      <c r="E6585" s="10">
        <v>99438</v>
      </c>
      <c r="F6585" s="201">
        <v>-13.4</v>
      </c>
      <c r="G6585" s="201">
        <v>8.8000000000000007</v>
      </c>
    </row>
    <row r="6586" spans="4:7">
      <c r="D6586" s="200" t="s">
        <v>6606</v>
      </c>
      <c r="E6586" s="10">
        <v>99448</v>
      </c>
      <c r="F6586" s="201">
        <v>-13.4</v>
      </c>
      <c r="G6586" s="201">
        <v>8.6999999999999993</v>
      </c>
    </row>
    <row r="6587" spans="4:7">
      <c r="D6587" s="200" t="s">
        <v>6607</v>
      </c>
      <c r="E6587" s="10">
        <v>99820</v>
      </c>
      <c r="F6587" s="201">
        <v>-13.4</v>
      </c>
      <c r="G6587" s="201">
        <v>8.8000000000000007</v>
      </c>
    </row>
    <row r="6588" spans="4:7">
      <c r="D6588" s="200" t="s">
        <v>6608</v>
      </c>
      <c r="E6588" s="10">
        <v>1558</v>
      </c>
      <c r="F6588" s="201">
        <v>-13.5</v>
      </c>
      <c r="G6588" s="201">
        <v>9.6999999999999993</v>
      </c>
    </row>
    <row r="6589" spans="4:7">
      <c r="D6589" s="200" t="s">
        <v>6609</v>
      </c>
      <c r="E6589" s="10">
        <v>1665</v>
      </c>
      <c r="F6589" s="201">
        <v>-13.5</v>
      </c>
      <c r="G6589" s="201">
        <v>9.5</v>
      </c>
    </row>
    <row r="6590" spans="4:7">
      <c r="D6590" s="200" t="s">
        <v>6610</v>
      </c>
      <c r="E6590" s="10">
        <v>1796</v>
      </c>
      <c r="F6590" s="201">
        <v>-13.5</v>
      </c>
      <c r="G6590" s="201">
        <v>9.3000000000000007</v>
      </c>
    </row>
    <row r="6591" spans="4:7">
      <c r="D6591" s="200" t="s">
        <v>6611</v>
      </c>
      <c r="E6591" s="10">
        <v>1979</v>
      </c>
      <c r="F6591" s="201">
        <v>-13.5</v>
      </c>
      <c r="G6591" s="201">
        <v>9.5</v>
      </c>
    </row>
    <row r="6592" spans="4:7">
      <c r="D6592" s="200" t="s">
        <v>6612</v>
      </c>
      <c r="E6592" s="10">
        <v>1990</v>
      </c>
      <c r="F6592" s="201">
        <v>-13.5</v>
      </c>
      <c r="G6592" s="201">
        <v>9.6</v>
      </c>
    </row>
    <row r="6593" spans="4:7">
      <c r="D6593" s="200" t="s">
        <v>6355</v>
      </c>
      <c r="E6593" s="10">
        <v>3050</v>
      </c>
      <c r="F6593" s="201">
        <v>-13.5</v>
      </c>
      <c r="G6593" s="201">
        <v>9.6999999999999993</v>
      </c>
    </row>
    <row r="6594" spans="4:7">
      <c r="D6594" s="200" t="s">
        <v>4593</v>
      </c>
      <c r="E6594" s="10">
        <v>4356</v>
      </c>
      <c r="F6594" s="201">
        <v>-13.5</v>
      </c>
      <c r="G6594" s="201">
        <v>9.6</v>
      </c>
    </row>
    <row r="6595" spans="4:7">
      <c r="D6595" s="200" t="s">
        <v>6613</v>
      </c>
      <c r="E6595" s="10">
        <v>4420</v>
      </c>
      <c r="F6595" s="201">
        <v>-13.5</v>
      </c>
      <c r="G6595" s="201">
        <v>9.6999999999999993</v>
      </c>
    </row>
    <row r="6596" spans="4:7">
      <c r="D6596" s="200" t="s">
        <v>6614</v>
      </c>
      <c r="E6596" s="10">
        <v>4435</v>
      </c>
      <c r="F6596" s="201">
        <v>-13.5</v>
      </c>
      <c r="G6596" s="201">
        <v>9.6999999999999993</v>
      </c>
    </row>
    <row r="6597" spans="4:7">
      <c r="D6597" s="200" t="s">
        <v>6615</v>
      </c>
      <c r="E6597" s="10">
        <v>4603</v>
      </c>
      <c r="F6597" s="201">
        <v>-13.5</v>
      </c>
      <c r="G6597" s="201">
        <v>9.4</v>
      </c>
    </row>
    <row r="6598" spans="4:7">
      <c r="D6598" s="200" t="s">
        <v>6616</v>
      </c>
      <c r="E6598" s="10">
        <v>4639</v>
      </c>
      <c r="F6598" s="201">
        <v>-13.5</v>
      </c>
      <c r="G6598" s="201">
        <v>9.4</v>
      </c>
    </row>
    <row r="6599" spans="4:7">
      <c r="D6599" s="200" t="s">
        <v>6617</v>
      </c>
      <c r="E6599" s="10">
        <v>4651</v>
      </c>
      <c r="F6599" s="201">
        <v>-13.5</v>
      </c>
      <c r="G6599" s="201">
        <v>9.5</v>
      </c>
    </row>
    <row r="6600" spans="4:7">
      <c r="D6600" s="200" t="s">
        <v>6618</v>
      </c>
      <c r="E6600" s="10">
        <v>4769</v>
      </c>
      <c r="F6600" s="201">
        <v>-13.5</v>
      </c>
      <c r="G6600" s="201">
        <v>9.6</v>
      </c>
    </row>
    <row r="6601" spans="4:7">
      <c r="D6601" s="200" t="s">
        <v>6619</v>
      </c>
      <c r="E6601" s="10">
        <v>4808</v>
      </c>
      <c r="F6601" s="201">
        <v>-13.5</v>
      </c>
      <c r="G6601" s="201">
        <v>9.5</v>
      </c>
    </row>
    <row r="6602" spans="4:7">
      <c r="D6602" s="200" t="s">
        <v>6620</v>
      </c>
      <c r="E6602" s="10">
        <v>4849</v>
      </c>
      <c r="F6602" s="201">
        <v>-13.5</v>
      </c>
      <c r="G6602" s="201">
        <v>9.5</v>
      </c>
    </row>
    <row r="6603" spans="4:7">
      <c r="D6603" s="200" t="s">
        <v>6621</v>
      </c>
      <c r="E6603" s="10">
        <v>4916</v>
      </c>
      <c r="F6603" s="201">
        <v>-13.5</v>
      </c>
      <c r="G6603" s="201">
        <v>9.4</v>
      </c>
    </row>
    <row r="6604" spans="4:7">
      <c r="D6604" s="200" t="s">
        <v>6622</v>
      </c>
      <c r="E6604" s="10">
        <v>4928</v>
      </c>
      <c r="F6604" s="201">
        <v>-13.5</v>
      </c>
      <c r="G6604" s="201">
        <v>9.6</v>
      </c>
    </row>
    <row r="6605" spans="4:7">
      <c r="D6605" s="200" t="s">
        <v>5713</v>
      </c>
      <c r="E6605" s="10">
        <v>6112</v>
      </c>
      <c r="F6605" s="201">
        <v>-13.5</v>
      </c>
      <c r="G6605" s="201">
        <v>9.9</v>
      </c>
    </row>
    <row r="6606" spans="4:7">
      <c r="D6606" s="200" t="s">
        <v>6623</v>
      </c>
      <c r="E6606" s="10">
        <v>6231</v>
      </c>
      <c r="F6606" s="201">
        <v>-13.5</v>
      </c>
      <c r="G6606" s="201">
        <v>9.8000000000000007</v>
      </c>
    </row>
    <row r="6607" spans="4:7">
      <c r="D6607" s="200" t="s">
        <v>6624</v>
      </c>
      <c r="E6607" s="10">
        <v>6259</v>
      </c>
      <c r="F6607" s="201">
        <v>-13.5</v>
      </c>
      <c r="G6607" s="201">
        <v>9.8000000000000007</v>
      </c>
    </row>
    <row r="6608" spans="4:7">
      <c r="D6608" s="200" t="s">
        <v>6625</v>
      </c>
      <c r="E6608" s="10">
        <v>6279</v>
      </c>
      <c r="F6608" s="201">
        <v>-13.5</v>
      </c>
      <c r="G6608" s="201">
        <v>9.3000000000000007</v>
      </c>
    </row>
    <row r="6609" spans="4:7">
      <c r="D6609" s="200" t="s">
        <v>6626</v>
      </c>
      <c r="E6609" s="10">
        <v>6295</v>
      </c>
      <c r="F6609" s="201">
        <v>-13.5</v>
      </c>
      <c r="G6609" s="201">
        <v>9.6</v>
      </c>
    </row>
    <row r="6610" spans="4:7">
      <c r="D6610" s="200" t="s">
        <v>6627</v>
      </c>
      <c r="E6610" s="10">
        <v>6333</v>
      </c>
      <c r="F6610" s="201">
        <v>-13.5</v>
      </c>
      <c r="G6610" s="201">
        <v>9</v>
      </c>
    </row>
    <row r="6611" spans="4:7">
      <c r="D6611" s="200" t="s">
        <v>6628</v>
      </c>
      <c r="E6611" s="10">
        <v>6369</v>
      </c>
      <c r="F6611" s="201">
        <v>-13.5</v>
      </c>
      <c r="G6611" s="201">
        <v>9.6</v>
      </c>
    </row>
    <row r="6612" spans="4:7">
      <c r="D6612" s="200" t="s">
        <v>6629</v>
      </c>
      <c r="E6612" s="10">
        <v>6420</v>
      </c>
      <c r="F6612" s="201">
        <v>-13.5</v>
      </c>
      <c r="G6612" s="201">
        <v>9.5</v>
      </c>
    </row>
    <row r="6613" spans="4:7">
      <c r="D6613" s="200" t="s">
        <v>6630</v>
      </c>
      <c r="E6613" s="10">
        <v>6526</v>
      </c>
      <c r="F6613" s="201">
        <v>-13.5</v>
      </c>
      <c r="G6613" s="201">
        <v>8.6999999999999993</v>
      </c>
    </row>
    <row r="6614" spans="4:7">
      <c r="D6614" s="200" t="s">
        <v>6631</v>
      </c>
      <c r="E6614" s="10">
        <v>6628</v>
      </c>
      <c r="F6614" s="201">
        <v>-13.5</v>
      </c>
      <c r="G6614" s="201">
        <v>9.4</v>
      </c>
    </row>
    <row r="6615" spans="4:7">
      <c r="D6615" s="200" t="s">
        <v>6632</v>
      </c>
      <c r="E6615" s="10">
        <v>6648</v>
      </c>
      <c r="F6615" s="201">
        <v>-13.5</v>
      </c>
      <c r="G6615" s="201">
        <v>9.3000000000000007</v>
      </c>
    </row>
    <row r="6616" spans="4:7">
      <c r="D6616" s="200" t="s">
        <v>6633</v>
      </c>
      <c r="E6616" s="10">
        <v>6686</v>
      </c>
      <c r="F6616" s="201">
        <v>-13.5</v>
      </c>
      <c r="G6616" s="201">
        <v>9.6999999999999993</v>
      </c>
    </row>
    <row r="6617" spans="4:7">
      <c r="D6617" s="200" t="s">
        <v>6634</v>
      </c>
      <c r="E6617" s="10">
        <v>6905</v>
      </c>
      <c r="F6617" s="201">
        <v>-13.5</v>
      </c>
      <c r="G6617" s="201">
        <v>9.4</v>
      </c>
    </row>
    <row r="6618" spans="4:7">
      <c r="D6618" s="200" t="s">
        <v>6635</v>
      </c>
      <c r="E6618" s="10">
        <v>6925</v>
      </c>
      <c r="F6618" s="201">
        <v>-13.5</v>
      </c>
      <c r="G6618" s="201">
        <v>9.5</v>
      </c>
    </row>
    <row r="6619" spans="4:7">
      <c r="D6619" s="200" t="s">
        <v>6384</v>
      </c>
      <c r="E6619" s="10">
        <v>7549</v>
      </c>
      <c r="F6619" s="201">
        <v>-13.5</v>
      </c>
      <c r="G6619" s="201">
        <v>9.5</v>
      </c>
    </row>
    <row r="6620" spans="4:7">
      <c r="D6620" s="200" t="s">
        <v>5882</v>
      </c>
      <c r="E6620" s="10">
        <v>9117</v>
      </c>
      <c r="F6620" s="201">
        <v>-13.5</v>
      </c>
      <c r="G6620" s="201">
        <v>9.1</v>
      </c>
    </row>
    <row r="6621" spans="4:7">
      <c r="D6621" s="200" t="s">
        <v>5882</v>
      </c>
      <c r="E6621" s="10">
        <v>9131</v>
      </c>
      <c r="F6621" s="201">
        <v>-13.5</v>
      </c>
      <c r="G6621" s="201">
        <v>8.9</v>
      </c>
    </row>
    <row r="6622" spans="4:7">
      <c r="D6622" s="200" t="s">
        <v>6636</v>
      </c>
      <c r="E6622" s="10">
        <v>9221</v>
      </c>
      <c r="F6622" s="201">
        <v>-13.5</v>
      </c>
      <c r="G6622" s="201">
        <v>9</v>
      </c>
    </row>
    <row r="6623" spans="4:7">
      <c r="D6623" s="200" t="s">
        <v>5882</v>
      </c>
      <c r="E6623" s="10">
        <v>9224</v>
      </c>
      <c r="F6623" s="201">
        <v>-13.5</v>
      </c>
      <c r="G6623" s="201">
        <v>8.8000000000000007</v>
      </c>
    </row>
    <row r="6624" spans="4:7">
      <c r="D6624" s="200" t="s">
        <v>6637</v>
      </c>
      <c r="E6624" s="10">
        <v>9326</v>
      </c>
      <c r="F6624" s="201">
        <v>-13.5</v>
      </c>
      <c r="G6624" s="201">
        <v>9.3000000000000007</v>
      </c>
    </row>
    <row r="6625" spans="4:7">
      <c r="D6625" s="200" t="s">
        <v>6638</v>
      </c>
      <c r="E6625" s="10">
        <v>9328</v>
      </c>
      <c r="F6625" s="201">
        <v>-13.5</v>
      </c>
      <c r="G6625" s="201">
        <v>9.3000000000000007</v>
      </c>
    </row>
    <row r="6626" spans="4:7">
      <c r="D6626" s="200" t="s">
        <v>6639</v>
      </c>
      <c r="E6626" s="10">
        <v>9366</v>
      </c>
      <c r="F6626" s="201">
        <v>-13.5</v>
      </c>
      <c r="G6626" s="201">
        <v>8.5</v>
      </c>
    </row>
    <row r="6627" spans="4:7">
      <c r="D6627" s="200" t="s">
        <v>6640</v>
      </c>
      <c r="E6627" s="10">
        <v>14913</v>
      </c>
      <c r="F6627" s="201">
        <v>-13.5</v>
      </c>
      <c r="G6627" s="201">
        <v>9.5</v>
      </c>
    </row>
    <row r="6628" spans="4:7">
      <c r="D6628" s="200" t="s">
        <v>6641</v>
      </c>
      <c r="E6628" s="10">
        <v>15518</v>
      </c>
      <c r="F6628" s="201">
        <v>-13.5</v>
      </c>
      <c r="G6628" s="201">
        <v>9.5</v>
      </c>
    </row>
    <row r="6629" spans="4:7">
      <c r="D6629" s="200" t="s">
        <v>6642</v>
      </c>
      <c r="E6629" s="10">
        <v>15848</v>
      </c>
      <c r="F6629" s="201">
        <v>-13.5</v>
      </c>
      <c r="G6629" s="201">
        <v>9.6</v>
      </c>
    </row>
    <row r="6630" spans="4:7">
      <c r="D6630" s="200" t="s">
        <v>6392</v>
      </c>
      <c r="E6630" s="10">
        <v>16225</v>
      </c>
      <c r="F6630" s="201">
        <v>-13.5</v>
      </c>
      <c r="G6630" s="201">
        <v>9.4</v>
      </c>
    </row>
    <row r="6631" spans="4:7">
      <c r="D6631" s="200" t="s">
        <v>6643</v>
      </c>
      <c r="E6631" s="10">
        <v>16259</v>
      </c>
      <c r="F6631" s="201">
        <v>-13.5</v>
      </c>
      <c r="G6631" s="201">
        <v>9.1999999999999993</v>
      </c>
    </row>
    <row r="6632" spans="4:7">
      <c r="D6632" s="200" t="s">
        <v>6644</v>
      </c>
      <c r="E6632" s="10">
        <v>37431</v>
      </c>
      <c r="F6632" s="201">
        <v>-13.5</v>
      </c>
      <c r="G6632" s="201">
        <v>7.7</v>
      </c>
    </row>
    <row r="6633" spans="4:7">
      <c r="D6633" s="200" t="s">
        <v>6645</v>
      </c>
      <c r="E6633" s="10">
        <v>37447</v>
      </c>
      <c r="F6633" s="201">
        <v>-13.5</v>
      </c>
      <c r="G6633" s="201">
        <v>7.9</v>
      </c>
    </row>
    <row r="6634" spans="4:7">
      <c r="D6634" s="200" t="s">
        <v>6646</v>
      </c>
      <c r="E6634" s="10">
        <v>38667</v>
      </c>
      <c r="F6634" s="201">
        <v>-13.5</v>
      </c>
      <c r="G6634" s="201">
        <v>8</v>
      </c>
    </row>
    <row r="6635" spans="4:7">
      <c r="D6635" s="200" t="s">
        <v>6647</v>
      </c>
      <c r="E6635" s="10">
        <v>72226</v>
      </c>
      <c r="F6635" s="201">
        <v>-13.5</v>
      </c>
      <c r="G6635" s="201">
        <v>7.7</v>
      </c>
    </row>
    <row r="6636" spans="4:7">
      <c r="D6636" s="200" t="s">
        <v>6648</v>
      </c>
      <c r="E6636" s="10">
        <v>72297</v>
      </c>
      <c r="F6636" s="201">
        <v>-13.5</v>
      </c>
      <c r="G6636" s="201">
        <v>7.5</v>
      </c>
    </row>
    <row r="6637" spans="4:7">
      <c r="D6637" s="200" t="s">
        <v>6649</v>
      </c>
      <c r="E6637" s="10">
        <v>72362</v>
      </c>
      <c r="F6637" s="201">
        <v>-13.5</v>
      </c>
      <c r="G6637" s="201">
        <v>7.4</v>
      </c>
    </row>
    <row r="6638" spans="4:7">
      <c r="D6638" s="200" t="s">
        <v>6275</v>
      </c>
      <c r="E6638" s="10">
        <v>72458</v>
      </c>
      <c r="F6638" s="201">
        <v>-13.5</v>
      </c>
      <c r="G6638" s="201">
        <v>7.4</v>
      </c>
    </row>
    <row r="6639" spans="4:7">
      <c r="D6639" s="200" t="s">
        <v>6650</v>
      </c>
      <c r="E6639" s="10">
        <v>72469</v>
      </c>
      <c r="F6639" s="201">
        <v>-13.5</v>
      </c>
      <c r="G6639" s="201">
        <v>7.3</v>
      </c>
    </row>
    <row r="6640" spans="4:7">
      <c r="D6640" s="200" t="s">
        <v>6651</v>
      </c>
      <c r="E6640" s="10">
        <v>72535</v>
      </c>
      <c r="F6640" s="201">
        <v>-13.5</v>
      </c>
      <c r="G6640" s="201">
        <v>7.7</v>
      </c>
    </row>
    <row r="6641" spans="4:7">
      <c r="D6641" s="200" t="s">
        <v>6652</v>
      </c>
      <c r="E6641" s="10">
        <v>72587</v>
      </c>
      <c r="F6641" s="201">
        <v>-13.5</v>
      </c>
      <c r="G6641" s="201">
        <v>7.5</v>
      </c>
    </row>
    <row r="6642" spans="4:7">
      <c r="D6642" s="200" t="s">
        <v>6653</v>
      </c>
      <c r="E6642" s="10">
        <v>73342</v>
      </c>
      <c r="F6642" s="201">
        <v>-13.5</v>
      </c>
      <c r="G6642" s="201">
        <v>7.8</v>
      </c>
    </row>
    <row r="6643" spans="4:7">
      <c r="D6643" s="200" t="s">
        <v>6654</v>
      </c>
      <c r="E6643" s="10">
        <v>78136</v>
      </c>
      <c r="F6643" s="201">
        <v>-13.5</v>
      </c>
      <c r="G6643" s="201">
        <v>7.2</v>
      </c>
    </row>
    <row r="6644" spans="4:7">
      <c r="D6644" s="200" t="s">
        <v>6655</v>
      </c>
      <c r="E6644" s="10">
        <v>78148</v>
      </c>
      <c r="F6644" s="201">
        <v>-13.5</v>
      </c>
      <c r="G6644" s="201">
        <v>7.2</v>
      </c>
    </row>
    <row r="6645" spans="4:7">
      <c r="D6645" s="200" t="s">
        <v>6656</v>
      </c>
      <c r="E6645" s="10">
        <v>78583</v>
      </c>
      <c r="F6645" s="201">
        <v>-13.5</v>
      </c>
      <c r="G6645" s="201">
        <v>7.4</v>
      </c>
    </row>
    <row r="6646" spans="4:7">
      <c r="D6646" s="200" t="s">
        <v>6657</v>
      </c>
      <c r="E6646" s="10">
        <v>78585</v>
      </c>
      <c r="F6646" s="201">
        <v>-13.5</v>
      </c>
      <c r="G6646" s="201">
        <v>7.3</v>
      </c>
    </row>
    <row r="6647" spans="4:7">
      <c r="D6647" s="200" t="s">
        <v>6658</v>
      </c>
      <c r="E6647" s="10">
        <v>78603</v>
      </c>
      <c r="F6647" s="201">
        <v>-13.5</v>
      </c>
      <c r="G6647" s="201">
        <v>7.4</v>
      </c>
    </row>
    <row r="6648" spans="4:7">
      <c r="D6648" s="200" t="s">
        <v>6659</v>
      </c>
      <c r="E6648" s="10">
        <v>79271</v>
      </c>
      <c r="F6648" s="201">
        <v>-13.5</v>
      </c>
      <c r="G6648" s="201">
        <v>7.2</v>
      </c>
    </row>
    <row r="6649" spans="4:7">
      <c r="D6649" s="200" t="s">
        <v>6660</v>
      </c>
      <c r="E6649" s="10">
        <v>79848</v>
      </c>
      <c r="F6649" s="201">
        <v>-13.5</v>
      </c>
      <c r="G6649" s="201">
        <v>7.7</v>
      </c>
    </row>
    <row r="6650" spans="4:7">
      <c r="D6650" s="200" t="s">
        <v>4162</v>
      </c>
      <c r="E6650" s="10">
        <v>80937</v>
      </c>
      <c r="F6650" s="201">
        <v>-13.5</v>
      </c>
      <c r="G6650" s="201">
        <v>8.9</v>
      </c>
    </row>
    <row r="6651" spans="4:7">
      <c r="D6651" s="200" t="s">
        <v>4162</v>
      </c>
      <c r="E6651" s="10">
        <v>81477</v>
      </c>
      <c r="F6651" s="201">
        <v>-13.5</v>
      </c>
      <c r="G6651" s="201">
        <v>8.8000000000000007</v>
      </c>
    </row>
    <row r="6652" spans="4:7">
      <c r="D6652" s="200" t="s">
        <v>4162</v>
      </c>
      <c r="E6652" s="10">
        <v>81479</v>
      </c>
      <c r="F6652" s="201">
        <v>-13.5</v>
      </c>
      <c r="G6652" s="201">
        <v>8.8000000000000007</v>
      </c>
    </row>
    <row r="6653" spans="4:7">
      <c r="D6653" s="200" t="s">
        <v>4162</v>
      </c>
      <c r="E6653" s="10">
        <v>81739</v>
      </c>
      <c r="F6653" s="201">
        <v>-13.5</v>
      </c>
      <c r="G6653" s="201">
        <v>8.8000000000000007</v>
      </c>
    </row>
    <row r="6654" spans="4:7">
      <c r="D6654" s="200" t="s">
        <v>4162</v>
      </c>
      <c r="E6654" s="10">
        <v>81827</v>
      </c>
      <c r="F6654" s="201">
        <v>-13.5</v>
      </c>
      <c r="G6654" s="201">
        <v>8.8000000000000007</v>
      </c>
    </row>
    <row r="6655" spans="4:7">
      <c r="D6655" s="200" t="s">
        <v>6661</v>
      </c>
      <c r="E6655" s="10">
        <v>82166</v>
      </c>
      <c r="F6655" s="201">
        <v>-13.5</v>
      </c>
      <c r="G6655" s="201">
        <v>8.8000000000000007</v>
      </c>
    </row>
    <row r="6656" spans="4:7">
      <c r="D6656" s="200" t="s">
        <v>6662</v>
      </c>
      <c r="E6656" s="10">
        <v>83457</v>
      </c>
      <c r="F6656" s="201">
        <v>-13.5</v>
      </c>
      <c r="G6656" s="201">
        <v>7.7</v>
      </c>
    </row>
    <row r="6657" spans="4:7">
      <c r="D6657" s="200" t="s">
        <v>6663</v>
      </c>
      <c r="E6657" s="10">
        <v>83546</v>
      </c>
      <c r="F6657" s="201">
        <v>-13.5</v>
      </c>
      <c r="G6657" s="201">
        <v>8.5</v>
      </c>
    </row>
    <row r="6658" spans="4:7">
      <c r="D6658" s="200" t="s">
        <v>6562</v>
      </c>
      <c r="E6658" s="10">
        <v>83555</v>
      </c>
      <c r="F6658" s="201">
        <v>-13.5</v>
      </c>
      <c r="G6658" s="201">
        <v>8.6</v>
      </c>
    </row>
    <row r="6659" spans="4:7">
      <c r="D6659" s="200" t="s">
        <v>6664</v>
      </c>
      <c r="E6659" s="10">
        <v>84030</v>
      </c>
      <c r="F6659" s="201">
        <v>-13.5</v>
      </c>
      <c r="G6659" s="201">
        <v>8.8000000000000007</v>
      </c>
    </row>
    <row r="6660" spans="4:7">
      <c r="D6660" s="200" t="s">
        <v>6665</v>
      </c>
      <c r="E6660" s="10">
        <v>84032</v>
      </c>
      <c r="F6660" s="201">
        <v>-13.5</v>
      </c>
      <c r="G6660" s="201">
        <v>8.8000000000000007</v>
      </c>
    </row>
    <row r="6661" spans="4:7">
      <c r="D6661" s="200" t="s">
        <v>6328</v>
      </c>
      <c r="E6661" s="10">
        <v>84079</v>
      </c>
      <c r="F6661" s="201">
        <v>-13.5</v>
      </c>
      <c r="G6661" s="201">
        <v>8.9</v>
      </c>
    </row>
    <row r="6662" spans="4:7">
      <c r="D6662" s="200" t="s">
        <v>6666</v>
      </c>
      <c r="E6662" s="10">
        <v>84130</v>
      </c>
      <c r="F6662" s="201">
        <v>-13.5</v>
      </c>
      <c r="G6662" s="201">
        <v>8.6</v>
      </c>
    </row>
    <row r="6663" spans="4:7">
      <c r="D6663" s="200" t="s">
        <v>6667</v>
      </c>
      <c r="E6663" s="10">
        <v>84140</v>
      </c>
      <c r="F6663" s="201">
        <v>-13.5</v>
      </c>
      <c r="G6663" s="201">
        <v>8.3000000000000007</v>
      </c>
    </row>
    <row r="6664" spans="4:7">
      <c r="D6664" s="200" t="s">
        <v>6668</v>
      </c>
      <c r="E6664" s="10">
        <v>84183</v>
      </c>
      <c r="F6664" s="201">
        <v>-13.5</v>
      </c>
      <c r="G6664" s="201">
        <v>8.8000000000000007</v>
      </c>
    </row>
    <row r="6665" spans="4:7">
      <c r="D6665" s="200" t="s">
        <v>6669</v>
      </c>
      <c r="E6665" s="10">
        <v>84416</v>
      </c>
      <c r="F6665" s="201">
        <v>-13.5</v>
      </c>
      <c r="G6665" s="201">
        <v>8.6</v>
      </c>
    </row>
    <row r="6666" spans="4:7">
      <c r="D6666" s="200" t="s">
        <v>6670</v>
      </c>
      <c r="E6666" s="10">
        <v>84419</v>
      </c>
      <c r="F6666" s="201">
        <v>-13.5</v>
      </c>
      <c r="G6666" s="201">
        <v>8.5</v>
      </c>
    </row>
    <row r="6667" spans="4:7">
      <c r="D6667" s="200" t="s">
        <v>6671</v>
      </c>
      <c r="E6667" s="10">
        <v>84437</v>
      </c>
      <c r="F6667" s="201">
        <v>-13.5</v>
      </c>
      <c r="G6667" s="201">
        <v>8.4</v>
      </c>
    </row>
    <row r="6668" spans="4:7">
      <c r="D6668" s="200" t="s">
        <v>6672</v>
      </c>
      <c r="E6668" s="10">
        <v>84478</v>
      </c>
      <c r="F6668" s="201">
        <v>-13.5</v>
      </c>
      <c r="G6668" s="201">
        <v>8.6999999999999993</v>
      </c>
    </row>
    <row r="6669" spans="4:7">
      <c r="D6669" s="200" t="s">
        <v>6673</v>
      </c>
      <c r="E6669" s="10">
        <v>84518</v>
      </c>
      <c r="F6669" s="201">
        <v>-13.5</v>
      </c>
      <c r="G6669" s="201">
        <v>8.6999999999999993</v>
      </c>
    </row>
    <row r="6670" spans="4:7">
      <c r="D6670" s="200" t="s">
        <v>6674</v>
      </c>
      <c r="E6670" s="10">
        <v>84544</v>
      </c>
      <c r="F6670" s="201">
        <v>-13.5</v>
      </c>
      <c r="G6670" s="201">
        <v>8.6</v>
      </c>
    </row>
    <row r="6671" spans="4:7">
      <c r="D6671" s="200" t="s">
        <v>6675</v>
      </c>
      <c r="E6671" s="10">
        <v>84559</v>
      </c>
      <c r="F6671" s="201">
        <v>-13.5</v>
      </c>
      <c r="G6671" s="201">
        <v>8.5</v>
      </c>
    </row>
    <row r="6672" spans="4:7">
      <c r="D6672" s="200" t="s">
        <v>6676</v>
      </c>
      <c r="E6672" s="10">
        <v>84579</v>
      </c>
      <c r="F6672" s="201">
        <v>-13.5</v>
      </c>
      <c r="G6672" s="201">
        <v>8.5</v>
      </c>
    </row>
    <row r="6673" spans="4:7">
      <c r="D6673" s="200" t="s">
        <v>6677</v>
      </c>
      <c r="E6673" s="10">
        <v>85296</v>
      </c>
      <c r="F6673" s="201">
        <v>-13.5</v>
      </c>
      <c r="G6673" s="201">
        <v>8.9</v>
      </c>
    </row>
    <row r="6674" spans="4:7">
      <c r="D6674" s="200" t="s">
        <v>6678</v>
      </c>
      <c r="E6674" s="10">
        <v>85354</v>
      </c>
      <c r="F6674" s="201">
        <v>-13.5</v>
      </c>
      <c r="G6674" s="201">
        <v>8.9</v>
      </c>
    </row>
    <row r="6675" spans="4:7">
      <c r="D6675" s="200" t="s">
        <v>6678</v>
      </c>
      <c r="E6675" s="10">
        <v>85356</v>
      </c>
      <c r="F6675" s="201">
        <v>-13.5</v>
      </c>
      <c r="G6675" s="201">
        <v>9</v>
      </c>
    </row>
    <row r="6676" spans="4:7">
      <c r="D6676" s="200" t="s">
        <v>6679</v>
      </c>
      <c r="E6676" s="10">
        <v>85445</v>
      </c>
      <c r="F6676" s="201">
        <v>-13.5</v>
      </c>
      <c r="G6676" s="201">
        <v>8.9</v>
      </c>
    </row>
    <row r="6677" spans="4:7">
      <c r="D6677" s="200" t="s">
        <v>6680</v>
      </c>
      <c r="E6677" s="10">
        <v>85567</v>
      </c>
      <c r="F6677" s="201">
        <v>-13.5</v>
      </c>
      <c r="G6677" s="201">
        <v>8.4</v>
      </c>
    </row>
    <row r="6678" spans="4:7">
      <c r="D6678" s="200" t="s">
        <v>6446</v>
      </c>
      <c r="E6678" s="10">
        <v>86150</v>
      </c>
      <c r="F6678" s="201">
        <v>-13.5</v>
      </c>
      <c r="G6678" s="201">
        <v>9.1</v>
      </c>
    </row>
    <row r="6679" spans="4:7">
      <c r="D6679" s="200" t="s">
        <v>6446</v>
      </c>
      <c r="E6679" s="10">
        <v>86156</v>
      </c>
      <c r="F6679" s="201">
        <v>-13.5</v>
      </c>
      <c r="G6679" s="201">
        <v>9.1</v>
      </c>
    </row>
    <row r="6680" spans="4:7">
      <c r="D6680" s="200" t="s">
        <v>6446</v>
      </c>
      <c r="E6680" s="10">
        <v>86157</v>
      </c>
      <c r="F6680" s="201">
        <v>-13.5</v>
      </c>
      <c r="G6680" s="201">
        <v>9.1999999999999993</v>
      </c>
    </row>
    <row r="6681" spans="4:7">
      <c r="D6681" s="200" t="s">
        <v>6446</v>
      </c>
      <c r="E6681" s="10">
        <v>86159</v>
      </c>
      <c r="F6681" s="201">
        <v>-13.5</v>
      </c>
      <c r="G6681" s="201">
        <v>9.1</v>
      </c>
    </row>
    <row r="6682" spans="4:7">
      <c r="D6682" s="200" t="s">
        <v>6681</v>
      </c>
      <c r="E6682" s="10">
        <v>86424</v>
      </c>
      <c r="F6682" s="201">
        <v>-13.5</v>
      </c>
      <c r="G6682" s="201">
        <v>8.9</v>
      </c>
    </row>
    <row r="6683" spans="4:7">
      <c r="D6683" s="200" t="s">
        <v>6682</v>
      </c>
      <c r="E6683" s="10">
        <v>86470</v>
      </c>
      <c r="F6683" s="201">
        <v>-13.5</v>
      </c>
      <c r="G6683" s="201">
        <v>8.6</v>
      </c>
    </row>
    <row r="6684" spans="4:7">
      <c r="D6684" s="200" t="s">
        <v>6683</v>
      </c>
      <c r="E6684" s="10">
        <v>86513</v>
      </c>
      <c r="F6684" s="201">
        <v>-13.5</v>
      </c>
      <c r="G6684" s="201">
        <v>8.5</v>
      </c>
    </row>
    <row r="6685" spans="4:7">
      <c r="D6685" s="200" t="s">
        <v>6684</v>
      </c>
      <c r="E6685" s="10">
        <v>86564</v>
      </c>
      <c r="F6685" s="201">
        <v>-13.5</v>
      </c>
      <c r="G6685" s="201">
        <v>8.9</v>
      </c>
    </row>
    <row r="6686" spans="4:7">
      <c r="D6686" s="200" t="s">
        <v>6685</v>
      </c>
      <c r="E6686" s="10">
        <v>86571</v>
      </c>
      <c r="F6686" s="201">
        <v>-13.5</v>
      </c>
      <c r="G6686" s="201">
        <v>8.9</v>
      </c>
    </row>
    <row r="6687" spans="4:7">
      <c r="D6687" s="200" t="s">
        <v>6686</v>
      </c>
      <c r="E6687" s="10">
        <v>86643</v>
      </c>
      <c r="F6687" s="201">
        <v>-13.5</v>
      </c>
      <c r="G6687" s="201">
        <v>9</v>
      </c>
    </row>
    <row r="6688" spans="4:7">
      <c r="D6688" s="200" t="s">
        <v>6687</v>
      </c>
      <c r="E6688" s="10">
        <v>86647</v>
      </c>
      <c r="F6688" s="201">
        <v>-13.5</v>
      </c>
      <c r="G6688" s="201">
        <v>9</v>
      </c>
    </row>
    <row r="6689" spans="4:7">
      <c r="D6689" s="200" t="s">
        <v>6688</v>
      </c>
      <c r="E6689" s="10">
        <v>86668</v>
      </c>
      <c r="F6689" s="201">
        <v>-13.5</v>
      </c>
      <c r="G6689" s="201">
        <v>9.1</v>
      </c>
    </row>
    <row r="6690" spans="4:7">
      <c r="D6690" s="200" t="s">
        <v>1782</v>
      </c>
      <c r="E6690" s="10">
        <v>86673</v>
      </c>
      <c r="F6690" s="201">
        <v>-13.5</v>
      </c>
      <c r="G6690" s="201">
        <v>8.8000000000000007</v>
      </c>
    </row>
    <row r="6691" spans="4:7">
      <c r="D6691" s="200" t="s">
        <v>6689</v>
      </c>
      <c r="E6691" s="10">
        <v>86676</v>
      </c>
      <c r="F6691" s="201">
        <v>-13.5</v>
      </c>
      <c r="G6691" s="201">
        <v>8.9</v>
      </c>
    </row>
    <row r="6692" spans="4:7">
      <c r="D6692" s="200" t="s">
        <v>6690</v>
      </c>
      <c r="E6692" s="10">
        <v>86688</v>
      </c>
      <c r="F6692" s="201">
        <v>-13.5</v>
      </c>
      <c r="G6692" s="201">
        <v>8.6</v>
      </c>
    </row>
    <row r="6693" spans="4:7">
      <c r="D6693" s="200" t="s">
        <v>6691</v>
      </c>
      <c r="E6693" s="10">
        <v>86690</v>
      </c>
      <c r="F6693" s="201">
        <v>-13.5</v>
      </c>
      <c r="G6693" s="201">
        <v>9</v>
      </c>
    </row>
    <row r="6694" spans="4:7">
      <c r="D6694" s="200" t="s">
        <v>6692</v>
      </c>
      <c r="E6694" s="10">
        <v>86698</v>
      </c>
      <c r="F6694" s="201">
        <v>-13.5</v>
      </c>
      <c r="G6694" s="201">
        <v>9</v>
      </c>
    </row>
    <row r="6695" spans="4:7">
      <c r="D6695" s="200" t="s">
        <v>6693</v>
      </c>
      <c r="E6695" s="10">
        <v>86701</v>
      </c>
      <c r="F6695" s="201">
        <v>-13.5</v>
      </c>
      <c r="G6695" s="201">
        <v>9</v>
      </c>
    </row>
    <row r="6696" spans="4:7">
      <c r="D6696" s="200" t="s">
        <v>6694</v>
      </c>
      <c r="E6696" s="10">
        <v>87719</v>
      </c>
      <c r="F6696" s="201">
        <v>-13.5</v>
      </c>
      <c r="G6696" s="201">
        <v>8.4</v>
      </c>
    </row>
    <row r="6697" spans="4:7">
      <c r="D6697" s="200" t="s">
        <v>6695</v>
      </c>
      <c r="E6697" s="10">
        <v>87772</v>
      </c>
      <c r="F6697" s="201">
        <v>-13.5</v>
      </c>
      <c r="G6697" s="201">
        <v>8.6</v>
      </c>
    </row>
    <row r="6698" spans="4:7">
      <c r="D6698" s="200" t="s">
        <v>6696</v>
      </c>
      <c r="E6698" s="10">
        <v>88364</v>
      </c>
      <c r="F6698" s="201">
        <v>-13.5</v>
      </c>
      <c r="G6698" s="201">
        <v>8.1</v>
      </c>
    </row>
    <row r="6699" spans="4:7">
      <c r="D6699" s="200" t="s">
        <v>6697</v>
      </c>
      <c r="E6699" s="10">
        <v>88436</v>
      </c>
      <c r="F6699" s="201">
        <v>-13.5</v>
      </c>
      <c r="G6699" s="201">
        <v>8.1</v>
      </c>
    </row>
    <row r="6700" spans="4:7">
      <c r="D6700" s="200" t="s">
        <v>4149</v>
      </c>
      <c r="E6700" s="10">
        <v>88454</v>
      </c>
      <c r="F6700" s="201">
        <v>-13.5</v>
      </c>
      <c r="G6700" s="201">
        <v>8.1</v>
      </c>
    </row>
    <row r="6701" spans="4:7">
      <c r="D6701" s="200" t="s">
        <v>6698</v>
      </c>
      <c r="E6701" s="10">
        <v>89150</v>
      </c>
      <c r="F6701" s="201">
        <v>-13.5</v>
      </c>
      <c r="G6701" s="201">
        <v>7.7</v>
      </c>
    </row>
    <row r="6702" spans="4:7">
      <c r="D6702" s="200" t="s">
        <v>6699</v>
      </c>
      <c r="E6702" s="10">
        <v>89407</v>
      </c>
      <c r="F6702" s="201">
        <v>-13.5</v>
      </c>
      <c r="G6702" s="201">
        <v>9</v>
      </c>
    </row>
    <row r="6703" spans="4:7">
      <c r="D6703" s="200" t="s">
        <v>6700</v>
      </c>
      <c r="E6703" s="10">
        <v>89420</v>
      </c>
      <c r="F6703" s="201">
        <v>-13.5</v>
      </c>
      <c r="G6703" s="201">
        <v>9</v>
      </c>
    </row>
    <row r="6704" spans="4:7">
      <c r="D6704" s="200" t="s">
        <v>5327</v>
      </c>
      <c r="E6704" s="10">
        <v>89438</v>
      </c>
      <c r="F6704" s="201">
        <v>-13.5</v>
      </c>
      <c r="G6704" s="201">
        <v>8.6999999999999993</v>
      </c>
    </row>
    <row r="6705" spans="4:7">
      <c r="D6705" s="200" t="s">
        <v>6701</v>
      </c>
      <c r="E6705" s="10">
        <v>90542</v>
      </c>
      <c r="F6705" s="201">
        <v>-13.5</v>
      </c>
      <c r="G6705" s="201">
        <v>9.1</v>
      </c>
    </row>
    <row r="6706" spans="4:7">
      <c r="D6706" s="200" t="s">
        <v>6702</v>
      </c>
      <c r="E6706" s="10">
        <v>90547</v>
      </c>
      <c r="F6706" s="201">
        <v>-13.5</v>
      </c>
      <c r="G6706" s="201">
        <v>9.3000000000000007</v>
      </c>
    </row>
    <row r="6707" spans="4:7">
      <c r="D6707" s="200" t="s">
        <v>6703</v>
      </c>
      <c r="E6707" s="10">
        <v>90579</v>
      </c>
      <c r="F6707" s="201">
        <v>-13.5</v>
      </c>
      <c r="G6707" s="201">
        <v>9.1999999999999993</v>
      </c>
    </row>
    <row r="6708" spans="4:7">
      <c r="D6708" s="200" t="s">
        <v>6704</v>
      </c>
      <c r="E6708" s="10">
        <v>90592</v>
      </c>
      <c r="F6708" s="201">
        <v>-13.5</v>
      </c>
      <c r="G6708" s="201">
        <v>9</v>
      </c>
    </row>
    <row r="6709" spans="4:7">
      <c r="D6709" s="200" t="s">
        <v>6705</v>
      </c>
      <c r="E6709" s="10">
        <v>90610</v>
      </c>
      <c r="F6709" s="201">
        <v>-13.5</v>
      </c>
      <c r="G6709" s="201">
        <v>8.9</v>
      </c>
    </row>
    <row r="6710" spans="4:7">
      <c r="D6710" s="200" t="s">
        <v>6706</v>
      </c>
      <c r="E6710" s="10">
        <v>90613</v>
      </c>
      <c r="F6710" s="201">
        <v>-13.5</v>
      </c>
      <c r="G6710" s="201">
        <v>9.3000000000000007</v>
      </c>
    </row>
    <row r="6711" spans="4:7">
      <c r="D6711" s="200" t="s">
        <v>6707</v>
      </c>
      <c r="E6711" s="10">
        <v>90614</v>
      </c>
      <c r="F6711" s="201">
        <v>-13.5</v>
      </c>
      <c r="G6711" s="201">
        <v>9.3000000000000007</v>
      </c>
    </row>
    <row r="6712" spans="4:7">
      <c r="D6712" s="200" t="s">
        <v>6708</v>
      </c>
      <c r="E6712" s="10">
        <v>91126</v>
      </c>
      <c r="F6712" s="201">
        <v>-13.5</v>
      </c>
      <c r="G6712" s="201">
        <v>9</v>
      </c>
    </row>
    <row r="6713" spans="4:7">
      <c r="D6713" s="200" t="s">
        <v>6325</v>
      </c>
      <c r="E6713" s="10">
        <v>91187</v>
      </c>
      <c r="F6713" s="201">
        <v>-13.5</v>
      </c>
      <c r="G6713" s="201">
        <v>9.1</v>
      </c>
    </row>
    <row r="6714" spans="4:7">
      <c r="D6714" s="200" t="s">
        <v>6709</v>
      </c>
      <c r="E6714" s="10">
        <v>91227</v>
      </c>
      <c r="F6714" s="201">
        <v>-13.5</v>
      </c>
      <c r="G6714" s="201">
        <v>8.8000000000000007</v>
      </c>
    </row>
    <row r="6715" spans="4:7">
      <c r="D6715" s="200" t="s">
        <v>6710</v>
      </c>
      <c r="E6715" s="10">
        <v>91338</v>
      </c>
      <c r="F6715" s="201">
        <v>-13.5</v>
      </c>
      <c r="G6715" s="201">
        <v>8.6999999999999993</v>
      </c>
    </row>
    <row r="6716" spans="4:7">
      <c r="D6716" s="200" t="s">
        <v>6711</v>
      </c>
      <c r="E6716" s="10">
        <v>91347</v>
      </c>
      <c r="F6716" s="201">
        <v>-13.5</v>
      </c>
      <c r="G6716" s="201">
        <v>8.1</v>
      </c>
    </row>
    <row r="6717" spans="4:7">
      <c r="D6717" s="200" t="s">
        <v>6712</v>
      </c>
      <c r="E6717" s="10">
        <v>91448</v>
      </c>
      <c r="F6717" s="201">
        <v>-13.5</v>
      </c>
      <c r="G6717" s="201">
        <v>9.1999999999999993</v>
      </c>
    </row>
    <row r="6718" spans="4:7">
      <c r="D6718" s="200" t="s">
        <v>6713</v>
      </c>
      <c r="E6718" s="10">
        <v>91469</v>
      </c>
      <c r="F6718" s="201">
        <v>-13.5</v>
      </c>
      <c r="G6718" s="201">
        <v>8.9</v>
      </c>
    </row>
    <row r="6719" spans="4:7">
      <c r="D6719" s="200" t="s">
        <v>5043</v>
      </c>
      <c r="E6719" s="10">
        <v>91489</v>
      </c>
      <c r="F6719" s="201">
        <v>-13.5</v>
      </c>
      <c r="G6719" s="201">
        <v>9.1</v>
      </c>
    </row>
    <row r="6720" spans="4:7">
      <c r="D6720" s="200" t="s">
        <v>6714</v>
      </c>
      <c r="E6720" s="10">
        <v>91575</v>
      </c>
      <c r="F6720" s="201">
        <v>-13.5</v>
      </c>
      <c r="G6720" s="201">
        <v>8.9</v>
      </c>
    </row>
    <row r="6721" spans="4:7">
      <c r="D6721" s="200" t="s">
        <v>6715</v>
      </c>
      <c r="E6721" s="10">
        <v>91580</v>
      </c>
      <c r="F6721" s="201">
        <v>-13.5</v>
      </c>
      <c r="G6721" s="201">
        <v>8.6999999999999993</v>
      </c>
    </row>
    <row r="6722" spans="4:7">
      <c r="D6722" s="200" t="s">
        <v>6716</v>
      </c>
      <c r="E6722" s="10">
        <v>91639</v>
      </c>
      <c r="F6722" s="201">
        <v>-13.5</v>
      </c>
      <c r="G6722" s="201">
        <v>8.8000000000000007</v>
      </c>
    </row>
    <row r="6723" spans="4:7">
      <c r="D6723" s="200" t="s">
        <v>6717</v>
      </c>
      <c r="E6723" s="10">
        <v>91738</v>
      </c>
      <c r="F6723" s="201">
        <v>-13.5</v>
      </c>
      <c r="G6723" s="201">
        <v>8.9</v>
      </c>
    </row>
    <row r="6724" spans="4:7">
      <c r="D6724" s="200" t="s">
        <v>6718</v>
      </c>
      <c r="E6724" s="10">
        <v>91788</v>
      </c>
      <c r="F6724" s="201">
        <v>-13.5</v>
      </c>
      <c r="G6724" s="201">
        <v>8.6</v>
      </c>
    </row>
    <row r="6725" spans="4:7">
      <c r="D6725" s="200" t="s">
        <v>6719</v>
      </c>
      <c r="E6725" s="10">
        <v>92334</v>
      </c>
      <c r="F6725" s="201">
        <v>-13.5</v>
      </c>
      <c r="G6725" s="201">
        <v>8.3000000000000007</v>
      </c>
    </row>
    <row r="6726" spans="4:7">
      <c r="D6726" s="200" t="s">
        <v>6720</v>
      </c>
      <c r="E6726" s="10">
        <v>92533</v>
      </c>
      <c r="F6726" s="201">
        <v>-13.5</v>
      </c>
      <c r="G6726" s="201">
        <v>8.6999999999999993</v>
      </c>
    </row>
    <row r="6727" spans="4:7">
      <c r="D6727" s="200" t="s">
        <v>6721</v>
      </c>
      <c r="E6727" s="10">
        <v>92693</v>
      </c>
      <c r="F6727" s="201">
        <v>-13.5</v>
      </c>
      <c r="G6727" s="201">
        <v>7.9</v>
      </c>
    </row>
    <row r="6728" spans="4:7">
      <c r="D6728" s="200" t="s">
        <v>4953</v>
      </c>
      <c r="E6728" s="10">
        <v>92702</v>
      </c>
      <c r="F6728" s="201">
        <v>-13.5</v>
      </c>
      <c r="G6728" s="201">
        <v>8.3000000000000007</v>
      </c>
    </row>
    <row r="6729" spans="4:7">
      <c r="D6729" s="200" t="s">
        <v>6722</v>
      </c>
      <c r="E6729" s="10">
        <v>92720</v>
      </c>
      <c r="F6729" s="201">
        <v>-13.5</v>
      </c>
      <c r="G6729" s="201">
        <v>8.4</v>
      </c>
    </row>
    <row r="6730" spans="4:7">
      <c r="D6730" s="200" t="s">
        <v>6723</v>
      </c>
      <c r="E6730" s="10">
        <v>93098</v>
      </c>
      <c r="F6730" s="201">
        <v>-13.5</v>
      </c>
      <c r="G6730" s="201">
        <v>9</v>
      </c>
    </row>
    <row r="6731" spans="4:7">
      <c r="D6731" s="200" t="s">
        <v>6724</v>
      </c>
      <c r="E6731" s="10">
        <v>93152</v>
      </c>
      <c r="F6731" s="201">
        <v>-13.5</v>
      </c>
      <c r="G6731" s="201">
        <v>8.3000000000000007</v>
      </c>
    </row>
    <row r="6732" spans="4:7">
      <c r="D6732" s="200" t="s">
        <v>6725</v>
      </c>
      <c r="E6732" s="10">
        <v>93164</v>
      </c>
      <c r="F6732" s="201">
        <v>-13.5</v>
      </c>
      <c r="G6732" s="201">
        <v>8.3000000000000007</v>
      </c>
    </row>
    <row r="6733" spans="4:7">
      <c r="D6733" s="200" t="s">
        <v>6372</v>
      </c>
      <c r="E6733" s="10">
        <v>93167</v>
      </c>
      <c r="F6733" s="201">
        <v>-13.5</v>
      </c>
      <c r="G6733" s="201">
        <v>7.8</v>
      </c>
    </row>
    <row r="6734" spans="4:7">
      <c r="D6734" s="200" t="s">
        <v>6726</v>
      </c>
      <c r="E6734" s="10">
        <v>93177</v>
      </c>
      <c r="F6734" s="201">
        <v>-13.5</v>
      </c>
      <c r="G6734" s="201">
        <v>8.3000000000000007</v>
      </c>
    </row>
    <row r="6735" spans="4:7">
      <c r="D6735" s="200" t="s">
        <v>6727</v>
      </c>
      <c r="E6735" s="10">
        <v>93180</v>
      </c>
      <c r="F6735" s="201">
        <v>-13.5</v>
      </c>
      <c r="G6735" s="201">
        <v>8.5</v>
      </c>
    </row>
    <row r="6736" spans="4:7">
      <c r="D6736" s="200" t="s">
        <v>6728</v>
      </c>
      <c r="E6736" s="10">
        <v>93188</v>
      </c>
      <c r="F6736" s="201">
        <v>-13.5</v>
      </c>
      <c r="G6736" s="201">
        <v>8.5</v>
      </c>
    </row>
    <row r="6737" spans="4:7">
      <c r="D6737" s="200" t="s">
        <v>6729</v>
      </c>
      <c r="E6737" s="10">
        <v>93342</v>
      </c>
      <c r="F6737" s="201">
        <v>-13.5</v>
      </c>
      <c r="G6737" s="201">
        <v>8.8000000000000007</v>
      </c>
    </row>
    <row r="6738" spans="4:7">
      <c r="D6738" s="200" t="s">
        <v>6730</v>
      </c>
      <c r="E6738" s="10">
        <v>93444</v>
      </c>
      <c r="F6738" s="201">
        <v>-13.5</v>
      </c>
      <c r="G6738" s="201">
        <v>8.4</v>
      </c>
    </row>
    <row r="6739" spans="4:7">
      <c r="D6739" s="200" t="s">
        <v>6731</v>
      </c>
      <c r="E6739" s="10">
        <v>93462</v>
      </c>
      <c r="F6739" s="201">
        <v>-13.5</v>
      </c>
      <c r="G6739" s="201">
        <v>7.5</v>
      </c>
    </row>
    <row r="6740" spans="4:7">
      <c r="D6740" s="200" t="s">
        <v>6732</v>
      </c>
      <c r="E6740" s="10">
        <v>93476</v>
      </c>
      <c r="F6740" s="201">
        <v>-13.5</v>
      </c>
      <c r="G6740" s="201">
        <v>8.4</v>
      </c>
    </row>
    <row r="6741" spans="4:7">
      <c r="D6741" s="200" t="s">
        <v>6733</v>
      </c>
      <c r="E6741" s="10">
        <v>93479</v>
      </c>
      <c r="F6741" s="201">
        <v>-13.5</v>
      </c>
      <c r="G6741" s="201">
        <v>8.4</v>
      </c>
    </row>
    <row r="6742" spans="4:7">
      <c r="D6742" s="200" t="s">
        <v>6734</v>
      </c>
      <c r="E6742" s="10">
        <v>93486</v>
      </c>
      <c r="F6742" s="201">
        <v>-13.5</v>
      </c>
      <c r="G6742" s="201">
        <v>8.5</v>
      </c>
    </row>
    <row r="6743" spans="4:7">
      <c r="D6743" s="200" t="s">
        <v>4027</v>
      </c>
      <c r="E6743" s="10">
        <v>93489</v>
      </c>
      <c r="F6743" s="201">
        <v>-13.5</v>
      </c>
      <c r="G6743" s="201">
        <v>8.6</v>
      </c>
    </row>
    <row r="6744" spans="4:7">
      <c r="D6744" s="200" t="s">
        <v>6735</v>
      </c>
      <c r="E6744" s="10">
        <v>93497</v>
      </c>
      <c r="F6744" s="201">
        <v>-13.5</v>
      </c>
      <c r="G6744" s="201">
        <v>8.6</v>
      </c>
    </row>
    <row r="6745" spans="4:7">
      <c r="D6745" s="200" t="s">
        <v>6736</v>
      </c>
      <c r="E6745" s="10">
        <v>94078</v>
      </c>
      <c r="F6745" s="201">
        <v>-13.5</v>
      </c>
      <c r="G6745" s="201">
        <v>7.4</v>
      </c>
    </row>
    <row r="6746" spans="4:7">
      <c r="D6746" s="200" t="s">
        <v>6737</v>
      </c>
      <c r="E6746" s="10">
        <v>94139</v>
      </c>
      <c r="F6746" s="201">
        <v>-13.5</v>
      </c>
      <c r="G6746" s="201">
        <v>7.3</v>
      </c>
    </row>
    <row r="6747" spans="4:7">
      <c r="D6747" s="200" t="s">
        <v>6738</v>
      </c>
      <c r="E6747" s="10">
        <v>94234</v>
      </c>
      <c r="F6747" s="201">
        <v>-13.5</v>
      </c>
      <c r="G6747" s="201">
        <v>7.9</v>
      </c>
    </row>
    <row r="6748" spans="4:7">
      <c r="D6748" s="200" t="s">
        <v>6739</v>
      </c>
      <c r="E6748" s="10">
        <v>94526</v>
      </c>
      <c r="F6748" s="201">
        <v>-13.5</v>
      </c>
      <c r="G6748" s="201">
        <v>9.1</v>
      </c>
    </row>
    <row r="6749" spans="4:7">
      <c r="D6749" s="200" t="s">
        <v>6740</v>
      </c>
      <c r="E6749" s="10">
        <v>94533</v>
      </c>
      <c r="F6749" s="201">
        <v>-13.5</v>
      </c>
      <c r="G6749" s="201">
        <v>9</v>
      </c>
    </row>
    <row r="6750" spans="4:7">
      <c r="D6750" s="200" t="s">
        <v>6741</v>
      </c>
      <c r="E6750" s="10">
        <v>94536</v>
      </c>
      <c r="F6750" s="201">
        <v>-13.5</v>
      </c>
      <c r="G6750" s="201">
        <v>7.2</v>
      </c>
    </row>
    <row r="6751" spans="4:7">
      <c r="D6751" s="200" t="s">
        <v>6742</v>
      </c>
      <c r="E6751" s="10">
        <v>94574</v>
      </c>
      <c r="F6751" s="201">
        <v>-13.5</v>
      </c>
      <c r="G6751" s="201">
        <v>8.9</v>
      </c>
    </row>
    <row r="6752" spans="4:7">
      <c r="D6752" s="200" t="s">
        <v>6743</v>
      </c>
      <c r="E6752" s="10">
        <v>96103</v>
      </c>
      <c r="F6752" s="201">
        <v>-13.5</v>
      </c>
      <c r="G6752" s="201">
        <v>9.3000000000000007</v>
      </c>
    </row>
    <row r="6753" spans="4:7">
      <c r="D6753" s="200" t="s">
        <v>6744</v>
      </c>
      <c r="E6753" s="10">
        <v>96114</v>
      </c>
      <c r="F6753" s="201">
        <v>-13.5</v>
      </c>
      <c r="G6753" s="201">
        <v>9.3000000000000007</v>
      </c>
    </row>
    <row r="6754" spans="4:7">
      <c r="D6754" s="200" t="s">
        <v>3875</v>
      </c>
      <c r="E6754" s="10">
        <v>96163</v>
      </c>
      <c r="F6754" s="201">
        <v>-13.5</v>
      </c>
      <c r="G6754" s="201">
        <v>9.1999999999999993</v>
      </c>
    </row>
    <row r="6755" spans="4:7">
      <c r="D6755" s="200" t="s">
        <v>6745</v>
      </c>
      <c r="E6755" s="10">
        <v>96164</v>
      </c>
      <c r="F6755" s="201">
        <v>-13.5</v>
      </c>
      <c r="G6755" s="201">
        <v>9.1999999999999993</v>
      </c>
    </row>
    <row r="6756" spans="4:7">
      <c r="D6756" s="200" t="s">
        <v>6746</v>
      </c>
      <c r="E6756" s="10">
        <v>97656</v>
      </c>
      <c r="F6756" s="201">
        <v>-13.5</v>
      </c>
      <c r="G6756" s="201">
        <v>7.5</v>
      </c>
    </row>
    <row r="6757" spans="4:7">
      <c r="D6757" s="200" t="s">
        <v>6747</v>
      </c>
      <c r="E6757" s="10">
        <v>98593</v>
      </c>
      <c r="F6757" s="201">
        <v>-13.5</v>
      </c>
      <c r="G6757" s="201">
        <v>7.8</v>
      </c>
    </row>
    <row r="6758" spans="4:7">
      <c r="D6758" s="200" t="s">
        <v>4966</v>
      </c>
      <c r="E6758" s="10">
        <v>99092</v>
      </c>
      <c r="F6758" s="201">
        <v>-13.5</v>
      </c>
      <c r="G6758" s="201">
        <v>8.8000000000000007</v>
      </c>
    </row>
    <row r="6759" spans="4:7">
      <c r="D6759" s="200" t="s">
        <v>6748</v>
      </c>
      <c r="E6759" s="10">
        <v>99338</v>
      </c>
      <c r="F6759" s="201">
        <v>-13.5</v>
      </c>
      <c r="G6759" s="201">
        <v>8.6</v>
      </c>
    </row>
    <row r="6760" spans="4:7">
      <c r="D6760" s="200" t="s">
        <v>6749</v>
      </c>
      <c r="E6760" s="10">
        <v>99706</v>
      </c>
      <c r="F6760" s="201">
        <v>-13.5</v>
      </c>
      <c r="G6760" s="201">
        <v>8.1999999999999993</v>
      </c>
    </row>
    <row r="6761" spans="4:7">
      <c r="D6761" s="200" t="s">
        <v>6750</v>
      </c>
      <c r="E6761" s="10">
        <v>99713</v>
      </c>
      <c r="F6761" s="201">
        <v>-13.5</v>
      </c>
      <c r="G6761" s="201">
        <v>8.6999999999999993</v>
      </c>
    </row>
    <row r="6762" spans="4:7">
      <c r="D6762" s="200" t="s">
        <v>6751</v>
      </c>
      <c r="E6762" s="10">
        <v>1458</v>
      </c>
      <c r="F6762" s="201">
        <v>-13.6</v>
      </c>
      <c r="G6762" s="201">
        <v>9.6</v>
      </c>
    </row>
    <row r="6763" spans="4:7">
      <c r="D6763" s="200" t="s">
        <v>6752</v>
      </c>
      <c r="E6763" s="10">
        <v>1471</v>
      </c>
      <c r="F6763" s="201">
        <v>-13.6</v>
      </c>
      <c r="G6763" s="201">
        <v>9.6</v>
      </c>
    </row>
    <row r="6764" spans="4:7">
      <c r="D6764" s="200" t="s">
        <v>6753</v>
      </c>
      <c r="E6764" s="10">
        <v>1561</v>
      </c>
      <c r="F6764" s="201">
        <v>-13.6</v>
      </c>
      <c r="G6764" s="201">
        <v>9.6</v>
      </c>
    </row>
    <row r="6765" spans="4:7">
      <c r="D6765" s="200" t="s">
        <v>6754</v>
      </c>
      <c r="E6765" s="10">
        <v>1594</v>
      </c>
      <c r="F6765" s="201">
        <v>-13.6</v>
      </c>
      <c r="G6765" s="201">
        <v>9.6</v>
      </c>
    </row>
    <row r="6766" spans="4:7">
      <c r="D6766" s="200" t="s">
        <v>6755</v>
      </c>
      <c r="E6766" s="10">
        <v>1612</v>
      </c>
      <c r="F6766" s="201">
        <v>-13.6</v>
      </c>
      <c r="G6766" s="201">
        <v>9.6999999999999993</v>
      </c>
    </row>
    <row r="6767" spans="4:7">
      <c r="D6767" s="200" t="s">
        <v>6756</v>
      </c>
      <c r="E6767" s="10">
        <v>1623</v>
      </c>
      <c r="F6767" s="201">
        <v>-13.6</v>
      </c>
      <c r="G6767" s="201">
        <v>9.6</v>
      </c>
    </row>
    <row r="6768" spans="4:7">
      <c r="D6768" s="200" t="s">
        <v>6757</v>
      </c>
      <c r="E6768" s="10">
        <v>1829</v>
      </c>
      <c r="F6768" s="201">
        <v>-13.6</v>
      </c>
      <c r="G6768" s="201">
        <v>9.1999999999999993</v>
      </c>
    </row>
    <row r="6769" spans="4:7">
      <c r="D6769" s="200" t="s">
        <v>6758</v>
      </c>
      <c r="E6769" s="10">
        <v>1833</v>
      </c>
      <c r="F6769" s="201">
        <v>-13.6</v>
      </c>
      <c r="G6769" s="201">
        <v>9.1</v>
      </c>
    </row>
    <row r="6770" spans="4:7">
      <c r="D6770" s="200" t="s">
        <v>6759</v>
      </c>
      <c r="E6770" s="10">
        <v>3249</v>
      </c>
      <c r="F6770" s="201">
        <v>-13.6</v>
      </c>
      <c r="G6770" s="201">
        <v>9.4</v>
      </c>
    </row>
    <row r="6771" spans="4:7">
      <c r="D6771" s="200" t="s">
        <v>4593</v>
      </c>
      <c r="E6771" s="10">
        <v>4158</v>
      </c>
      <c r="F6771" s="201">
        <v>-13.6</v>
      </c>
      <c r="G6771" s="201">
        <v>9.6999999999999993</v>
      </c>
    </row>
    <row r="6772" spans="4:7">
      <c r="D6772" s="200" t="s">
        <v>4593</v>
      </c>
      <c r="E6772" s="10">
        <v>4178</v>
      </c>
      <c r="F6772" s="201">
        <v>-13.6</v>
      </c>
      <c r="G6772" s="201">
        <v>9.6999999999999993</v>
      </c>
    </row>
    <row r="6773" spans="4:7">
      <c r="D6773" s="200" t="s">
        <v>6760</v>
      </c>
      <c r="E6773" s="10">
        <v>4509</v>
      </c>
      <c r="F6773" s="201">
        <v>-13.6</v>
      </c>
      <c r="G6773" s="201">
        <v>9.6999999999999993</v>
      </c>
    </row>
    <row r="6774" spans="4:7">
      <c r="D6774" s="200" t="s">
        <v>6761</v>
      </c>
      <c r="E6774" s="10">
        <v>4519</v>
      </c>
      <c r="F6774" s="201">
        <v>-13.6</v>
      </c>
      <c r="G6774" s="201">
        <v>9.6999999999999993</v>
      </c>
    </row>
    <row r="6775" spans="4:7">
      <c r="D6775" s="200" t="s">
        <v>6762</v>
      </c>
      <c r="E6775" s="10">
        <v>4654</v>
      </c>
      <c r="F6775" s="201">
        <v>-13.6</v>
      </c>
      <c r="G6775" s="201">
        <v>9.4</v>
      </c>
    </row>
    <row r="6776" spans="4:7">
      <c r="D6776" s="200" t="s">
        <v>6763</v>
      </c>
      <c r="E6776" s="10">
        <v>4655</v>
      </c>
      <c r="F6776" s="201">
        <v>-13.6</v>
      </c>
      <c r="G6776" s="201">
        <v>9.4</v>
      </c>
    </row>
    <row r="6777" spans="4:7">
      <c r="D6777" s="200" t="s">
        <v>6764</v>
      </c>
      <c r="E6777" s="10">
        <v>4749</v>
      </c>
      <c r="F6777" s="201">
        <v>-13.6</v>
      </c>
      <c r="G6777" s="201">
        <v>9.6</v>
      </c>
    </row>
    <row r="6778" spans="4:7">
      <c r="D6778" s="200" t="s">
        <v>6765</v>
      </c>
      <c r="E6778" s="10">
        <v>4758</v>
      </c>
      <c r="F6778" s="201">
        <v>-13.6</v>
      </c>
      <c r="G6778" s="201">
        <v>9.6</v>
      </c>
    </row>
    <row r="6779" spans="4:7">
      <c r="D6779" s="200" t="s">
        <v>6766</v>
      </c>
      <c r="E6779" s="10">
        <v>4936</v>
      </c>
      <c r="F6779" s="201">
        <v>-13.6</v>
      </c>
      <c r="G6779" s="201">
        <v>9.3000000000000007</v>
      </c>
    </row>
    <row r="6780" spans="4:7">
      <c r="D6780" s="200" t="s">
        <v>6767</v>
      </c>
      <c r="E6780" s="10">
        <v>6184</v>
      </c>
      <c r="F6780" s="201">
        <v>-13.6</v>
      </c>
      <c r="G6780" s="201">
        <v>9.6999999999999993</v>
      </c>
    </row>
    <row r="6781" spans="4:7">
      <c r="D6781" s="200" t="s">
        <v>6768</v>
      </c>
      <c r="E6781" s="10">
        <v>6237</v>
      </c>
      <c r="F6781" s="201">
        <v>-13.6</v>
      </c>
      <c r="G6781" s="201">
        <v>9.6999999999999993</v>
      </c>
    </row>
    <row r="6782" spans="4:7">
      <c r="D6782" s="200" t="s">
        <v>6769</v>
      </c>
      <c r="E6782" s="10">
        <v>6258</v>
      </c>
      <c r="F6782" s="201">
        <v>-13.6</v>
      </c>
      <c r="G6782" s="201">
        <v>9.8000000000000007</v>
      </c>
    </row>
    <row r="6783" spans="4:7">
      <c r="D6783" s="200" t="s">
        <v>6770</v>
      </c>
      <c r="E6783" s="10">
        <v>6308</v>
      </c>
      <c r="F6783" s="201">
        <v>-13.6</v>
      </c>
      <c r="G6783" s="201">
        <v>9</v>
      </c>
    </row>
    <row r="6784" spans="4:7">
      <c r="D6784" s="200" t="s">
        <v>6771</v>
      </c>
      <c r="E6784" s="10">
        <v>6425</v>
      </c>
      <c r="F6784" s="201">
        <v>-13.6</v>
      </c>
      <c r="G6784" s="201">
        <v>9.5</v>
      </c>
    </row>
    <row r="6785" spans="4:7">
      <c r="D6785" s="200" t="s">
        <v>6772</v>
      </c>
      <c r="E6785" s="10">
        <v>6542</v>
      </c>
      <c r="F6785" s="201">
        <v>-13.6</v>
      </c>
      <c r="G6785" s="201">
        <v>9.4</v>
      </c>
    </row>
    <row r="6786" spans="4:7">
      <c r="D6786" s="200" t="s">
        <v>5096</v>
      </c>
      <c r="E6786" s="10">
        <v>6618</v>
      </c>
      <c r="F6786" s="201">
        <v>-13.6</v>
      </c>
      <c r="G6786" s="201">
        <v>9.4</v>
      </c>
    </row>
    <row r="6787" spans="4:7">
      <c r="D6787" s="200" t="s">
        <v>6773</v>
      </c>
      <c r="E6787" s="10">
        <v>6647</v>
      </c>
      <c r="F6787" s="201">
        <v>-13.6</v>
      </c>
      <c r="G6787" s="201">
        <v>9</v>
      </c>
    </row>
    <row r="6788" spans="4:7">
      <c r="D6788" s="200" t="s">
        <v>6774</v>
      </c>
      <c r="E6788" s="10">
        <v>6688</v>
      </c>
      <c r="F6788" s="201">
        <v>-13.6</v>
      </c>
      <c r="G6788" s="201">
        <v>9.8000000000000007</v>
      </c>
    </row>
    <row r="6789" spans="4:7">
      <c r="D6789" s="200" t="s">
        <v>5717</v>
      </c>
      <c r="E6789" s="10">
        <v>6766</v>
      </c>
      <c r="F6789" s="201">
        <v>-13.6</v>
      </c>
      <c r="G6789" s="201">
        <v>9.6999999999999993</v>
      </c>
    </row>
    <row r="6790" spans="4:7">
      <c r="D6790" s="200" t="s">
        <v>6775</v>
      </c>
      <c r="E6790" s="10">
        <v>6774</v>
      </c>
      <c r="F6790" s="201">
        <v>-13.6</v>
      </c>
      <c r="G6790" s="201">
        <v>9.5</v>
      </c>
    </row>
    <row r="6791" spans="4:7">
      <c r="D6791" s="200" t="s">
        <v>6380</v>
      </c>
      <c r="E6791" s="10">
        <v>6800</v>
      </c>
      <c r="F6791" s="201">
        <v>-13.6</v>
      </c>
      <c r="G6791" s="201">
        <v>9.6</v>
      </c>
    </row>
    <row r="6792" spans="4:7">
      <c r="D6792" s="200" t="s">
        <v>5717</v>
      </c>
      <c r="E6792" s="10">
        <v>6808</v>
      </c>
      <c r="F6792" s="201">
        <v>-13.6</v>
      </c>
      <c r="G6792" s="201">
        <v>9.6999999999999993</v>
      </c>
    </row>
    <row r="6793" spans="4:7">
      <c r="D6793" s="200" t="s">
        <v>6776</v>
      </c>
      <c r="E6793" s="10">
        <v>6917</v>
      </c>
      <c r="F6793" s="201">
        <v>-13.6</v>
      </c>
      <c r="G6793" s="201">
        <v>9.4</v>
      </c>
    </row>
    <row r="6794" spans="4:7">
      <c r="D6794" s="200" t="s">
        <v>6777</v>
      </c>
      <c r="E6794" s="10">
        <v>7318</v>
      </c>
      <c r="F6794" s="201">
        <v>-13.6</v>
      </c>
      <c r="G6794" s="201">
        <v>8.8000000000000007</v>
      </c>
    </row>
    <row r="6795" spans="4:7">
      <c r="D6795" s="200" t="s">
        <v>6778</v>
      </c>
      <c r="E6795" s="10">
        <v>7334</v>
      </c>
      <c r="F6795" s="201">
        <v>-13.6</v>
      </c>
      <c r="G6795" s="201">
        <v>8.9</v>
      </c>
    </row>
    <row r="6796" spans="4:7">
      <c r="D6796" s="200" t="s">
        <v>6779</v>
      </c>
      <c r="E6796" s="10">
        <v>8112</v>
      </c>
      <c r="F6796" s="201">
        <v>-13.6</v>
      </c>
      <c r="G6796" s="201">
        <v>8.9</v>
      </c>
    </row>
    <row r="6797" spans="4:7">
      <c r="D6797" s="200" t="s">
        <v>5882</v>
      </c>
      <c r="E6797" s="10">
        <v>9125</v>
      </c>
      <c r="F6797" s="201">
        <v>-13.6</v>
      </c>
      <c r="G6797" s="201">
        <v>8.6999999999999993</v>
      </c>
    </row>
    <row r="6798" spans="4:7">
      <c r="D6798" s="200" t="s">
        <v>6780</v>
      </c>
      <c r="E6798" s="10">
        <v>9217</v>
      </c>
      <c r="F6798" s="201">
        <v>-13.6</v>
      </c>
      <c r="G6798" s="201">
        <v>9.1</v>
      </c>
    </row>
    <row r="6799" spans="4:7">
      <c r="D6799" s="200" t="s">
        <v>6781</v>
      </c>
      <c r="E6799" s="10">
        <v>9236</v>
      </c>
      <c r="F6799" s="201">
        <v>-13.6</v>
      </c>
      <c r="G6799" s="201">
        <v>9.1999999999999993</v>
      </c>
    </row>
    <row r="6800" spans="4:7">
      <c r="D6800" s="200" t="s">
        <v>6782</v>
      </c>
      <c r="E6800" s="10">
        <v>9247</v>
      </c>
      <c r="F6800" s="201">
        <v>-13.6</v>
      </c>
      <c r="G6800" s="201">
        <v>9</v>
      </c>
    </row>
    <row r="6801" spans="4:7">
      <c r="D6801" s="200" t="s">
        <v>6783</v>
      </c>
      <c r="E6801" s="10">
        <v>9353</v>
      </c>
      <c r="F6801" s="201">
        <v>-13.6</v>
      </c>
      <c r="G6801" s="201">
        <v>9.1</v>
      </c>
    </row>
    <row r="6802" spans="4:7">
      <c r="D6802" s="200" t="s">
        <v>6784</v>
      </c>
      <c r="E6802" s="10">
        <v>9355</v>
      </c>
      <c r="F6802" s="201">
        <v>-13.6</v>
      </c>
      <c r="G6802" s="201">
        <v>9</v>
      </c>
    </row>
    <row r="6803" spans="4:7">
      <c r="D6803" s="200" t="s">
        <v>6785</v>
      </c>
      <c r="E6803" s="10">
        <v>9376</v>
      </c>
      <c r="F6803" s="201">
        <v>-13.6</v>
      </c>
      <c r="G6803" s="201">
        <v>8.8000000000000007</v>
      </c>
    </row>
    <row r="6804" spans="4:7">
      <c r="D6804" s="200" t="s">
        <v>6786</v>
      </c>
      <c r="E6804" s="10">
        <v>9387</v>
      </c>
      <c r="F6804" s="201">
        <v>-13.6</v>
      </c>
      <c r="G6804" s="201">
        <v>8.9</v>
      </c>
    </row>
    <row r="6805" spans="4:7">
      <c r="D6805" s="200" t="s">
        <v>6787</v>
      </c>
      <c r="E6805" s="10">
        <v>9394</v>
      </c>
      <c r="F6805" s="201">
        <v>-13.6</v>
      </c>
      <c r="G6805" s="201">
        <v>8.8000000000000007</v>
      </c>
    </row>
    <row r="6806" spans="4:7">
      <c r="D6806" s="200" t="s">
        <v>6788</v>
      </c>
      <c r="E6806" s="10">
        <v>9399</v>
      </c>
      <c r="F6806" s="201">
        <v>-13.6</v>
      </c>
      <c r="G6806" s="201">
        <v>8.6999999999999993</v>
      </c>
    </row>
    <row r="6807" spans="4:7">
      <c r="D6807" s="200" t="s">
        <v>6789</v>
      </c>
      <c r="E6807" s="10">
        <v>9405</v>
      </c>
      <c r="F6807" s="201">
        <v>-13.6</v>
      </c>
      <c r="G6807" s="201">
        <v>8.6999999999999993</v>
      </c>
    </row>
    <row r="6808" spans="4:7">
      <c r="D6808" s="200" t="s">
        <v>6790</v>
      </c>
      <c r="E6808" s="10">
        <v>9573</v>
      </c>
      <c r="F6808" s="201">
        <v>-13.6</v>
      </c>
      <c r="G6808" s="201">
        <v>8.8000000000000007</v>
      </c>
    </row>
    <row r="6809" spans="4:7">
      <c r="D6809" s="200" t="s">
        <v>6791</v>
      </c>
      <c r="E6809" s="10">
        <v>9577</v>
      </c>
      <c r="F6809" s="201">
        <v>-13.6</v>
      </c>
      <c r="G6809" s="201">
        <v>9.1</v>
      </c>
    </row>
    <row r="6810" spans="4:7">
      <c r="D6810" s="200" t="s">
        <v>6792</v>
      </c>
      <c r="E6810" s="10">
        <v>9661</v>
      </c>
      <c r="F6810" s="201">
        <v>-13.6</v>
      </c>
      <c r="G6810" s="201">
        <v>9.1999999999999993</v>
      </c>
    </row>
    <row r="6811" spans="4:7">
      <c r="D6811" s="200" t="s">
        <v>6793</v>
      </c>
      <c r="E6811" s="10">
        <v>15374</v>
      </c>
      <c r="F6811" s="201">
        <v>-13.6</v>
      </c>
      <c r="G6811" s="201">
        <v>9.5</v>
      </c>
    </row>
    <row r="6812" spans="4:7">
      <c r="D6812" s="200" t="s">
        <v>6794</v>
      </c>
      <c r="E6812" s="10">
        <v>16230</v>
      </c>
      <c r="F6812" s="201">
        <v>-13.6</v>
      </c>
      <c r="G6812" s="201">
        <v>9.4</v>
      </c>
    </row>
    <row r="6813" spans="4:7">
      <c r="D6813" s="200" t="s">
        <v>6795</v>
      </c>
      <c r="E6813" s="10">
        <v>16269</v>
      </c>
      <c r="F6813" s="201">
        <v>-13.6</v>
      </c>
      <c r="G6813" s="201">
        <v>9.4</v>
      </c>
    </row>
    <row r="6814" spans="4:7">
      <c r="D6814" s="200" t="s">
        <v>6796</v>
      </c>
      <c r="E6814" s="10">
        <v>17279</v>
      </c>
      <c r="F6814" s="201">
        <v>-13.6</v>
      </c>
      <c r="G6814" s="201">
        <v>9</v>
      </c>
    </row>
    <row r="6815" spans="4:7">
      <c r="D6815" s="200" t="s">
        <v>6797</v>
      </c>
      <c r="E6815" s="10">
        <v>37449</v>
      </c>
      <c r="F6815" s="201">
        <v>-13.6</v>
      </c>
      <c r="G6815" s="201">
        <v>7.2</v>
      </c>
    </row>
    <row r="6816" spans="4:7">
      <c r="D6816" s="200" t="s">
        <v>6798</v>
      </c>
      <c r="E6816" s="10">
        <v>72270</v>
      </c>
      <c r="F6816" s="201">
        <v>-13.6</v>
      </c>
      <c r="G6816" s="201">
        <v>7</v>
      </c>
    </row>
    <row r="6817" spans="4:7">
      <c r="D6817" s="200" t="s">
        <v>6799</v>
      </c>
      <c r="E6817" s="10">
        <v>72364</v>
      </c>
      <c r="F6817" s="201">
        <v>-13.6</v>
      </c>
      <c r="G6817" s="201">
        <v>7.2</v>
      </c>
    </row>
    <row r="6818" spans="4:7">
      <c r="D6818" s="200" t="s">
        <v>6310</v>
      </c>
      <c r="E6818" s="10">
        <v>72589</v>
      </c>
      <c r="F6818" s="201">
        <v>-13.6</v>
      </c>
      <c r="G6818" s="201">
        <v>7.6</v>
      </c>
    </row>
    <row r="6819" spans="4:7">
      <c r="D6819" s="200" t="s">
        <v>6800</v>
      </c>
      <c r="E6819" s="10">
        <v>73111</v>
      </c>
      <c r="F6819" s="201">
        <v>-13.6</v>
      </c>
      <c r="G6819" s="201">
        <v>7.8</v>
      </c>
    </row>
    <row r="6820" spans="4:7">
      <c r="D6820" s="200" t="s">
        <v>6801</v>
      </c>
      <c r="E6820" s="10">
        <v>73252</v>
      </c>
      <c r="F6820" s="201">
        <v>-13.6</v>
      </c>
      <c r="G6820" s="201">
        <v>7.6</v>
      </c>
    </row>
    <row r="6821" spans="4:7">
      <c r="D6821" s="200" t="s">
        <v>6802</v>
      </c>
      <c r="E6821" s="10">
        <v>73349</v>
      </c>
      <c r="F6821" s="201">
        <v>-13.6</v>
      </c>
      <c r="G6821" s="201">
        <v>7.6</v>
      </c>
    </row>
    <row r="6822" spans="4:7">
      <c r="D6822" s="200" t="s">
        <v>6803</v>
      </c>
      <c r="E6822" s="10">
        <v>79254</v>
      </c>
      <c r="F6822" s="201">
        <v>-13.6</v>
      </c>
      <c r="G6822" s="201">
        <v>6</v>
      </c>
    </row>
    <row r="6823" spans="4:7">
      <c r="D6823" s="200" t="s">
        <v>6804</v>
      </c>
      <c r="E6823" s="10">
        <v>79682</v>
      </c>
      <c r="F6823" s="201">
        <v>-13.6</v>
      </c>
      <c r="G6823" s="201">
        <v>7.6</v>
      </c>
    </row>
    <row r="6824" spans="4:7">
      <c r="D6824" s="200" t="s">
        <v>6805</v>
      </c>
      <c r="E6824" s="10">
        <v>79685</v>
      </c>
      <c r="F6824" s="201">
        <v>-13.6</v>
      </c>
      <c r="G6824" s="201">
        <v>7.5</v>
      </c>
    </row>
    <row r="6825" spans="4:7">
      <c r="D6825" s="200" t="s">
        <v>6806</v>
      </c>
      <c r="E6825" s="10">
        <v>79737</v>
      </c>
      <c r="F6825" s="201">
        <v>-13.6</v>
      </c>
      <c r="G6825" s="201">
        <v>7.4</v>
      </c>
    </row>
    <row r="6826" spans="4:7">
      <c r="D6826" s="200" t="s">
        <v>6807</v>
      </c>
      <c r="E6826" s="10">
        <v>79822</v>
      </c>
      <c r="F6826" s="201">
        <v>-13.6</v>
      </c>
      <c r="G6826" s="201">
        <v>7.4</v>
      </c>
    </row>
    <row r="6827" spans="4:7">
      <c r="D6827" s="200" t="s">
        <v>6808</v>
      </c>
      <c r="E6827" s="10">
        <v>79853</v>
      </c>
      <c r="F6827" s="201">
        <v>-13.6</v>
      </c>
      <c r="G6827" s="201">
        <v>7.5</v>
      </c>
    </row>
    <row r="6828" spans="4:7">
      <c r="D6828" s="200" t="s">
        <v>4162</v>
      </c>
      <c r="E6828" s="10">
        <v>80995</v>
      </c>
      <c r="F6828" s="201">
        <v>-13.6</v>
      </c>
      <c r="G6828" s="201">
        <v>8.8000000000000007</v>
      </c>
    </row>
    <row r="6829" spans="4:7">
      <c r="D6829" s="200" t="s">
        <v>6809</v>
      </c>
      <c r="E6829" s="10">
        <v>82515</v>
      </c>
      <c r="F6829" s="201">
        <v>-13.6</v>
      </c>
      <c r="G6829" s="201">
        <v>8.6</v>
      </c>
    </row>
    <row r="6830" spans="4:7">
      <c r="D6830" s="200" t="s">
        <v>6810</v>
      </c>
      <c r="E6830" s="10">
        <v>83313</v>
      </c>
      <c r="F6830" s="201">
        <v>-13.6</v>
      </c>
      <c r="G6830" s="201">
        <v>7.7</v>
      </c>
    </row>
    <row r="6831" spans="4:7">
      <c r="D6831" s="200" t="s">
        <v>4115</v>
      </c>
      <c r="E6831" s="10">
        <v>83346</v>
      </c>
      <c r="F6831" s="201">
        <v>-13.6</v>
      </c>
      <c r="G6831" s="201">
        <v>7.7</v>
      </c>
    </row>
    <row r="6832" spans="4:7">
      <c r="D6832" s="200" t="s">
        <v>6811</v>
      </c>
      <c r="E6832" s="10">
        <v>83451</v>
      </c>
      <c r="F6832" s="201">
        <v>-13.6</v>
      </c>
      <c r="G6832" s="201">
        <v>9</v>
      </c>
    </row>
    <row r="6833" spans="4:7">
      <c r="D6833" s="200" t="s">
        <v>6812</v>
      </c>
      <c r="E6833" s="10">
        <v>83527</v>
      </c>
      <c r="F6833" s="201">
        <v>-13.6</v>
      </c>
      <c r="G6833" s="201">
        <v>8.1999999999999993</v>
      </c>
    </row>
    <row r="6834" spans="4:7">
      <c r="D6834" s="200" t="s">
        <v>6562</v>
      </c>
      <c r="E6834" s="10">
        <v>83559</v>
      </c>
      <c r="F6834" s="201">
        <v>-13.6</v>
      </c>
      <c r="G6834" s="201">
        <v>8.6999999999999993</v>
      </c>
    </row>
    <row r="6835" spans="4:7">
      <c r="D6835" s="200" t="s">
        <v>5491</v>
      </c>
      <c r="E6835" s="10">
        <v>84036</v>
      </c>
      <c r="F6835" s="201">
        <v>-13.6</v>
      </c>
      <c r="G6835" s="201">
        <v>8.5</v>
      </c>
    </row>
    <row r="6836" spans="4:7">
      <c r="D6836" s="200" t="s">
        <v>6813</v>
      </c>
      <c r="E6836" s="10">
        <v>84048</v>
      </c>
      <c r="F6836" s="201">
        <v>-13.6</v>
      </c>
      <c r="G6836" s="201">
        <v>8.8000000000000007</v>
      </c>
    </row>
    <row r="6837" spans="4:7">
      <c r="D6837" s="200" t="s">
        <v>6814</v>
      </c>
      <c r="E6837" s="10">
        <v>84056</v>
      </c>
      <c r="F6837" s="201">
        <v>-13.6</v>
      </c>
      <c r="G6837" s="201">
        <v>8.6</v>
      </c>
    </row>
    <row r="6838" spans="4:7">
      <c r="D6838" s="200" t="s">
        <v>6815</v>
      </c>
      <c r="E6838" s="10">
        <v>84072</v>
      </c>
      <c r="F6838" s="201">
        <v>-13.6</v>
      </c>
      <c r="G6838" s="201">
        <v>8.8000000000000007</v>
      </c>
    </row>
    <row r="6839" spans="4:7">
      <c r="D6839" s="200" t="s">
        <v>6816</v>
      </c>
      <c r="E6839" s="10">
        <v>84091</v>
      </c>
      <c r="F6839" s="201">
        <v>-13.6</v>
      </c>
      <c r="G6839" s="201">
        <v>8.6999999999999993</v>
      </c>
    </row>
    <row r="6840" spans="4:7">
      <c r="D6840" s="200" t="s">
        <v>6817</v>
      </c>
      <c r="E6840" s="10">
        <v>84095</v>
      </c>
      <c r="F6840" s="201">
        <v>-13.6</v>
      </c>
      <c r="G6840" s="201">
        <v>8.8000000000000007</v>
      </c>
    </row>
    <row r="6841" spans="4:7">
      <c r="D6841" s="200" t="s">
        <v>6818</v>
      </c>
      <c r="E6841" s="10">
        <v>84101</v>
      </c>
      <c r="F6841" s="201">
        <v>-13.6</v>
      </c>
      <c r="G6841" s="201">
        <v>8.6999999999999993</v>
      </c>
    </row>
    <row r="6842" spans="4:7">
      <c r="D6842" s="200" t="s">
        <v>6819</v>
      </c>
      <c r="E6842" s="10">
        <v>84103</v>
      </c>
      <c r="F6842" s="201">
        <v>-13.6</v>
      </c>
      <c r="G6842" s="201">
        <v>8.6</v>
      </c>
    </row>
    <row r="6843" spans="4:7">
      <c r="D6843" s="200" t="s">
        <v>6820</v>
      </c>
      <c r="E6843" s="10">
        <v>84109</v>
      </c>
      <c r="F6843" s="201">
        <v>-13.6</v>
      </c>
      <c r="G6843" s="201">
        <v>8.9</v>
      </c>
    </row>
    <row r="6844" spans="4:7">
      <c r="D6844" s="200" t="s">
        <v>6821</v>
      </c>
      <c r="E6844" s="10">
        <v>84137</v>
      </c>
      <c r="F6844" s="201">
        <v>-13.6</v>
      </c>
      <c r="G6844" s="201">
        <v>8.6</v>
      </c>
    </row>
    <row r="6845" spans="4:7">
      <c r="D6845" s="200" t="s">
        <v>6822</v>
      </c>
      <c r="E6845" s="10">
        <v>84155</v>
      </c>
      <c r="F6845" s="201">
        <v>-13.6</v>
      </c>
      <c r="G6845" s="201">
        <v>8.4</v>
      </c>
    </row>
    <row r="6846" spans="4:7">
      <c r="D6846" s="200" t="s">
        <v>6823</v>
      </c>
      <c r="E6846" s="10">
        <v>84160</v>
      </c>
      <c r="F6846" s="201">
        <v>-13.6</v>
      </c>
      <c r="G6846" s="201">
        <v>8.5</v>
      </c>
    </row>
    <row r="6847" spans="4:7">
      <c r="D6847" s="200" t="s">
        <v>6824</v>
      </c>
      <c r="E6847" s="10">
        <v>84166</v>
      </c>
      <c r="F6847" s="201">
        <v>-13.6</v>
      </c>
      <c r="G6847" s="201">
        <v>8.4</v>
      </c>
    </row>
    <row r="6848" spans="4:7">
      <c r="D6848" s="200" t="s">
        <v>6825</v>
      </c>
      <c r="E6848" s="10">
        <v>84174</v>
      </c>
      <c r="F6848" s="201">
        <v>-13.6</v>
      </c>
      <c r="G6848" s="201">
        <v>8.9</v>
      </c>
    </row>
    <row r="6849" spans="4:7">
      <c r="D6849" s="200" t="s">
        <v>6826</v>
      </c>
      <c r="E6849" s="10">
        <v>84177</v>
      </c>
      <c r="F6849" s="201">
        <v>-13.6</v>
      </c>
      <c r="G6849" s="201">
        <v>8.6</v>
      </c>
    </row>
    <row r="6850" spans="4:7">
      <c r="D6850" s="200" t="s">
        <v>6827</v>
      </c>
      <c r="E6850" s="10">
        <v>84178</v>
      </c>
      <c r="F6850" s="201">
        <v>-13.6</v>
      </c>
      <c r="G6850" s="201">
        <v>8.3000000000000007</v>
      </c>
    </row>
    <row r="6851" spans="4:7">
      <c r="D6851" s="200" t="s">
        <v>5048</v>
      </c>
      <c r="E6851" s="10">
        <v>84184</v>
      </c>
      <c r="F6851" s="201">
        <v>-13.6</v>
      </c>
      <c r="G6851" s="201">
        <v>8.8000000000000007</v>
      </c>
    </row>
    <row r="6852" spans="4:7">
      <c r="D6852" s="200" t="s">
        <v>6828</v>
      </c>
      <c r="E6852" s="10">
        <v>84428</v>
      </c>
      <c r="F6852" s="201">
        <v>-13.6</v>
      </c>
      <c r="G6852" s="201">
        <v>8.6</v>
      </c>
    </row>
    <row r="6853" spans="4:7">
      <c r="D6853" s="200" t="s">
        <v>6829</v>
      </c>
      <c r="E6853" s="10">
        <v>84432</v>
      </c>
      <c r="F6853" s="201">
        <v>-13.6</v>
      </c>
      <c r="G6853" s="201">
        <v>8.4</v>
      </c>
    </row>
    <row r="6854" spans="4:7">
      <c r="D6854" s="200" t="s">
        <v>6830</v>
      </c>
      <c r="E6854" s="10">
        <v>84435</v>
      </c>
      <c r="F6854" s="201">
        <v>-13.6</v>
      </c>
      <c r="G6854" s="201">
        <v>8.6</v>
      </c>
    </row>
    <row r="6855" spans="4:7">
      <c r="D6855" s="200" t="s">
        <v>6831</v>
      </c>
      <c r="E6855" s="10">
        <v>84494</v>
      </c>
      <c r="F6855" s="201">
        <v>-13.6</v>
      </c>
      <c r="G6855" s="201">
        <v>8.4</v>
      </c>
    </row>
    <row r="6856" spans="4:7">
      <c r="D6856" s="200" t="s">
        <v>6832</v>
      </c>
      <c r="E6856" s="10">
        <v>84513</v>
      </c>
      <c r="F6856" s="201">
        <v>-13.6</v>
      </c>
      <c r="G6856" s="201">
        <v>8.8000000000000007</v>
      </c>
    </row>
    <row r="6857" spans="4:7">
      <c r="D6857" s="200" t="s">
        <v>6833</v>
      </c>
      <c r="E6857" s="10">
        <v>84539</v>
      </c>
      <c r="F6857" s="201">
        <v>-13.6</v>
      </c>
      <c r="G6857" s="201">
        <v>8.6999999999999993</v>
      </c>
    </row>
    <row r="6858" spans="4:7">
      <c r="D6858" s="200" t="s">
        <v>6834</v>
      </c>
      <c r="E6858" s="10">
        <v>84549</v>
      </c>
      <c r="F6858" s="201">
        <v>-13.6</v>
      </c>
      <c r="G6858" s="201">
        <v>8.5</v>
      </c>
    </row>
    <row r="6859" spans="4:7">
      <c r="D6859" s="200" t="s">
        <v>6835</v>
      </c>
      <c r="E6859" s="10">
        <v>84552</v>
      </c>
      <c r="F6859" s="201">
        <v>-13.6</v>
      </c>
      <c r="G6859" s="201">
        <v>8.5</v>
      </c>
    </row>
    <row r="6860" spans="4:7">
      <c r="D6860" s="200" t="s">
        <v>6836</v>
      </c>
      <c r="E6860" s="10">
        <v>84564</v>
      </c>
      <c r="F6860" s="201">
        <v>-13.6</v>
      </c>
      <c r="G6860" s="201">
        <v>8.5</v>
      </c>
    </row>
    <row r="6861" spans="4:7">
      <c r="D6861" s="200" t="s">
        <v>6837</v>
      </c>
      <c r="E6861" s="10">
        <v>84568</v>
      </c>
      <c r="F6861" s="201">
        <v>-13.6</v>
      </c>
      <c r="G6861" s="201">
        <v>8.4</v>
      </c>
    </row>
    <row r="6862" spans="4:7">
      <c r="D6862" s="200" t="s">
        <v>3675</v>
      </c>
      <c r="E6862" s="10">
        <v>84573</v>
      </c>
      <c r="F6862" s="201">
        <v>-13.6</v>
      </c>
      <c r="G6862" s="201">
        <v>8.4</v>
      </c>
    </row>
    <row r="6863" spans="4:7">
      <c r="D6863" s="200" t="s">
        <v>6838</v>
      </c>
      <c r="E6863" s="10">
        <v>84574</v>
      </c>
      <c r="F6863" s="201">
        <v>-13.6</v>
      </c>
      <c r="G6863" s="201">
        <v>8.4</v>
      </c>
    </row>
    <row r="6864" spans="4:7">
      <c r="D6864" s="200" t="s">
        <v>6839</v>
      </c>
      <c r="E6864" s="10">
        <v>84576</v>
      </c>
      <c r="F6864" s="201">
        <v>-13.6</v>
      </c>
      <c r="G6864" s="201">
        <v>8.8000000000000007</v>
      </c>
    </row>
    <row r="6865" spans="4:7">
      <c r="D6865" s="200" t="s">
        <v>6840</v>
      </c>
      <c r="E6865" s="10">
        <v>85309</v>
      </c>
      <c r="F6865" s="201">
        <v>-13.6</v>
      </c>
      <c r="G6865" s="201">
        <v>8.8000000000000007</v>
      </c>
    </row>
    <row r="6866" spans="4:7">
      <c r="D6866" s="200" t="s">
        <v>6825</v>
      </c>
      <c r="E6866" s="10">
        <v>85386</v>
      </c>
      <c r="F6866" s="201">
        <v>-13.6</v>
      </c>
      <c r="G6866" s="201">
        <v>8.9</v>
      </c>
    </row>
    <row r="6867" spans="4:7">
      <c r="D6867" s="200" t="s">
        <v>6841</v>
      </c>
      <c r="E6867" s="10">
        <v>85391</v>
      </c>
      <c r="F6867" s="201">
        <v>-13.6</v>
      </c>
      <c r="G6867" s="201">
        <v>8.9</v>
      </c>
    </row>
    <row r="6868" spans="4:7">
      <c r="D6868" s="200" t="s">
        <v>6842</v>
      </c>
      <c r="E6868" s="10">
        <v>85399</v>
      </c>
      <c r="F6868" s="201">
        <v>-13.6</v>
      </c>
      <c r="G6868" s="201">
        <v>8.9</v>
      </c>
    </row>
    <row r="6869" spans="4:7">
      <c r="D6869" s="200" t="s">
        <v>6843</v>
      </c>
      <c r="E6869" s="10">
        <v>85405</v>
      </c>
      <c r="F6869" s="201">
        <v>-13.6</v>
      </c>
      <c r="G6869" s="201">
        <v>8.8000000000000007</v>
      </c>
    </row>
    <row r="6870" spans="4:7">
      <c r="D6870" s="200" t="s">
        <v>6844</v>
      </c>
      <c r="E6870" s="10">
        <v>85406</v>
      </c>
      <c r="F6870" s="201">
        <v>-13.6</v>
      </c>
      <c r="G6870" s="201">
        <v>8.8000000000000007</v>
      </c>
    </row>
    <row r="6871" spans="4:7">
      <c r="D6871" s="200" t="s">
        <v>6845</v>
      </c>
      <c r="E6871" s="10">
        <v>85410</v>
      </c>
      <c r="F6871" s="201">
        <v>-13.6</v>
      </c>
      <c r="G6871" s="201">
        <v>8.9</v>
      </c>
    </row>
    <row r="6872" spans="4:7">
      <c r="D6872" s="200" t="s">
        <v>6846</v>
      </c>
      <c r="E6872" s="10">
        <v>85414</v>
      </c>
      <c r="F6872" s="201">
        <v>-13.6</v>
      </c>
      <c r="G6872" s="201">
        <v>9</v>
      </c>
    </row>
    <row r="6873" spans="4:7">
      <c r="D6873" s="200" t="s">
        <v>6847</v>
      </c>
      <c r="E6873" s="10">
        <v>85416</v>
      </c>
      <c r="F6873" s="201">
        <v>-13.6</v>
      </c>
      <c r="G6873" s="201">
        <v>8.9</v>
      </c>
    </row>
    <row r="6874" spans="4:7">
      <c r="D6874" s="200" t="s">
        <v>6848</v>
      </c>
      <c r="E6874" s="10">
        <v>85417</v>
      </c>
      <c r="F6874" s="201">
        <v>-13.6</v>
      </c>
      <c r="G6874" s="201">
        <v>8.9</v>
      </c>
    </row>
    <row r="6875" spans="4:7">
      <c r="D6875" s="200" t="s">
        <v>6849</v>
      </c>
      <c r="E6875" s="10">
        <v>85419</v>
      </c>
      <c r="F6875" s="201">
        <v>-13.6</v>
      </c>
      <c r="G6875" s="201">
        <v>8.8000000000000007</v>
      </c>
    </row>
    <row r="6876" spans="4:7">
      <c r="D6876" s="200" t="s">
        <v>6850</v>
      </c>
      <c r="E6876" s="10">
        <v>85435</v>
      </c>
      <c r="F6876" s="201">
        <v>-13.6</v>
      </c>
      <c r="G6876" s="201">
        <v>8.8000000000000007</v>
      </c>
    </row>
    <row r="6877" spans="4:7">
      <c r="D6877" s="200" t="s">
        <v>5016</v>
      </c>
      <c r="E6877" s="10">
        <v>85456</v>
      </c>
      <c r="F6877" s="201">
        <v>-13.6</v>
      </c>
      <c r="G6877" s="201">
        <v>9</v>
      </c>
    </row>
    <row r="6878" spans="4:7">
      <c r="D6878" s="200" t="s">
        <v>6851</v>
      </c>
      <c r="E6878" s="10">
        <v>85459</v>
      </c>
      <c r="F6878" s="201">
        <v>-13.6</v>
      </c>
      <c r="G6878" s="201">
        <v>9</v>
      </c>
    </row>
    <row r="6879" spans="4:7">
      <c r="D6879" s="200" t="s">
        <v>2028</v>
      </c>
      <c r="E6879" s="10">
        <v>85461</v>
      </c>
      <c r="F6879" s="201">
        <v>-13.6</v>
      </c>
      <c r="G6879" s="201">
        <v>8.8000000000000007</v>
      </c>
    </row>
    <row r="6880" spans="4:7">
      <c r="D6880" s="200" t="s">
        <v>6852</v>
      </c>
      <c r="E6880" s="10">
        <v>85462</v>
      </c>
      <c r="F6880" s="201">
        <v>-13.6</v>
      </c>
      <c r="G6880" s="201">
        <v>9</v>
      </c>
    </row>
    <row r="6881" spans="4:7">
      <c r="D6881" s="200" t="s">
        <v>6853</v>
      </c>
      <c r="E6881" s="10">
        <v>85465</v>
      </c>
      <c r="F6881" s="201">
        <v>-13.6</v>
      </c>
      <c r="G6881" s="201">
        <v>9</v>
      </c>
    </row>
    <row r="6882" spans="4:7">
      <c r="D6882" s="200" t="s">
        <v>6854</v>
      </c>
      <c r="E6882" s="10">
        <v>85521</v>
      </c>
      <c r="F6882" s="201">
        <v>-13.6</v>
      </c>
      <c r="G6882" s="201">
        <v>8.6999999999999993</v>
      </c>
    </row>
    <row r="6883" spans="4:7">
      <c r="D6883" s="200" t="s">
        <v>6855</v>
      </c>
      <c r="E6883" s="10">
        <v>85586</v>
      </c>
      <c r="F6883" s="201">
        <v>-13.6</v>
      </c>
      <c r="G6883" s="201">
        <v>8.6999999999999993</v>
      </c>
    </row>
    <row r="6884" spans="4:7">
      <c r="D6884" s="200" t="s">
        <v>6856</v>
      </c>
      <c r="E6884" s="10">
        <v>85622</v>
      </c>
      <c r="F6884" s="201">
        <v>-13.6</v>
      </c>
      <c r="G6884" s="201">
        <v>8.6</v>
      </c>
    </row>
    <row r="6885" spans="4:7">
      <c r="D6885" s="200" t="s">
        <v>6857</v>
      </c>
      <c r="E6885" s="10">
        <v>85661</v>
      </c>
      <c r="F6885" s="201">
        <v>-13.6</v>
      </c>
      <c r="G6885" s="201">
        <v>8.6999999999999993</v>
      </c>
    </row>
    <row r="6886" spans="4:7">
      <c r="D6886" s="200" t="s">
        <v>6858</v>
      </c>
      <c r="E6886" s="10">
        <v>85669</v>
      </c>
      <c r="F6886" s="201">
        <v>-13.6</v>
      </c>
      <c r="G6886" s="201">
        <v>8.6</v>
      </c>
    </row>
    <row r="6887" spans="4:7">
      <c r="D6887" s="200" t="s">
        <v>6859</v>
      </c>
      <c r="E6887" s="10">
        <v>86441</v>
      </c>
      <c r="F6887" s="201">
        <v>-13.6</v>
      </c>
      <c r="G6887" s="201">
        <v>8.9</v>
      </c>
    </row>
    <row r="6888" spans="4:7">
      <c r="D6888" s="200" t="s">
        <v>6860</v>
      </c>
      <c r="E6888" s="10">
        <v>86450</v>
      </c>
      <c r="F6888" s="201">
        <v>-13.6</v>
      </c>
      <c r="G6888" s="201">
        <v>8.8000000000000007</v>
      </c>
    </row>
    <row r="6889" spans="4:7">
      <c r="D6889" s="200" t="s">
        <v>6861</v>
      </c>
      <c r="E6889" s="10">
        <v>86483</v>
      </c>
      <c r="F6889" s="201">
        <v>-13.6</v>
      </c>
      <c r="G6889" s="201">
        <v>8.8000000000000007</v>
      </c>
    </row>
    <row r="6890" spans="4:7">
      <c r="D6890" s="200" t="s">
        <v>6862</v>
      </c>
      <c r="E6890" s="10">
        <v>86558</v>
      </c>
      <c r="F6890" s="201">
        <v>-13.6</v>
      </c>
      <c r="G6890" s="201">
        <v>9</v>
      </c>
    </row>
    <row r="6891" spans="4:7">
      <c r="D6891" s="200" t="s">
        <v>6863</v>
      </c>
      <c r="E6891" s="10">
        <v>86562</v>
      </c>
      <c r="F6891" s="201">
        <v>-13.6</v>
      </c>
      <c r="G6891" s="201">
        <v>8.9</v>
      </c>
    </row>
    <row r="6892" spans="4:7">
      <c r="D6892" s="200" t="s">
        <v>6864</v>
      </c>
      <c r="E6892" s="10">
        <v>86637</v>
      </c>
      <c r="F6892" s="201">
        <v>-13.6</v>
      </c>
      <c r="G6892" s="201">
        <v>9</v>
      </c>
    </row>
    <row r="6893" spans="4:7">
      <c r="D6893" s="200" t="s">
        <v>6865</v>
      </c>
      <c r="E6893" s="10">
        <v>86641</v>
      </c>
      <c r="F6893" s="201">
        <v>-13.6</v>
      </c>
      <c r="G6893" s="201">
        <v>8.9</v>
      </c>
    </row>
    <row r="6894" spans="4:7">
      <c r="D6894" s="200" t="s">
        <v>6866</v>
      </c>
      <c r="E6894" s="10">
        <v>86669</v>
      </c>
      <c r="F6894" s="201">
        <v>-13.6</v>
      </c>
      <c r="G6894" s="201">
        <v>9</v>
      </c>
    </row>
    <row r="6895" spans="4:7">
      <c r="D6895" s="200" t="s">
        <v>6867</v>
      </c>
      <c r="E6895" s="10">
        <v>86695</v>
      </c>
      <c r="F6895" s="201">
        <v>-13.6</v>
      </c>
      <c r="G6895" s="201">
        <v>9</v>
      </c>
    </row>
    <row r="6896" spans="4:7">
      <c r="D6896" s="200" t="s">
        <v>6868</v>
      </c>
      <c r="E6896" s="10">
        <v>86707</v>
      </c>
      <c r="F6896" s="201">
        <v>-13.6</v>
      </c>
      <c r="G6896" s="201">
        <v>8.8000000000000007</v>
      </c>
    </row>
    <row r="6897" spans="4:7">
      <c r="D6897" s="200" t="s">
        <v>6869</v>
      </c>
      <c r="E6897" s="10">
        <v>87754</v>
      </c>
      <c r="F6897" s="201">
        <v>-13.6</v>
      </c>
      <c r="G6897" s="201">
        <v>8.3000000000000007</v>
      </c>
    </row>
    <row r="6898" spans="4:7">
      <c r="D6898" s="200" t="s">
        <v>6870</v>
      </c>
      <c r="E6898" s="10">
        <v>87766</v>
      </c>
      <c r="F6898" s="201">
        <v>-13.6</v>
      </c>
      <c r="G6898" s="201">
        <v>8.1999999999999993</v>
      </c>
    </row>
    <row r="6899" spans="4:7">
      <c r="D6899" s="200" t="s">
        <v>6871</v>
      </c>
      <c r="E6899" s="10">
        <v>87767</v>
      </c>
      <c r="F6899" s="201">
        <v>-13.6</v>
      </c>
      <c r="G6899" s="201">
        <v>8.1</v>
      </c>
    </row>
    <row r="6900" spans="4:7">
      <c r="D6900" s="200" t="s">
        <v>6872</v>
      </c>
      <c r="E6900" s="10">
        <v>89361</v>
      </c>
      <c r="F6900" s="201">
        <v>-13.6</v>
      </c>
      <c r="G6900" s="201">
        <v>8.6</v>
      </c>
    </row>
    <row r="6901" spans="4:7">
      <c r="D6901" s="200" t="s">
        <v>4257</v>
      </c>
      <c r="E6901" s="10">
        <v>90475</v>
      </c>
      <c r="F6901" s="201">
        <v>-13.6</v>
      </c>
      <c r="G6901" s="201">
        <v>9</v>
      </c>
    </row>
    <row r="6902" spans="4:7">
      <c r="D6902" s="200" t="s">
        <v>6873</v>
      </c>
      <c r="E6902" s="10">
        <v>90518</v>
      </c>
      <c r="F6902" s="201">
        <v>-13.6</v>
      </c>
      <c r="G6902" s="201">
        <v>8.8000000000000007</v>
      </c>
    </row>
    <row r="6903" spans="4:7">
      <c r="D6903" s="200" t="s">
        <v>6874</v>
      </c>
      <c r="E6903" s="10">
        <v>90552</v>
      </c>
      <c r="F6903" s="201">
        <v>-13.6</v>
      </c>
      <c r="G6903" s="201">
        <v>9.3000000000000007</v>
      </c>
    </row>
    <row r="6904" spans="4:7">
      <c r="D6904" s="200" t="s">
        <v>6875</v>
      </c>
      <c r="E6904" s="10">
        <v>90556</v>
      </c>
      <c r="F6904" s="201">
        <v>-13.6</v>
      </c>
      <c r="G6904" s="201">
        <v>9.1999999999999993</v>
      </c>
    </row>
    <row r="6905" spans="4:7">
      <c r="D6905" s="200" t="s">
        <v>6876</v>
      </c>
      <c r="E6905" s="10">
        <v>90559</v>
      </c>
      <c r="F6905" s="201">
        <v>-13.6</v>
      </c>
      <c r="G6905" s="201">
        <v>8.6999999999999993</v>
      </c>
    </row>
    <row r="6906" spans="4:7" ht="30">
      <c r="D6906" s="200" t="s">
        <v>6877</v>
      </c>
      <c r="E6906" s="10">
        <v>90571</v>
      </c>
      <c r="F6906" s="201">
        <v>-13.6</v>
      </c>
      <c r="G6906" s="201">
        <v>9.1</v>
      </c>
    </row>
    <row r="6907" spans="4:7">
      <c r="D6907" s="200" t="s">
        <v>6878</v>
      </c>
      <c r="E6907" s="10">
        <v>90596</v>
      </c>
      <c r="F6907" s="201">
        <v>-13.6</v>
      </c>
      <c r="G6907" s="201">
        <v>9</v>
      </c>
    </row>
    <row r="6908" spans="4:7">
      <c r="D6908" s="200" t="s">
        <v>6879</v>
      </c>
      <c r="E6908" s="10">
        <v>90607</v>
      </c>
      <c r="F6908" s="201">
        <v>-13.6</v>
      </c>
      <c r="G6908" s="201">
        <v>9.3000000000000007</v>
      </c>
    </row>
    <row r="6909" spans="4:7">
      <c r="D6909" s="200" t="s">
        <v>6880</v>
      </c>
      <c r="E6909" s="10">
        <v>91166</v>
      </c>
      <c r="F6909" s="201">
        <v>-13.6</v>
      </c>
      <c r="G6909" s="201">
        <v>9</v>
      </c>
    </row>
    <row r="6910" spans="4:7">
      <c r="D6910" s="200" t="s">
        <v>6881</v>
      </c>
      <c r="E6910" s="10">
        <v>91177</v>
      </c>
      <c r="F6910" s="201">
        <v>-13.6</v>
      </c>
      <c r="G6910" s="201">
        <v>8.6999999999999993</v>
      </c>
    </row>
    <row r="6911" spans="4:7">
      <c r="D6911" s="200" t="s">
        <v>6882</v>
      </c>
      <c r="E6911" s="10">
        <v>91183</v>
      </c>
      <c r="F6911" s="201">
        <v>-13.6</v>
      </c>
      <c r="G6911" s="201">
        <v>8.9</v>
      </c>
    </row>
    <row r="6912" spans="4:7">
      <c r="D6912" s="200" t="s">
        <v>6883</v>
      </c>
      <c r="E6912" s="10">
        <v>91207</v>
      </c>
      <c r="F6912" s="201">
        <v>-13.6</v>
      </c>
      <c r="G6912" s="201">
        <v>9.1</v>
      </c>
    </row>
    <row r="6913" spans="4:7">
      <c r="D6913" s="200" t="s">
        <v>6884</v>
      </c>
      <c r="E6913" s="10">
        <v>91217</v>
      </c>
      <c r="F6913" s="201">
        <v>-13.6</v>
      </c>
      <c r="G6913" s="201">
        <v>9.3000000000000007</v>
      </c>
    </row>
    <row r="6914" spans="4:7">
      <c r="D6914" s="200" t="s">
        <v>6885</v>
      </c>
      <c r="E6914" s="10">
        <v>91278</v>
      </c>
      <c r="F6914" s="201">
        <v>-13.6</v>
      </c>
      <c r="G6914" s="201">
        <v>8.6999999999999993</v>
      </c>
    </row>
    <row r="6915" spans="4:7">
      <c r="D6915" s="200" t="s">
        <v>6886</v>
      </c>
      <c r="E6915" s="10">
        <v>91320</v>
      </c>
      <c r="F6915" s="201">
        <v>-13.6</v>
      </c>
      <c r="G6915" s="201">
        <v>8.6999999999999993</v>
      </c>
    </row>
    <row r="6916" spans="4:7">
      <c r="D6916" s="200" t="s">
        <v>6887</v>
      </c>
      <c r="E6916" s="10">
        <v>91332</v>
      </c>
      <c r="F6916" s="201">
        <v>-13.6</v>
      </c>
      <c r="G6916" s="201">
        <v>8.6</v>
      </c>
    </row>
    <row r="6917" spans="4:7">
      <c r="D6917" s="200" t="s">
        <v>6888</v>
      </c>
      <c r="E6917" s="10">
        <v>91367</v>
      </c>
      <c r="F6917" s="201">
        <v>-13.6</v>
      </c>
      <c r="G6917" s="201">
        <v>8.6999999999999993</v>
      </c>
    </row>
    <row r="6918" spans="4:7">
      <c r="D6918" s="200" t="s">
        <v>6889</v>
      </c>
      <c r="E6918" s="10">
        <v>91564</v>
      </c>
      <c r="F6918" s="201">
        <v>-13.6</v>
      </c>
      <c r="G6918" s="201">
        <v>8.8000000000000007</v>
      </c>
    </row>
    <row r="6919" spans="4:7">
      <c r="D6919" s="200" t="s">
        <v>6890</v>
      </c>
      <c r="E6919" s="10">
        <v>91729</v>
      </c>
      <c r="F6919" s="201">
        <v>-13.6</v>
      </c>
      <c r="G6919" s="201">
        <v>8.8000000000000007</v>
      </c>
    </row>
    <row r="6920" spans="4:7">
      <c r="D6920" s="200" t="s">
        <v>6891</v>
      </c>
      <c r="E6920" s="10">
        <v>91785</v>
      </c>
      <c r="F6920" s="201">
        <v>-13.6</v>
      </c>
      <c r="G6920" s="201">
        <v>9.1</v>
      </c>
    </row>
    <row r="6921" spans="4:7">
      <c r="D6921" s="200" t="s">
        <v>6892</v>
      </c>
      <c r="E6921" s="10">
        <v>91796</v>
      </c>
      <c r="F6921" s="201">
        <v>-13.6</v>
      </c>
      <c r="G6921" s="201">
        <v>8.8000000000000007</v>
      </c>
    </row>
    <row r="6922" spans="4:7">
      <c r="D6922" s="200" t="s">
        <v>6893</v>
      </c>
      <c r="E6922" s="10">
        <v>92224</v>
      </c>
      <c r="F6922" s="201">
        <v>-13.6</v>
      </c>
      <c r="G6922" s="201">
        <v>9.3000000000000007</v>
      </c>
    </row>
    <row r="6923" spans="4:7">
      <c r="D6923" s="200" t="s">
        <v>6894</v>
      </c>
      <c r="E6923" s="10">
        <v>92342</v>
      </c>
      <c r="F6923" s="201">
        <v>-13.6</v>
      </c>
      <c r="G6923" s="201">
        <v>8.9</v>
      </c>
    </row>
    <row r="6924" spans="4:7">
      <c r="D6924" s="200" t="s">
        <v>6895</v>
      </c>
      <c r="E6924" s="10">
        <v>92348</v>
      </c>
      <c r="F6924" s="201">
        <v>-13.6</v>
      </c>
      <c r="G6924" s="201">
        <v>8.5</v>
      </c>
    </row>
    <row r="6925" spans="4:7">
      <c r="D6925" s="200" t="s">
        <v>3424</v>
      </c>
      <c r="E6925" s="10">
        <v>92360</v>
      </c>
      <c r="F6925" s="201">
        <v>-13.6</v>
      </c>
      <c r="G6925" s="201">
        <v>8.9</v>
      </c>
    </row>
    <row r="6926" spans="4:7">
      <c r="D6926" s="200" t="s">
        <v>6457</v>
      </c>
      <c r="E6926" s="10">
        <v>92363</v>
      </c>
      <c r="F6926" s="201">
        <v>-13.6</v>
      </c>
      <c r="G6926" s="201">
        <v>8.6</v>
      </c>
    </row>
    <row r="6927" spans="4:7">
      <c r="D6927" s="200" t="s">
        <v>6896</v>
      </c>
      <c r="E6927" s="10">
        <v>92369</v>
      </c>
      <c r="F6927" s="201">
        <v>-13.6</v>
      </c>
      <c r="G6927" s="201">
        <v>8.8000000000000007</v>
      </c>
    </row>
    <row r="6928" spans="4:7">
      <c r="D6928" s="200" t="s">
        <v>6897</v>
      </c>
      <c r="E6928" s="10">
        <v>92421</v>
      </c>
      <c r="F6928" s="201">
        <v>-13.6</v>
      </c>
      <c r="G6928" s="201">
        <v>9.1</v>
      </c>
    </row>
    <row r="6929" spans="4:7">
      <c r="D6929" s="200" t="s">
        <v>6898</v>
      </c>
      <c r="E6929" s="10">
        <v>92714</v>
      </c>
      <c r="F6929" s="201">
        <v>-13.6</v>
      </c>
      <c r="G6929" s="201">
        <v>7.9</v>
      </c>
    </row>
    <row r="6930" spans="4:7">
      <c r="D6930" s="200" t="s">
        <v>6899</v>
      </c>
      <c r="E6930" s="10">
        <v>93073</v>
      </c>
      <c r="F6930" s="201">
        <v>-13.6</v>
      </c>
      <c r="G6930" s="201">
        <v>9.1</v>
      </c>
    </row>
    <row r="6931" spans="4:7">
      <c r="D6931" s="200" t="s">
        <v>6900</v>
      </c>
      <c r="E6931" s="10">
        <v>93090</v>
      </c>
      <c r="F6931" s="201">
        <v>-13.6</v>
      </c>
      <c r="G6931" s="201">
        <v>9</v>
      </c>
    </row>
    <row r="6932" spans="4:7">
      <c r="D6932" s="200" t="s">
        <v>6901</v>
      </c>
      <c r="E6932" s="10">
        <v>93092</v>
      </c>
      <c r="F6932" s="201">
        <v>-13.6</v>
      </c>
      <c r="G6932" s="201">
        <v>9</v>
      </c>
    </row>
    <row r="6933" spans="4:7">
      <c r="D6933" s="200" t="s">
        <v>6902</v>
      </c>
      <c r="E6933" s="10">
        <v>93101</v>
      </c>
      <c r="F6933" s="201">
        <v>-13.6</v>
      </c>
      <c r="G6933" s="201">
        <v>8.8000000000000007</v>
      </c>
    </row>
    <row r="6934" spans="4:7">
      <c r="D6934" s="200" t="s">
        <v>6903</v>
      </c>
      <c r="E6934" s="10">
        <v>93182</v>
      </c>
      <c r="F6934" s="201">
        <v>-13.6</v>
      </c>
      <c r="G6934" s="201">
        <v>8.4</v>
      </c>
    </row>
    <row r="6935" spans="4:7">
      <c r="D6935" s="200" t="s">
        <v>6904</v>
      </c>
      <c r="E6935" s="10">
        <v>93186</v>
      </c>
      <c r="F6935" s="201">
        <v>-13.6</v>
      </c>
      <c r="G6935" s="201">
        <v>8.5</v>
      </c>
    </row>
    <row r="6936" spans="4:7">
      <c r="D6936" s="200" t="s">
        <v>3933</v>
      </c>
      <c r="E6936" s="10">
        <v>93345</v>
      </c>
      <c r="F6936" s="201">
        <v>-13.6</v>
      </c>
      <c r="G6936" s="201">
        <v>8.9</v>
      </c>
    </row>
    <row r="6937" spans="4:7">
      <c r="D6937" s="200" t="s">
        <v>6905</v>
      </c>
      <c r="E6937" s="10">
        <v>93466</v>
      </c>
      <c r="F6937" s="201">
        <v>-13.6</v>
      </c>
      <c r="G6937" s="201">
        <v>7.8</v>
      </c>
    </row>
    <row r="6938" spans="4:7">
      <c r="D6938" s="200" t="s">
        <v>6906</v>
      </c>
      <c r="E6938" s="10">
        <v>93468</v>
      </c>
      <c r="F6938" s="201">
        <v>-13.6</v>
      </c>
      <c r="G6938" s="201">
        <v>8.4</v>
      </c>
    </row>
    <row r="6939" spans="4:7">
      <c r="D6939" s="200" t="s">
        <v>6907</v>
      </c>
      <c r="E6939" s="10">
        <v>93477</v>
      </c>
      <c r="F6939" s="201">
        <v>-13.6</v>
      </c>
      <c r="G6939" s="201">
        <v>8.1999999999999993</v>
      </c>
    </row>
    <row r="6940" spans="4:7">
      <c r="D6940" s="200" t="s">
        <v>6908</v>
      </c>
      <c r="E6940" s="10">
        <v>93482</v>
      </c>
      <c r="F6940" s="201">
        <v>-13.6</v>
      </c>
      <c r="G6940" s="201">
        <v>8.5</v>
      </c>
    </row>
    <row r="6941" spans="4:7">
      <c r="D6941" s="200" t="s">
        <v>6909</v>
      </c>
      <c r="E6941" s="10">
        <v>93488</v>
      </c>
      <c r="F6941" s="201">
        <v>-13.6</v>
      </c>
      <c r="G6941" s="201">
        <v>8.1999999999999993</v>
      </c>
    </row>
    <row r="6942" spans="4:7">
      <c r="D6942" s="200" t="s">
        <v>6910</v>
      </c>
      <c r="E6942" s="10">
        <v>93492</v>
      </c>
      <c r="F6942" s="201">
        <v>-13.6</v>
      </c>
      <c r="G6942" s="201">
        <v>7.7</v>
      </c>
    </row>
    <row r="6943" spans="4:7">
      <c r="D6943" s="200" t="s">
        <v>6911</v>
      </c>
      <c r="E6943" s="10">
        <v>94261</v>
      </c>
      <c r="F6943" s="201">
        <v>-13.6</v>
      </c>
      <c r="G6943" s="201">
        <v>7.1</v>
      </c>
    </row>
    <row r="6944" spans="4:7">
      <c r="D6944" s="200" t="s">
        <v>6912</v>
      </c>
      <c r="E6944" s="10">
        <v>94333</v>
      </c>
      <c r="F6944" s="201">
        <v>-13.6</v>
      </c>
      <c r="G6944" s="201">
        <v>8.8000000000000007</v>
      </c>
    </row>
    <row r="6945" spans="4:7">
      <c r="D6945" s="200" t="s">
        <v>6913</v>
      </c>
      <c r="E6945" s="10">
        <v>94347</v>
      </c>
      <c r="F6945" s="201">
        <v>-13.6</v>
      </c>
      <c r="G6945" s="201">
        <v>8.9</v>
      </c>
    </row>
    <row r="6946" spans="4:7">
      <c r="D6946" s="200" t="s">
        <v>4006</v>
      </c>
      <c r="E6946" s="10">
        <v>94353</v>
      </c>
      <c r="F6946" s="201">
        <v>-13.6</v>
      </c>
      <c r="G6946" s="201">
        <v>8</v>
      </c>
    </row>
    <row r="6947" spans="4:7">
      <c r="D6947" s="200" t="s">
        <v>6914</v>
      </c>
      <c r="E6947" s="10">
        <v>94354</v>
      </c>
      <c r="F6947" s="201">
        <v>-13.6</v>
      </c>
      <c r="G6947" s="201">
        <v>8.4</v>
      </c>
    </row>
    <row r="6948" spans="4:7">
      <c r="D6948" s="200" t="s">
        <v>6915</v>
      </c>
      <c r="E6948" s="10">
        <v>94357</v>
      </c>
      <c r="F6948" s="201">
        <v>-13.6</v>
      </c>
      <c r="G6948" s="201">
        <v>7.7</v>
      </c>
    </row>
    <row r="6949" spans="4:7">
      <c r="D6949" s="200" t="s">
        <v>6916</v>
      </c>
      <c r="E6949" s="10">
        <v>94359</v>
      </c>
      <c r="F6949" s="201">
        <v>-13.6</v>
      </c>
      <c r="G6949" s="201">
        <v>8.5</v>
      </c>
    </row>
    <row r="6950" spans="4:7">
      <c r="D6950" s="200" t="s">
        <v>6917</v>
      </c>
      <c r="E6950" s="10">
        <v>94360</v>
      </c>
      <c r="F6950" s="201">
        <v>-13.6</v>
      </c>
      <c r="G6950" s="201">
        <v>8.5</v>
      </c>
    </row>
    <row r="6951" spans="4:7">
      <c r="D6951" s="200" t="s">
        <v>4040</v>
      </c>
      <c r="E6951" s="10">
        <v>94374</v>
      </c>
      <c r="F6951" s="201">
        <v>-13.6</v>
      </c>
      <c r="G6951" s="201">
        <v>8.4</v>
      </c>
    </row>
    <row r="6952" spans="4:7">
      <c r="D6952" s="200" t="s">
        <v>6918</v>
      </c>
      <c r="E6952" s="10">
        <v>94375</v>
      </c>
      <c r="F6952" s="201">
        <v>-13.6</v>
      </c>
      <c r="G6952" s="201">
        <v>8.5</v>
      </c>
    </row>
    <row r="6953" spans="4:7">
      <c r="D6953" s="200" t="s">
        <v>6919</v>
      </c>
      <c r="E6953" s="10">
        <v>94405</v>
      </c>
      <c r="F6953" s="201">
        <v>-13.6</v>
      </c>
      <c r="G6953" s="201">
        <v>8.6</v>
      </c>
    </row>
    <row r="6954" spans="4:7">
      <c r="D6954" s="200" t="s">
        <v>6920</v>
      </c>
      <c r="E6954" s="10">
        <v>94431</v>
      </c>
      <c r="F6954" s="201">
        <v>-13.6</v>
      </c>
      <c r="G6954" s="201">
        <v>8.9</v>
      </c>
    </row>
    <row r="6955" spans="4:7">
      <c r="D6955" s="200" t="s">
        <v>6921</v>
      </c>
      <c r="E6955" s="10">
        <v>94437</v>
      </c>
      <c r="F6955" s="201">
        <v>-13.6</v>
      </c>
      <c r="G6955" s="201">
        <v>8.6</v>
      </c>
    </row>
    <row r="6956" spans="4:7">
      <c r="D6956" s="200" t="s">
        <v>6922</v>
      </c>
      <c r="E6956" s="10">
        <v>94522</v>
      </c>
      <c r="F6956" s="201">
        <v>-13.6</v>
      </c>
      <c r="G6956" s="201">
        <v>9</v>
      </c>
    </row>
    <row r="6957" spans="4:7">
      <c r="D6957" s="200" t="s">
        <v>6923</v>
      </c>
      <c r="E6957" s="10">
        <v>94527</v>
      </c>
      <c r="F6957" s="201">
        <v>-13.6</v>
      </c>
      <c r="G6957" s="201">
        <v>9.1</v>
      </c>
    </row>
    <row r="6958" spans="4:7">
      <c r="D6958" s="200" t="s">
        <v>6924</v>
      </c>
      <c r="E6958" s="10">
        <v>94562</v>
      </c>
      <c r="F6958" s="201">
        <v>-13.6</v>
      </c>
      <c r="G6958" s="201">
        <v>9</v>
      </c>
    </row>
    <row r="6959" spans="4:7">
      <c r="D6959" s="200" t="s">
        <v>6925</v>
      </c>
      <c r="E6959" s="10">
        <v>95358</v>
      </c>
      <c r="F6959" s="201">
        <v>-13.6</v>
      </c>
      <c r="G6959" s="201">
        <v>7.9</v>
      </c>
    </row>
    <row r="6960" spans="4:7">
      <c r="D6960" s="200" t="s">
        <v>6926</v>
      </c>
      <c r="E6960" s="10">
        <v>95509</v>
      </c>
      <c r="F6960" s="201">
        <v>-13.6</v>
      </c>
      <c r="G6960" s="201">
        <v>7.9</v>
      </c>
    </row>
    <row r="6961" spans="4:7">
      <c r="D6961" s="200" t="s">
        <v>6927</v>
      </c>
      <c r="E6961" s="10">
        <v>96155</v>
      </c>
      <c r="F6961" s="201">
        <v>-13.6</v>
      </c>
      <c r="G6961" s="201">
        <v>8.4</v>
      </c>
    </row>
    <row r="6962" spans="4:7">
      <c r="D6962" s="200" t="s">
        <v>6928</v>
      </c>
      <c r="E6962" s="10">
        <v>97772</v>
      </c>
      <c r="F6962" s="201">
        <v>-13.6</v>
      </c>
      <c r="G6962" s="201">
        <v>7</v>
      </c>
    </row>
    <row r="6963" spans="4:7">
      <c r="D6963" s="200" t="s">
        <v>6929</v>
      </c>
      <c r="E6963" s="10">
        <v>98634</v>
      </c>
      <c r="F6963" s="201">
        <v>-13.6</v>
      </c>
      <c r="G6963" s="201">
        <v>7.5</v>
      </c>
    </row>
    <row r="6964" spans="4:7">
      <c r="D6964" s="200" t="s">
        <v>6930</v>
      </c>
      <c r="E6964" s="10">
        <v>98678</v>
      </c>
      <c r="F6964" s="201">
        <v>-13.6</v>
      </c>
      <c r="G6964" s="201">
        <v>7.6</v>
      </c>
    </row>
    <row r="6965" spans="4:7">
      <c r="D6965" s="200" t="s">
        <v>4966</v>
      </c>
      <c r="E6965" s="10">
        <v>99090</v>
      </c>
      <c r="F6965" s="201">
        <v>-13.6</v>
      </c>
      <c r="G6965" s="201">
        <v>8.6999999999999993</v>
      </c>
    </row>
    <row r="6966" spans="4:7">
      <c r="D6966" s="200" t="s">
        <v>6748</v>
      </c>
      <c r="E6966" s="10">
        <v>99310</v>
      </c>
      <c r="F6966" s="201">
        <v>-13.6</v>
      </c>
      <c r="G6966" s="201">
        <v>8.6999999999999993</v>
      </c>
    </row>
    <row r="6967" spans="4:7">
      <c r="D6967" s="200" t="s">
        <v>6931</v>
      </c>
      <c r="E6967" s="10">
        <v>99441</v>
      </c>
      <c r="F6967" s="201">
        <v>-13.6</v>
      </c>
      <c r="G6967" s="201">
        <v>8.6999999999999993</v>
      </c>
    </row>
    <row r="6968" spans="4:7">
      <c r="D6968" s="200" t="s">
        <v>6932</v>
      </c>
      <c r="E6968" s="10">
        <v>99762</v>
      </c>
      <c r="F6968" s="201">
        <v>-13.6</v>
      </c>
      <c r="G6968" s="201">
        <v>8.1</v>
      </c>
    </row>
    <row r="6969" spans="4:7">
      <c r="D6969" s="200" t="s">
        <v>6933</v>
      </c>
      <c r="E6969" s="10">
        <v>99885</v>
      </c>
      <c r="F6969" s="201">
        <v>-13.6</v>
      </c>
      <c r="G6969" s="201">
        <v>8.3000000000000007</v>
      </c>
    </row>
    <row r="6970" spans="4:7">
      <c r="D6970" s="200" t="s">
        <v>6934</v>
      </c>
      <c r="E6970" s="10">
        <v>99894</v>
      </c>
      <c r="F6970" s="201">
        <v>-13.6</v>
      </c>
      <c r="G6970" s="201">
        <v>8.1</v>
      </c>
    </row>
    <row r="6971" spans="4:7">
      <c r="D6971" s="200" t="s">
        <v>6935</v>
      </c>
      <c r="E6971" s="10">
        <v>1728</v>
      </c>
      <c r="F6971" s="201">
        <v>-13.7</v>
      </c>
      <c r="G6971" s="201">
        <v>9.1</v>
      </c>
    </row>
    <row r="6972" spans="4:7">
      <c r="D6972" s="200" t="s">
        <v>6936</v>
      </c>
      <c r="E6972" s="10">
        <v>1731</v>
      </c>
      <c r="F6972" s="201">
        <v>-13.7</v>
      </c>
      <c r="G6972" s="201">
        <v>9.3000000000000007</v>
      </c>
    </row>
    <row r="6973" spans="4:7">
      <c r="D6973" s="200" t="s">
        <v>6937</v>
      </c>
      <c r="E6973" s="10">
        <v>1814</v>
      </c>
      <c r="F6973" s="201">
        <v>-13.7</v>
      </c>
      <c r="G6973" s="201">
        <v>9</v>
      </c>
    </row>
    <row r="6974" spans="4:7">
      <c r="D6974" s="200" t="s">
        <v>6938</v>
      </c>
      <c r="E6974" s="10">
        <v>1819</v>
      </c>
      <c r="F6974" s="201">
        <v>-13.7</v>
      </c>
      <c r="G6974" s="201">
        <v>8.6999999999999993</v>
      </c>
    </row>
    <row r="6975" spans="4:7">
      <c r="D6975" s="200" t="s">
        <v>6939</v>
      </c>
      <c r="E6975" s="10">
        <v>1847</v>
      </c>
      <c r="F6975" s="201">
        <v>-13.7</v>
      </c>
      <c r="G6975" s="201">
        <v>9</v>
      </c>
    </row>
    <row r="6976" spans="4:7">
      <c r="D6976" s="200" t="s">
        <v>6940</v>
      </c>
      <c r="E6976" s="10">
        <v>1855</v>
      </c>
      <c r="F6976" s="201">
        <v>-13.7</v>
      </c>
      <c r="G6976" s="201">
        <v>8.8000000000000007</v>
      </c>
    </row>
    <row r="6977" spans="4:7">
      <c r="D6977" s="200" t="s">
        <v>6941</v>
      </c>
      <c r="E6977" s="10">
        <v>3149</v>
      </c>
      <c r="F6977" s="201">
        <v>-13.7</v>
      </c>
      <c r="G6977" s="201">
        <v>9.5</v>
      </c>
    </row>
    <row r="6978" spans="4:7">
      <c r="D6978" s="200" t="s">
        <v>6942</v>
      </c>
      <c r="E6978" s="10">
        <v>4643</v>
      </c>
      <c r="F6978" s="201">
        <v>-13.7</v>
      </c>
      <c r="G6978" s="201">
        <v>9.3000000000000007</v>
      </c>
    </row>
    <row r="6979" spans="4:7">
      <c r="D6979" s="200" t="s">
        <v>6943</v>
      </c>
      <c r="E6979" s="10">
        <v>4668</v>
      </c>
      <c r="F6979" s="201">
        <v>-13.7</v>
      </c>
      <c r="G6979" s="201">
        <v>9.4</v>
      </c>
    </row>
    <row r="6980" spans="4:7">
      <c r="D6980" s="200" t="s">
        <v>6944</v>
      </c>
      <c r="E6980" s="10">
        <v>4703</v>
      </c>
      <c r="F6980" s="201">
        <v>-13.7</v>
      </c>
      <c r="G6980" s="201">
        <v>9.4</v>
      </c>
    </row>
    <row r="6981" spans="4:7">
      <c r="D6981" s="200" t="s">
        <v>6945</v>
      </c>
      <c r="E6981" s="10">
        <v>4720</v>
      </c>
      <c r="F6981" s="201">
        <v>-13.7</v>
      </c>
      <c r="G6981" s="201">
        <v>9.5</v>
      </c>
    </row>
    <row r="6982" spans="4:7">
      <c r="D6982" s="200" t="s">
        <v>6946</v>
      </c>
      <c r="E6982" s="10">
        <v>4741</v>
      </c>
      <c r="F6982" s="201">
        <v>-13.7</v>
      </c>
      <c r="G6982" s="201">
        <v>9.3000000000000007</v>
      </c>
    </row>
    <row r="6983" spans="4:7">
      <c r="D6983" s="200" t="s">
        <v>6947</v>
      </c>
      <c r="E6983" s="10">
        <v>4774</v>
      </c>
      <c r="F6983" s="201">
        <v>-13.7</v>
      </c>
      <c r="G6983" s="201">
        <v>9.5</v>
      </c>
    </row>
    <row r="6984" spans="4:7">
      <c r="D6984" s="200" t="s">
        <v>5713</v>
      </c>
      <c r="E6984" s="10">
        <v>6120</v>
      </c>
      <c r="F6984" s="201">
        <v>-13.7</v>
      </c>
      <c r="G6984" s="201">
        <v>9.6999999999999993</v>
      </c>
    </row>
    <row r="6985" spans="4:7">
      <c r="D6985" s="200" t="s">
        <v>6948</v>
      </c>
      <c r="E6985" s="10">
        <v>6249</v>
      </c>
      <c r="F6985" s="201">
        <v>-13.7</v>
      </c>
      <c r="G6985" s="201">
        <v>9.5</v>
      </c>
    </row>
    <row r="6986" spans="4:7">
      <c r="D6986" s="200" t="s">
        <v>6949</v>
      </c>
      <c r="E6986" s="10">
        <v>6311</v>
      </c>
      <c r="F6986" s="201">
        <v>-13.7</v>
      </c>
      <c r="G6986" s="201">
        <v>9.1</v>
      </c>
    </row>
    <row r="6987" spans="4:7">
      <c r="D6987" s="200" t="s">
        <v>6950</v>
      </c>
      <c r="E6987" s="10">
        <v>6317</v>
      </c>
      <c r="F6987" s="201">
        <v>-13.7</v>
      </c>
      <c r="G6987" s="201">
        <v>9.6999999999999993</v>
      </c>
    </row>
    <row r="6988" spans="4:7">
      <c r="D6988" s="200" t="s">
        <v>4402</v>
      </c>
      <c r="E6988" s="10">
        <v>6456</v>
      </c>
      <c r="F6988" s="201">
        <v>-13.7</v>
      </c>
      <c r="G6988" s="201">
        <v>9.3000000000000007</v>
      </c>
    </row>
    <row r="6989" spans="4:7">
      <c r="D6989" s="200" t="s">
        <v>6951</v>
      </c>
      <c r="E6989" s="10">
        <v>6632</v>
      </c>
      <c r="F6989" s="201">
        <v>-13.7</v>
      </c>
      <c r="G6989" s="201">
        <v>9.4</v>
      </c>
    </row>
    <row r="6990" spans="4:7">
      <c r="D6990" s="200" t="s">
        <v>6952</v>
      </c>
      <c r="E6990" s="10">
        <v>6780</v>
      </c>
      <c r="F6990" s="201">
        <v>-13.7</v>
      </c>
      <c r="G6990" s="201">
        <v>9.6</v>
      </c>
    </row>
    <row r="6991" spans="4:7">
      <c r="D6991" s="200" t="s">
        <v>6953</v>
      </c>
      <c r="E6991" s="10">
        <v>6792</v>
      </c>
      <c r="F6991" s="201">
        <v>-13.7</v>
      </c>
      <c r="G6991" s="201">
        <v>9.6</v>
      </c>
    </row>
    <row r="6992" spans="4:7">
      <c r="D6992" s="200" t="s">
        <v>6954</v>
      </c>
      <c r="E6992" s="10">
        <v>6809</v>
      </c>
      <c r="F6992" s="201">
        <v>-13.7</v>
      </c>
      <c r="G6992" s="201">
        <v>9.6999999999999993</v>
      </c>
    </row>
    <row r="6993" spans="4:7">
      <c r="D6993" s="200" t="s">
        <v>6955</v>
      </c>
      <c r="E6993" s="10">
        <v>7387</v>
      </c>
      <c r="F6993" s="201">
        <v>-13.7</v>
      </c>
      <c r="G6993" s="201">
        <v>8.8000000000000007</v>
      </c>
    </row>
    <row r="6994" spans="4:7">
      <c r="D6994" s="200" t="s">
        <v>6384</v>
      </c>
      <c r="E6994" s="10">
        <v>7546</v>
      </c>
      <c r="F6994" s="201">
        <v>-13.7</v>
      </c>
      <c r="G6994" s="201">
        <v>9.5</v>
      </c>
    </row>
    <row r="6995" spans="4:7">
      <c r="D6995" s="200" t="s">
        <v>6956</v>
      </c>
      <c r="E6995" s="10">
        <v>7646</v>
      </c>
      <c r="F6995" s="201">
        <v>-13.7</v>
      </c>
      <c r="G6995" s="201">
        <v>9</v>
      </c>
    </row>
    <row r="6996" spans="4:7">
      <c r="D6996" s="200" t="s">
        <v>6957</v>
      </c>
      <c r="E6996" s="10">
        <v>7980</v>
      </c>
      <c r="F6996" s="201">
        <v>-13.7</v>
      </c>
      <c r="G6996" s="201">
        <v>9.3000000000000007</v>
      </c>
    </row>
    <row r="6997" spans="4:7">
      <c r="D6997" s="200" t="s">
        <v>6103</v>
      </c>
      <c r="E6997" s="10">
        <v>8060</v>
      </c>
      <c r="F6997" s="201">
        <v>-13.7</v>
      </c>
      <c r="G6997" s="201">
        <v>9</v>
      </c>
    </row>
    <row r="6998" spans="4:7">
      <c r="D6998" s="200" t="s">
        <v>6103</v>
      </c>
      <c r="E6998" s="10">
        <v>8064</v>
      </c>
      <c r="F6998" s="201">
        <v>-13.7</v>
      </c>
      <c r="G6998" s="201">
        <v>8.6999999999999993</v>
      </c>
    </row>
    <row r="6999" spans="4:7">
      <c r="D6999" s="200" t="s">
        <v>6103</v>
      </c>
      <c r="E6999" s="10">
        <v>8066</v>
      </c>
      <c r="F6999" s="201">
        <v>-13.7</v>
      </c>
      <c r="G6999" s="201">
        <v>9</v>
      </c>
    </row>
    <row r="7000" spans="4:7">
      <c r="D7000" s="200" t="s">
        <v>6958</v>
      </c>
      <c r="E7000" s="10">
        <v>8134</v>
      </c>
      <c r="F7000" s="201">
        <v>-13.7</v>
      </c>
      <c r="G7000" s="201">
        <v>8.6999999999999993</v>
      </c>
    </row>
    <row r="7001" spans="4:7">
      <c r="D7001" s="200" t="s">
        <v>6959</v>
      </c>
      <c r="E7001" s="10">
        <v>8141</v>
      </c>
      <c r="F7001" s="201">
        <v>-13.7</v>
      </c>
      <c r="G7001" s="201">
        <v>8.8000000000000007</v>
      </c>
    </row>
    <row r="7002" spans="4:7">
      <c r="D7002" s="200" t="s">
        <v>6960</v>
      </c>
      <c r="E7002" s="10">
        <v>8427</v>
      </c>
      <c r="F7002" s="201">
        <v>-13.7</v>
      </c>
      <c r="G7002" s="201">
        <v>8.8000000000000007</v>
      </c>
    </row>
    <row r="7003" spans="4:7">
      <c r="D7003" s="200" t="s">
        <v>5882</v>
      </c>
      <c r="E7003" s="10">
        <v>9123</v>
      </c>
      <c r="F7003" s="201">
        <v>-13.7</v>
      </c>
      <c r="G7003" s="201">
        <v>8.6999999999999993</v>
      </c>
    </row>
    <row r="7004" spans="4:7">
      <c r="D7004" s="200" t="s">
        <v>6961</v>
      </c>
      <c r="E7004" s="10">
        <v>9241</v>
      </c>
      <c r="F7004" s="201">
        <v>-13.7</v>
      </c>
      <c r="G7004" s="201">
        <v>9.1</v>
      </c>
    </row>
    <row r="7005" spans="4:7">
      <c r="D7005" s="200" t="s">
        <v>5989</v>
      </c>
      <c r="E7005" s="10">
        <v>9350</v>
      </c>
      <c r="F7005" s="201">
        <v>-13.7</v>
      </c>
      <c r="G7005" s="201">
        <v>8.9</v>
      </c>
    </row>
    <row r="7006" spans="4:7">
      <c r="D7006" s="200" t="s">
        <v>6962</v>
      </c>
      <c r="E7006" s="10">
        <v>9385</v>
      </c>
      <c r="F7006" s="201">
        <v>-13.7</v>
      </c>
      <c r="G7006" s="201">
        <v>8.9</v>
      </c>
    </row>
    <row r="7007" spans="4:7">
      <c r="D7007" s="200" t="s">
        <v>6963</v>
      </c>
      <c r="E7007" s="10">
        <v>9569</v>
      </c>
      <c r="F7007" s="201">
        <v>-13.7</v>
      </c>
      <c r="G7007" s="201">
        <v>8.6</v>
      </c>
    </row>
    <row r="7008" spans="4:7">
      <c r="D7008" s="200" t="s">
        <v>6964</v>
      </c>
      <c r="E7008" s="10">
        <v>9579</v>
      </c>
      <c r="F7008" s="201">
        <v>-13.7</v>
      </c>
      <c r="G7008" s="201">
        <v>8.6999999999999993</v>
      </c>
    </row>
    <row r="7009" spans="4:7">
      <c r="D7009" s="200" t="s">
        <v>6965</v>
      </c>
      <c r="E7009" s="10">
        <v>9629</v>
      </c>
      <c r="F7009" s="201">
        <v>-13.7</v>
      </c>
      <c r="G7009" s="201">
        <v>8.8000000000000007</v>
      </c>
    </row>
    <row r="7010" spans="4:7">
      <c r="D7010" s="200" t="s">
        <v>6965</v>
      </c>
      <c r="E7010" s="10">
        <v>9634</v>
      </c>
      <c r="F7010" s="201">
        <v>-13.7</v>
      </c>
      <c r="G7010" s="201">
        <v>9.1</v>
      </c>
    </row>
    <row r="7011" spans="4:7">
      <c r="D7011" s="200" t="s">
        <v>6966</v>
      </c>
      <c r="E7011" s="10">
        <v>15230</v>
      </c>
      <c r="F7011" s="201">
        <v>-13.7</v>
      </c>
      <c r="G7011" s="201">
        <v>9.6</v>
      </c>
    </row>
    <row r="7012" spans="4:7">
      <c r="D7012" s="200" t="s">
        <v>6967</v>
      </c>
      <c r="E7012" s="10">
        <v>15320</v>
      </c>
      <c r="F7012" s="201">
        <v>-13.7</v>
      </c>
      <c r="G7012" s="201">
        <v>9.4</v>
      </c>
    </row>
    <row r="7013" spans="4:7">
      <c r="D7013" s="200" t="s">
        <v>6968</v>
      </c>
      <c r="E7013" s="10">
        <v>15324</v>
      </c>
      <c r="F7013" s="201">
        <v>-13.7</v>
      </c>
      <c r="G7013" s="201">
        <v>9.5</v>
      </c>
    </row>
    <row r="7014" spans="4:7">
      <c r="D7014" s="200" t="s">
        <v>6969</v>
      </c>
      <c r="E7014" s="10">
        <v>15741</v>
      </c>
      <c r="F7014" s="201">
        <v>-13.7</v>
      </c>
      <c r="G7014" s="201">
        <v>9.5</v>
      </c>
    </row>
    <row r="7015" spans="4:7">
      <c r="D7015" s="200" t="s">
        <v>6970</v>
      </c>
      <c r="E7015" s="10">
        <v>15748</v>
      </c>
      <c r="F7015" s="201">
        <v>-13.7</v>
      </c>
      <c r="G7015" s="201">
        <v>9.5</v>
      </c>
    </row>
    <row r="7016" spans="4:7">
      <c r="D7016" s="200" t="s">
        <v>6971</v>
      </c>
      <c r="E7016" s="10">
        <v>15936</v>
      </c>
      <c r="F7016" s="201">
        <v>-13.7</v>
      </c>
      <c r="G7016" s="201">
        <v>9.4</v>
      </c>
    </row>
    <row r="7017" spans="4:7">
      <c r="D7017" s="200" t="s">
        <v>6972</v>
      </c>
      <c r="E7017" s="10">
        <v>17321</v>
      </c>
      <c r="F7017" s="201">
        <v>-13.7</v>
      </c>
      <c r="G7017" s="201">
        <v>9.1</v>
      </c>
    </row>
    <row r="7018" spans="4:7">
      <c r="D7018" s="200" t="s">
        <v>6973</v>
      </c>
      <c r="E7018" s="10">
        <v>38678</v>
      </c>
      <c r="F7018" s="201">
        <v>-13.7</v>
      </c>
      <c r="G7018" s="201">
        <v>7</v>
      </c>
    </row>
    <row r="7019" spans="4:7">
      <c r="D7019" s="200" t="s">
        <v>6974</v>
      </c>
      <c r="E7019" s="10">
        <v>38700</v>
      </c>
      <c r="F7019" s="201">
        <v>-13.7</v>
      </c>
      <c r="G7019" s="201">
        <v>6.9</v>
      </c>
    </row>
    <row r="7020" spans="4:7">
      <c r="D7020" s="200" t="s">
        <v>6975</v>
      </c>
      <c r="E7020" s="10">
        <v>38707</v>
      </c>
      <c r="F7020" s="201">
        <v>-13.7</v>
      </c>
      <c r="G7020" s="201">
        <v>7.6</v>
      </c>
    </row>
    <row r="7021" spans="4:7">
      <c r="D7021" s="200" t="s">
        <v>6976</v>
      </c>
      <c r="E7021" s="10">
        <v>38877</v>
      </c>
      <c r="F7021" s="201">
        <v>-13.7</v>
      </c>
      <c r="G7021" s="201">
        <v>7.1</v>
      </c>
    </row>
    <row r="7022" spans="4:7">
      <c r="D7022" s="200" t="s">
        <v>6275</v>
      </c>
      <c r="E7022" s="10">
        <v>72459</v>
      </c>
      <c r="F7022" s="201">
        <v>-13.7</v>
      </c>
      <c r="G7022" s="201">
        <v>7.1</v>
      </c>
    </row>
    <row r="7023" spans="4:7">
      <c r="D7023" s="200" t="s">
        <v>6977</v>
      </c>
      <c r="E7023" s="10">
        <v>73345</v>
      </c>
      <c r="F7023" s="201">
        <v>-13.7</v>
      </c>
      <c r="G7023" s="201">
        <v>7.5</v>
      </c>
    </row>
    <row r="7024" spans="4:7">
      <c r="D7024" s="200" t="s">
        <v>6978</v>
      </c>
      <c r="E7024" s="10">
        <v>75323</v>
      </c>
      <c r="F7024" s="201">
        <v>-13.7</v>
      </c>
      <c r="G7024" s="201">
        <v>7.5</v>
      </c>
    </row>
    <row r="7025" spans="4:7">
      <c r="D7025" s="200" t="s">
        <v>6979</v>
      </c>
      <c r="E7025" s="10">
        <v>79856</v>
      </c>
      <c r="F7025" s="201">
        <v>-13.7</v>
      </c>
      <c r="G7025" s="201">
        <v>6.2</v>
      </c>
    </row>
    <row r="7026" spans="4:7">
      <c r="D7026" s="200" t="s">
        <v>6980</v>
      </c>
      <c r="E7026" s="10">
        <v>79872</v>
      </c>
      <c r="F7026" s="201">
        <v>-13.7</v>
      </c>
      <c r="G7026" s="201">
        <v>7.2</v>
      </c>
    </row>
    <row r="7027" spans="4:7">
      <c r="D7027" s="200" t="s">
        <v>6981</v>
      </c>
      <c r="E7027" s="10">
        <v>79875</v>
      </c>
      <c r="F7027" s="201">
        <v>-13.7</v>
      </c>
      <c r="G7027" s="201">
        <v>7.5</v>
      </c>
    </row>
    <row r="7028" spans="4:7">
      <c r="D7028" s="200" t="s">
        <v>6982</v>
      </c>
      <c r="E7028" s="10">
        <v>79877</v>
      </c>
      <c r="F7028" s="201">
        <v>-13.7</v>
      </c>
      <c r="G7028" s="201">
        <v>7.2</v>
      </c>
    </row>
    <row r="7029" spans="4:7">
      <c r="D7029" s="200" t="s">
        <v>4162</v>
      </c>
      <c r="E7029" s="10">
        <v>81249</v>
      </c>
      <c r="F7029" s="201">
        <v>-13.7</v>
      </c>
      <c r="G7029" s="201">
        <v>8.8000000000000007</v>
      </c>
    </row>
    <row r="7030" spans="4:7">
      <c r="D7030" s="200" t="s">
        <v>4162</v>
      </c>
      <c r="E7030" s="10">
        <v>81476</v>
      </c>
      <c r="F7030" s="201">
        <v>-13.7</v>
      </c>
      <c r="G7030" s="201">
        <v>8.6999999999999993</v>
      </c>
    </row>
    <row r="7031" spans="4:7">
      <c r="D7031" s="200" t="s">
        <v>6983</v>
      </c>
      <c r="E7031" s="10">
        <v>82404</v>
      </c>
      <c r="F7031" s="201">
        <v>-13.7</v>
      </c>
      <c r="G7031" s="201">
        <v>8.3000000000000007</v>
      </c>
    </row>
    <row r="7032" spans="4:7">
      <c r="D7032" s="200" t="s">
        <v>6984</v>
      </c>
      <c r="E7032" s="10">
        <v>83131</v>
      </c>
      <c r="F7032" s="201">
        <v>-13.7</v>
      </c>
      <c r="G7032" s="201">
        <v>7.5</v>
      </c>
    </row>
    <row r="7033" spans="4:7">
      <c r="D7033" s="200" t="s">
        <v>6985</v>
      </c>
      <c r="E7033" s="10">
        <v>83620</v>
      </c>
      <c r="F7033" s="201">
        <v>-13.7</v>
      </c>
      <c r="G7033" s="201">
        <v>8.3000000000000007</v>
      </c>
    </row>
    <row r="7034" spans="4:7">
      <c r="D7034" s="200" t="s">
        <v>6986</v>
      </c>
      <c r="E7034" s="10">
        <v>84082</v>
      </c>
      <c r="F7034" s="201">
        <v>-13.7</v>
      </c>
      <c r="G7034" s="201">
        <v>8.6999999999999993</v>
      </c>
    </row>
    <row r="7035" spans="4:7">
      <c r="D7035" s="200" t="s">
        <v>6987</v>
      </c>
      <c r="E7035" s="10">
        <v>84085</v>
      </c>
      <c r="F7035" s="201">
        <v>-13.7</v>
      </c>
      <c r="G7035" s="201">
        <v>8.6</v>
      </c>
    </row>
    <row r="7036" spans="4:7">
      <c r="D7036" s="200" t="s">
        <v>6988</v>
      </c>
      <c r="E7036" s="10">
        <v>84100</v>
      </c>
      <c r="F7036" s="201">
        <v>-13.7</v>
      </c>
      <c r="G7036" s="201">
        <v>8.5</v>
      </c>
    </row>
    <row r="7037" spans="4:7">
      <c r="D7037" s="200" t="s">
        <v>6989</v>
      </c>
      <c r="E7037" s="10">
        <v>84104</v>
      </c>
      <c r="F7037" s="201">
        <v>-13.7</v>
      </c>
      <c r="G7037" s="201">
        <v>8.6999999999999993</v>
      </c>
    </row>
    <row r="7038" spans="4:7">
      <c r="D7038" s="200" t="s">
        <v>6990</v>
      </c>
      <c r="E7038" s="10">
        <v>84106</v>
      </c>
      <c r="F7038" s="201">
        <v>-13.7</v>
      </c>
      <c r="G7038" s="201">
        <v>8.6999999999999993</v>
      </c>
    </row>
    <row r="7039" spans="4:7">
      <c r="D7039" s="200" t="s">
        <v>6991</v>
      </c>
      <c r="E7039" s="10">
        <v>84144</v>
      </c>
      <c r="F7039" s="201">
        <v>-13.7</v>
      </c>
      <c r="G7039" s="201">
        <v>8.6</v>
      </c>
    </row>
    <row r="7040" spans="4:7">
      <c r="D7040" s="200" t="s">
        <v>6992</v>
      </c>
      <c r="E7040" s="10">
        <v>84149</v>
      </c>
      <c r="F7040" s="201">
        <v>-13.7</v>
      </c>
      <c r="G7040" s="201">
        <v>8.5</v>
      </c>
    </row>
    <row r="7041" spans="4:7">
      <c r="D7041" s="200" t="s">
        <v>6993</v>
      </c>
      <c r="E7041" s="10">
        <v>84180</v>
      </c>
      <c r="F7041" s="201">
        <v>-13.7</v>
      </c>
      <c r="G7041" s="201">
        <v>8.5</v>
      </c>
    </row>
    <row r="7042" spans="4:7">
      <c r="D7042" s="200" t="s">
        <v>6994</v>
      </c>
      <c r="E7042" s="10">
        <v>84186</v>
      </c>
      <c r="F7042" s="201">
        <v>-13.7</v>
      </c>
      <c r="G7042" s="201">
        <v>8.6</v>
      </c>
    </row>
    <row r="7043" spans="4:7">
      <c r="D7043" s="200" t="s">
        <v>6995</v>
      </c>
      <c r="E7043" s="10">
        <v>84187</v>
      </c>
      <c r="F7043" s="201">
        <v>-13.7</v>
      </c>
      <c r="G7043" s="201">
        <v>8.6999999999999993</v>
      </c>
    </row>
    <row r="7044" spans="4:7">
      <c r="D7044" s="200" t="s">
        <v>6996</v>
      </c>
      <c r="E7044" s="10">
        <v>84424</v>
      </c>
      <c r="F7044" s="201">
        <v>-13.7</v>
      </c>
      <c r="G7044" s="201">
        <v>8.4</v>
      </c>
    </row>
    <row r="7045" spans="4:7">
      <c r="D7045" s="200" t="s">
        <v>6997</v>
      </c>
      <c r="E7045" s="10">
        <v>84431</v>
      </c>
      <c r="F7045" s="201">
        <v>-13.7</v>
      </c>
      <c r="G7045" s="201">
        <v>8.4</v>
      </c>
    </row>
    <row r="7046" spans="4:7">
      <c r="D7046" s="200" t="s">
        <v>6998</v>
      </c>
      <c r="E7046" s="10">
        <v>84439</v>
      </c>
      <c r="F7046" s="201">
        <v>-13.7</v>
      </c>
      <c r="G7046" s="201">
        <v>8.6</v>
      </c>
    </row>
    <row r="7047" spans="4:7">
      <c r="D7047" s="200" t="s">
        <v>6999</v>
      </c>
      <c r="E7047" s="10">
        <v>84453</v>
      </c>
      <c r="F7047" s="201">
        <v>-13.7</v>
      </c>
      <c r="G7047" s="201">
        <v>8.6999999999999993</v>
      </c>
    </row>
    <row r="7048" spans="4:7">
      <c r="D7048" s="200" t="s">
        <v>7000</v>
      </c>
      <c r="E7048" s="10">
        <v>84555</v>
      </c>
      <c r="F7048" s="201">
        <v>-13.7</v>
      </c>
      <c r="G7048" s="201">
        <v>8.6999999999999993</v>
      </c>
    </row>
    <row r="7049" spans="4:7">
      <c r="D7049" s="200" t="s">
        <v>7001</v>
      </c>
      <c r="E7049" s="10">
        <v>84565</v>
      </c>
      <c r="F7049" s="201">
        <v>-13.7</v>
      </c>
      <c r="G7049" s="201">
        <v>8.5</v>
      </c>
    </row>
    <row r="7050" spans="4:7">
      <c r="D7050" s="200" t="s">
        <v>7002</v>
      </c>
      <c r="E7050" s="10">
        <v>84577</v>
      </c>
      <c r="F7050" s="201">
        <v>-13.7</v>
      </c>
      <c r="G7050" s="201">
        <v>8.6</v>
      </c>
    </row>
    <row r="7051" spans="4:7">
      <c r="D7051" s="200" t="s">
        <v>7003</v>
      </c>
      <c r="E7051" s="10">
        <v>85375</v>
      </c>
      <c r="F7051" s="201">
        <v>-13.7</v>
      </c>
      <c r="G7051" s="201">
        <v>8.9</v>
      </c>
    </row>
    <row r="7052" spans="4:7">
      <c r="D7052" s="200" t="s">
        <v>7004</v>
      </c>
      <c r="E7052" s="10">
        <v>85408</v>
      </c>
      <c r="F7052" s="201">
        <v>-13.7</v>
      </c>
      <c r="G7052" s="201">
        <v>8.6</v>
      </c>
    </row>
    <row r="7053" spans="4:7">
      <c r="D7053" s="200" t="s">
        <v>7005</v>
      </c>
      <c r="E7053" s="10">
        <v>85411</v>
      </c>
      <c r="F7053" s="201">
        <v>-13.7</v>
      </c>
      <c r="G7053" s="201">
        <v>8.9</v>
      </c>
    </row>
    <row r="7054" spans="4:7">
      <c r="D7054" s="200" t="s">
        <v>7006</v>
      </c>
      <c r="E7054" s="10">
        <v>85413</v>
      </c>
      <c r="F7054" s="201">
        <v>-13.7</v>
      </c>
      <c r="G7054" s="201">
        <v>8.8000000000000007</v>
      </c>
    </row>
    <row r="7055" spans="4:7">
      <c r="D7055" s="200" t="s">
        <v>7007</v>
      </c>
      <c r="E7055" s="10">
        <v>85447</v>
      </c>
      <c r="F7055" s="201">
        <v>-13.7</v>
      </c>
      <c r="G7055" s="201">
        <v>8.6999999999999993</v>
      </c>
    </row>
    <row r="7056" spans="4:7">
      <c r="D7056" s="200" t="s">
        <v>7008</v>
      </c>
      <c r="E7056" s="10">
        <v>85452</v>
      </c>
      <c r="F7056" s="201">
        <v>-13.7</v>
      </c>
      <c r="G7056" s="201">
        <v>8.8000000000000007</v>
      </c>
    </row>
    <row r="7057" spans="4:7">
      <c r="D7057" s="200" t="s">
        <v>3110</v>
      </c>
      <c r="E7057" s="10">
        <v>85457</v>
      </c>
      <c r="F7057" s="201">
        <v>-13.7</v>
      </c>
      <c r="G7057" s="201">
        <v>8.6</v>
      </c>
    </row>
    <row r="7058" spans="4:7">
      <c r="D7058" s="200" t="s">
        <v>7009</v>
      </c>
      <c r="E7058" s="10">
        <v>85464</v>
      </c>
      <c r="F7058" s="201">
        <v>-13.7</v>
      </c>
      <c r="G7058" s="201">
        <v>8.6999999999999993</v>
      </c>
    </row>
    <row r="7059" spans="4:7">
      <c r="D7059" s="200" t="s">
        <v>7010</v>
      </c>
      <c r="E7059" s="10">
        <v>85467</v>
      </c>
      <c r="F7059" s="201">
        <v>-13.7</v>
      </c>
      <c r="G7059" s="201">
        <v>8.6999999999999993</v>
      </c>
    </row>
    <row r="7060" spans="4:7">
      <c r="D7060" s="200" t="s">
        <v>7011</v>
      </c>
      <c r="E7060" s="10">
        <v>85469</v>
      </c>
      <c r="F7060" s="201">
        <v>-13.7</v>
      </c>
      <c r="G7060" s="201">
        <v>8.6</v>
      </c>
    </row>
    <row r="7061" spans="4:7">
      <c r="D7061" s="200" t="s">
        <v>7012</v>
      </c>
      <c r="E7061" s="10">
        <v>85540</v>
      </c>
      <c r="F7061" s="201">
        <v>-13.7</v>
      </c>
      <c r="G7061" s="201">
        <v>8.6</v>
      </c>
    </row>
    <row r="7062" spans="4:7">
      <c r="D7062" s="200" t="s">
        <v>7013</v>
      </c>
      <c r="E7062" s="10">
        <v>85570</v>
      </c>
      <c r="F7062" s="201">
        <v>-13.7</v>
      </c>
      <c r="G7062" s="201">
        <v>8.6999999999999993</v>
      </c>
    </row>
    <row r="7063" spans="4:7">
      <c r="D7063" s="200" t="s">
        <v>7014</v>
      </c>
      <c r="E7063" s="10">
        <v>85599</v>
      </c>
      <c r="F7063" s="201">
        <v>-13.7</v>
      </c>
      <c r="G7063" s="201">
        <v>8.5</v>
      </c>
    </row>
    <row r="7064" spans="4:7">
      <c r="D7064" s="200" t="s">
        <v>7015</v>
      </c>
      <c r="E7064" s="10">
        <v>85646</v>
      </c>
      <c r="F7064" s="201">
        <v>-13.7</v>
      </c>
      <c r="G7064" s="201">
        <v>8.6</v>
      </c>
    </row>
    <row r="7065" spans="4:7">
      <c r="D7065" s="200" t="s">
        <v>7016</v>
      </c>
      <c r="E7065" s="10">
        <v>85659</v>
      </c>
      <c r="F7065" s="201">
        <v>-13.7</v>
      </c>
      <c r="G7065" s="201">
        <v>8.6</v>
      </c>
    </row>
    <row r="7066" spans="4:7">
      <c r="D7066" s="200" t="s">
        <v>7017</v>
      </c>
      <c r="E7066" s="10">
        <v>85665</v>
      </c>
      <c r="F7066" s="201">
        <v>-13.7</v>
      </c>
      <c r="G7066" s="201">
        <v>8.3000000000000007</v>
      </c>
    </row>
    <row r="7067" spans="4:7">
      <c r="D7067" s="200" t="s">
        <v>7018</v>
      </c>
      <c r="E7067" s="10">
        <v>85757</v>
      </c>
      <c r="F7067" s="201">
        <v>-13.7</v>
      </c>
      <c r="G7067" s="201">
        <v>8.8000000000000007</v>
      </c>
    </row>
    <row r="7068" spans="4:7">
      <c r="D7068" s="200" t="s">
        <v>6446</v>
      </c>
      <c r="E7068" s="10">
        <v>86165</v>
      </c>
      <c r="F7068" s="201">
        <v>-13.7</v>
      </c>
      <c r="G7068" s="201">
        <v>9.1</v>
      </c>
    </row>
    <row r="7069" spans="4:7">
      <c r="D7069" s="200" t="s">
        <v>7019</v>
      </c>
      <c r="E7069" s="10">
        <v>86405</v>
      </c>
      <c r="F7069" s="201">
        <v>-13.7</v>
      </c>
      <c r="G7069" s="201">
        <v>8.9</v>
      </c>
    </row>
    <row r="7070" spans="4:7">
      <c r="D7070" s="200" t="s">
        <v>7020</v>
      </c>
      <c r="E7070" s="10">
        <v>86479</v>
      </c>
      <c r="F7070" s="201">
        <v>-13.7</v>
      </c>
      <c r="G7070" s="201">
        <v>8.8000000000000007</v>
      </c>
    </row>
    <row r="7071" spans="4:7">
      <c r="D7071" s="200" t="s">
        <v>7021</v>
      </c>
      <c r="E7071" s="10">
        <v>86514</v>
      </c>
      <c r="F7071" s="201">
        <v>-13.7</v>
      </c>
      <c r="G7071" s="201">
        <v>8.8000000000000007</v>
      </c>
    </row>
    <row r="7072" spans="4:7">
      <c r="D7072" s="200" t="s">
        <v>7022</v>
      </c>
      <c r="E7072" s="10">
        <v>86529</v>
      </c>
      <c r="F7072" s="201">
        <v>-13.7</v>
      </c>
      <c r="G7072" s="201">
        <v>8.8000000000000007</v>
      </c>
    </row>
    <row r="7073" spans="4:7">
      <c r="D7073" s="200" t="s">
        <v>7023</v>
      </c>
      <c r="E7073" s="10">
        <v>86579</v>
      </c>
      <c r="F7073" s="201">
        <v>-13.7</v>
      </c>
      <c r="G7073" s="201">
        <v>8.9</v>
      </c>
    </row>
    <row r="7074" spans="4:7">
      <c r="D7074" s="200" t="s">
        <v>7024</v>
      </c>
      <c r="E7074" s="10">
        <v>86666</v>
      </c>
      <c r="F7074" s="201">
        <v>-13.7</v>
      </c>
      <c r="G7074" s="201">
        <v>8.9</v>
      </c>
    </row>
    <row r="7075" spans="4:7">
      <c r="D7075" s="200" t="s">
        <v>7025</v>
      </c>
      <c r="E7075" s="10">
        <v>86674</v>
      </c>
      <c r="F7075" s="201">
        <v>-13.7</v>
      </c>
      <c r="G7075" s="201">
        <v>8.8000000000000007</v>
      </c>
    </row>
    <row r="7076" spans="4:7">
      <c r="D7076" s="200" t="s">
        <v>6066</v>
      </c>
      <c r="E7076" s="10">
        <v>86678</v>
      </c>
      <c r="F7076" s="201">
        <v>-13.7</v>
      </c>
      <c r="G7076" s="201">
        <v>8.8000000000000007</v>
      </c>
    </row>
    <row r="7077" spans="4:7">
      <c r="D7077" s="200" t="s">
        <v>7026</v>
      </c>
      <c r="E7077" s="10">
        <v>86679</v>
      </c>
      <c r="F7077" s="201">
        <v>-13.7</v>
      </c>
      <c r="G7077" s="201">
        <v>8.9</v>
      </c>
    </row>
    <row r="7078" spans="4:7">
      <c r="D7078" s="200" t="s">
        <v>5327</v>
      </c>
      <c r="E7078" s="10">
        <v>86684</v>
      </c>
      <c r="F7078" s="201">
        <v>-13.7</v>
      </c>
      <c r="G7078" s="201">
        <v>8.9</v>
      </c>
    </row>
    <row r="7079" spans="4:7">
      <c r="D7079" s="200" t="s">
        <v>1664</v>
      </c>
      <c r="E7079" s="10">
        <v>86692</v>
      </c>
      <c r="F7079" s="201">
        <v>-13.7</v>
      </c>
      <c r="G7079" s="201">
        <v>8.9</v>
      </c>
    </row>
    <row r="7080" spans="4:7">
      <c r="D7080" s="200" t="s">
        <v>7027</v>
      </c>
      <c r="E7080" s="10">
        <v>86929</v>
      </c>
      <c r="F7080" s="201">
        <v>-13.7</v>
      </c>
      <c r="G7080" s="201">
        <v>8.6</v>
      </c>
    </row>
    <row r="7081" spans="4:7">
      <c r="D7081" s="200" t="s">
        <v>7028</v>
      </c>
      <c r="E7081" s="10">
        <v>87435</v>
      </c>
      <c r="F7081" s="201">
        <v>-13.7</v>
      </c>
      <c r="G7081" s="201">
        <v>8.1</v>
      </c>
    </row>
    <row r="7082" spans="4:7">
      <c r="D7082" s="200" t="s">
        <v>7029</v>
      </c>
      <c r="E7082" s="10">
        <v>87775</v>
      </c>
      <c r="F7082" s="201">
        <v>-13.7</v>
      </c>
      <c r="G7082" s="201">
        <v>8.6</v>
      </c>
    </row>
    <row r="7083" spans="4:7">
      <c r="D7083" s="200" t="s">
        <v>7030</v>
      </c>
      <c r="E7083" s="10">
        <v>88317</v>
      </c>
      <c r="F7083" s="201">
        <v>-13.7</v>
      </c>
      <c r="G7083" s="201">
        <v>8.1</v>
      </c>
    </row>
    <row r="7084" spans="4:7">
      <c r="D7084" s="200" t="s">
        <v>4257</v>
      </c>
      <c r="E7084" s="10">
        <v>90455</v>
      </c>
      <c r="F7084" s="201">
        <v>-13.7</v>
      </c>
      <c r="G7084" s="201">
        <v>9.3000000000000007</v>
      </c>
    </row>
    <row r="7085" spans="4:7">
      <c r="D7085" s="200" t="s">
        <v>7031</v>
      </c>
      <c r="E7085" s="10">
        <v>90530</v>
      </c>
      <c r="F7085" s="201">
        <v>-13.7</v>
      </c>
      <c r="G7085" s="201">
        <v>9.1</v>
      </c>
    </row>
    <row r="7086" spans="4:7">
      <c r="D7086" s="200" t="s">
        <v>7032</v>
      </c>
      <c r="E7086" s="10">
        <v>90562</v>
      </c>
      <c r="F7086" s="201">
        <v>-13.7</v>
      </c>
      <c r="G7086" s="201">
        <v>9</v>
      </c>
    </row>
    <row r="7087" spans="4:7">
      <c r="D7087" s="200" t="s">
        <v>7033</v>
      </c>
      <c r="E7087" s="10">
        <v>91154</v>
      </c>
      <c r="F7087" s="201">
        <v>-13.7</v>
      </c>
      <c r="G7087" s="201">
        <v>9</v>
      </c>
    </row>
    <row r="7088" spans="4:7">
      <c r="D7088" s="200" t="s">
        <v>7034</v>
      </c>
      <c r="E7088" s="10">
        <v>91161</v>
      </c>
      <c r="F7088" s="201">
        <v>-13.7</v>
      </c>
      <c r="G7088" s="201">
        <v>8.8000000000000007</v>
      </c>
    </row>
    <row r="7089" spans="4:7">
      <c r="D7089" s="200" t="s">
        <v>7035</v>
      </c>
      <c r="E7089" s="10">
        <v>91186</v>
      </c>
      <c r="F7089" s="201">
        <v>-13.7</v>
      </c>
      <c r="G7089" s="201">
        <v>8.9</v>
      </c>
    </row>
    <row r="7090" spans="4:7">
      <c r="D7090" s="200" t="s">
        <v>7036</v>
      </c>
      <c r="E7090" s="10">
        <v>91233</v>
      </c>
      <c r="F7090" s="201">
        <v>-13.7</v>
      </c>
      <c r="G7090" s="201">
        <v>9.1</v>
      </c>
    </row>
    <row r="7091" spans="4:7">
      <c r="D7091" s="200" t="s">
        <v>7037</v>
      </c>
      <c r="E7091" s="10">
        <v>91239</v>
      </c>
      <c r="F7091" s="201">
        <v>-13.7</v>
      </c>
      <c r="G7091" s="201">
        <v>9.1999999999999993</v>
      </c>
    </row>
    <row r="7092" spans="4:7">
      <c r="D7092" s="200" t="s">
        <v>7038</v>
      </c>
      <c r="E7092" s="10">
        <v>91244</v>
      </c>
      <c r="F7092" s="201">
        <v>-13.7</v>
      </c>
      <c r="G7092" s="201">
        <v>8.8000000000000007</v>
      </c>
    </row>
    <row r="7093" spans="4:7">
      <c r="D7093" s="200" t="s">
        <v>7039</v>
      </c>
      <c r="E7093" s="10">
        <v>91356</v>
      </c>
      <c r="F7093" s="201">
        <v>-13.7</v>
      </c>
      <c r="G7093" s="201">
        <v>8.8000000000000007</v>
      </c>
    </row>
    <row r="7094" spans="4:7">
      <c r="D7094" s="200" t="s">
        <v>7040</v>
      </c>
      <c r="E7094" s="10">
        <v>91364</v>
      </c>
      <c r="F7094" s="201">
        <v>-13.7</v>
      </c>
      <c r="G7094" s="201">
        <v>8.6999999999999993</v>
      </c>
    </row>
    <row r="7095" spans="4:7">
      <c r="D7095" s="200" t="s">
        <v>7041</v>
      </c>
      <c r="E7095" s="10">
        <v>91720</v>
      </c>
      <c r="F7095" s="201">
        <v>-13.7</v>
      </c>
      <c r="G7095" s="201">
        <v>8.6</v>
      </c>
    </row>
    <row r="7096" spans="4:7">
      <c r="D7096" s="200" t="s">
        <v>7042</v>
      </c>
      <c r="E7096" s="10">
        <v>91781</v>
      </c>
      <c r="F7096" s="201">
        <v>-13.7</v>
      </c>
      <c r="G7096" s="201">
        <v>8.4</v>
      </c>
    </row>
    <row r="7097" spans="4:7">
      <c r="D7097" s="200" t="s">
        <v>7043</v>
      </c>
      <c r="E7097" s="10">
        <v>92271</v>
      </c>
      <c r="F7097" s="201">
        <v>-13.7</v>
      </c>
      <c r="G7097" s="201">
        <v>8.3000000000000007</v>
      </c>
    </row>
    <row r="7098" spans="4:7">
      <c r="D7098" s="200" t="s">
        <v>7044</v>
      </c>
      <c r="E7098" s="10">
        <v>92331</v>
      </c>
      <c r="F7098" s="201">
        <v>-13.7</v>
      </c>
      <c r="G7098" s="201">
        <v>8.5</v>
      </c>
    </row>
    <row r="7099" spans="4:7">
      <c r="D7099" s="200" t="s">
        <v>7045</v>
      </c>
      <c r="E7099" s="10">
        <v>92353</v>
      </c>
      <c r="F7099" s="201">
        <v>-13.7</v>
      </c>
      <c r="G7099" s="201">
        <v>8.6</v>
      </c>
    </row>
    <row r="7100" spans="4:7">
      <c r="D7100" s="200" t="s">
        <v>7046</v>
      </c>
      <c r="E7100" s="10">
        <v>92361</v>
      </c>
      <c r="F7100" s="201">
        <v>-13.7</v>
      </c>
      <c r="G7100" s="201">
        <v>8.8000000000000007</v>
      </c>
    </row>
    <row r="7101" spans="4:7">
      <c r="D7101" s="200" t="s">
        <v>7047</v>
      </c>
      <c r="E7101" s="10">
        <v>92364</v>
      </c>
      <c r="F7101" s="201">
        <v>-13.7</v>
      </c>
      <c r="G7101" s="201">
        <v>8.1999999999999993</v>
      </c>
    </row>
    <row r="7102" spans="4:7">
      <c r="D7102" s="200" t="s">
        <v>7048</v>
      </c>
      <c r="E7102" s="10">
        <v>92436</v>
      </c>
      <c r="F7102" s="201">
        <v>-13.7</v>
      </c>
      <c r="G7102" s="201">
        <v>8.9</v>
      </c>
    </row>
    <row r="7103" spans="4:7">
      <c r="D7103" s="200" t="s">
        <v>7049</v>
      </c>
      <c r="E7103" s="10">
        <v>92445</v>
      </c>
      <c r="F7103" s="201">
        <v>-13.7</v>
      </c>
      <c r="G7103" s="201">
        <v>7.9</v>
      </c>
    </row>
    <row r="7104" spans="4:7">
      <c r="D7104" s="200" t="s">
        <v>7050</v>
      </c>
      <c r="E7104" s="10">
        <v>92526</v>
      </c>
      <c r="F7104" s="201">
        <v>-13.7</v>
      </c>
      <c r="G7104" s="201">
        <v>7.6</v>
      </c>
    </row>
    <row r="7105" spans="4:7">
      <c r="D7105" s="200" t="s">
        <v>7051</v>
      </c>
      <c r="E7105" s="10">
        <v>92555</v>
      </c>
      <c r="F7105" s="201">
        <v>-13.7</v>
      </c>
      <c r="G7105" s="201">
        <v>8.1999999999999993</v>
      </c>
    </row>
    <row r="7106" spans="4:7">
      <c r="D7106" s="200" t="s">
        <v>7052</v>
      </c>
      <c r="E7106" s="10">
        <v>92559</v>
      </c>
      <c r="F7106" s="201">
        <v>-13.7</v>
      </c>
      <c r="G7106" s="201">
        <v>7.9</v>
      </c>
    </row>
    <row r="7107" spans="4:7">
      <c r="D7107" s="200" t="s">
        <v>7053</v>
      </c>
      <c r="E7107" s="10">
        <v>92648</v>
      </c>
      <c r="F7107" s="201">
        <v>-13.7</v>
      </c>
      <c r="G7107" s="201">
        <v>7.7</v>
      </c>
    </row>
    <row r="7108" spans="4:7">
      <c r="D7108" s="200" t="s">
        <v>7054</v>
      </c>
      <c r="E7108" s="10">
        <v>92676</v>
      </c>
      <c r="F7108" s="201">
        <v>-13.7</v>
      </c>
      <c r="G7108" s="201">
        <v>8.4</v>
      </c>
    </row>
    <row r="7109" spans="4:7">
      <c r="D7109" s="200" t="s">
        <v>7055</v>
      </c>
      <c r="E7109" s="10">
        <v>92705</v>
      </c>
      <c r="F7109" s="201">
        <v>-13.7</v>
      </c>
      <c r="G7109" s="201">
        <v>8.1</v>
      </c>
    </row>
    <row r="7110" spans="4:7">
      <c r="D7110" s="200" t="s">
        <v>7056</v>
      </c>
      <c r="E7110" s="10">
        <v>92709</v>
      </c>
      <c r="F7110" s="201">
        <v>-13.7</v>
      </c>
      <c r="G7110" s="201">
        <v>7.7</v>
      </c>
    </row>
    <row r="7111" spans="4:7">
      <c r="D7111" s="200" t="s">
        <v>7057</v>
      </c>
      <c r="E7111" s="10">
        <v>92721</v>
      </c>
      <c r="F7111" s="201">
        <v>-13.7</v>
      </c>
      <c r="G7111" s="201">
        <v>8.3000000000000007</v>
      </c>
    </row>
    <row r="7112" spans="4:7">
      <c r="D7112" s="200" t="s">
        <v>7058</v>
      </c>
      <c r="E7112" s="10">
        <v>92724</v>
      </c>
      <c r="F7112" s="201">
        <v>-13.7</v>
      </c>
      <c r="G7112" s="201">
        <v>8.3000000000000007</v>
      </c>
    </row>
    <row r="7113" spans="4:7">
      <c r="D7113" s="200" t="s">
        <v>7059</v>
      </c>
      <c r="E7113" s="10">
        <v>93077</v>
      </c>
      <c r="F7113" s="201">
        <v>-13.7</v>
      </c>
      <c r="G7113" s="201">
        <v>8.8000000000000007</v>
      </c>
    </row>
    <row r="7114" spans="4:7">
      <c r="D7114" s="200" t="s">
        <v>7060</v>
      </c>
      <c r="E7114" s="10">
        <v>93080</v>
      </c>
      <c r="F7114" s="201">
        <v>-13.7</v>
      </c>
      <c r="G7114" s="201">
        <v>8.5</v>
      </c>
    </row>
    <row r="7115" spans="4:7">
      <c r="D7115" s="200" t="s">
        <v>7061</v>
      </c>
      <c r="E7115" s="10">
        <v>93083</v>
      </c>
      <c r="F7115" s="201">
        <v>-13.7</v>
      </c>
      <c r="G7115" s="201">
        <v>8.8000000000000007</v>
      </c>
    </row>
    <row r="7116" spans="4:7">
      <c r="D7116" s="200" t="s">
        <v>7062</v>
      </c>
      <c r="E7116" s="10">
        <v>93087</v>
      </c>
      <c r="F7116" s="201">
        <v>-13.7</v>
      </c>
      <c r="G7116" s="201">
        <v>8.8000000000000007</v>
      </c>
    </row>
    <row r="7117" spans="4:7">
      <c r="D7117" s="200" t="s">
        <v>7063</v>
      </c>
      <c r="E7117" s="10">
        <v>93089</v>
      </c>
      <c r="F7117" s="201">
        <v>-13.7</v>
      </c>
      <c r="G7117" s="201">
        <v>8.6999999999999993</v>
      </c>
    </row>
    <row r="7118" spans="4:7">
      <c r="D7118" s="200" t="s">
        <v>7064</v>
      </c>
      <c r="E7118" s="10">
        <v>93099</v>
      </c>
      <c r="F7118" s="201">
        <v>-13.7</v>
      </c>
      <c r="G7118" s="201">
        <v>9</v>
      </c>
    </row>
    <row r="7119" spans="4:7">
      <c r="D7119" s="200" t="s">
        <v>7065</v>
      </c>
      <c r="E7119" s="10">
        <v>93104</v>
      </c>
      <c r="F7119" s="201">
        <v>-13.7</v>
      </c>
      <c r="G7119" s="201">
        <v>8.9</v>
      </c>
    </row>
    <row r="7120" spans="4:7">
      <c r="D7120" s="200" t="s">
        <v>7066</v>
      </c>
      <c r="E7120" s="10">
        <v>93155</v>
      </c>
      <c r="F7120" s="201">
        <v>-13.7</v>
      </c>
      <c r="G7120" s="201">
        <v>8.4</v>
      </c>
    </row>
    <row r="7121" spans="4:7">
      <c r="D7121" s="200" t="s">
        <v>7067</v>
      </c>
      <c r="E7121" s="10">
        <v>93161</v>
      </c>
      <c r="F7121" s="201">
        <v>-13.7</v>
      </c>
      <c r="G7121" s="201">
        <v>8.8000000000000007</v>
      </c>
    </row>
    <row r="7122" spans="4:7">
      <c r="D7122" s="200" t="s">
        <v>7068</v>
      </c>
      <c r="E7122" s="10">
        <v>93176</v>
      </c>
      <c r="F7122" s="201">
        <v>-13.7</v>
      </c>
      <c r="G7122" s="201">
        <v>8.3000000000000007</v>
      </c>
    </row>
    <row r="7123" spans="4:7">
      <c r="D7123" s="200" t="s">
        <v>7069</v>
      </c>
      <c r="E7123" s="10">
        <v>93197</v>
      </c>
      <c r="F7123" s="201">
        <v>-13.7</v>
      </c>
      <c r="G7123" s="201">
        <v>8.9</v>
      </c>
    </row>
    <row r="7124" spans="4:7">
      <c r="D7124" s="200" t="s">
        <v>7070</v>
      </c>
      <c r="E7124" s="10">
        <v>93352</v>
      </c>
      <c r="F7124" s="201">
        <v>-13.7</v>
      </c>
      <c r="G7124" s="201">
        <v>8.6</v>
      </c>
    </row>
    <row r="7125" spans="4:7">
      <c r="D7125" s="200" t="s">
        <v>7071</v>
      </c>
      <c r="E7125" s="10">
        <v>93426</v>
      </c>
      <c r="F7125" s="201">
        <v>-13.7</v>
      </c>
      <c r="G7125" s="201">
        <v>8.6999999999999993</v>
      </c>
    </row>
    <row r="7126" spans="4:7">
      <c r="D7126" s="200" t="s">
        <v>5048</v>
      </c>
      <c r="E7126" s="10">
        <v>93464</v>
      </c>
      <c r="F7126" s="201">
        <v>-13.7</v>
      </c>
      <c r="G7126" s="201">
        <v>7.9</v>
      </c>
    </row>
    <row r="7127" spans="4:7">
      <c r="D7127" s="200" t="s">
        <v>7072</v>
      </c>
      <c r="E7127" s="10">
        <v>93470</v>
      </c>
      <c r="F7127" s="201">
        <v>-13.7</v>
      </c>
      <c r="G7127" s="201">
        <v>7.1</v>
      </c>
    </row>
    <row r="7128" spans="4:7">
      <c r="D7128" s="200" t="s">
        <v>7073</v>
      </c>
      <c r="E7128" s="10">
        <v>93474</v>
      </c>
      <c r="F7128" s="201">
        <v>-13.7</v>
      </c>
      <c r="G7128" s="201">
        <v>7.3</v>
      </c>
    </row>
    <row r="7129" spans="4:7">
      <c r="D7129" s="200" t="s">
        <v>7074</v>
      </c>
      <c r="E7129" s="10">
        <v>93494</v>
      </c>
      <c r="F7129" s="201">
        <v>-13.7</v>
      </c>
      <c r="G7129" s="201">
        <v>8.1999999999999993</v>
      </c>
    </row>
    <row r="7130" spans="4:7">
      <c r="D7130" s="200" t="s">
        <v>7075</v>
      </c>
      <c r="E7130" s="10">
        <v>93499</v>
      </c>
      <c r="F7130" s="201">
        <v>-13.7</v>
      </c>
      <c r="G7130" s="201">
        <v>7.7</v>
      </c>
    </row>
    <row r="7131" spans="4:7">
      <c r="D7131" s="200" t="s">
        <v>7076</v>
      </c>
      <c r="E7131" s="10">
        <v>94244</v>
      </c>
      <c r="F7131" s="201">
        <v>-13.7</v>
      </c>
      <c r="G7131" s="201">
        <v>7.4</v>
      </c>
    </row>
    <row r="7132" spans="4:7">
      <c r="D7132" s="200" t="s">
        <v>4141</v>
      </c>
      <c r="E7132" s="10">
        <v>94259</v>
      </c>
      <c r="F7132" s="201">
        <v>-13.7</v>
      </c>
      <c r="G7132" s="201">
        <v>7</v>
      </c>
    </row>
    <row r="7133" spans="4:7">
      <c r="D7133" s="200" t="s">
        <v>7077</v>
      </c>
      <c r="E7133" s="10">
        <v>94327</v>
      </c>
      <c r="F7133" s="201">
        <v>-13.7</v>
      </c>
      <c r="G7133" s="201">
        <v>9</v>
      </c>
    </row>
    <row r="7134" spans="4:7">
      <c r="D7134" s="200" t="s">
        <v>7078</v>
      </c>
      <c r="E7134" s="10">
        <v>94336</v>
      </c>
      <c r="F7134" s="201">
        <v>-13.7</v>
      </c>
      <c r="G7134" s="201">
        <v>9</v>
      </c>
    </row>
    <row r="7135" spans="4:7">
      <c r="D7135" s="200" t="s">
        <v>7079</v>
      </c>
      <c r="E7135" s="10">
        <v>94345</v>
      </c>
      <c r="F7135" s="201">
        <v>-13.7</v>
      </c>
      <c r="G7135" s="201">
        <v>9</v>
      </c>
    </row>
    <row r="7136" spans="4:7">
      <c r="D7136" s="200" t="s">
        <v>7080</v>
      </c>
      <c r="E7136" s="10">
        <v>94356</v>
      </c>
      <c r="F7136" s="201">
        <v>-13.7</v>
      </c>
      <c r="G7136" s="201">
        <v>9</v>
      </c>
    </row>
    <row r="7137" spans="4:7">
      <c r="D7137" s="200" t="s">
        <v>7081</v>
      </c>
      <c r="E7137" s="10">
        <v>94366</v>
      </c>
      <c r="F7137" s="201">
        <v>-13.7</v>
      </c>
      <c r="G7137" s="201">
        <v>8.3000000000000007</v>
      </c>
    </row>
    <row r="7138" spans="4:7">
      <c r="D7138" s="200" t="s">
        <v>7082</v>
      </c>
      <c r="E7138" s="10">
        <v>94553</v>
      </c>
      <c r="F7138" s="201">
        <v>-13.7</v>
      </c>
      <c r="G7138" s="201">
        <v>9.1</v>
      </c>
    </row>
    <row r="7139" spans="4:7">
      <c r="D7139" s="200" t="s">
        <v>7083</v>
      </c>
      <c r="E7139" s="10">
        <v>94559</v>
      </c>
      <c r="F7139" s="201">
        <v>-13.7</v>
      </c>
      <c r="G7139" s="201">
        <v>9.1</v>
      </c>
    </row>
    <row r="7140" spans="4:7">
      <c r="D7140" s="200" t="s">
        <v>7084</v>
      </c>
      <c r="E7140" s="10">
        <v>94560</v>
      </c>
      <c r="F7140" s="201">
        <v>-13.7</v>
      </c>
      <c r="G7140" s="201">
        <v>8.9</v>
      </c>
    </row>
    <row r="7141" spans="4:7">
      <c r="D7141" s="200" t="s">
        <v>7085</v>
      </c>
      <c r="E7141" s="10">
        <v>94563</v>
      </c>
      <c r="F7141" s="201">
        <v>-13.7</v>
      </c>
      <c r="G7141" s="201">
        <v>9</v>
      </c>
    </row>
    <row r="7142" spans="4:7">
      <c r="D7142" s="200" t="s">
        <v>7086</v>
      </c>
      <c r="E7142" s="10">
        <v>94569</v>
      </c>
      <c r="F7142" s="201">
        <v>-13.7</v>
      </c>
      <c r="G7142" s="201">
        <v>9</v>
      </c>
    </row>
    <row r="7143" spans="4:7">
      <c r="D7143" s="200" t="s">
        <v>7087</v>
      </c>
      <c r="E7143" s="10">
        <v>95473</v>
      </c>
      <c r="F7143" s="201">
        <v>-13.7</v>
      </c>
      <c r="G7143" s="201">
        <v>8.3000000000000007</v>
      </c>
    </row>
    <row r="7144" spans="4:7">
      <c r="D7144" s="200" t="s">
        <v>7088</v>
      </c>
      <c r="E7144" s="10">
        <v>95491</v>
      </c>
      <c r="F7144" s="201">
        <v>-13.7</v>
      </c>
      <c r="G7144" s="201">
        <v>8.4</v>
      </c>
    </row>
    <row r="7145" spans="4:7">
      <c r="D7145" s="200" t="s">
        <v>7089</v>
      </c>
      <c r="E7145" s="10">
        <v>95503</v>
      </c>
      <c r="F7145" s="201">
        <v>-13.7</v>
      </c>
      <c r="G7145" s="201">
        <v>8.1</v>
      </c>
    </row>
    <row r="7146" spans="4:7">
      <c r="D7146" s="200" t="s">
        <v>7090</v>
      </c>
      <c r="E7146" s="10">
        <v>95517</v>
      </c>
      <c r="F7146" s="201">
        <v>-13.7</v>
      </c>
      <c r="G7146" s="201">
        <v>8.3000000000000007</v>
      </c>
    </row>
    <row r="7147" spans="4:7">
      <c r="D7147" s="200" t="s">
        <v>5699</v>
      </c>
      <c r="E7147" s="10">
        <v>96050</v>
      </c>
      <c r="F7147" s="201">
        <v>-13.7</v>
      </c>
      <c r="G7147" s="201">
        <v>9.1999999999999993</v>
      </c>
    </row>
    <row r="7148" spans="4:7">
      <c r="D7148" s="200" t="s">
        <v>7091</v>
      </c>
      <c r="E7148" s="10">
        <v>96175</v>
      </c>
      <c r="F7148" s="201">
        <v>-13.7</v>
      </c>
      <c r="G7148" s="201">
        <v>9.1999999999999993</v>
      </c>
    </row>
    <row r="7149" spans="4:7">
      <c r="D7149" s="200" t="s">
        <v>7092</v>
      </c>
      <c r="E7149" s="10">
        <v>96346</v>
      </c>
      <c r="F7149" s="201">
        <v>-13.7</v>
      </c>
      <c r="G7149" s="201">
        <v>7.8</v>
      </c>
    </row>
    <row r="7150" spans="4:7">
      <c r="D7150" s="200" t="s">
        <v>7093</v>
      </c>
      <c r="E7150" s="10">
        <v>96349</v>
      </c>
      <c r="F7150" s="201">
        <v>-13.7</v>
      </c>
      <c r="G7150" s="201">
        <v>7.7</v>
      </c>
    </row>
    <row r="7151" spans="4:7">
      <c r="D7151" s="200" t="s">
        <v>7094</v>
      </c>
      <c r="E7151" s="10">
        <v>96365</v>
      </c>
      <c r="F7151" s="201">
        <v>-13.7</v>
      </c>
      <c r="G7151" s="201">
        <v>7.9</v>
      </c>
    </row>
    <row r="7152" spans="4:7">
      <c r="D7152" s="200" t="s">
        <v>2971</v>
      </c>
      <c r="E7152" s="10">
        <v>96523</v>
      </c>
      <c r="F7152" s="201">
        <v>-13.7</v>
      </c>
      <c r="G7152" s="201">
        <v>7.6</v>
      </c>
    </row>
    <row r="7153" spans="4:7">
      <c r="D7153" s="200" t="s">
        <v>5944</v>
      </c>
      <c r="E7153" s="10">
        <v>98528</v>
      </c>
      <c r="F7153" s="201">
        <v>-13.7</v>
      </c>
      <c r="G7153" s="201">
        <v>7.3</v>
      </c>
    </row>
    <row r="7154" spans="4:7">
      <c r="D7154" s="200" t="s">
        <v>7095</v>
      </c>
      <c r="E7154" s="10">
        <v>98544</v>
      </c>
      <c r="F7154" s="201">
        <v>-13.7</v>
      </c>
      <c r="G7154" s="201">
        <v>7.5</v>
      </c>
    </row>
    <row r="7155" spans="4:7">
      <c r="D7155" s="200" t="s">
        <v>5619</v>
      </c>
      <c r="E7155" s="10">
        <v>99427</v>
      </c>
      <c r="F7155" s="201">
        <v>-13.7</v>
      </c>
      <c r="G7155" s="201">
        <v>8.5</v>
      </c>
    </row>
    <row r="7156" spans="4:7">
      <c r="D7156" s="200" t="s">
        <v>5069</v>
      </c>
      <c r="E7156" s="10">
        <v>1109</v>
      </c>
      <c r="F7156" s="201">
        <v>-13.8</v>
      </c>
      <c r="G7156" s="201">
        <v>9.5</v>
      </c>
    </row>
    <row r="7157" spans="4:7">
      <c r="D7157" s="200" t="s">
        <v>5069</v>
      </c>
      <c r="E7157" s="10">
        <v>1156</v>
      </c>
      <c r="F7157" s="201">
        <v>-13.8</v>
      </c>
      <c r="G7157" s="201">
        <v>9.3000000000000007</v>
      </c>
    </row>
    <row r="7158" spans="4:7">
      <c r="D7158" s="200" t="s">
        <v>7096</v>
      </c>
      <c r="E7158" s="10">
        <v>1468</v>
      </c>
      <c r="F7158" s="201">
        <v>-13.8</v>
      </c>
      <c r="G7158" s="201">
        <v>9.6</v>
      </c>
    </row>
    <row r="7159" spans="4:7">
      <c r="D7159" s="200" t="s">
        <v>7097</v>
      </c>
      <c r="E7159" s="10">
        <v>1683</v>
      </c>
      <c r="F7159" s="201">
        <v>-13.8</v>
      </c>
      <c r="G7159" s="201">
        <v>9.3000000000000007</v>
      </c>
    </row>
    <row r="7160" spans="4:7">
      <c r="D7160" s="200" t="s">
        <v>7098</v>
      </c>
      <c r="E7160" s="10">
        <v>1723</v>
      </c>
      <c r="F7160" s="201">
        <v>-13.8</v>
      </c>
      <c r="G7160" s="201">
        <v>9</v>
      </c>
    </row>
    <row r="7161" spans="4:7">
      <c r="D7161" s="200" t="s">
        <v>4320</v>
      </c>
      <c r="E7161" s="10">
        <v>1734</v>
      </c>
      <c r="F7161" s="201">
        <v>-13.8</v>
      </c>
      <c r="G7161" s="201">
        <v>8.9</v>
      </c>
    </row>
    <row r="7162" spans="4:7">
      <c r="D7162" s="200" t="s">
        <v>7099</v>
      </c>
      <c r="E7162" s="10">
        <v>1737</v>
      </c>
      <c r="F7162" s="201">
        <v>-13.8</v>
      </c>
      <c r="G7162" s="201">
        <v>8.6999999999999993</v>
      </c>
    </row>
    <row r="7163" spans="4:7">
      <c r="D7163" s="200" t="s">
        <v>7100</v>
      </c>
      <c r="E7163" s="10">
        <v>1738</v>
      </c>
      <c r="F7163" s="201">
        <v>-13.8</v>
      </c>
      <c r="G7163" s="201">
        <v>8.6999999999999993</v>
      </c>
    </row>
    <row r="7164" spans="4:7">
      <c r="D7164" s="200" t="s">
        <v>2859</v>
      </c>
      <c r="E7164" s="10">
        <v>1809</v>
      </c>
      <c r="F7164" s="201">
        <v>-13.8</v>
      </c>
      <c r="G7164" s="201">
        <v>9.3000000000000007</v>
      </c>
    </row>
    <row r="7165" spans="4:7">
      <c r="D7165" s="200" t="s">
        <v>7101</v>
      </c>
      <c r="E7165" s="10">
        <v>2826</v>
      </c>
      <c r="F7165" s="201">
        <v>-13.8</v>
      </c>
      <c r="G7165" s="201">
        <v>9.3000000000000007</v>
      </c>
    </row>
    <row r="7166" spans="4:7">
      <c r="D7166" s="200" t="s">
        <v>6355</v>
      </c>
      <c r="E7166" s="10">
        <v>3042</v>
      </c>
      <c r="F7166" s="201">
        <v>-13.8</v>
      </c>
      <c r="G7166" s="201">
        <v>9.6999999999999993</v>
      </c>
    </row>
    <row r="7167" spans="4:7">
      <c r="D7167" s="200" t="s">
        <v>6355</v>
      </c>
      <c r="E7167" s="10">
        <v>3051</v>
      </c>
      <c r="F7167" s="201">
        <v>-13.8</v>
      </c>
      <c r="G7167" s="201">
        <v>9.5</v>
      </c>
    </row>
    <row r="7168" spans="4:7">
      <c r="D7168" s="200" t="s">
        <v>7102</v>
      </c>
      <c r="E7168" s="10">
        <v>3096</v>
      </c>
      <c r="F7168" s="201">
        <v>-13.8</v>
      </c>
      <c r="G7168" s="201">
        <v>9.6</v>
      </c>
    </row>
    <row r="7169" spans="4:7">
      <c r="D7169" s="200" t="s">
        <v>7103</v>
      </c>
      <c r="E7169" s="10">
        <v>3099</v>
      </c>
      <c r="F7169" s="201">
        <v>-13.8</v>
      </c>
      <c r="G7169" s="201">
        <v>9.5</v>
      </c>
    </row>
    <row r="7170" spans="4:7">
      <c r="D7170" s="200" t="s">
        <v>7104</v>
      </c>
      <c r="E7170" s="10">
        <v>3185</v>
      </c>
      <c r="F7170" s="201">
        <v>-13.8</v>
      </c>
      <c r="G7170" s="201">
        <v>9.5</v>
      </c>
    </row>
    <row r="7171" spans="4:7">
      <c r="D7171" s="200" t="s">
        <v>7105</v>
      </c>
      <c r="E7171" s="10">
        <v>3197</v>
      </c>
      <c r="F7171" s="201">
        <v>-13.8</v>
      </c>
      <c r="G7171" s="201">
        <v>9.5</v>
      </c>
    </row>
    <row r="7172" spans="4:7">
      <c r="D7172" s="200" t="s">
        <v>7106</v>
      </c>
      <c r="E7172" s="10">
        <v>3238</v>
      </c>
      <c r="F7172" s="201">
        <v>-13.8</v>
      </c>
      <c r="G7172" s="201">
        <v>9.4</v>
      </c>
    </row>
    <row r="7173" spans="4:7">
      <c r="D7173" s="200" t="s">
        <v>7107</v>
      </c>
      <c r="E7173" s="10">
        <v>3246</v>
      </c>
      <c r="F7173" s="201">
        <v>-13.8</v>
      </c>
      <c r="G7173" s="201">
        <v>9.3000000000000007</v>
      </c>
    </row>
    <row r="7174" spans="4:7">
      <c r="D7174" s="200" t="s">
        <v>7108</v>
      </c>
      <c r="E7174" s="10">
        <v>3253</v>
      </c>
      <c r="F7174" s="201">
        <v>-13.8</v>
      </c>
      <c r="G7174" s="201">
        <v>9.3000000000000007</v>
      </c>
    </row>
    <row r="7175" spans="4:7">
      <c r="D7175" s="200" t="s">
        <v>7109</v>
      </c>
      <c r="E7175" s="10">
        <v>4657</v>
      </c>
      <c r="F7175" s="201">
        <v>-13.8</v>
      </c>
      <c r="G7175" s="201">
        <v>9.1999999999999993</v>
      </c>
    </row>
    <row r="7176" spans="4:7">
      <c r="D7176" s="200" t="s">
        <v>7110</v>
      </c>
      <c r="E7176" s="10">
        <v>4746</v>
      </c>
      <c r="F7176" s="201">
        <v>-13.8</v>
      </c>
      <c r="G7176" s="201">
        <v>9</v>
      </c>
    </row>
    <row r="7177" spans="4:7">
      <c r="D7177" s="200" t="s">
        <v>7111</v>
      </c>
      <c r="E7177" s="10">
        <v>4779</v>
      </c>
      <c r="F7177" s="201">
        <v>-13.8</v>
      </c>
      <c r="G7177" s="201">
        <v>9.4</v>
      </c>
    </row>
    <row r="7178" spans="4:7">
      <c r="D7178" s="200" t="s">
        <v>7112</v>
      </c>
      <c r="E7178" s="10">
        <v>4934</v>
      </c>
      <c r="F7178" s="201">
        <v>-13.8</v>
      </c>
      <c r="G7178" s="201">
        <v>9.4</v>
      </c>
    </row>
    <row r="7179" spans="4:7">
      <c r="D7179" s="200" t="s">
        <v>5713</v>
      </c>
      <c r="E7179" s="10">
        <v>6116</v>
      </c>
      <c r="F7179" s="201">
        <v>-13.8</v>
      </c>
      <c r="G7179" s="201">
        <v>9.6999999999999993</v>
      </c>
    </row>
    <row r="7180" spans="4:7">
      <c r="D7180" s="200" t="s">
        <v>7113</v>
      </c>
      <c r="E7180" s="10">
        <v>6188</v>
      </c>
      <c r="F7180" s="201">
        <v>-13.8</v>
      </c>
      <c r="G7180" s="201">
        <v>9.6</v>
      </c>
    </row>
    <row r="7181" spans="4:7">
      <c r="D7181" s="200" t="s">
        <v>7114</v>
      </c>
      <c r="E7181" s="10">
        <v>6268</v>
      </c>
      <c r="F7181" s="201">
        <v>-13.8</v>
      </c>
      <c r="G7181" s="201">
        <v>9.1999999999999993</v>
      </c>
    </row>
    <row r="7182" spans="4:7">
      <c r="D7182" s="200" t="s">
        <v>6953</v>
      </c>
      <c r="E7182" s="10">
        <v>6794</v>
      </c>
      <c r="F7182" s="201">
        <v>-13.8</v>
      </c>
      <c r="G7182" s="201">
        <v>9.6</v>
      </c>
    </row>
    <row r="7183" spans="4:7">
      <c r="D7183" s="200" t="s">
        <v>6953</v>
      </c>
      <c r="E7183" s="10">
        <v>6796</v>
      </c>
      <c r="F7183" s="201">
        <v>-13.8</v>
      </c>
      <c r="G7183" s="201">
        <v>9.6</v>
      </c>
    </row>
    <row r="7184" spans="4:7">
      <c r="D7184" s="200" t="s">
        <v>7115</v>
      </c>
      <c r="E7184" s="10">
        <v>7407</v>
      </c>
      <c r="F7184" s="201">
        <v>-13.8</v>
      </c>
      <c r="G7184" s="201">
        <v>8.6</v>
      </c>
    </row>
    <row r="7185" spans="4:7">
      <c r="D7185" s="200" t="s">
        <v>7116</v>
      </c>
      <c r="E7185" s="10">
        <v>7426</v>
      </c>
      <c r="F7185" s="201">
        <v>-13.8</v>
      </c>
      <c r="G7185" s="201">
        <v>8.5</v>
      </c>
    </row>
    <row r="7186" spans="4:7">
      <c r="D7186" s="200" t="s">
        <v>6384</v>
      </c>
      <c r="E7186" s="10">
        <v>7552</v>
      </c>
      <c r="F7186" s="201">
        <v>-13.8</v>
      </c>
      <c r="G7186" s="201">
        <v>9.3000000000000007</v>
      </c>
    </row>
    <row r="7187" spans="4:7">
      <c r="D7187" s="200" t="s">
        <v>7117</v>
      </c>
      <c r="E7187" s="10">
        <v>7619</v>
      </c>
      <c r="F7187" s="201">
        <v>-13.8</v>
      </c>
      <c r="G7187" s="201">
        <v>9.1</v>
      </c>
    </row>
    <row r="7188" spans="4:7">
      <c r="D7188" s="200" t="s">
        <v>7118</v>
      </c>
      <c r="E7188" s="10">
        <v>7985</v>
      </c>
      <c r="F7188" s="201">
        <v>-13.8</v>
      </c>
      <c r="G7188" s="201">
        <v>9</v>
      </c>
    </row>
    <row r="7189" spans="4:7">
      <c r="D7189" s="200" t="s">
        <v>6103</v>
      </c>
      <c r="E7189" s="10">
        <v>8058</v>
      </c>
      <c r="F7189" s="201">
        <v>-13.8</v>
      </c>
      <c r="G7189" s="201">
        <v>9.1</v>
      </c>
    </row>
    <row r="7190" spans="4:7">
      <c r="D7190" s="200" t="s">
        <v>4141</v>
      </c>
      <c r="E7190" s="10">
        <v>8107</v>
      </c>
      <c r="F7190" s="201">
        <v>-13.8</v>
      </c>
      <c r="G7190" s="201">
        <v>8.5</v>
      </c>
    </row>
    <row r="7191" spans="4:7">
      <c r="D7191" s="200" t="s">
        <v>7119</v>
      </c>
      <c r="E7191" s="10">
        <v>8118</v>
      </c>
      <c r="F7191" s="201">
        <v>-13.8</v>
      </c>
      <c r="G7191" s="201">
        <v>8.6</v>
      </c>
    </row>
    <row r="7192" spans="4:7">
      <c r="D7192" s="200" t="s">
        <v>7120</v>
      </c>
      <c r="E7192" s="10">
        <v>8132</v>
      </c>
      <c r="F7192" s="201">
        <v>-13.8</v>
      </c>
      <c r="G7192" s="201">
        <v>9</v>
      </c>
    </row>
    <row r="7193" spans="4:7">
      <c r="D7193" s="200" t="s">
        <v>7121</v>
      </c>
      <c r="E7193" s="10">
        <v>8144</v>
      </c>
      <c r="F7193" s="201">
        <v>-13.8</v>
      </c>
      <c r="G7193" s="201">
        <v>8.6</v>
      </c>
    </row>
    <row r="7194" spans="4:7">
      <c r="D7194" s="200" t="s">
        <v>7122</v>
      </c>
      <c r="E7194" s="10">
        <v>8301</v>
      </c>
      <c r="F7194" s="201">
        <v>-13.8</v>
      </c>
      <c r="G7194" s="201">
        <v>8.5</v>
      </c>
    </row>
    <row r="7195" spans="4:7">
      <c r="D7195" s="200" t="s">
        <v>7123</v>
      </c>
      <c r="E7195" s="10">
        <v>8315</v>
      </c>
      <c r="F7195" s="201">
        <v>-13.8</v>
      </c>
      <c r="G7195" s="201">
        <v>8.3000000000000007</v>
      </c>
    </row>
    <row r="7196" spans="4:7">
      <c r="D7196" s="200" t="s">
        <v>7124</v>
      </c>
      <c r="E7196" s="10">
        <v>8373</v>
      </c>
      <c r="F7196" s="201">
        <v>-13.8</v>
      </c>
      <c r="G7196" s="201">
        <v>9.1999999999999993</v>
      </c>
    </row>
    <row r="7197" spans="4:7">
      <c r="D7197" s="200" t="s">
        <v>5221</v>
      </c>
      <c r="E7197" s="10">
        <v>8396</v>
      </c>
      <c r="F7197" s="201">
        <v>-13.8</v>
      </c>
      <c r="G7197" s="201">
        <v>9.1</v>
      </c>
    </row>
    <row r="7198" spans="4:7">
      <c r="D7198" s="200" t="s">
        <v>7125</v>
      </c>
      <c r="E7198" s="10">
        <v>8412</v>
      </c>
      <c r="F7198" s="201">
        <v>-13.8</v>
      </c>
      <c r="G7198" s="201">
        <v>9</v>
      </c>
    </row>
    <row r="7199" spans="4:7">
      <c r="D7199" s="200" t="s">
        <v>7126</v>
      </c>
      <c r="E7199" s="10">
        <v>9212</v>
      </c>
      <c r="F7199" s="201">
        <v>-13.8</v>
      </c>
      <c r="G7199" s="201">
        <v>9</v>
      </c>
    </row>
    <row r="7200" spans="4:7">
      <c r="D7200" s="200" t="s">
        <v>5882</v>
      </c>
      <c r="E7200" s="10">
        <v>9228</v>
      </c>
      <c r="F7200" s="201">
        <v>-13.8</v>
      </c>
      <c r="G7200" s="201">
        <v>8.9</v>
      </c>
    </row>
    <row r="7201" spans="4:7">
      <c r="D7201" s="200" t="s">
        <v>7127</v>
      </c>
      <c r="E7201" s="10">
        <v>9232</v>
      </c>
      <c r="F7201" s="201">
        <v>-13.8</v>
      </c>
      <c r="G7201" s="201">
        <v>8.9</v>
      </c>
    </row>
    <row r="7202" spans="4:7">
      <c r="D7202" s="200" t="s">
        <v>7128</v>
      </c>
      <c r="E7202" s="10">
        <v>9235</v>
      </c>
      <c r="F7202" s="201">
        <v>-13.8</v>
      </c>
      <c r="G7202" s="201">
        <v>8.6</v>
      </c>
    </row>
    <row r="7203" spans="4:7">
      <c r="D7203" s="200" t="s">
        <v>7129</v>
      </c>
      <c r="E7203" s="10">
        <v>9243</v>
      </c>
      <c r="F7203" s="201">
        <v>-13.8</v>
      </c>
      <c r="G7203" s="201">
        <v>8.9</v>
      </c>
    </row>
    <row r="7204" spans="4:7">
      <c r="D7204" s="200" t="s">
        <v>2762</v>
      </c>
      <c r="E7204" s="10">
        <v>9244</v>
      </c>
      <c r="F7204" s="201">
        <v>-13.8</v>
      </c>
      <c r="G7204" s="201">
        <v>8.8000000000000007</v>
      </c>
    </row>
    <row r="7205" spans="4:7">
      <c r="D7205" s="200" t="s">
        <v>7130</v>
      </c>
      <c r="E7205" s="10">
        <v>9249</v>
      </c>
      <c r="F7205" s="201">
        <v>-13.8</v>
      </c>
      <c r="G7205" s="201">
        <v>8.9</v>
      </c>
    </row>
    <row r="7206" spans="4:7">
      <c r="D7206" s="200" t="s">
        <v>7131</v>
      </c>
      <c r="E7206" s="10">
        <v>9322</v>
      </c>
      <c r="F7206" s="201">
        <v>-13.8</v>
      </c>
      <c r="G7206" s="201">
        <v>9.1999999999999993</v>
      </c>
    </row>
    <row r="7207" spans="4:7" ht="30">
      <c r="D7207" s="200" t="s">
        <v>7132</v>
      </c>
      <c r="E7207" s="10">
        <v>9337</v>
      </c>
      <c r="F7207" s="201">
        <v>-13.8</v>
      </c>
      <c r="G7207" s="201">
        <v>8.8000000000000007</v>
      </c>
    </row>
    <row r="7208" spans="4:7">
      <c r="D7208" s="200" t="s">
        <v>7133</v>
      </c>
      <c r="E7208" s="10">
        <v>9356</v>
      </c>
      <c r="F7208" s="201">
        <v>-13.8</v>
      </c>
      <c r="G7208" s="201">
        <v>9.1</v>
      </c>
    </row>
    <row r="7209" spans="4:7">
      <c r="D7209" s="200" t="s">
        <v>7134</v>
      </c>
      <c r="E7209" s="10">
        <v>9380</v>
      </c>
      <c r="F7209" s="201">
        <v>-13.8</v>
      </c>
      <c r="G7209" s="201">
        <v>8.5</v>
      </c>
    </row>
    <row r="7210" spans="4:7">
      <c r="D7210" s="200" t="s">
        <v>7135</v>
      </c>
      <c r="E7210" s="10">
        <v>9430</v>
      </c>
      <c r="F7210" s="201">
        <v>-13.8</v>
      </c>
      <c r="G7210" s="201">
        <v>8.3000000000000007</v>
      </c>
    </row>
    <row r="7211" spans="4:7">
      <c r="D7211" s="200" t="s">
        <v>7136</v>
      </c>
      <c r="E7211" s="10">
        <v>9439</v>
      </c>
      <c r="F7211" s="201">
        <v>-13.8</v>
      </c>
      <c r="G7211" s="201">
        <v>8.4</v>
      </c>
    </row>
    <row r="7212" spans="4:7">
      <c r="D7212" s="200" t="s">
        <v>7137</v>
      </c>
      <c r="E7212" s="10">
        <v>9509</v>
      </c>
      <c r="F7212" s="201">
        <v>-13.8</v>
      </c>
      <c r="G7212" s="201">
        <v>8.1999999999999993</v>
      </c>
    </row>
    <row r="7213" spans="4:7">
      <c r="D7213" s="200" t="s">
        <v>7138</v>
      </c>
      <c r="E7213" s="10">
        <v>9514</v>
      </c>
      <c r="F7213" s="201">
        <v>-13.8</v>
      </c>
      <c r="G7213" s="201">
        <v>8.4</v>
      </c>
    </row>
    <row r="7214" spans="4:7">
      <c r="D7214" s="200" t="s">
        <v>7139</v>
      </c>
      <c r="E7214" s="10">
        <v>9600</v>
      </c>
      <c r="F7214" s="201">
        <v>-13.8</v>
      </c>
      <c r="G7214" s="201">
        <v>8.6</v>
      </c>
    </row>
    <row r="7215" spans="4:7">
      <c r="D7215" s="200" t="s">
        <v>7140</v>
      </c>
      <c r="E7215" s="10">
        <v>9603</v>
      </c>
      <c r="F7215" s="201">
        <v>-13.8</v>
      </c>
      <c r="G7215" s="201">
        <v>8.8000000000000007</v>
      </c>
    </row>
    <row r="7216" spans="4:7">
      <c r="D7216" s="200" t="s">
        <v>7141</v>
      </c>
      <c r="E7216" s="10">
        <v>9633</v>
      </c>
      <c r="F7216" s="201">
        <v>-13.8</v>
      </c>
      <c r="G7216" s="201">
        <v>8.6</v>
      </c>
    </row>
    <row r="7217" spans="4:7">
      <c r="D7217" s="200" t="s">
        <v>7142</v>
      </c>
      <c r="E7217" s="10">
        <v>9638</v>
      </c>
      <c r="F7217" s="201">
        <v>-13.8</v>
      </c>
      <c r="G7217" s="201">
        <v>8.4</v>
      </c>
    </row>
    <row r="7218" spans="4:7">
      <c r="D7218" s="200" t="s">
        <v>4633</v>
      </c>
      <c r="E7218" s="10">
        <v>9669</v>
      </c>
      <c r="F7218" s="201">
        <v>-13.8</v>
      </c>
      <c r="G7218" s="201">
        <v>8.9</v>
      </c>
    </row>
    <row r="7219" spans="4:7">
      <c r="D7219" s="200" t="s">
        <v>6966</v>
      </c>
      <c r="E7219" s="10">
        <v>15232</v>
      </c>
      <c r="F7219" s="201">
        <v>-13.8</v>
      </c>
      <c r="G7219" s="201">
        <v>9.5</v>
      </c>
    </row>
    <row r="7220" spans="4:7">
      <c r="D7220" s="200" t="s">
        <v>7143</v>
      </c>
      <c r="E7220" s="10">
        <v>15299</v>
      </c>
      <c r="F7220" s="201">
        <v>-13.8</v>
      </c>
      <c r="G7220" s="201">
        <v>9.5</v>
      </c>
    </row>
    <row r="7221" spans="4:7">
      <c r="D7221" s="200" t="s">
        <v>7144</v>
      </c>
      <c r="E7221" s="10">
        <v>15328</v>
      </c>
      <c r="F7221" s="201">
        <v>-13.8</v>
      </c>
      <c r="G7221" s="201">
        <v>9.4</v>
      </c>
    </row>
    <row r="7222" spans="4:7">
      <c r="D7222" s="200" t="s">
        <v>7145</v>
      </c>
      <c r="E7222" s="10">
        <v>15806</v>
      </c>
      <c r="F7222" s="201">
        <v>-13.8</v>
      </c>
      <c r="G7222" s="201">
        <v>9.5</v>
      </c>
    </row>
    <row r="7223" spans="4:7">
      <c r="D7223" s="200" t="s">
        <v>7146</v>
      </c>
      <c r="E7223" s="10">
        <v>15907</v>
      </c>
      <c r="F7223" s="201">
        <v>-13.8</v>
      </c>
      <c r="G7223" s="201">
        <v>9.6</v>
      </c>
    </row>
    <row r="7224" spans="4:7">
      <c r="D7224" s="200" t="s">
        <v>7147</v>
      </c>
      <c r="E7224" s="10">
        <v>15913</v>
      </c>
      <c r="F7224" s="201">
        <v>-13.8</v>
      </c>
      <c r="G7224" s="201">
        <v>9.6</v>
      </c>
    </row>
    <row r="7225" spans="4:7">
      <c r="D7225" s="200" t="s">
        <v>7148</v>
      </c>
      <c r="E7225" s="10">
        <v>17309</v>
      </c>
      <c r="F7225" s="201">
        <v>-13.8</v>
      </c>
      <c r="G7225" s="201">
        <v>9.1999999999999993</v>
      </c>
    </row>
    <row r="7226" spans="4:7">
      <c r="D7226" s="200" t="s">
        <v>7149</v>
      </c>
      <c r="E7226" s="10">
        <v>17322</v>
      </c>
      <c r="F7226" s="201">
        <v>-13.8</v>
      </c>
      <c r="G7226" s="201">
        <v>9.1999999999999993</v>
      </c>
    </row>
    <row r="7227" spans="4:7">
      <c r="D7227" s="200" t="s">
        <v>7150</v>
      </c>
      <c r="E7227" s="10">
        <v>17335</v>
      </c>
      <c r="F7227" s="201">
        <v>-13.8</v>
      </c>
      <c r="G7227" s="201">
        <v>9</v>
      </c>
    </row>
    <row r="7228" spans="4:7">
      <c r="D7228" s="200" t="s">
        <v>6976</v>
      </c>
      <c r="E7228" s="10">
        <v>38875</v>
      </c>
      <c r="F7228" s="201">
        <v>-13.8</v>
      </c>
      <c r="G7228" s="201">
        <v>7.3</v>
      </c>
    </row>
    <row r="7229" spans="4:7">
      <c r="D7229" s="200" t="s">
        <v>7151</v>
      </c>
      <c r="E7229" s="10">
        <v>78141</v>
      </c>
      <c r="F7229" s="201">
        <v>-13.8</v>
      </c>
      <c r="G7229" s="201">
        <v>6.9</v>
      </c>
    </row>
    <row r="7230" spans="4:7">
      <c r="D7230" s="200" t="s">
        <v>7152</v>
      </c>
      <c r="E7230" s="10">
        <v>79674</v>
      </c>
      <c r="F7230" s="201">
        <v>-13.8</v>
      </c>
      <c r="G7230" s="201">
        <v>6.8</v>
      </c>
    </row>
    <row r="7231" spans="4:7">
      <c r="D7231" s="200" t="s">
        <v>7153</v>
      </c>
      <c r="E7231" s="10">
        <v>79837</v>
      </c>
      <c r="F7231" s="201">
        <v>-13.8</v>
      </c>
      <c r="G7231" s="201">
        <v>7.3</v>
      </c>
    </row>
    <row r="7232" spans="4:7">
      <c r="D7232" s="200" t="s">
        <v>7154</v>
      </c>
      <c r="E7232" s="10">
        <v>79862</v>
      </c>
      <c r="F7232" s="201">
        <v>-13.8</v>
      </c>
      <c r="G7232" s="201">
        <v>7.4</v>
      </c>
    </row>
    <row r="7233" spans="4:7">
      <c r="D7233" s="200" t="s">
        <v>7155</v>
      </c>
      <c r="E7233" s="10">
        <v>79865</v>
      </c>
      <c r="F7233" s="201">
        <v>-13.8</v>
      </c>
      <c r="G7233" s="201">
        <v>7.3</v>
      </c>
    </row>
    <row r="7234" spans="4:7">
      <c r="D7234" s="200" t="s">
        <v>4162</v>
      </c>
      <c r="E7234" s="10">
        <v>81545</v>
      </c>
      <c r="F7234" s="201">
        <v>-13.8</v>
      </c>
      <c r="G7234" s="201">
        <v>8.6</v>
      </c>
    </row>
    <row r="7235" spans="4:7">
      <c r="D7235" s="200" t="s">
        <v>7156</v>
      </c>
      <c r="E7235" s="10">
        <v>82008</v>
      </c>
      <c r="F7235" s="201">
        <v>-13.8</v>
      </c>
      <c r="G7235" s="201">
        <v>8.6</v>
      </c>
    </row>
    <row r="7236" spans="4:7">
      <c r="D7236" s="200" t="s">
        <v>7157</v>
      </c>
      <c r="E7236" s="10">
        <v>82110</v>
      </c>
      <c r="F7236" s="201">
        <v>-13.8</v>
      </c>
      <c r="G7236" s="201">
        <v>8.6999999999999993</v>
      </c>
    </row>
    <row r="7237" spans="4:7">
      <c r="D7237" s="200" t="s">
        <v>7158</v>
      </c>
      <c r="E7237" s="10">
        <v>82140</v>
      </c>
      <c r="F7237" s="201">
        <v>-13.8</v>
      </c>
      <c r="G7237" s="201">
        <v>8.8000000000000007</v>
      </c>
    </row>
    <row r="7238" spans="4:7">
      <c r="D7238" s="200" t="s">
        <v>5803</v>
      </c>
      <c r="E7238" s="10">
        <v>82275</v>
      </c>
      <c r="F7238" s="201">
        <v>-13.8</v>
      </c>
      <c r="G7238" s="201">
        <v>8.6999999999999993</v>
      </c>
    </row>
    <row r="7239" spans="4:7">
      <c r="D7239" s="200" t="s">
        <v>7159</v>
      </c>
      <c r="E7239" s="10">
        <v>82362</v>
      </c>
      <c r="F7239" s="201">
        <v>-13.8</v>
      </c>
      <c r="G7239" s="201">
        <v>8.6999999999999993</v>
      </c>
    </row>
    <row r="7240" spans="4:7">
      <c r="D7240" s="200" t="s">
        <v>7160</v>
      </c>
      <c r="E7240" s="10">
        <v>82386</v>
      </c>
      <c r="F7240" s="201">
        <v>-13.8</v>
      </c>
      <c r="G7240" s="201">
        <v>8.5</v>
      </c>
    </row>
    <row r="7241" spans="4:7">
      <c r="D7241" s="200" t="s">
        <v>7161</v>
      </c>
      <c r="E7241" s="10">
        <v>82392</v>
      </c>
      <c r="F7241" s="201">
        <v>-13.8</v>
      </c>
      <c r="G7241" s="201">
        <v>7.9</v>
      </c>
    </row>
    <row r="7242" spans="4:7">
      <c r="D7242" s="200" t="s">
        <v>7162</v>
      </c>
      <c r="E7242" s="10">
        <v>82395</v>
      </c>
      <c r="F7242" s="201">
        <v>-13.8</v>
      </c>
      <c r="G7242" s="201">
        <v>7.9</v>
      </c>
    </row>
    <row r="7243" spans="4:7">
      <c r="D7243" s="200" t="s">
        <v>7163</v>
      </c>
      <c r="E7243" s="10">
        <v>82399</v>
      </c>
      <c r="F7243" s="201">
        <v>-13.8</v>
      </c>
      <c r="G7243" s="201">
        <v>8.6999999999999993</v>
      </c>
    </row>
    <row r="7244" spans="4:7">
      <c r="D7244" s="200" t="s">
        <v>7164</v>
      </c>
      <c r="E7244" s="10">
        <v>82436</v>
      </c>
      <c r="F7244" s="201">
        <v>-13.8</v>
      </c>
      <c r="G7244" s="201">
        <v>8.1</v>
      </c>
    </row>
    <row r="7245" spans="4:7">
      <c r="D7245" s="200" t="s">
        <v>7165</v>
      </c>
      <c r="E7245" s="10">
        <v>82447</v>
      </c>
      <c r="F7245" s="201">
        <v>-13.8</v>
      </c>
      <c r="G7245" s="201">
        <v>7.9</v>
      </c>
    </row>
    <row r="7246" spans="4:7">
      <c r="D7246" s="200" t="s">
        <v>7166</v>
      </c>
      <c r="E7246" s="10">
        <v>82549</v>
      </c>
      <c r="F7246" s="201">
        <v>-13.8</v>
      </c>
      <c r="G7246" s="201">
        <v>8.4</v>
      </c>
    </row>
    <row r="7247" spans="4:7">
      <c r="D7247" s="200" t="s">
        <v>7167</v>
      </c>
      <c r="E7247" s="10">
        <v>83558</v>
      </c>
      <c r="F7247" s="201">
        <v>-13.8</v>
      </c>
      <c r="G7247" s="201">
        <v>8.1</v>
      </c>
    </row>
    <row r="7248" spans="4:7">
      <c r="D7248" s="200" t="s">
        <v>7168</v>
      </c>
      <c r="E7248" s="10">
        <v>83737</v>
      </c>
      <c r="F7248" s="201">
        <v>-13.8</v>
      </c>
      <c r="G7248" s="201">
        <v>7.8</v>
      </c>
    </row>
    <row r="7249" spans="4:7">
      <c r="D7249" s="200" t="s">
        <v>7169</v>
      </c>
      <c r="E7249" s="10">
        <v>84066</v>
      </c>
      <c r="F7249" s="201">
        <v>-13.8</v>
      </c>
      <c r="G7249" s="201">
        <v>8.6</v>
      </c>
    </row>
    <row r="7250" spans="4:7">
      <c r="D7250" s="200" t="s">
        <v>7170</v>
      </c>
      <c r="E7250" s="10">
        <v>84069</v>
      </c>
      <c r="F7250" s="201">
        <v>-13.8</v>
      </c>
      <c r="G7250" s="201">
        <v>8.6999999999999993</v>
      </c>
    </row>
    <row r="7251" spans="4:7">
      <c r="D7251" s="200" t="s">
        <v>7171</v>
      </c>
      <c r="E7251" s="10">
        <v>84088</v>
      </c>
      <c r="F7251" s="201">
        <v>-13.8</v>
      </c>
      <c r="G7251" s="201">
        <v>8.6</v>
      </c>
    </row>
    <row r="7252" spans="4:7">
      <c r="D7252" s="200" t="s">
        <v>7172</v>
      </c>
      <c r="E7252" s="10">
        <v>84092</v>
      </c>
      <c r="F7252" s="201">
        <v>-13.8</v>
      </c>
      <c r="G7252" s="201">
        <v>8.6</v>
      </c>
    </row>
    <row r="7253" spans="4:7">
      <c r="D7253" s="200" t="s">
        <v>7173</v>
      </c>
      <c r="E7253" s="10">
        <v>84097</v>
      </c>
      <c r="F7253" s="201">
        <v>-13.8</v>
      </c>
      <c r="G7253" s="201">
        <v>8.5</v>
      </c>
    </row>
    <row r="7254" spans="4:7">
      <c r="D7254" s="200" t="s">
        <v>7174</v>
      </c>
      <c r="E7254" s="10">
        <v>84107</v>
      </c>
      <c r="F7254" s="201">
        <v>-13.8</v>
      </c>
      <c r="G7254" s="201">
        <v>8.8000000000000007</v>
      </c>
    </row>
    <row r="7255" spans="4:7">
      <c r="D7255" s="200" t="s">
        <v>7175</v>
      </c>
      <c r="E7255" s="10">
        <v>84164</v>
      </c>
      <c r="F7255" s="201">
        <v>-13.8</v>
      </c>
      <c r="G7255" s="201">
        <v>8.6</v>
      </c>
    </row>
    <row r="7256" spans="4:7">
      <c r="D7256" s="200" t="s">
        <v>7176</v>
      </c>
      <c r="E7256" s="10">
        <v>84172</v>
      </c>
      <c r="F7256" s="201">
        <v>-13.8</v>
      </c>
      <c r="G7256" s="201">
        <v>8.6</v>
      </c>
    </row>
    <row r="7257" spans="4:7">
      <c r="D7257" s="200" t="s">
        <v>7177</v>
      </c>
      <c r="E7257" s="10">
        <v>84175</v>
      </c>
      <c r="F7257" s="201">
        <v>-13.8</v>
      </c>
      <c r="G7257" s="201">
        <v>8.6</v>
      </c>
    </row>
    <row r="7258" spans="4:7">
      <c r="D7258" s="200" t="s">
        <v>7178</v>
      </c>
      <c r="E7258" s="10">
        <v>84189</v>
      </c>
      <c r="F7258" s="201">
        <v>-13.8</v>
      </c>
      <c r="G7258" s="201">
        <v>8.4</v>
      </c>
    </row>
    <row r="7259" spans="4:7">
      <c r="D7259" s="200" t="s">
        <v>7179</v>
      </c>
      <c r="E7259" s="10">
        <v>84427</v>
      </c>
      <c r="F7259" s="201">
        <v>-13.8</v>
      </c>
      <c r="G7259" s="201">
        <v>8.1999999999999993</v>
      </c>
    </row>
    <row r="7260" spans="4:7">
      <c r="D7260" s="200" t="s">
        <v>4141</v>
      </c>
      <c r="E7260" s="10">
        <v>84434</v>
      </c>
      <c r="F7260" s="201">
        <v>-13.8</v>
      </c>
      <c r="G7260" s="201">
        <v>8.5</v>
      </c>
    </row>
    <row r="7261" spans="4:7">
      <c r="D7261" s="200" t="s">
        <v>7180</v>
      </c>
      <c r="E7261" s="10">
        <v>84546</v>
      </c>
      <c r="F7261" s="201">
        <v>-13.8</v>
      </c>
      <c r="G7261" s="201">
        <v>8.5</v>
      </c>
    </row>
    <row r="7262" spans="4:7">
      <c r="D7262" s="200" t="s">
        <v>3417</v>
      </c>
      <c r="E7262" s="10">
        <v>84562</v>
      </c>
      <c r="F7262" s="201">
        <v>-13.8</v>
      </c>
      <c r="G7262" s="201">
        <v>8.6999999999999993</v>
      </c>
    </row>
    <row r="7263" spans="4:7">
      <c r="D7263" s="200" t="s">
        <v>7181</v>
      </c>
      <c r="E7263" s="10">
        <v>84570</v>
      </c>
      <c r="F7263" s="201">
        <v>-13.8</v>
      </c>
      <c r="G7263" s="201">
        <v>8.6</v>
      </c>
    </row>
    <row r="7264" spans="4:7">
      <c r="D7264" s="200" t="s">
        <v>7182</v>
      </c>
      <c r="E7264" s="10">
        <v>85238</v>
      </c>
      <c r="F7264" s="201">
        <v>-13.8</v>
      </c>
      <c r="G7264" s="201">
        <v>8.8000000000000007</v>
      </c>
    </row>
    <row r="7265" spans="4:7">
      <c r="D7265" s="200" t="s">
        <v>7183</v>
      </c>
      <c r="E7265" s="10">
        <v>85241</v>
      </c>
      <c r="F7265" s="201">
        <v>-13.8</v>
      </c>
      <c r="G7265" s="201">
        <v>8.8000000000000007</v>
      </c>
    </row>
    <row r="7266" spans="4:7">
      <c r="D7266" s="200" t="s">
        <v>7184</v>
      </c>
      <c r="E7266" s="10">
        <v>85301</v>
      </c>
      <c r="F7266" s="201">
        <v>-13.8</v>
      </c>
      <c r="G7266" s="201">
        <v>8.6999999999999993</v>
      </c>
    </row>
    <row r="7267" spans="4:7">
      <c r="D7267" s="200" t="s">
        <v>7003</v>
      </c>
      <c r="E7267" s="10">
        <v>85376</v>
      </c>
      <c r="F7267" s="201">
        <v>-13.8</v>
      </c>
      <c r="G7267" s="201">
        <v>8.6999999999999993</v>
      </c>
    </row>
    <row r="7268" spans="4:7">
      <c r="D7268" s="200" t="s">
        <v>7185</v>
      </c>
      <c r="E7268" s="10">
        <v>85395</v>
      </c>
      <c r="F7268" s="201">
        <v>-13.8</v>
      </c>
      <c r="G7268" s="201">
        <v>8.8000000000000007</v>
      </c>
    </row>
    <row r="7269" spans="4:7">
      <c r="D7269" s="200" t="s">
        <v>7186</v>
      </c>
      <c r="E7269" s="10">
        <v>85551</v>
      </c>
      <c r="F7269" s="201">
        <v>-13.8</v>
      </c>
      <c r="G7269" s="201">
        <v>8.6999999999999993</v>
      </c>
    </row>
    <row r="7270" spans="4:7">
      <c r="D7270" s="200" t="s">
        <v>7187</v>
      </c>
      <c r="E7270" s="10">
        <v>85591</v>
      </c>
      <c r="F7270" s="201">
        <v>-13.8</v>
      </c>
      <c r="G7270" s="201">
        <v>8.6</v>
      </c>
    </row>
    <row r="7271" spans="4:7">
      <c r="D7271" s="200" t="s">
        <v>7188</v>
      </c>
      <c r="E7271" s="10">
        <v>85598</v>
      </c>
      <c r="F7271" s="201">
        <v>-13.8</v>
      </c>
      <c r="G7271" s="201">
        <v>8.5</v>
      </c>
    </row>
    <row r="7272" spans="4:7">
      <c r="D7272" s="200" t="s">
        <v>7189</v>
      </c>
      <c r="E7272" s="10">
        <v>85609</v>
      </c>
      <c r="F7272" s="201">
        <v>-13.8</v>
      </c>
      <c r="G7272" s="201">
        <v>8.6999999999999993</v>
      </c>
    </row>
    <row r="7273" spans="4:7">
      <c r="D7273" s="200" t="s">
        <v>7190</v>
      </c>
      <c r="E7273" s="10">
        <v>85652</v>
      </c>
      <c r="F7273" s="201">
        <v>-13.8</v>
      </c>
      <c r="G7273" s="201">
        <v>8.6999999999999993</v>
      </c>
    </row>
    <row r="7274" spans="4:7">
      <c r="D7274" s="200" t="s">
        <v>7191</v>
      </c>
      <c r="E7274" s="10">
        <v>85656</v>
      </c>
      <c r="F7274" s="201">
        <v>-13.8</v>
      </c>
      <c r="G7274" s="201">
        <v>8.5</v>
      </c>
    </row>
    <row r="7275" spans="4:7">
      <c r="D7275" s="200" t="s">
        <v>7192</v>
      </c>
      <c r="E7275" s="10">
        <v>85664</v>
      </c>
      <c r="F7275" s="201">
        <v>-13.8</v>
      </c>
      <c r="G7275" s="201">
        <v>8.4</v>
      </c>
    </row>
    <row r="7276" spans="4:7">
      <c r="D7276" s="200" t="s">
        <v>7193</v>
      </c>
      <c r="E7276" s="10">
        <v>85716</v>
      </c>
      <c r="F7276" s="201">
        <v>-13.8</v>
      </c>
      <c r="G7276" s="201">
        <v>8.8000000000000007</v>
      </c>
    </row>
    <row r="7277" spans="4:7">
      <c r="D7277" s="200" t="s">
        <v>7194</v>
      </c>
      <c r="E7277" s="10">
        <v>85737</v>
      </c>
      <c r="F7277" s="201">
        <v>-13.8</v>
      </c>
      <c r="G7277" s="201">
        <v>8.8000000000000007</v>
      </c>
    </row>
    <row r="7278" spans="4:7">
      <c r="D7278" s="200" t="s">
        <v>7195</v>
      </c>
      <c r="E7278" s="10">
        <v>85748</v>
      </c>
      <c r="F7278" s="201">
        <v>-13.8</v>
      </c>
      <c r="G7278" s="201">
        <v>8.9</v>
      </c>
    </row>
    <row r="7279" spans="4:7">
      <c r="D7279" s="200" t="s">
        <v>7196</v>
      </c>
      <c r="E7279" s="10">
        <v>85764</v>
      </c>
      <c r="F7279" s="201">
        <v>-13.8</v>
      </c>
      <c r="G7279" s="201">
        <v>8.8000000000000007</v>
      </c>
    </row>
    <row r="7280" spans="4:7">
      <c r="D7280" s="200" t="s">
        <v>7197</v>
      </c>
      <c r="E7280" s="10">
        <v>85774</v>
      </c>
      <c r="F7280" s="201">
        <v>-13.8</v>
      </c>
      <c r="G7280" s="201">
        <v>8.8000000000000007</v>
      </c>
    </row>
    <row r="7281" spans="4:7">
      <c r="D7281" s="200" t="s">
        <v>7198</v>
      </c>
      <c r="E7281" s="10">
        <v>85778</v>
      </c>
      <c r="F7281" s="201">
        <v>-13.8</v>
      </c>
      <c r="G7281" s="201">
        <v>8.8000000000000007</v>
      </c>
    </row>
    <row r="7282" spans="4:7">
      <c r="D7282" s="200" t="s">
        <v>7199</v>
      </c>
      <c r="E7282" s="10">
        <v>86494</v>
      </c>
      <c r="F7282" s="201">
        <v>-13.8</v>
      </c>
      <c r="G7282" s="201">
        <v>8.6999999999999993</v>
      </c>
    </row>
    <row r="7283" spans="4:7">
      <c r="D7283" s="200" t="s">
        <v>7200</v>
      </c>
      <c r="E7283" s="10">
        <v>86497</v>
      </c>
      <c r="F7283" s="201">
        <v>-13.8</v>
      </c>
      <c r="G7283" s="201">
        <v>8.8000000000000007</v>
      </c>
    </row>
    <row r="7284" spans="4:7">
      <c r="D7284" s="200" t="s">
        <v>7201</v>
      </c>
      <c r="E7284" s="10">
        <v>86502</v>
      </c>
      <c r="F7284" s="201">
        <v>-13.8</v>
      </c>
      <c r="G7284" s="201">
        <v>8.6</v>
      </c>
    </row>
    <row r="7285" spans="4:7">
      <c r="D7285" s="200" t="s">
        <v>7202</v>
      </c>
      <c r="E7285" s="10">
        <v>86554</v>
      </c>
      <c r="F7285" s="201">
        <v>-13.8</v>
      </c>
      <c r="G7285" s="201">
        <v>8.8000000000000007</v>
      </c>
    </row>
    <row r="7286" spans="4:7">
      <c r="D7286" s="200" t="s">
        <v>7203</v>
      </c>
      <c r="E7286" s="10">
        <v>86561</v>
      </c>
      <c r="F7286" s="201">
        <v>-13.8</v>
      </c>
      <c r="G7286" s="201">
        <v>8.8000000000000007</v>
      </c>
    </row>
    <row r="7287" spans="4:7">
      <c r="D7287" s="200" t="s">
        <v>7204</v>
      </c>
      <c r="E7287" s="10">
        <v>86570</v>
      </c>
      <c r="F7287" s="201">
        <v>-13.8</v>
      </c>
      <c r="G7287" s="201">
        <v>8.8000000000000007</v>
      </c>
    </row>
    <row r="7288" spans="4:7">
      <c r="D7288" s="200" t="s">
        <v>1622</v>
      </c>
      <c r="E7288" s="10">
        <v>86697</v>
      </c>
      <c r="F7288" s="201">
        <v>-13.8</v>
      </c>
      <c r="G7288" s="201">
        <v>8.6999999999999993</v>
      </c>
    </row>
    <row r="7289" spans="4:7">
      <c r="D7289" s="200" t="s">
        <v>7205</v>
      </c>
      <c r="E7289" s="10">
        <v>86899</v>
      </c>
      <c r="F7289" s="201">
        <v>-13.8</v>
      </c>
      <c r="G7289" s="201">
        <v>8.6999999999999993</v>
      </c>
    </row>
    <row r="7290" spans="4:7">
      <c r="D7290" s="200" t="s">
        <v>7206</v>
      </c>
      <c r="E7290" s="10">
        <v>87742</v>
      </c>
      <c r="F7290" s="201">
        <v>-13.8</v>
      </c>
      <c r="G7290" s="201">
        <v>8.1999999999999993</v>
      </c>
    </row>
    <row r="7291" spans="4:7">
      <c r="D7291" s="200" t="s">
        <v>7207</v>
      </c>
      <c r="E7291" s="10">
        <v>87749</v>
      </c>
      <c r="F7291" s="201">
        <v>-13.8</v>
      </c>
      <c r="G7291" s="201">
        <v>8.1</v>
      </c>
    </row>
    <row r="7292" spans="4:7">
      <c r="D7292" s="200" t="s">
        <v>7208</v>
      </c>
      <c r="E7292" s="10">
        <v>87758</v>
      </c>
      <c r="F7292" s="201">
        <v>-13.8</v>
      </c>
      <c r="G7292" s="201">
        <v>8.1</v>
      </c>
    </row>
    <row r="7293" spans="4:7">
      <c r="D7293" s="200" t="s">
        <v>2442</v>
      </c>
      <c r="E7293" s="10">
        <v>87778</v>
      </c>
      <c r="F7293" s="201">
        <v>-13.8</v>
      </c>
      <c r="G7293" s="201">
        <v>8.1999999999999993</v>
      </c>
    </row>
    <row r="7294" spans="4:7">
      <c r="D7294" s="200" t="s">
        <v>7209</v>
      </c>
      <c r="E7294" s="10">
        <v>87789</v>
      </c>
      <c r="F7294" s="201">
        <v>-13.8</v>
      </c>
      <c r="G7294" s="201">
        <v>8.1</v>
      </c>
    </row>
    <row r="7295" spans="4:7">
      <c r="D7295" s="200" t="s">
        <v>7210</v>
      </c>
      <c r="E7295" s="10">
        <v>88161</v>
      </c>
      <c r="F7295" s="201">
        <v>-13.8</v>
      </c>
      <c r="G7295" s="201">
        <v>7.7</v>
      </c>
    </row>
    <row r="7296" spans="4:7">
      <c r="D7296" s="200" t="s">
        <v>7211</v>
      </c>
      <c r="E7296" s="10">
        <v>88353</v>
      </c>
      <c r="F7296" s="201">
        <v>-13.8</v>
      </c>
      <c r="G7296" s="201">
        <v>8</v>
      </c>
    </row>
    <row r="7297" spans="4:7">
      <c r="D7297" s="200" t="s">
        <v>7212</v>
      </c>
      <c r="E7297" s="10">
        <v>88410</v>
      </c>
      <c r="F7297" s="201">
        <v>-13.8</v>
      </c>
      <c r="G7297" s="201">
        <v>7.9</v>
      </c>
    </row>
    <row r="7298" spans="4:7">
      <c r="D7298" s="200" t="s">
        <v>7213</v>
      </c>
      <c r="E7298" s="10">
        <v>88430</v>
      </c>
      <c r="F7298" s="201">
        <v>-13.8</v>
      </c>
      <c r="G7298" s="201">
        <v>7.9</v>
      </c>
    </row>
    <row r="7299" spans="4:7">
      <c r="D7299" s="200" t="s">
        <v>7214</v>
      </c>
      <c r="E7299" s="10">
        <v>90584</v>
      </c>
      <c r="F7299" s="201">
        <v>-13.8</v>
      </c>
      <c r="G7299" s="201">
        <v>8.8000000000000007</v>
      </c>
    </row>
    <row r="7300" spans="4:7">
      <c r="D7300" s="200" t="s">
        <v>7215</v>
      </c>
      <c r="E7300" s="10">
        <v>90602</v>
      </c>
      <c r="F7300" s="201">
        <v>-13.8</v>
      </c>
      <c r="G7300" s="201">
        <v>8.6999999999999993</v>
      </c>
    </row>
    <row r="7301" spans="4:7">
      <c r="D7301" s="200" t="s">
        <v>7216</v>
      </c>
      <c r="E7301" s="10">
        <v>90617</v>
      </c>
      <c r="F7301" s="201">
        <v>-13.8</v>
      </c>
      <c r="G7301" s="201">
        <v>9</v>
      </c>
    </row>
    <row r="7302" spans="4:7">
      <c r="D7302" s="200" t="s">
        <v>7217</v>
      </c>
      <c r="E7302" s="10">
        <v>91220</v>
      </c>
      <c r="F7302" s="201">
        <v>-13.8</v>
      </c>
      <c r="G7302" s="201">
        <v>9</v>
      </c>
    </row>
    <row r="7303" spans="4:7">
      <c r="D7303" s="200" t="s">
        <v>7218</v>
      </c>
      <c r="E7303" s="10">
        <v>91242</v>
      </c>
      <c r="F7303" s="201">
        <v>-13.8</v>
      </c>
      <c r="G7303" s="201">
        <v>9.1</v>
      </c>
    </row>
    <row r="7304" spans="4:7">
      <c r="D7304" s="200" t="s">
        <v>7219</v>
      </c>
      <c r="E7304" s="10">
        <v>91275</v>
      </c>
      <c r="F7304" s="201">
        <v>-13.8</v>
      </c>
      <c r="G7304" s="201">
        <v>8.5</v>
      </c>
    </row>
    <row r="7305" spans="4:7">
      <c r="D7305" s="200" t="s">
        <v>7220</v>
      </c>
      <c r="E7305" s="10">
        <v>91284</v>
      </c>
      <c r="F7305" s="201">
        <v>-13.8</v>
      </c>
      <c r="G7305" s="201">
        <v>8.6999999999999993</v>
      </c>
    </row>
    <row r="7306" spans="4:7">
      <c r="D7306" s="200" t="s">
        <v>7221</v>
      </c>
      <c r="E7306" s="10">
        <v>91349</v>
      </c>
      <c r="F7306" s="201">
        <v>-13.8</v>
      </c>
      <c r="G7306" s="201">
        <v>8.6999999999999993</v>
      </c>
    </row>
    <row r="7307" spans="4:7">
      <c r="D7307" s="200" t="s">
        <v>7222</v>
      </c>
      <c r="E7307" s="10">
        <v>92242</v>
      </c>
      <c r="F7307" s="201">
        <v>-13.8</v>
      </c>
      <c r="G7307" s="201">
        <v>8.5</v>
      </c>
    </row>
    <row r="7308" spans="4:7">
      <c r="D7308" s="200" t="s">
        <v>7223</v>
      </c>
      <c r="E7308" s="10">
        <v>92358</v>
      </c>
      <c r="F7308" s="201">
        <v>-13.8</v>
      </c>
      <c r="G7308" s="201">
        <v>8.1999999999999993</v>
      </c>
    </row>
    <row r="7309" spans="4:7">
      <c r="D7309" s="200" t="s">
        <v>7224</v>
      </c>
      <c r="E7309" s="10">
        <v>92444</v>
      </c>
      <c r="F7309" s="201">
        <v>-13.8</v>
      </c>
      <c r="G7309" s="201">
        <v>8.1999999999999993</v>
      </c>
    </row>
    <row r="7310" spans="4:7">
      <c r="D7310" s="200" t="s">
        <v>7225</v>
      </c>
      <c r="E7310" s="10">
        <v>92536</v>
      </c>
      <c r="F7310" s="201">
        <v>-13.8</v>
      </c>
      <c r="G7310" s="201">
        <v>8.6</v>
      </c>
    </row>
    <row r="7311" spans="4:7">
      <c r="D7311" s="200" t="s">
        <v>7226</v>
      </c>
      <c r="E7311" s="10">
        <v>92554</v>
      </c>
      <c r="F7311" s="201">
        <v>-13.8</v>
      </c>
      <c r="G7311" s="201">
        <v>8.1</v>
      </c>
    </row>
    <row r="7312" spans="4:7">
      <c r="D7312" s="200" t="s">
        <v>7227</v>
      </c>
      <c r="E7312" s="10">
        <v>92665</v>
      </c>
      <c r="F7312" s="201">
        <v>-13.8</v>
      </c>
      <c r="G7312" s="201">
        <v>8.1</v>
      </c>
    </row>
    <row r="7313" spans="4:7">
      <c r="D7313" s="200" t="s">
        <v>7228</v>
      </c>
      <c r="E7313" s="10">
        <v>92700</v>
      </c>
      <c r="F7313" s="201">
        <v>-13.8</v>
      </c>
      <c r="G7313" s="201">
        <v>8.1999999999999993</v>
      </c>
    </row>
    <row r="7314" spans="4:7">
      <c r="D7314" s="200" t="s">
        <v>7229</v>
      </c>
      <c r="E7314" s="10">
        <v>92715</v>
      </c>
      <c r="F7314" s="201">
        <v>-13.8</v>
      </c>
      <c r="G7314" s="201">
        <v>8.1999999999999993</v>
      </c>
    </row>
    <row r="7315" spans="4:7">
      <c r="D7315" s="200" t="s">
        <v>7230</v>
      </c>
      <c r="E7315" s="10">
        <v>92726</v>
      </c>
      <c r="F7315" s="201">
        <v>-13.8</v>
      </c>
      <c r="G7315" s="201">
        <v>7.7</v>
      </c>
    </row>
    <row r="7316" spans="4:7">
      <c r="D7316" s="200" t="s">
        <v>7231</v>
      </c>
      <c r="E7316" s="10">
        <v>92727</v>
      </c>
      <c r="F7316" s="201">
        <v>-13.8</v>
      </c>
      <c r="G7316" s="201">
        <v>7.8</v>
      </c>
    </row>
    <row r="7317" spans="4:7">
      <c r="D7317" s="200" t="s">
        <v>7232</v>
      </c>
      <c r="E7317" s="10">
        <v>93086</v>
      </c>
      <c r="F7317" s="201">
        <v>-13.8</v>
      </c>
      <c r="G7317" s="201">
        <v>8.6</v>
      </c>
    </row>
    <row r="7318" spans="4:7">
      <c r="D7318" s="200" t="s">
        <v>7233</v>
      </c>
      <c r="E7318" s="10">
        <v>93093</v>
      </c>
      <c r="F7318" s="201">
        <v>-13.8</v>
      </c>
      <c r="G7318" s="201">
        <v>8.6999999999999993</v>
      </c>
    </row>
    <row r="7319" spans="4:7">
      <c r="D7319" s="200" t="s">
        <v>7234</v>
      </c>
      <c r="E7319" s="10">
        <v>93096</v>
      </c>
      <c r="F7319" s="201">
        <v>-13.8</v>
      </c>
      <c r="G7319" s="201">
        <v>8.9</v>
      </c>
    </row>
    <row r="7320" spans="4:7">
      <c r="D7320" s="200" t="s">
        <v>7235</v>
      </c>
      <c r="E7320" s="10">
        <v>93107</v>
      </c>
      <c r="F7320" s="201">
        <v>-13.8</v>
      </c>
      <c r="G7320" s="201">
        <v>8.6999999999999993</v>
      </c>
    </row>
    <row r="7321" spans="4:7">
      <c r="D7321" s="200" t="s">
        <v>7236</v>
      </c>
      <c r="E7321" s="10">
        <v>93138</v>
      </c>
      <c r="F7321" s="201">
        <v>-13.8</v>
      </c>
      <c r="G7321" s="201">
        <v>8.6</v>
      </c>
    </row>
    <row r="7322" spans="4:7">
      <c r="D7322" s="200" t="s">
        <v>7237</v>
      </c>
      <c r="E7322" s="10">
        <v>93149</v>
      </c>
      <c r="F7322" s="201">
        <v>-13.8</v>
      </c>
      <c r="G7322" s="201">
        <v>8.8000000000000007</v>
      </c>
    </row>
    <row r="7323" spans="4:7">
      <c r="D7323" s="200" t="s">
        <v>7238</v>
      </c>
      <c r="E7323" s="10">
        <v>93170</v>
      </c>
      <c r="F7323" s="201">
        <v>-13.8</v>
      </c>
      <c r="G7323" s="201">
        <v>8.4</v>
      </c>
    </row>
    <row r="7324" spans="4:7">
      <c r="D7324" s="200" t="s">
        <v>7239</v>
      </c>
      <c r="E7324" s="10">
        <v>93173</v>
      </c>
      <c r="F7324" s="201">
        <v>-13.8</v>
      </c>
      <c r="G7324" s="201">
        <v>8.8000000000000007</v>
      </c>
    </row>
    <row r="7325" spans="4:7">
      <c r="D7325" s="200" t="s">
        <v>7240</v>
      </c>
      <c r="E7325" s="10">
        <v>93179</v>
      </c>
      <c r="F7325" s="201">
        <v>-13.8</v>
      </c>
      <c r="G7325" s="201">
        <v>7.8</v>
      </c>
    </row>
    <row r="7326" spans="4:7">
      <c r="D7326" s="200" t="s">
        <v>5324</v>
      </c>
      <c r="E7326" s="10">
        <v>93192</v>
      </c>
      <c r="F7326" s="201">
        <v>-13.8</v>
      </c>
      <c r="G7326" s="201">
        <v>8</v>
      </c>
    </row>
    <row r="7327" spans="4:7">
      <c r="D7327" s="200" t="s">
        <v>7241</v>
      </c>
      <c r="E7327" s="10">
        <v>93199</v>
      </c>
      <c r="F7327" s="201">
        <v>-13.8</v>
      </c>
      <c r="G7327" s="201">
        <v>8.1999999999999993</v>
      </c>
    </row>
    <row r="7328" spans="4:7">
      <c r="D7328" s="200" t="s">
        <v>7242</v>
      </c>
      <c r="E7328" s="10">
        <v>93346</v>
      </c>
      <c r="F7328" s="201">
        <v>-13.8</v>
      </c>
      <c r="G7328" s="201">
        <v>8.3000000000000007</v>
      </c>
    </row>
    <row r="7329" spans="4:7">
      <c r="D7329" s="200" t="s">
        <v>7243</v>
      </c>
      <c r="E7329" s="10">
        <v>93356</v>
      </c>
      <c r="F7329" s="201">
        <v>-13.8</v>
      </c>
      <c r="G7329" s="201">
        <v>8.6</v>
      </c>
    </row>
    <row r="7330" spans="4:7">
      <c r="D7330" s="200" t="s">
        <v>7244</v>
      </c>
      <c r="E7330" s="10">
        <v>93449</v>
      </c>
      <c r="F7330" s="201">
        <v>-13.8</v>
      </c>
      <c r="G7330" s="201">
        <v>7.8</v>
      </c>
    </row>
    <row r="7331" spans="4:7">
      <c r="D7331" s="200" t="s">
        <v>7245</v>
      </c>
      <c r="E7331" s="10">
        <v>93455</v>
      </c>
      <c r="F7331" s="201">
        <v>-13.8</v>
      </c>
      <c r="G7331" s="201">
        <v>8.3000000000000007</v>
      </c>
    </row>
    <row r="7332" spans="4:7">
      <c r="D7332" s="200" t="s">
        <v>7246</v>
      </c>
      <c r="E7332" s="10">
        <v>93491</v>
      </c>
      <c r="F7332" s="201">
        <v>-13.8</v>
      </c>
      <c r="G7332" s="201">
        <v>8.4</v>
      </c>
    </row>
    <row r="7333" spans="4:7">
      <c r="D7333" s="200" t="s">
        <v>7247</v>
      </c>
      <c r="E7333" s="10">
        <v>94209</v>
      </c>
      <c r="F7333" s="201">
        <v>-13.8</v>
      </c>
      <c r="G7333" s="201">
        <v>7.4</v>
      </c>
    </row>
    <row r="7334" spans="4:7">
      <c r="D7334" s="200" t="s">
        <v>7248</v>
      </c>
      <c r="E7334" s="10">
        <v>94264</v>
      </c>
      <c r="F7334" s="201">
        <v>-13.8</v>
      </c>
      <c r="G7334" s="201">
        <v>7.3</v>
      </c>
    </row>
    <row r="7335" spans="4:7">
      <c r="D7335" s="200" t="s">
        <v>7249</v>
      </c>
      <c r="E7335" s="10">
        <v>94267</v>
      </c>
      <c r="F7335" s="201">
        <v>-13.8</v>
      </c>
      <c r="G7335" s="201">
        <v>7.4</v>
      </c>
    </row>
    <row r="7336" spans="4:7">
      <c r="D7336" s="200" t="s">
        <v>7250</v>
      </c>
      <c r="E7336" s="10">
        <v>94269</v>
      </c>
      <c r="F7336" s="201">
        <v>-13.8</v>
      </c>
      <c r="G7336" s="201">
        <v>7.3</v>
      </c>
    </row>
    <row r="7337" spans="4:7">
      <c r="D7337" s="200" t="s">
        <v>7251</v>
      </c>
      <c r="E7337" s="10">
        <v>94330</v>
      </c>
      <c r="F7337" s="201">
        <v>-13.8</v>
      </c>
      <c r="G7337" s="201">
        <v>9</v>
      </c>
    </row>
    <row r="7338" spans="4:7">
      <c r="D7338" s="200" t="s">
        <v>7252</v>
      </c>
      <c r="E7338" s="10">
        <v>94342</v>
      </c>
      <c r="F7338" s="201">
        <v>-13.8</v>
      </c>
      <c r="G7338" s="201">
        <v>9</v>
      </c>
    </row>
    <row r="7339" spans="4:7">
      <c r="D7339" s="200" t="s">
        <v>7253</v>
      </c>
      <c r="E7339" s="10">
        <v>94348</v>
      </c>
      <c r="F7339" s="201">
        <v>-13.8</v>
      </c>
      <c r="G7339" s="201">
        <v>9</v>
      </c>
    </row>
    <row r="7340" spans="4:7">
      <c r="D7340" s="200" t="s">
        <v>6856</v>
      </c>
      <c r="E7340" s="10">
        <v>94351</v>
      </c>
      <c r="F7340" s="201">
        <v>-13.8</v>
      </c>
      <c r="G7340" s="201">
        <v>8.9</v>
      </c>
    </row>
    <row r="7341" spans="4:7">
      <c r="D7341" s="200" t="s">
        <v>1644</v>
      </c>
      <c r="E7341" s="10">
        <v>94362</v>
      </c>
      <c r="F7341" s="201">
        <v>-13.8</v>
      </c>
      <c r="G7341" s="201">
        <v>8.1999999999999993</v>
      </c>
    </row>
    <row r="7342" spans="4:7">
      <c r="D7342" s="200" t="s">
        <v>7254</v>
      </c>
      <c r="E7342" s="10">
        <v>94365</v>
      </c>
      <c r="F7342" s="201">
        <v>-13.8</v>
      </c>
      <c r="G7342" s="201">
        <v>9.1</v>
      </c>
    </row>
    <row r="7343" spans="4:7">
      <c r="D7343" s="200" t="s">
        <v>7255</v>
      </c>
      <c r="E7343" s="10">
        <v>94368</v>
      </c>
      <c r="F7343" s="201">
        <v>-13.8</v>
      </c>
      <c r="G7343" s="201">
        <v>9</v>
      </c>
    </row>
    <row r="7344" spans="4:7">
      <c r="D7344" s="200" t="s">
        <v>6865</v>
      </c>
      <c r="E7344" s="10">
        <v>94369</v>
      </c>
      <c r="F7344" s="201">
        <v>-13.8</v>
      </c>
      <c r="G7344" s="201">
        <v>9</v>
      </c>
    </row>
    <row r="7345" spans="4:7">
      <c r="D7345" s="200" t="s">
        <v>7256</v>
      </c>
      <c r="E7345" s="10">
        <v>94372</v>
      </c>
      <c r="F7345" s="201">
        <v>-13.8</v>
      </c>
      <c r="G7345" s="201">
        <v>8.4</v>
      </c>
    </row>
    <row r="7346" spans="4:7">
      <c r="D7346" s="200" t="s">
        <v>2971</v>
      </c>
      <c r="E7346" s="10">
        <v>94377</v>
      </c>
      <c r="F7346" s="201">
        <v>-13.8</v>
      </c>
      <c r="G7346" s="201">
        <v>9</v>
      </c>
    </row>
    <row r="7347" spans="4:7">
      <c r="D7347" s="200" t="s">
        <v>7257</v>
      </c>
      <c r="E7347" s="10">
        <v>94505</v>
      </c>
      <c r="F7347" s="201">
        <v>-13.8</v>
      </c>
      <c r="G7347" s="201">
        <v>7.8</v>
      </c>
    </row>
    <row r="7348" spans="4:7">
      <c r="D7348" s="200" t="s">
        <v>7258</v>
      </c>
      <c r="E7348" s="10">
        <v>94545</v>
      </c>
      <c r="F7348" s="201">
        <v>-13.8</v>
      </c>
      <c r="G7348" s="201">
        <v>7</v>
      </c>
    </row>
    <row r="7349" spans="4:7">
      <c r="D7349" s="200" t="s">
        <v>7259</v>
      </c>
      <c r="E7349" s="10">
        <v>95469</v>
      </c>
      <c r="F7349" s="201">
        <v>-13.8</v>
      </c>
      <c r="G7349" s="201">
        <v>8.1999999999999993</v>
      </c>
    </row>
    <row r="7350" spans="4:7">
      <c r="D7350" s="200" t="s">
        <v>7260</v>
      </c>
      <c r="E7350" s="10">
        <v>95478</v>
      </c>
      <c r="F7350" s="201">
        <v>-13.8</v>
      </c>
      <c r="G7350" s="201">
        <v>8.1</v>
      </c>
    </row>
    <row r="7351" spans="4:7">
      <c r="D7351" s="200" t="s">
        <v>7261</v>
      </c>
      <c r="E7351" s="10">
        <v>95519</v>
      </c>
      <c r="F7351" s="201">
        <v>-13.8</v>
      </c>
      <c r="G7351" s="201">
        <v>8.3000000000000007</v>
      </c>
    </row>
    <row r="7352" spans="4:7">
      <c r="D7352" s="200" t="s">
        <v>7262</v>
      </c>
      <c r="E7352" s="10">
        <v>96352</v>
      </c>
      <c r="F7352" s="201">
        <v>-13.8</v>
      </c>
      <c r="G7352" s="201">
        <v>7.5</v>
      </c>
    </row>
    <row r="7353" spans="4:7">
      <c r="D7353" s="200" t="s">
        <v>4966</v>
      </c>
      <c r="E7353" s="10">
        <v>99097</v>
      </c>
      <c r="F7353" s="201">
        <v>-13.8</v>
      </c>
      <c r="G7353" s="201">
        <v>8.5</v>
      </c>
    </row>
    <row r="7354" spans="4:7">
      <c r="D7354" s="200" t="s">
        <v>7263</v>
      </c>
      <c r="E7354" s="10">
        <v>99102</v>
      </c>
      <c r="F7354" s="201">
        <v>-13.8</v>
      </c>
      <c r="G7354" s="201">
        <v>8.1999999999999993</v>
      </c>
    </row>
    <row r="7355" spans="4:7">
      <c r="D7355" s="200" t="s">
        <v>7264</v>
      </c>
      <c r="E7355" s="10">
        <v>99444</v>
      </c>
      <c r="F7355" s="201">
        <v>-13.8</v>
      </c>
      <c r="G7355" s="201">
        <v>8.5</v>
      </c>
    </row>
    <row r="7356" spans="4:7">
      <c r="D7356" s="200" t="s">
        <v>5069</v>
      </c>
      <c r="E7356" s="10">
        <v>1108</v>
      </c>
      <c r="F7356" s="201">
        <v>-13.9</v>
      </c>
      <c r="G7356" s="201">
        <v>9.5</v>
      </c>
    </row>
    <row r="7357" spans="4:7">
      <c r="D7357" s="200" t="s">
        <v>5069</v>
      </c>
      <c r="E7357" s="10">
        <v>1324</v>
      </c>
      <c r="F7357" s="201">
        <v>-13.9</v>
      </c>
      <c r="G7357" s="201">
        <v>9.4</v>
      </c>
    </row>
    <row r="7358" spans="4:7">
      <c r="D7358" s="200" t="s">
        <v>5069</v>
      </c>
      <c r="E7358" s="10">
        <v>1326</v>
      </c>
      <c r="F7358" s="201">
        <v>-13.9</v>
      </c>
      <c r="G7358" s="201">
        <v>9.3000000000000007</v>
      </c>
    </row>
    <row r="7359" spans="4:7">
      <c r="D7359" s="200" t="s">
        <v>5069</v>
      </c>
      <c r="E7359" s="10">
        <v>1328</v>
      </c>
      <c r="F7359" s="201">
        <v>-13.9</v>
      </c>
      <c r="G7359" s="201">
        <v>8.9</v>
      </c>
    </row>
    <row r="7360" spans="4:7">
      <c r="D7360" s="200" t="s">
        <v>5069</v>
      </c>
      <c r="E7360" s="10">
        <v>1465</v>
      </c>
      <c r="F7360" s="201">
        <v>-13.9</v>
      </c>
      <c r="G7360" s="201">
        <v>9.5</v>
      </c>
    </row>
    <row r="7361" spans="4:7">
      <c r="D7361" s="200" t="s">
        <v>7265</v>
      </c>
      <c r="E7361" s="10">
        <v>1744</v>
      </c>
      <c r="F7361" s="201">
        <v>-13.9</v>
      </c>
      <c r="G7361" s="201">
        <v>8.1</v>
      </c>
    </row>
    <row r="7362" spans="4:7">
      <c r="D7362" s="200" t="s">
        <v>7266</v>
      </c>
      <c r="E7362" s="10">
        <v>1774</v>
      </c>
      <c r="F7362" s="201">
        <v>-13.9</v>
      </c>
      <c r="G7362" s="201">
        <v>8.3000000000000007</v>
      </c>
    </row>
    <row r="7363" spans="4:7">
      <c r="D7363" s="200" t="s">
        <v>7267</v>
      </c>
      <c r="E7363" s="10">
        <v>1824</v>
      </c>
      <c r="F7363" s="201">
        <v>-13.9</v>
      </c>
      <c r="G7363" s="201">
        <v>8.5</v>
      </c>
    </row>
    <row r="7364" spans="4:7">
      <c r="D7364" s="200" t="s">
        <v>7268</v>
      </c>
      <c r="E7364" s="10">
        <v>1909</v>
      </c>
      <c r="F7364" s="201">
        <v>-13.9</v>
      </c>
      <c r="G7364" s="201">
        <v>8.9</v>
      </c>
    </row>
    <row r="7365" spans="4:7">
      <c r="D7365" s="200" t="s">
        <v>7269</v>
      </c>
      <c r="E7365" s="10">
        <v>1987</v>
      </c>
      <c r="F7365" s="201">
        <v>-13.9</v>
      </c>
      <c r="G7365" s="201">
        <v>9.5</v>
      </c>
    </row>
    <row r="7366" spans="4:7">
      <c r="D7366" s="200" t="s">
        <v>6355</v>
      </c>
      <c r="E7366" s="10">
        <v>3048</v>
      </c>
      <c r="F7366" s="201">
        <v>-13.9</v>
      </c>
      <c r="G7366" s="201">
        <v>9.6</v>
      </c>
    </row>
    <row r="7367" spans="4:7">
      <c r="D7367" s="200" t="s">
        <v>7270</v>
      </c>
      <c r="E7367" s="10">
        <v>3058</v>
      </c>
      <c r="F7367" s="201">
        <v>-13.9</v>
      </c>
      <c r="G7367" s="201">
        <v>9.5</v>
      </c>
    </row>
    <row r="7368" spans="4:7">
      <c r="D7368" s="200" t="s">
        <v>7271</v>
      </c>
      <c r="E7368" s="10">
        <v>3172</v>
      </c>
      <c r="F7368" s="201">
        <v>-13.9</v>
      </c>
      <c r="G7368" s="201">
        <v>9.5</v>
      </c>
    </row>
    <row r="7369" spans="4:7">
      <c r="D7369" s="200" t="s">
        <v>7272</v>
      </c>
      <c r="E7369" s="10">
        <v>3229</v>
      </c>
      <c r="F7369" s="201">
        <v>-13.9</v>
      </c>
      <c r="G7369" s="201">
        <v>9.5</v>
      </c>
    </row>
    <row r="7370" spans="4:7">
      <c r="D7370" s="200" t="s">
        <v>7273</v>
      </c>
      <c r="E7370" s="10">
        <v>6179</v>
      </c>
      <c r="F7370" s="201">
        <v>-13.9</v>
      </c>
      <c r="G7370" s="201">
        <v>9.6</v>
      </c>
    </row>
    <row r="7371" spans="4:7">
      <c r="D7371" s="200" t="s">
        <v>7274</v>
      </c>
      <c r="E7371" s="10">
        <v>6246</v>
      </c>
      <c r="F7371" s="201">
        <v>-13.9</v>
      </c>
      <c r="G7371" s="201">
        <v>9.6</v>
      </c>
    </row>
    <row r="7372" spans="4:7">
      <c r="D7372" s="200" t="s">
        <v>7275</v>
      </c>
      <c r="E7372" s="10">
        <v>6255</v>
      </c>
      <c r="F7372" s="201">
        <v>-13.9</v>
      </c>
      <c r="G7372" s="201">
        <v>9.6</v>
      </c>
    </row>
    <row r="7373" spans="4:7">
      <c r="D7373" s="200" t="s">
        <v>7276</v>
      </c>
      <c r="E7373" s="10">
        <v>6543</v>
      </c>
      <c r="F7373" s="201">
        <v>-13.9</v>
      </c>
      <c r="G7373" s="201">
        <v>8.6999999999999993</v>
      </c>
    </row>
    <row r="7374" spans="4:7">
      <c r="D7374" s="200" t="s">
        <v>7277</v>
      </c>
      <c r="E7374" s="10">
        <v>7570</v>
      </c>
      <c r="F7374" s="201">
        <v>-13.9</v>
      </c>
      <c r="G7374" s="201">
        <v>9.1</v>
      </c>
    </row>
    <row r="7375" spans="4:7">
      <c r="D7375" s="200" t="s">
        <v>7278</v>
      </c>
      <c r="E7375" s="10">
        <v>7589</v>
      </c>
      <c r="F7375" s="201">
        <v>-13.9</v>
      </c>
      <c r="G7375" s="201">
        <v>8.8000000000000007</v>
      </c>
    </row>
    <row r="7376" spans="4:7">
      <c r="D7376" s="200" t="s">
        <v>7279</v>
      </c>
      <c r="E7376" s="10">
        <v>7607</v>
      </c>
      <c r="F7376" s="201">
        <v>-13.9</v>
      </c>
      <c r="G7376" s="201">
        <v>9</v>
      </c>
    </row>
    <row r="7377" spans="4:7">
      <c r="D7377" s="200" t="s">
        <v>7280</v>
      </c>
      <c r="E7377" s="10">
        <v>8371</v>
      </c>
      <c r="F7377" s="201">
        <v>-13.9</v>
      </c>
      <c r="G7377" s="201">
        <v>9.1</v>
      </c>
    </row>
    <row r="7378" spans="4:7">
      <c r="D7378" s="200" t="s">
        <v>7281</v>
      </c>
      <c r="E7378" s="10">
        <v>8499</v>
      </c>
      <c r="F7378" s="201">
        <v>-13.9</v>
      </c>
      <c r="G7378" s="201">
        <v>8.9</v>
      </c>
    </row>
    <row r="7379" spans="4:7">
      <c r="D7379" s="200" t="s">
        <v>7282</v>
      </c>
      <c r="E7379" s="10">
        <v>9434</v>
      </c>
      <c r="F7379" s="201">
        <v>-13.9</v>
      </c>
      <c r="G7379" s="201">
        <v>8.1</v>
      </c>
    </row>
    <row r="7380" spans="4:7">
      <c r="D7380" s="200" t="s">
        <v>7283</v>
      </c>
      <c r="E7380" s="10">
        <v>15236</v>
      </c>
      <c r="F7380" s="201">
        <v>-13.9</v>
      </c>
      <c r="G7380" s="201">
        <v>9.4</v>
      </c>
    </row>
    <row r="7381" spans="4:7">
      <c r="D7381" s="200" t="s">
        <v>7284</v>
      </c>
      <c r="E7381" s="10">
        <v>15306</v>
      </c>
      <c r="F7381" s="201">
        <v>-13.9</v>
      </c>
      <c r="G7381" s="201">
        <v>9.3000000000000007</v>
      </c>
    </row>
    <row r="7382" spans="4:7">
      <c r="D7382" s="200" t="s">
        <v>7285</v>
      </c>
      <c r="E7382" s="10">
        <v>15868</v>
      </c>
      <c r="F7382" s="201">
        <v>-13.9</v>
      </c>
      <c r="G7382" s="201">
        <v>9.5</v>
      </c>
    </row>
    <row r="7383" spans="4:7">
      <c r="D7383" s="200" t="s">
        <v>7286</v>
      </c>
      <c r="E7383" s="10">
        <v>15890</v>
      </c>
      <c r="F7383" s="201">
        <v>-13.9</v>
      </c>
      <c r="G7383" s="201">
        <v>9.4</v>
      </c>
    </row>
    <row r="7384" spans="4:7">
      <c r="D7384" s="200" t="s">
        <v>7287</v>
      </c>
      <c r="E7384" s="10">
        <v>17268</v>
      </c>
      <c r="F7384" s="201">
        <v>-13.9</v>
      </c>
      <c r="G7384" s="201">
        <v>8.9</v>
      </c>
    </row>
    <row r="7385" spans="4:7">
      <c r="D7385" s="200" t="s">
        <v>7288</v>
      </c>
      <c r="E7385" s="10">
        <v>17329</v>
      </c>
      <c r="F7385" s="201">
        <v>-13.9</v>
      </c>
      <c r="G7385" s="201">
        <v>9</v>
      </c>
    </row>
    <row r="7386" spans="4:7">
      <c r="D7386" s="200" t="s">
        <v>7289</v>
      </c>
      <c r="E7386" s="10">
        <v>17337</v>
      </c>
      <c r="F7386" s="201">
        <v>-13.9</v>
      </c>
      <c r="G7386" s="201">
        <v>8.9</v>
      </c>
    </row>
    <row r="7387" spans="4:7">
      <c r="D7387" s="200" t="s">
        <v>7290</v>
      </c>
      <c r="E7387" s="10">
        <v>79871</v>
      </c>
      <c r="F7387" s="201">
        <v>-13.9</v>
      </c>
      <c r="G7387" s="201">
        <v>6.9</v>
      </c>
    </row>
    <row r="7388" spans="4:7">
      <c r="D7388" s="200" t="s">
        <v>7291</v>
      </c>
      <c r="E7388" s="10">
        <v>79874</v>
      </c>
      <c r="F7388" s="201">
        <v>-13.9</v>
      </c>
      <c r="G7388" s="201">
        <v>6.8</v>
      </c>
    </row>
    <row r="7389" spans="4:7">
      <c r="D7389" s="200" t="s">
        <v>4162</v>
      </c>
      <c r="E7389" s="10">
        <v>81475</v>
      </c>
      <c r="F7389" s="201">
        <v>-13.9</v>
      </c>
      <c r="G7389" s="201">
        <v>8.6</v>
      </c>
    </row>
    <row r="7390" spans="4:7">
      <c r="D7390" s="200" t="s">
        <v>7292</v>
      </c>
      <c r="E7390" s="10">
        <v>82049</v>
      </c>
      <c r="F7390" s="201">
        <v>-13.9</v>
      </c>
      <c r="G7390" s="201">
        <v>8.6</v>
      </c>
    </row>
    <row r="7391" spans="4:7">
      <c r="D7391" s="200" t="s">
        <v>7293</v>
      </c>
      <c r="E7391" s="10">
        <v>82178</v>
      </c>
      <c r="F7391" s="201">
        <v>-13.9</v>
      </c>
      <c r="G7391" s="201">
        <v>8.6999999999999993</v>
      </c>
    </row>
    <row r="7392" spans="4:7">
      <c r="D7392" s="200" t="s">
        <v>7294</v>
      </c>
      <c r="E7392" s="10">
        <v>82393</v>
      </c>
      <c r="F7392" s="201">
        <v>-13.9</v>
      </c>
      <c r="G7392" s="201">
        <v>8.4</v>
      </c>
    </row>
    <row r="7393" spans="4:7">
      <c r="D7393" s="200" t="s">
        <v>7181</v>
      </c>
      <c r="E7393" s="10">
        <v>82398</v>
      </c>
      <c r="F7393" s="201">
        <v>-13.9</v>
      </c>
      <c r="G7393" s="201">
        <v>8.6</v>
      </c>
    </row>
    <row r="7394" spans="4:7">
      <c r="D7394" s="200" t="s">
        <v>7295</v>
      </c>
      <c r="E7394" s="10">
        <v>82439</v>
      </c>
      <c r="F7394" s="201">
        <v>-13.9</v>
      </c>
      <c r="G7394" s="201">
        <v>8.1</v>
      </c>
    </row>
    <row r="7395" spans="4:7">
      <c r="D7395" s="200" t="s">
        <v>7296</v>
      </c>
      <c r="E7395" s="10">
        <v>82444</v>
      </c>
      <c r="F7395" s="201">
        <v>-13.9</v>
      </c>
      <c r="G7395" s="201">
        <v>8.1</v>
      </c>
    </row>
    <row r="7396" spans="4:7">
      <c r="D7396" s="200" t="s">
        <v>7297</v>
      </c>
      <c r="E7396" s="10">
        <v>82496</v>
      </c>
      <c r="F7396" s="201">
        <v>-13.9</v>
      </c>
      <c r="G7396" s="201">
        <v>7.8</v>
      </c>
    </row>
    <row r="7397" spans="4:7">
      <c r="D7397" s="200" t="s">
        <v>7298</v>
      </c>
      <c r="E7397" s="10">
        <v>82547</v>
      </c>
      <c r="F7397" s="201">
        <v>-13.9</v>
      </c>
      <c r="G7397" s="201">
        <v>8.3000000000000007</v>
      </c>
    </row>
    <row r="7398" spans="4:7">
      <c r="D7398" s="200" t="s">
        <v>7299</v>
      </c>
      <c r="E7398" s="10">
        <v>83098</v>
      </c>
      <c r="F7398" s="201">
        <v>-13.9</v>
      </c>
      <c r="G7398" s="201">
        <v>7.6</v>
      </c>
    </row>
    <row r="7399" spans="4:7">
      <c r="D7399" s="200" t="s">
        <v>7300</v>
      </c>
      <c r="E7399" s="10">
        <v>83626</v>
      </c>
      <c r="F7399" s="201">
        <v>-13.9</v>
      </c>
      <c r="G7399" s="201">
        <v>8</v>
      </c>
    </row>
    <row r="7400" spans="4:7">
      <c r="D7400" s="200" t="s">
        <v>7301</v>
      </c>
      <c r="E7400" s="10">
        <v>83629</v>
      </c>
      <c r="F7400" s="201">
        <v>-13.9</v>
      </c>
      <c r="G7400" s="201">
        <v>7.8</v>
      </c>
    </row>
    <row r="7401" spans="4:7">
      <c r="D7401" s="200" t="s">
        <v>7302</v>
      </c>
      <c r="E7401" s="10">
        <v>83646</v>
      </c>
      <c r="F7401" s="201">
        <v>-13.9</v>
      </c>
      <c r="G7401" s="201">
        <v>8.1</v>
      </c>
    </row>
    <row r="7402" spans="4:7">
      <c r="D7402" s="200" t="s">
        <v>7303</v>
      </c>
      <c r="E7402" s="10">
        <v>83714</v>
      </c>
      <c r="F7402" s="201">
        <v>-13.9</v>
      </c>
      <c r="G7402" s="201">
        <v>7.8</v>
      </c>
    </row>
    <row r="7403" spans="4:7">
      <c r="D7403" s="200" t="s">
        <v>7304</v>
      </c>
      <c r="E7403" s="10">
        <v>85221</v>
      </c>
      <c r="F7403" s="201">
        <v>-13.9</v>
      </c>
      <c r="G7403" s="201">
        <v>8.8000000000000007</v>
      </c>
    </row>
    <row r="7404" spans="4:7">
      <c r="D7404" s="200" t="s">
        <v>7305</v>
      </c>
      <c r="E7404" s="10">
        <v>85604</v>
      </c>
      <c r="F7404" s="201">
        <v>-13.9</v>
      </c>
      <c r="G7404" s="201">
        <v>8.4</v>
      </c>
    </row>
    <row r="7405" spans="4:7">
      <c r="D7405" s="200" t="s">
        <v>7306</v>
      </c>
      <c r="E7405" s="10">
        <v>85614</v>
      </c>
      <c r="F7405" s="201">
        <v>-13.9</v>
      </c>
      <c r="G7405" s="201">
        <v>8.4</v>
      </c>
    </row>
    <row r="7406" spans="4:7">
      <c r="D7406" s="200" t="s">
        <v>7307</v>
      </c>
      <c r="E7406" s="10">
        <v>85630</v>
      </c>
      <c r="F7406" s="201">
        <v>-13.9</v>
      </c>
      <c r="G7406" s="201">
        <v>8.4</v>
      </c>
    </row>
    <row r="7407" spans="4:7">
      <c r="D7407" s="200" t="s">
        <v>7308</v>
      </c>
      <c r="E7407" s="10">
        <v>85640</v>
      </c>
      <c r="F7407" s="201">
        <v>-13.9</v>
      </c>
      <c r="G7407" s="201">
        <v>8.5</v>
      </c>
    </row>
    <row r="7408" spans="4:7">
      <c r="D7408" s="200" t="s">
        <v>7309</v>
      </c>
      <c r="E7408" s="10">
        <v>85653</v>
      </c>
      <c r="F7408" s="201">
        <v>-13.9</v>
      </c>
      <c r="G7408" s="201">
        <v>8.3000000000000007</v>
      </c>
    </row>
    <row r="7409" spans="4:7">
      <c r="D7409" s="200" t="s">
        <v>6446</v>
      </c>
      <c r="E7409" s="10">
        <v>86163</v>
      </c>
      <c r="F7409" s="201">
        <v>-13.9</v>
      </c>
      <c r="G7409" s="201">
        <v>8.9</v>
      </c>
    </row>
    <row r="7410" spans="4:7">
      <c r="D7410" s="200" t="s">
        <v>7310</v>
      </c>
      <c r="E7410" s="10">
        <v>86465</v>
      </c>
      <c r="F7410" s="201">
        <v>-13.9</v>
      </c>
      <c r="G7410" s="201">
        <v>8.5</v>
      </c>
    </row>
    <row r="7411" spans="4:7">
      <c r="D7411" s="200" t="s">
        <v>7311</v>
      </c>
      <c r="E7411" s="10">
        <v>86477</v>
      </c>
      <c r="F7411" s="201">
        <v>-13.9</v>
      </c>
      <c r="G7411" s="201">
        <v>8.6</v>
      </c>
    </row>
    <row r="7412" spans="4:7">
      <c r="D7412" s="200" t="s">
        <v>7312</v>
      </c>
      <c r="E7412" s="10">
        <v>86556</v>
      </c>
      <c r="F7412" s="201">
        <v>-13.9</v>
      </c>
      <c r="G7412" s="201">
        <v>8.6999999999999993</v>
      </c>
    </row>
    <row r="7413" spans="4:7">
      <c r="D7413" s="200" t="s">
        <v>7313</v>
      </c>
      <c r="E7413" s="10">
        <v>86922</v>
      </c>
      <c r="F7413" s="201">
        <v>-13.9</v>
      </c>
      <c r="G7413" s="201">
        <v>8.6</v>
      </c>
    </row>
    <row r="7414" spans="4:7">
      <c r="D7414" s="200" t="s">
        <v>7314</v>
      </c>
      <c r="E7414" s="10">
        <v>86923</v>
      </c>
      <c r="F7414" s="201">
        <v>-13.9</v>
      </c>
      <c r="G7414" s="201">
        <v>8.5</v>
      </c>
    </row>
    <row r="7415" spans="4:7">
      <c r="D7415" s="200" t="s">
        <v>7315</v>
      </c>
      <c r="E7415" s="10">
        <v>86940</v>
      </c>
      <c r="F7415" s="201">
        <v>-13.9</v>
      </c>
      <c r="G7415" s="201">
        <v>8.5</v>
      </c>
    </row>
    <row r="7416" spans="4:7">
      <c r="D7416" s="200" t="s">
        <v>7316</v>
      </c>
      <c r="E7416" s="10">
        <v>86949</v>
      </c>
      <c r="F7416" s="201">
        <v>-13.9</v>
      </c>
      <c r="G7416" s="201">
        <v>8.4</v>
      </c>
    </row>
    <row r="7417" spans="4:7">
      <c r="D7417" s="200" t="s">
        <v>7317</v>
      </c>
      <c r="E7417" s="10">
        <v>87776</v>
      </c>
      <c r="F7417" s="201">
        <v>-13.9</v>
      </c>
      <c r="G7417" s="201">
        <v>8.1999999999999993</v>
      </c>
    </row>
    <row r="7418" spans="4:7">
      <c r="D7418" s="200" t="s">
        <v>7318</v>
      </c>
      <c r="E7418" s="10">
        <v>87787</v>
      </c>
      <c r="F7418" s="201">
        <v>-13.9</v>
      </c>
      <c r="G7418" s="201">
        <v>7.9</v>
      </c>
    </row>
    <row r="7419" spans="4:7">
      <c r="D7419" s="200" t="s">
        <v>7319</v>
      </c>
      <c r="E7419" s="10">
        <v>91230</v>
      </c>
      <c r="F7419" s="201">
        <v>-13.9</v>
      </c>
      <c r="G7419" s="201">
        <v>8.1</v>
      </c>
    </row>
    <row r="7420" spans="4:7">
      <c r="D7420" s="200" t="s">
        <v>7320</v>
      </c>
      <c r="E7420" s="10">
        <v>91238</v>
      </c>
      <c r="F7420" s="201">
        <v>-13.9</v>
      </c>
      <c r="G7420" s="201">
        <v>9</v>
      </c>
    </row>
    <row r="7421" spans="4:7">
      <c r="D7421" s="200" t="s">
        <v>7321</v>
      </c>
      <c r="E7421" s="10">
        <v>91257</v>
      </c>
      <c r="F7421" s="201">
        <v>-13.9</v>
      </c>
      <c r="G7421" s="201">
        <v>8.3000000000000007</v>
      </c>
    </row>
    <row r="7422" spans="4:7">
      <c r="D7422" s="200" t="s">
        <v>7322</v>
      </c>
      <c r="E7422" s="10">
        <v>91322</v>
      </c>
      <c r="F7422" s="201">
        <v>-13.9</v>
      </c>
      <c r="G7422" s="201">
        <v>8.3000000000000007</v>
      </c>
    </row>
    <row r="7423" spans="4:7">
      <c r="D7423" s="200" t="s">
        <v>7323</v>
      </c>
      <c r="E7423" s="10">
        <v>92249</v>
      </c>
      <c r="F7423" s="201">
        <v>-13.9</v>
      </c>
      <c r="G7423" s="201">
        <v>8.6</v>
      </c>
    </row>
    <row r="7424" spans="4:7">
      <c r="D7424" s="200" t="s">
        <v>7324</v>
      </c>
      <c r="E7424" s="10">
        <v>92283</v>
      </c>
      <c r="F7424" s="201">
        <v>-13.9</v>
      </c>
      <c r="G7424" s="201">
        <v>7.9</v>
      </c>
    </row>
    <row r="7425" spans="4:7">
      <c r="D7425" s="200" t="s">
        <v>7325</v>
      </c>
      <c r="E7425" s="10">
        <v>92447</v>
      </c>
      <c r="F7425" s="201">
        <v>-13.9</v>
      </c>
      <c r="G7425" s="201">
        <v>8.6999999999999993</v>
      </c>
    </row>
    <row r="7426" spans="4:7">
      <c r="D7426" s="200" t="s">
        <v>7326</v>
      </c>
      <c r="E7426" s="10">
        <v>92552</v>
      </c>
      <c r="F7426" s="201">
        <v>-13.9</v>
      </c>
      <c r="G7426" s="201">
        <v>7.9</v>
      </c>
    </row>
    <row r="7427" spans="4:7">
      <c r="D7427" s="200" t="s">
        <v>7327</v>
      </c>
      <c r="E7427" s="10">
        <v>92670</v>
      </c>
      <c r="F7427" s="201">
        <v>-13.9</v>
      </c>
      <c r="G7427" s="201">
        <v>8.1999999999999993</v>
      </c>
    </row>
    <row r="7428" spans="4:7">
      <c r="D7428" s="200" t="s">
        <v>7328</v>
      </c>
      <c r="E7428" s="10">
        <v>92681</v>
      </c>
      <c r="F7428" s="201">
        <v>-13.9</v>
      </c>
      <c r="G7428" s="201">
        <v>7.8</v>
      </c>
    </row>
    <row r="7429" spans="4:7">
      <c r="D7429" s="200" t="s">
        <v>7329</v>
      </c>
      <c r="E7429" s="10">
        <v>92723</v>
      </c>
      <c r="F7429" s="201">
        <v>-13.9</v>
      </c>
      <c r="G7429" s="201">
        <v>7.6</v>
      </c>
    </row>
    <row r="7430" spans="4:7">
      <c r="D7430" s="200" t="s">
        <v>7330</v>
      </c>
      <c r="E7430" s="10">
        <v>93095</v>
      </c>
      <c r="F7430" s="201">
        <v>-13.9</v>
      </c>
      <c r="G7430" s="201">
        <v>8.6999999999999993</v>
      </c>
    </row>
    <row r="7431" spans="4:7">
      <c r="D7431" s="200" t="s">
        <v>7331</v>
      </c>
      <c r="E7431" s="10">
        <v>93158</v>
      </c>
      <c r="F7431" s="201">
        <v>-13.9</v>
      </c>
      <c r="G7431" s="201">
        <v>8.9</v>
      </c>
    </row>
    <row r="7432" spans="4:7">
      <c r="D7432" s="200" t="s">
        <v>7332</v>
      </c>
      <c r="E7432" s="10">
        <v>93189</v>
      </c>
      <c r="F7432" s="201">
        <v>-13.9</v>
      </c>
      <c r="G7432" s="201">
        <v>8.6999999999999993</v>
      </c>
    </row>
    <row r="7433" spans="4:7">
      <c r="D7433" s="200" t="s">
        <v>7333</v>
      </c>
      <c r="E7433" s="10">
        <v>93194</v>
      </c>
      <c r="F7433" s="201">
        <v>-13.9</v>
      </c>
      <c r="G7433" s="201">
        <v>8.6999999999999993</v>
      </c>
    </row>
    <row r="7434" spans="4:7">
      <c r="D7434" s="200" t="s">
        <v>7334</v>
      </c>
      <c r="E7434" s="10">
        <v>93351</v>
      </c>
      <c r="F7434" s="201">
        <v>-13.9</v>
      </c>
      <c r="G7434" s="201">
        <v>8.1999999999999993</v>
      </c>
    </row>
    <row r="7435" spans="4:7">
      <c r="D7435" s="200" t="s">
        <v>7335</v>
      </c>
      <c r="E7435" s="10">
        <v>94253</v>
      </c>
      <c r="F7435" s="201">
        <v>-13.9</v>
      </c>
      <c r="G7435" s="201">
        <v>6.8</v>
      </c>
    </row>
    <row r="7436" spans="4:7">
      <c r="D7436" s="200" t="s">
        <v>7336</v>
      </c>
      <c r="E7436" s="10">
        <v>94339</v>
      </c>
      <c r="F7436" s="201">
        <v>-13.9</v>
      </c>
      <c r="G7436" s="201">
        <v>8.6999999999999993</v>
      </c>
    </row>
    <row r="7437" spans="4:7">
      <c r="D7437" s="200" t="s">
        <v>7337</v>
      </c>
      <c r="E7437" s="10">
        <v>94350</v>
      </c>
      <c r="F7437" s="201">
        <v>-13.9</v>
      </c>
      <c r="G7437" s="201">
        <v>8.1999999999999993</v>
      </c>
    </row>
    <row r="7438" spans="4:7">
      <c r="D7438" s="200" t="s">
        <v>7338</v>
      </c>
      <c r="E7438" s="10">
        <v>94363</v>
      </c>
      <c r="F7438" s="201">
        <v>-13.9</v>
      </c>
      <c r="G7438" s="201">
        <v>8.6999999999999993</v>
      </c>
    </row>
    <row r="7439" spans="4:7">
      <c r="D7439" s="200" t="s">
        <v>6436</v>
      </c>
      <c r="E7439" s="10">
        <v>95506</v>
      </c>
      <c r="F7439" s="201">
        <v>-13.9</v>
      </c>
      <c r="G7439" s="201">
        <v>8.1</v>
      </c>
    </row>
    <row r="7440" spans="4:7">
      <c r="D7440" s="200" t="s">
        <v>7339</v>
      </c>
      <c r="E7440" s="10">
        <v>95514</v>
      </c>
      <c r="F7440" s="201">
        <v>-13.9</v>
      </c>
      <c r="G7440" s="201">
        <v>8</v>
      </c>
    </row>
    <row r="7441" spans="4:7">
      <c r="D7441" s="200" t="s">
        <v>7340</v>
      </c>
      <c r="E7441" s="10">
        <v>98704</v>
      </c>
      <c r="F7441" s="201">
        <v>-13.9</v>
      </c>
      <c r="G7441" s="201">
        <v>8.1</v>
      </c>
    </row>
    <row r="7442" spans="4:7">
      <c r="D7442" s="200" t="s">
        <v>7341</v>
      </c>
      <c r="E7442" s="10">
        <v>99768</v>
      </c>
      <c r="F7442" s="201">
        <v>-13.9</v>
      </c>
      <c r="G7442" s="201">
        <v>7.6</v>
      </c>
    </row>
    <row r="7443" spans="4:7">
      <c r="D7443" s="200" t="s">
        <v>5069</v>
      </c>
      <c r="E7443" s="10">
        <v>1099</v>
      </c>
      <c r="F7443" s="201">
        <v>-14</v>
      </c>
      <c r="G7443" s="201">
        <v>9.3000000000000007</v>
      </c>
    </row>
    <row r="7444" spans="4:7">
      <c r="D7444" s="200" t="s">
        <v>7342</v>
      </c>
      <c r="E7444" s="10">
        <v>1454</v>
      </c>
      <c r="F7444" s="201">
        <v>-14</v>
      </c>
      <c r="G7444" s="201">
        <v>9.3000000000000007</v>
      </c>
    </row>
    <row r="7445" spans="4:7">
      <c r="D7445" s="200" t="s">
        <v>7343</v>
      </c>
      <c r="E7445" s="10">
        <v>1477</v>
      </c>
      <c r="F7445" s="201">
        <v>-14</v>
      </c>
      <c r="G7445" s="201">
        <v>9.1999999999999993</v>
      </c>
    </row>
    <row r="7446" spans="4:7">
      <c r="D7446" s="200" t="s">
        <v>7344</v>
      </c>
      <c r="E7446" s="10">
        <v>1768</v>
      </c>
      <c r="F7446" s="201">
        <v>-14</v>
      </c>
      <c r="G7446" s="201">
        <v>8</v>
      </c>
    </row>
    <row r="7447" spans="4:7">
      <c r="D7447" s="200" t="s">
        <v>7345</v>
      </c>
      <c r="E7447" s="10">
        <v>1848</v>
      </c>
      <c r="F7447" s="201">
        <v>-14</v>
      </c>
      <c r="G7447" s="201">
        <v>8.5</v>
      </c>
    </row>
    <row r="7448" spans="4:7">
      <c r="D7448" s="200" t="s">
        <v>7346</v>
      </c>
      <c r="E7448" s="10">
        <v>1900</v>
      </c>
      <c r="F7448" s="201">
        <v>-14</v>
      </c>
      <c r="G7448" s="201">
        <v>9.1</v>
      </c>
    </row>
    <row r="7449" spans="4:7">
      <c r="D7449" s="200" t="s">
        <v>6355</v>
      </c>
      <c r="E7449" s="10">
        <v>3052</v>
      </c>
      <c r="F7449" s="201">
        <v>-14</v>
      </c>
      <c r="G7449" s="201">
        <v>9.5</v>
      </c>
    </row>
    <row r="7450" spans="4:7">
      <c r="D7450" s="200" t="s">
        <v>6355</v>
      </c>
      <c r="E7450" s="10">
        <v>3053</v>
      </c>
      <c r="F7450" s="201">
        <v>-14</v>
      </c>
      <c r="G7450" s="201">
        <v>9.5</v>
      </c>
    </row>
    <row r="7451" spans="4:7">
      <c r="D7451" s="200" t="s">
        <v>6355</v>
      </c>
      <c r="E7451" s="10">
        <v>3054</v>
      </c>
      <c r="F7451" s="201">
        <v>-14</v>
      </c>
      <c r="G7451" s="201">
        <v>9.5</v>
      </c>
    </row>
    <row r="7452" spans="4:7">
      <c r="D7452" s="200" t="s">
        <v>6355</v>
      </c>
      <c r="E7452" s="10">
        <v>3055</v>
      </c>
      <c r="F7452" s="201">
        <v>-14</v>
      </c>
      <c r="G7452" s="201">
        <v>9.5</v>
      </c>
    </row>
    <row r="7453" spans="4:7">
      <c r="D7453" s="200" t="s">
        <v>7347</v>
      </c>
      <c r="E7453" s="10">
        <v>3205</v>
      </c>
      <c r="F7453" s="201">
        <v>-14</v>
      </c>
      <c r="G7453" s="201">
        <v>9.4</v>
      </c>
    </row>
    <row r="7454" spans="4:7">
      <c r="D7454" s="200" t="s">
        <v>7348</v>
      </c>
      <c r="E7454" s="10">
        <v>3222</v>
      </c>
      <c r="F7454" s="201">
        <v>-14</v>
      </c>
      <c r="G7454" s="201">
        <v>9.6</v>
      </c>
    </row>
    <row r="7455" spans="4:7">
      <c r="D7455" s="200" t="s">
        <v>5713</v>
      </c>
      <c r="E7455" s="10">
        <v>6118</v>
      </c>
      <c r="F7455" s="201">
        <v>-14</v>
      </c>
      <c r="G7455" s="201">
        <v>9.6</v>
      </c>
    </row>
    <row r="7456" spans="4:7">
      <c r="D7456" s="200" t="s">
        <v>7349</v>
      </c>
      <c r="E7456" s="10">
        <v>6343</v>
      </c>
      <c r="F7456" s="201">
        <v>-14</v>
      </c>
      <c r="G7456" s="201">
        <v>8.3000000000000007</v>
      </c>
    </row>
    <row r="7457" spans="4:7">
      <c r="D7457" s="200" t="s">
        <v>7350</v>
      </c>
      <c r="E7457" s="10">
        <v>6712</v>
      </c>
      <c r="F7457" s="201">
        <v>-14</v>
      </c>
      <c r="G7457" s="201">
        <v>9.1</v>
      </c>
    </row>
    <row r="7458" spans="4:7">
      <c r="D7458" s="200" t="s">
        <v>7351</v>
      </c>
      <c r="E7458" s="10">
        <v>6721</v>
      </c>
      <c r="F7458" s="201">
        <v>-14</v>
      </c>
      <c r="G7458" s="201">
        <v>9.1999999999999993</v>
      </c>
    </row>
    <row r="7459" spans="4:7">
      <c r="D7459" s="200" t="s">
        <v>6384</v>
      </c>
      <c r="E7459" s="10">
        <v>7551</v>
      </c>
      <c r="F7459" s="201">
        <v>-14</v>
      </c>
      <c r="G7459" s="201">
        <v>9</v>
      </c>
    </row>
    <row r="7460" spans="4:7">
      <c r="D7460" s="200" t="s">
        <v>7352</v>
      </c>
      <c r="E7460" s="10">
        <v>7616</v>
      </c>
      <c r="F7460" s="201">
        <v>-14</v>
      </c>
      <c r="G7460" s="201">
        <v>8.8000000000000007</v>
      </c>
    </row>
    <row r="7461" spans="4:7">
      <c r="D7461" s="200" t="s">
        <v>7353</v>
      </c>
      <c r="E7461" s="10">
        <v>7639</v>
      </c>
      <c r="F7461" s="201">
        <v>-14</v>
      </c>
      <c r="G7461" s="201">
        <v>8.9</v>
      </c>
    </row>
    <row r="7462" spans="4:7">
      <c r="D7462" s="200" t="s">
        <v>7354</v>
      </c>
      <c r="E7462" s="10">
        <v>7806</v>
      </c>
      <c r="F7462" s="201">
        <v>-14</v>
      </c>
      <c r="G7462" s="201">
        <v>8.8000000000000007</v>
      </c>
    </row>
    <row r="7463" spans="4:7">
      <c r="D7463" s="200" t="s">
        <v>7355</v>
      </c>
      <c r="E7463" s="10">
        <v>8115</v>
      </c>
      <c r="F7463" s="201">
        <v>-14</v>
      </c>
      <c r="G7463" s="201">
        <v>8.5</v>
      </c>
    </row>
    <row r="7464" spans="4:7">
      <c r="D7464" s="200" t="s">
        <v>4873</v>
      </c>
      <c r="E7464" s="10">
        <v>8289</v>
      </c>
      <c r="F7464" s="201">
        <v>-14</v>
      </c>
      <c r="G7464" s="201">
        <v>8.3000000000000007</v>
      </c>
    </row>
    <row r="7465" spans="4:7">
      <c r="D7465" s="200" t="s">
        <v>7356</v>
      </c>
      <c r="E7465" s="10">
        <v>8393</v>
      </c>
      <c r="F7465" s="201">
        <v>-14</v>
      </c>
      <c r="G7465" s="201">
        <v>9.1</v>
      </c>
    </row>
    <row r="7466" spans="4:7">
      <c r="D7466" s="200" t="s">
        <v>7357</v>
      </c>
      <c r="E7466" s="10">
        <v>8428</v>
      </c>
      <c r="F7466" s="201">
        <v>-14</v>
      </c>
      <c r="G7466" s="201">
        <v>8.9</v>
      </c>
    </row>
    <row r="7467" spans="4:7">
      <c r="D7467" s="200" t="s">
        <v>7358</v>
      </c>
      <c r="E7467" s="10">
        <v>8451</v>
      </c>
      <c r="F7467" s="201">
        <v>-14</v>
      </c>
      <c r="G7467" s="201">
        <v>9.1</v>
      </c>
    </row>
    <row r="7468" spans="4:7">
      <c r="D7468" s="200" t="s">
        <v>7359</v>
      </c>
      <c r="E7468" s="10">
        <v>8459</v>
      </c>
      <c r="F7468" s="201">
        <v>-14</v>
      </c>
      <c r="G7468" s="201">
        <v>9.1</v>
      </c>
    </row>
    <row r="7469" spans="4:7">
      <c r="D7469" s="200" t="s">
        <v>7360</v>
      </c>
      <c r="E7469" s="10">
        <v>8496</v>
      </c>
      <c r="F7469" s="201">
        <v>-14</v>
      </c>
      <c r="G7469" s="201">
        <v>8.6</v>
      </c>
    </row>
    <row r="7470" spans="4:7">
      <c r="D7470" s="200" t="s">
        <v>7361</v>
      </c>
      <c r="E7470" s="10">
        <v>9390</v>
      </c>
      <c r="F7470" s="201">
        <v>-14</v>
      </c>
      <c r="G7470" s="201">
        <v>8.3000000000000007</v>
      </c>
    </row>
    <row r="7471" spans="4:7">
      <c r="D7471" s="200" t="s">
        <v>7362</v>
      </c>
      <c r="E7471" s="10">
        <v>9423</v>
      </c>
      <c r="F7471" s="201">
        <v>-14</v>
      </c>
      <c r="G7471" s="201">
        <v>7.9</v>
      </c>
    </row>
    <row r="7472" spans="4:7">
      <c r="D7472" s="200" t="s">
        <v>7363</v>
      </c>
      <c r="E7472" s="10">
        <v>9432</v>
      </c>
      <c r="F7472" s="201">
        <v>-14</v>
      </c>
      <c r="G7472" s="201">
        <v>8</v>
      </c>
    </row>
    <row r="7473" spans="4:7">
      <c r="D7473" s="200" t="s">
        <v>7364</v>
      </c>
      <c r="E7473" s="10">
        <v>9437</v>
      </c>
      <c r="F7473" s="201">
        <v>-14</v>
      </c>
      <c r="G7473" s="201">
        <v>8.5</v>
      </c>
    </row>
    <row r="7474" spans="4:7">
      <c r="D7474" s="200" t="s">
        <v>7365</v>
      </c>
      <c r="E7474" s="10">
        <v>9575</v>
      </c>
      <c r="F7474" s="201">
        <v>-14</v>
      </c>
      <c r="G7474" s="201">
        <v>8.1999999999999993</v>
      </c>
    </row>
    <row r="7475" spans="4:7">
      <c r="D7475" s="200" t="s">
        <v>7366</v>
      </c>
      <c r="E7475" s="10">
        <v>15757</v>
      </c>
      <c r="F7475" s="201">
        <v>-14</v>
      </c>
      <c r="G7475" s="201">
        <v>9.5</v>
      </c>
    </row>
    <row r="7476" spans="4:7">
      <c r="D7476" s="200" t="s">
        <v>5729</v>
      </c>
      <c r="E7476" s="10">
        <v>15910</v>
      </c>
      <c r="F7476" s="201">
        <v>-14</v>
      </c>
      <c r="G7476" s="201">
        <v>9.4</v>
      </c>
    </row>
    <row r="7477" spans="4:7" ht="30">
      <c r="D7477" s="200" t="s">
        <v>7367</v>
      </c>
      <c r="E7477" s="10">
        <v>15926</v>
      </c>
      <c r="F7477" s="201">
        <v>-14</v>
      </c>
      <c r="G7477" s="201">
        <v>9.5</v>
      </c>
    </row>
    <row r="7478" spans="4:7">
      <c r="D7478" s="200" t="s">
        <v>7368</v>
      </c>
      <c r="E7478" s="10">
        <v>16247</v>
      </c>
      <c r="F7478" s="201">
        <v>-14</v>
      </c>
      <c r="G7478" s="201">
        <v>9.1</v>
      </c>
    </row>
    <row r="7479" spans="4:7">
      <c r="D7479" s="200" t="s">
        <v>7369</v>
      </c>
      <c r="E7479" s="10">
        <v>38889</v>
      </c>
      <c r="F7479" s="201">
        <v>-14</v>
      </c>
      <c r="G7479" s="201">
        <v>7.7</v>
      </c>
    </row>
    <row r="7480" spans="4:7">
      <c r="D7480" s="200" t="s">
        <v>6838</v>
      </c>
      <c r="E7480" s="10">
        <v>82024</v>
      </c>
      <c r="F7480" s="201">
        <v>-14</v>
      </c>
      <c r="G7480" s="201">
        <v>8.5</v>
      </c>
    </row>
    <row r="7481" spans="4:7">
      <c r="D7481" s="200" t="s">
        <v>7370</v>
      </c>
      <c r="E7481" s="10">
        <v>82229</v>
      </c>
      <c r="F7481" s="201">
        <v>-14</v>
      </c>
      <c r="G7481" s="201">
        <v>8.4</v>
      </c>
    </row>
    <row r="7482" spans="4:7">
      <c r="D7482" s="200" t="s">
        <v>7371</v>
      </c>
      <c r="E7482" s="10">
        <v>82299</v>
      </c>
      <c r="F7482" s="201">
        <v>-14</v>
      </c>
      <c r="G7482" s="201">
        <v>8.5</v>
      </c>
    </row>
    <row r="7483" spans="4:7">
      <c r="D7483" s="200" t="s">
        <v>7372</v>
      </c>
      <c r="E7483" s="10">
        <v>82319</v>
      </c>
      <c r="F7483" s="201">
        <v>-14</v>
      </c>
      <c r="G7483" s="201">
        <v>8.1999999999999993</v>
      </c>
    </row>
    <row r="7484" spans="4:7">
      <c r="D7484" s="200" t="s">
        <v>7373</v>
      </c>
      <c r="E7484" s="10">
        <v>82343</v>
      </c>
      <c r="F7484" s="201">
        <v>-14</v>
      </c>
      <c r="G7484" s="201">
        <v>8.1999999999999993</v>
      </c>
    </row>
    <row r="7485" spans="4:7">
      <c r="D7485" s="200" t="s">
        <v>7374</v>
      </c>
      <c r="E7485" s="10">
        <v>82377</v>
      </c>
      <c r="F7485" s="201">
        <v>-14</v>
      </c>
      <c r="G7485" s="201">
        <v>8.4</v>
      </c>
    </row>
    <row r="7486" spans="4:7">
      <c r="D7486" s="200" t="s">
        <v>7375</v>
      </c>
      <c r="E7486" s="10">
        <v>82380</v>
      </c>
      <c r="F7486" s="201">
        <v>-14</v>
      </c>
      <c r="G7486" s="201">
        <v>8.6</v>
      </c>
    </row>
    <row r="7487" spans="4:7">
      <c r="D7487" s="200" t="s">
        <v>7376</v>
      </c>
      <c r="E7487" s="10">
        <v>82387</v>
      </c>
      <c r="F7487" s="201">
        <v>-14</v>
      </c>
      <c r="G7487" s="201">
        <v>8.1999999999999993</v>
      </c>
    </row>
    <row r="7488" spans="4:7">
      <c r="D7488" s="200" t="s">
        <v>7377</v>
      </c>
      <c r="E7488" s="10">
        <v>82389</v>
      </c>
      <c r="F7488" s="201">
        <v>-14</v>
      </c>
      <c r="G7488" s="201">
        <v>7.8</v>
      </c>
    </row>
    <row r="7489" spans="4:7">
      <c r="D7489" s="200" t="s">
        <v>7378</v>
      </c>
      <c r="E7489" s="10">
        <v>82396</v>
      </c>
      <c r="F7489" s="201">
        <v>-14</v>
      </c>
      <c r="G7489" s="201">
        <v>8.6</v>
      </c>
    </row>
    <row r="7490" spans="4:7">
      <c r="D7490" s="200" t="s">
        <v>7379</v>
      </c>
      <c r="E7490" s="10">
        <v>82432</v>
      </c>
      <c r="F7490" s="201">
        <v>-14</v>
      </c>
      <c r="G7490" s="201">
        <v>7.8</v>
      </c>
    </row>
    <row r="7491" spans="4:7">
      <c r="D7491" s="200" t="s">
        <v>7380</v>
      </c>
      <c r="E7491" s="10">
        <v>82449</v>
      </c>
      <c r="F7491" s="201">
        <v>-14</v>
      </c>
      <c r="G7491" s="201">
        <v>7.7</v>
      </c>
    </row>
    <row r="7492" spans="4:7">
      <c r="D7492" s="200" t="s">
        <v>7381</v>
      </c>
      <c r="E7492" s="10">
        <v>82490</v>
      </c>
      <c r="F7492" s="201">
        <v>-14</v>
      </c>
      <c r="G7492" s="201">
        <v>7.6</v>
      </c>
    </row>
    <row r="7493" spans="4:7">
      <c r="D7493" s="200" t="s">
        <v>7382</v>
      </c>
      <c r="E7493" s="10">
        <v>82538</v>
      </c>
      <c r="F7493" s="201">
        <v>-14</v>
      </c>
      <c r="G7493" s="201">
        <v>8.3000000000000007</v>
      </c>
    </row>
    <row r="7494" spans="4:7">
      <c r="D7494" s="200" t="s">
        <v>7383</v>
      </c>
      <c r="E7494" s="10">
        <v>83259</v>
      </c>
      <c r="F7494" s="201">
        <v>-14</v>
      </c>
      <c r="G7494" s="201">
        <v>7.3</v>
      </c>
    </row>
    <row r="7495" spans="4:7">
      <c r="D7495" s="200" t="s">
        <v>7384</v>
      </c>
      <c r="E7495" s="10">
        <v>83670</v>
      </c>
      <c r="F7495" s="201">
        <v>-14</v>
      </c>
      <c r="G7495" s="201">
        <v>8.1</v>
      </c>
    </row>
    <row r="7496" spans="4:7">
      <c r="D7496" s="200" t="s">
        <v>7385</v>
      </c>
      <c r="E7496" s="10">
        <v>83673</v>
      </c>
      <c r="F7496" s="201">
        <v>-14</v>
      </c>
      <c r="G7496" s="201">
        <v>8</v>
      </c>
    </row>
    <row r="7497" spans="4:7">
      <c r="D7497" s="200" t="s">
        <v>7386</v>
      </c>
      <c r="E7497" s="10">
        <v>83677</v>
      </c>
      <c r="F7497" s="201">
        <v>-14</v>
      </c>
      <c r="G7497" s="201">
        <v>7.8</v>
      </c>
    </row>
    <row r="7498" spans="4:7">
      <c r="D7498" s="200" t="s">
        <v>7387</v>
      </c>
      <c r="E7498" s="10">
        <v>83684</v>
      </c>
      <c r="F7498" s="201">
        <v>-14</v>
      </c>
      <c r="G7498" s="201">
        <v>7.4</v>
      </c>
    </row>
    <row r="7499" spans="4:7">
      <c r="D7499" s="200" t="s">
        <v>7388</v>
      </c>
      <c r="E7499" s="10">
        <v>83730</v>
      </c>
      <c r="F7499" s="201">
        <v>-14</v>
      </c>
      <c r="G7499" s="201">
        <v>7.5</v>
      </c>
    </row>
    <row r="7500" spans="4:7">
      <c r="D7500" s="200" t="s">
        <v>7389</v>
      </c>
      <c r="E7500" s="10">
        <v>84061</v>
      </c>
      <c r="F7500" s="201">
        <v>-14</v>
      </c>
      <c r="G7500" s="201">
        <v>8.5</v>
      </c>
    </row>
    <row r="7501" spans="4:7">
      <c r="D7501" s="200" t="s">
        <v>7390</v>
      </c>
      <c r="E7501" s="10">
        <v>84098</v>
      </c>
      <c r="F7501" s="201">
        <v>-14</v>
      </c>
      <c r="G7501" s="201">
        <v>8.5</v>
      </c>
    </row>
    <row r="7502" spans="4:7">
      <c r="D7502" s="200" t="s">
        <v>7391</v>
      </c>
      <c r="E7502" s="10">
        <v>84152</v>
      </c>
      <c r="F7502" s="201">
        <v>-14</v>
      </c>
      <c r="G7502" s="201">
        <v>8.5</v>
      </c>
    </row>
    <row r="7503" spans="4:7">
      <c r="D7503" s="200" t="s">
        <v>7392</v>
      </c>
      <c r="E7503" s="10">
        <v>84168</v>
      </c>
      <c r="F7503" s="201">
        <v>-14</v>
      </c>
      <c r="G7503" s="201">
        <v>8.6999999999999993</v>
      </c>
    </row>
    <row r="7504" spans="4:7">
      <c r="D7504" s="200" t="s">
        <v>7393</v>
      </c>
      <c r="E7504" s="10">
        <v>85232</v>
      </c>
      <c r="F7504" s="201">
        <v>-14</v>
      </c>
      <c r="G7504" s="201">
        <v>8.6999999999999993</v>
      </c>
    </row>
    <row r="7505" spans="4:7">
      <c r="D7505" s="200" t="s">
        <v>7394</v>
      </c>
      <c r="E7505" s="10">
        <v>85259</v>
      </c>
      <c r="F7505" s="201">
        <v>-14</v>
      </c>
      <c r="G7505" s="201">
        <v>8.6999999999999993</v>
      </c>
    </row>
    <row r="7506" spans="4:7">
      <c r="D7506" s="200" t="s">
        <v>7395</v>
      </c>
      <c r="E7506" s="10">
        <v>85307</v>
      </c>
      <c r="F7506" s="201">
        <v>-14</v>
      </c>
      <c r="G7506" s="201">
        <v>8.6</v>
      </c>
    </row>
    <row r="7507" spans="4:7">
      <c r="D7507" s="200" t="s">
        <v>7396</v>
      </c>
      <c r="E7507" s="10">
        <v>85402</v>
      </c>
      <c r="F7507" s="201">
        <v>-14</v>
      </c>
      <c r="G7507" s="201">
        <v>8.6</v>
      </c>
    </row>
    <row r="7508" spans="4:7">
      <c r="D7508" s="200" t="s">
        <v>7397</v>
      </c>
      <c r="E7508" s="10">
        <v>85560</v>
      </c>
      <c r="F7508" s="201">
        <v>-14</v>
      </c>
      <c r="G7508" s="201">
        <v>8.3000000000000007</v>
      </c>
    </row>
    <row r="7509" spans="4:7">
      <c r="D7509" s="200" t="s">
        <v>7398</v>
      </c>
      <c r="E7509" s="10">
        <v>85658</v>
      </c>
      <c r="F7509" s="201">
        <v>-14</v>
      </c>
      <c r="G7509" s="201">
        <v>8.1999999999999993</v>
      </c>
    </row>
    <row r="7510" spans="4:7">
      <c r="D7510" s="200" t="s">
        <v>7399</v>
      </c>
      <c r="E7510" s="10">
        <v>85667</v>
      </c>
      <c r="F7510" s="201">
        <v>-14</v>
      </c>
      <c r="G7510" s="201">
        <v>8.3000000000000007</v>
      </c>
    </row>
    <row r="7511" spans="4:7">
      <c r="D7511" s="200" t="s">
        <v>7400</v>
      </c>
      <c r="E7511" s="10">
        <v>85777</v>
      </c>
      <c r="F7511" s="201">
        <v>-14</v>
      </c>
      <c r="G7511" s="201">
        <v>8.6999999999999993</v>
      </c>
    </row>
    <row r="7512" spans="4:7">
      <c r="D7512" s="200" t="s">
        <v>6446</v>
      </c>
      <c r="E7512" s="10">
        <v>86167</v>
      </c>
      <c r="F7512" s="201">
        <v>-14</v>
      </c>
      <c r="G7512" s="201">
        <v>9</v>
      </c>
    </row>
    <row r="7513" spans="4:7">
      <c r="D7513" s="200" t="s">
        <v>7401</v>
      </c>
      <c r="E7513" s="10">
        <v>86551</v>
      </c>
      <c r="F7513" s="201">
        <v>-14</v>
      </c>
      <c r="G7513" s="201">
        <v>8.8000000000000007</v>
      </c>
    </row>
    <row r="7514" spans="4:7">
      <c r="D7514" s="200" t="s">
        <v>7402</v>
      </c>
      <c r="E7514" s="10">
        <v>86672</v>
      </c>
      <c r="F7514" s="201">
        <v>-14</v>
      </c>
      <c r="G7514" s="201">
        <v>8.6999999999999993</v>
      </c>
    </row>
    <row r="7515" spans="4:7">
      <c r="D7515" s="200" t="s">
        <v>7403</v>
      </c>
      <c r="E7515" s="10">
        <v>86807</v>
      </c>
      <c r="F7515" s="201">
        <v>-14</v>
      </c>
      <c r="G7515" s="201">
        <v>8.4</v>
      </c>
    </row>
    <row r="7516" spans="4:7">
      <c r="D7516" s="200" t="s">
        <v>7404</v>
      </c>
      <c r="E7516" s="10">
        <v>86859</v>
      </c>
      <c r="F7516" s="201">
        <v>-14</v>
      </c>
      <c r="G7516" s="201">
        <v>8.6</v>
      </c>
    </row>
    <row r="7517" spans="4:7">
      <c r="D7517" s="200" t="s">
        <v>7405</v>
      </c>
      <c r="E7517" s="10">
        <v>86865</v>
      </c>
      <c r="F7517" s="201">
        <v>-14</v>
      </c>
      <c r="G7517" s="201">
        <v>8.5</v>
      </c>
    </row>
    <row r="7518" spans="4:7">
      <c r="D7518" s="200" t="s">
        <v>7406</v>
      </c>
      <c r="E7518" s="10">
        <v>86874</v>
      </c>
      <c r="F7518" s="201">
        <v>-14</v>
      </c>
      <c r="G7518" s="201">
        <v>8.5</v>
      </c>
    </row>
    <row r="7519" spans="4:7">
      <c r="D7519" s="200" t="s">
        <v>7407</v>
      </c>
      <c r="E7519" s="10">
        <v>86875</v>
      </c>
      <c r="F7519" s="201">
        <v>-14</v>
      </c>
      <c r="G7519" s="201">
        <v>8.4</v>
      </c>
    </row>
    <row r="7520" spans="4:7">
      <c r="D7520" s="200" t="s">
        <v>7408</v>
      </c>
      <c r="E7520" s="10">
        <v>86879</v>
      </c>
      <c r="F7520" s="201">
        <v>-14</v>
      </c>
      <c r="G7520" s="201">
        <v>8.5</v>
      </c>
    </row>
    <row r="7521" spans="4:7">
      <c r="D7521" s="200" t="s">
        <v>7409</v>
      </c>
      <c r="E7521" s="10">
        <v>86919</v>
      </c>
      <c r="F7521" s="201">
        <v>-14</v>
      </c>
      <c r="G7521" s="201">
        <v>8.6</v>
      </c>
    </row>
    <row r="7522" spans="4:7">
      <c r="D7522" s="200" t="s">
        <v>7410</v>
      </c>
      <c r="E7522" s="10">
        <v>86926</v>
      </c>
      <c r="F7522" s="201">
        <v>-14</v>
      </c>
      <c r="G7522" s="201">
        <v>8.5</v>
      </c>
    </row>
    <row r="7523" spans="4:7">
      <c r="D7523" s="200" t="s">
        <v>7411</v>
      </c>
      <c r="E7523" s="10">
        <v>86938</v>
      </c>
      <c r="F7523" s="201">
        <v>-14</v>
      </c>
      <c r="G7523" s="201">
        <v>8.6999999999999993</v>
      </c>
    </row>
    <row r="7524" spans="4:7">
      <c r="D7524" s="200" t="s">
        <v>7313</v>
      </c>
      <c r="E7524" s="10">
        <v>86941</v>
      </c>
      <c r="F7524" s="201">
        <v>-14</v>
      </c>
      <c r="G7524" s="201">
        <v>8.5</v>
      </c>
    </row>
    <row r="7525" spans="4:7">
      <c r="D7525" s="200" t="s">
        <v>7412</v>
      </c>
      <c r="E7525" s="10">
        <v>86944</v>
      </c>
      <c r="F7525" s="201">
        <v>-14</v>
      </c>
      <c r="G7525" s="201">
        <v>8.4</v>
      </c>
    </row>
    <row r="7526" spans="4:7">
      <c r="D7526" s="200" t="s">
        <v>6460</v>
      </c>
      <c r="E7526" s="10">
        <v>87493</v>
      </c>
      <c r="F7526" s="201">
        <v>-14</v>
      </c>
      <c r="G7526" s="201">
        <v>7.8</v>
      </c>
    </row>
    <row r="7527" spans="4:7">
      <c r="D7527" s="200" t="s">
        <v>7413</v>
      </c>
      <c r="E7527" s="10">
        <v>87745</v>
      </c>
      <c r="F7527" s="201">
        <v>-14</v>
      </c>
      <c r="G7527" s="201">
        <v>8.4</v>
      </c>
    </row>
    <row r="7528" spans="4:7">
      <c r="D7528" s="200" t="s">
        <v>7414</v>
      </c>
      <c r="E7528" s="10">
        <v>87760</v>
      </c>
      <c r="F7528" s="201">
        <v>-14</v>
      </c>
      <c r="G7528" s="201">
        <v>8</v>
      </c>
    </row>
    <row r="7529" spans="4:7">
      <c r="D7529" s="200" t="s">
        <v>7415</v>
      </c>
      <c r="E7529" s="10">
        <v>87763</v>
      </c>
      <c r="F7529" s="201">
        <v>-14</v>
      </c>
      <c r="G7529" s="201">
        <v>7.8</v>
      </c>
    </row>
    <row r="7530" spans="4:7">
      <c r="D7530" s="200" t="s">
        <v>7416</v>
      </c>
      <c r="E7530" s="10">
        <v>87764</v>
      </c>
      <c r="F7530" s="201">
        <v>-14</v>
      </c>
      <c r="G7530" s="201">
        <v>7.8</v>
      </c>
    </row>
    <row r="7531" spans="4:7">
      <c r="D7531" s="200" t="s">
        <v>7417</v>
      </c>
      <c r="E7531" s="10">
        <v>88299</v>
      </c>
      <c r="F7531" s="201">
        <v>-14</v>
      </c>
      <c r="G7531" s="201">
        <v>7.9</v>
      </c>
    </row>
    <row r="7532" spans="4:7">
      <c r="D7532" s="200" t="s">
        <v>7418</v>
      </c>
      <c r="E7532" s="10">
        <v>91236</v>
      </c>
      <c r="F7532" s="201">
        <v>-14</v>
      </c>
      <c r="G7532" s="201">
        <v>8.1999999999999993</v>
      </c>
    </row>
    <row r="7533" spans="4:7">
      <c r="D7533" s="200" t="s">
        <v>7419</v>
      </c>
      <c r="E7533" s="10">
        <v>91286</v>
      </c>
      <c r="F7533" s="201">
        <v>-14</v>
      </c>
      <c r="G7533" s="201">
        <v>8.1</v>
      </c>
    </row>
    <row r="7534" spans="4:7">
      <c r="D7534" s="200" t="s">
        <v>7420</v>
      </c>
      <c r="E7534" s="10">
        <v>91289</v>
      </c>
      <c r="F7534" s="201">
        <v>-14</v>
      </c>
      <c r="G7534" s="201">
        <v>8.1999999999999993</v>
      </c>
    </row>
    <row r="7535" spans="4:7">
      <c r="D7535" s="200" t="s">
        <v>7421</v>
      </c>
      <c r="E7535" s="10">
        <v>91344</v>
      </c>
      <c r="F7535" s="201">
        <v>-14</v>
      </c>
      <c r="G7535" s="201">
        <v>8.4</v>
      </c>
    </row>
    <row r="7536" spans="4:7">
      <c r="D7536" s="200" t="s">
        <v>7422</v>
      </c>
      <c r="E7536" s="10">
        <v>91346</v>
      </c>
      <c r="F7536" s="201">
        <v>-14</v>
      </c>
      <c r="G7536" s="201">
        <v>8.4</v>
      </c>
    </row>
    <row r="7537" spans="4:7">
      <c r="D7537" s="200" t="s">
        <v>7423</v>
      </c>
      <c r="E7537" s="10">
        <v>92237</v>
      </c>
      <c r="F7537" s="201">
        <v>-14</v>
      </c>
      <c r="G7537" s="201">
        <v>8.6999999999999993</v>
      </c>
    </row>
    <row r="7538" spans="4:7">
      <c r="D7538" s="200" t="s">
        <v>7424</v>
      </c>
      <c r="E7538" s="10">
        <v>92431</v>
      </c>
      <c r="F7538" s="201">
        <v>-14</v>
      </c>
      <c r="G7538" s="201">
        <v>8.3000000000000007</v>
      </c>
    </row>
    <row r="7539" spans="4:7">
      <c r="D7539" s="200" t="s">
        <v>7425</v>
      </c>
      <c r="E7539" s="10">
        <v>92439</v>
      </c>
      <c r="F7539" s="201">
        <v>-14</v>
      </c>
      <c r="G7539" s="201">
        <v>8.6</v>
      </c>
    </row>
    <row r="7540" spans="4:7">
      <c r="D7540" s="200" t="s">
        <v>7426</v>
      </c>
      <c r="E7540" s="10">
        <v>92507</v>
      </c>
      <c r="F7540" s="201">
        <v>-14</v>
      </c>
      <c r="G7540" s="201">
        <v>8.6</v>
      </c>
    </row>
    <row r="7541" spans="4:7">
      <c r="D7541" s="200" t="s">
        <v>7427</v>
      </c>
      <c r="E7541" s="10">
        <v>92521</v>
      </c>
      <c r="F7541" s="201">
        <v>-14</v>
      </c>
      <c r="G7541" s="201">
        <v>8.9</v>
      </c>
    </row>
    <row r="7542" spans="4:7">
      <c r="D7542" s="200" t="s">
        <v>7428</v>
      </c>
      <c r="E7542" s="10">
        <v>92539</v>
      </c>
      <c r="F7542" s="201">
        <v>-14</v>
      </c>
      <c r="G7542" s="201">
        <v>7.3</v>
      </c>
    </row>
    <row r="7543" spans="4:7">
      <c r="D7543" s="200" t="s">
        <v>7429</v>
      </c>
      <c r="E7543" s="10">
        <v>92543</v>
      </c>
      <c r="F7543" s="201">
        <v>-14</v>
      </c>
      <c r="G7543" s="201">
        <v>8.1999999999999993</v>
      </c>
    </row>
    <row r="7544" spans="4:7">
      <c r="D7544" s="200" t="s">
        <v>7430</v>
      </c>
      <c r="E7544" s="10">
        <v>92685</v>
      </c>
      <c r="F7544" s="201">
        <v>-14</v>
      </c>
      <c r="G7544" s="201">
        <v>8</v>
      </c>
    </row>
    <row r="7545" spans="4:7">
      <c r="D7545" s="200" t="s">
        <v>7431</v>
      </c>
      <c r="E7545" s="10">
        <v>92690</v>
      </c>
      <c r="F7545" s="201">
        <v>-14</v>
      </c>
      <c r="G7545" s="201">
        <v>7.9</v>
      </c>
    </row>
    <row r="7546" spans="4:7">
      <c r="D7546" s="200" t="s">
        <v>7432</v>
      </c>
      <c r="E7546" s="10">
        <v>92703</v>
      </c>
      <c r="F7546" s="201">
        <v>-14</v>
      </c>
      <c r="G7546" s="201">
        <v>8</v>
      </c>
    </row>
    <row r="7547" spans="4:7">
      <c r="D7547" s="200" t="s">
        <v>7433</v>
      </c>
      <c r="E7547" s="10">
        <v>92717</v>
      </c>
      <c r="F7547" s="201">
        <v>-14</v>
      </c>
      <c r="G7547" s="201">
        <v>8</v>
      </c>
    </row>
    <row r="7548" spans="4:7">
      <c r="D7548" s="200" t="s">
        <v>7434</v>
      </c>
      <c r="E7548" s="10">
        <v>93109</v>
      </c>
      <c r="F7548" s="201">
        <v>-14</v>
      </c>
      <c r="G7548" s="201">
        <v>8.3000000000000007</v>
      </c>
    </row>
    <row r="7549" spans="4:7">
      <c r="D7549" s="200" t="s">
        <v>7435</v>
      </c>
      <c r="E7549" s="10">
        <v>93128</v>
      </c>
      <c r="F7549" s="201">
        <v>-14</v>
      </c>
      <c r="G7549" s="201">
        <v>8.6</v>
      </c>
    </row>
    <row r="7550" spans="4:7">
      <c r="D7550" s="200" t="s">
        <v>7436</v>
      </c>
      <c r="E7550" s="10">
        <v>93185</v>
      </c>
      <c r="F7550" s="201">
        <v>-14</v>
      </c>
      <c r="G7550" s="201">
        <v>7.3</v>
      </c>
    </row>
    <row r="7551" spans="4:7">
      <c r="D7551" s="200" t="s">
        <v>5926</v>
      </c>
      <c r="E7551" s="10">
        <v>93191</v>
      </c>
      <c r="F7551" s="201">
        <v>-14</v>
      </c>
      <c r="G7551" s="201">
        <v>7.5</v>
      </c>
    </row>
    <row r="7552" spans="4:7">
      <c r="D7552" s="200" t="s">
        <v>7437</v>
      </c>
      <c r="E7552" s="10">
        <v>93195</v>
      </c>
      <c r="F7552" s="201">
        <v>-14</v>
      </c>
      <c r="G7552" s="201">
        <v>8.5</v>
      </c>
    </row>
    <row r="7553" spans="4:7">
      <c r="D7553" s="200" t="s">
        <v>7438</v>
      </c>
      <c r="E7553" s="10">
        <v>94089</v>
      </c>
      <c r="F7553" s="201">
        <v>-14</v>
      </c>
      <c r="G7553" s="201">
        <v>7</v>
      </c>
    </row>
    <row r="7554" spans="4:7">
      <c r="D7554" s="200" t="s">
        <v>7439</v>
      </c>
      <c r="E7554" s="10">
        <v>94371</v>
      </c>
      <c r="F7554" s="201">
        <v>-14</v>
      </c>
      <c r="G7554" s="201">
        <v>7.2</v>
      </c>
    </row>
    <row r="7555" spans="4:7">
      <c r="D7555" s="200" t="s">
        <v>7440</v>
      </c>
      <c r="E7555" s="10">
        <v>94566</v>
      </c>
      <c r="F7555" s="201">
        <v>-14</v>
      </c>
      <c r="G7555" s="201">
        <v>6.7</v>
      </c>
    </row>
    <row r="7556" spans="4:7">
      <c r="D7556" s="200" t="s">
        <v>7441</v>
      </c>
      <c r="E7556" s="10">
        <v>95362</v>
      </c>
      <c r="F7556" s="201">
        <v>-14</v>
      </c>
      <c r="G7556" s="201">
        <v>7.7</v>
      </c>
    </row>
    <row r="7557" spans="4:7">
      <c r="D7557" s="200" t="s">
        <v>7442</v>
      </c>
      <c r="E7557" s="10">
        <v>95466</v>
      </c>
      <c r="F7557" s="201">
        <v>-14</v>
      </c>
      <c r="G7557" s="201">
        <v>8.1</v>
      </c>
    </row>
    <row r="7558" spans="4:7">
      <c r="D7558" s="200" t="s">
        <v>7443</v>
      </c>
      <c r="E7558" s="10">
        <v>95485</v>
      </c>
      <c r="F7558" s="201">
        <v>-14</v>
      </c>
      <c r="G7558" s="201">
        <v>7.5</v>
      </c>
    </row>
    <row r="7559" spans="4:7">
      <c r="D7559" s="200" t="s">
        <v>7444</v>
      </c>
      <c r="E7559" s="10">
        <v>95703</v>
      </c>
      <c r="F7559" s="201">
        <v>-14</v>
      </c>
      <c r="G7559" s="201">
        <v>7.7</v>
      </c>
    </row>
    <row r="7560" spans="4:7">
      <c r="D7560" s="200" t="s">
        <v>7445</v>
      </c>
      <c r="E7560" s="10">
        <v>99330</v>
      </c>
      <c r="F7560" s="201">
        <v>-14</v>
      </c>
      <c r="G7560" s="201">
        <v>7.9</v>
      </c>
    </row>
    <row r="7561" spans="4:7">
      <c r="D7561" s="200" t="s">
        <v>7446</v>
      </c>
      <c r="E7561" s="10">
        <v>99891</v>
      </c>
      <c r="F7561" s="201">
        <v>-14</v>
      </c>
      <c r="G7561" s="201">
        <v>7.8</v>
      </c>
    </row>
    <row r="7562" spans="4:7">
      <c r="D7562" s="200" t="s">
        <v>7447</v>
      </c>
      <c r="E7562" s="10">
        <v>1816</v>
      </c>
      <c r="F7562" s="201">
        <v>-14.1</v>
      </c>
      <c r="G7562" s="201">
        <v>8</v>
      </c>
    </row>
    <row r="7563" spans="4:7">
      <c r="D7563" s="200" t="s">
        <v>7448</v>
      </c>
      <c r="E7563" s="10">
        <v>1825</v>
      </c>
      <c r="F7563" s="201">
        <v>-14.1</v>
      </c>
      <c r="G7563" s="201">
        <v>8.3000000000000007</v>
      </c>
    </row>
    <row r="7564" spans="4:7">
      <c r="D7564" s="200" t="s">
        <v>7449</v>
      </c>
      <c r="E7564" s="10">
        <v>1844</v>
      </c>
      <c r="F7564" s="201">
        <v>-14.1</v>
      </c>
      <c r="G7564" s="201">
        <v>8.5</v>
      </c>
    </row>
    <row r="7565" spans="4:7">
      <c r="D7565" s="200" t="s">
        <v>7450</v>
      </c>
      <c r="E7565" s="10">
        <v>1877</v>
      </c>
      <c r="F7565" s="201">
        <v>-14.1</v>
      </c>
      <c r="G7565" s="201">
        <v>8.8000000000000007</v>
      </c>
    </row>
    <row r="7566" spans="4:7">
      <c r="D7566" s="200" t="s">
        <v>7451</v>
      </c>
      <c r="E7566" s="10">
        <v>1896</v>
      </c>
      <c r="F7566" s="201">
        <v>-14.1</v>
      </c>
      <c r="G7566" s="201">
        <v>9.1</v>
      </c>
    </row>
    <row r="7567" spans="4:7">
      <c r="D7567" s="200" t="s">
        <v>7452</v>
      </c>
      <c r="E7567" s="10">
        <v>1917</v>
      </c>
      <c r="F7567" s="201">
        <v>-14.1</v>
      </c>
      <c r="G7567" s="201">
        <v>9.5</v>
      </c>
    </row>
    <row r="7568" spans="4:7">
      <c r="D7568" s="200" t="s">
        <v>7453</v>
      </c>
      <c r="E7568" s="10">
        <v>1936</v>
      </c>
      <c r="F7568" s="201">
        <v>-14.1</v>
      </c>
      <c r="G7568" s="201">
        <v>9.5</v>
      </c>
    </row>
    <row r="7569" spans="4:7">
      <c r="D7569" s="200" t="s">
        <v>7454</v>
      </c>
      <c r="E7569" s="10">
        <v>2991</v>
      </c>
      <c r="F7569" s="201">
        <v>-14.1</v>
      </c>
      <c r="G7569" s="201">
        <v>9.5</v>
      </c>
    </row>
    <row r="7570" spans="4:7">
      <c r="D7570" s="200" t="s">
        <v>7455</v>
      </c>
      <c r="E7570" s="10">
        <v>3116</v>
      </c>
      <c r="F7570" s="201">
        <v>-14.1</v>
      </c>
      <c r="G7570" s="201">
        <v>9.5</v>
      </c>
    </row>
    <row r="7571" spans="4:7">
      <c r="D7571" s="200" t="s">
        <v>7456</v>
      </c>
      <c r="E7571" s="10">
        <v>3226</v>
      </c>
      <c r="F7571" s="201">
        <v>-14.1</v>
      </c>
      <c r="G7571" s="201">
        <v>9.5</v>
      </c>
    </row>
    <row r="7572" spans="4:7">
      <c r="D7572" s="200" t="s">
        <v>7457</v>
      </c>
      <c r="E7572" s="10">
        <v>6198</v>
      </c>
      <c r="F7572" s="201">
        <v>-14.1</v>
      </c>
      <c r="G7572" s="201">
        <v>9.5</v>
      </c>
    </row>
    <row r="7573" spans="4:7">
      <c r="D7573" s="200" t="s">
        <v>7458</v>
      </c>
      <c r="E7573" s="10">
        <v>6347</v>
      </c>
      <c r="F7573" s="201">
        <v>-14.1</v>
      </c>
      <c r="G7573" s="201">
        <v>9.4</v>
      </c>
    </row>
    <row r="7574" spans="4:7">
      <c r="D7574" s="200" t="s">
        <v>7459</v>
      </c>
      <c r="E7574" s="10">
        <v>7330</v>
      </c>
      <c r="F7574" s="201">
        <v>-14.1</v>
      </c>
      <c r="G7574" s="201">
        <v>8.3000000000000007</v>
      </c>
    </row>
    <row r="7575" spans="4:7">
      <c r="D7575" s="200" t="s">
        <v>7460</v>
      </c>
      <c r="E7575" s="10">
        <v>7427</v>
      </c>
      <c r="F7575" s="201">
        <v>-14.1</v>
      </c>
      <c r="G7575" s="201">
        <v>8.3000000000000007</v>
      </c>
    </row>
    <row r="7576" spans="4:7">
      <c r="D7576" s="200" t="s">
        <v>7461</v>
      </c>
      <c r="E7576" s="10">
        <v>7557</v>
      </c>
      <c r="F7576" s="201">
        <v>-14.1</v>
      </c>
      <c r="G7576" s="201">
        <v>8.8000000000000007</v>
      </c>
    </row>
    <row r="7577" spans="4:7">
      <c r="D7577" s="200" t="s">
        <v>7462</v>
      </c>
      <c r="E7577" s="10">
        <v>7613</v>
      </c>
      <c r="F7577" s="201">
        <v>-14.1</v>
      </c>
      <c r="G7577" s="201">
        <v>8.9</v>
      </c>
    </row>
    <row r="7578" spans="4:7">
      <c r="D7578" s="200" t="s">
        <v>7463</v>
      </c>
      <c r="E7578" s="10">
        <v>7819</v>
      </c>
      <c r="F7578" s="201">
        <v>-14.1</v>
      </c>
      <c r="G7578" s="201">
        <v>8.6999999999999993</v>
      </c>
    </row>
    <row r="7579" spans="4:7">
      <c r="D7579" s="200" t="s">
        <v>7464</v>
      </c>
      <c r="E7579" s="10">
        <v>7958</v>
      </c>
      <c r="F7579" s="201">
        <v>-14.1</v>
      </c>
      <c r="G7579" s="201">
        <v>8.6999999999999993</v>
      </c>
    </row>
    <row r="7580" spans="4:7">
      <c r="D7580" s="200" t="s">
        <v>7465</v>
      </c>
      <c r="E7580" s="10">
        <v>8294</v>
      </c>
      <c r="F7580" s="201">
        <v>-14.1</v>
      </c>
      <c r="G7580" s="201">
        <v>8.1</v>
      </c>
    </row>
    <row r="7581" spans="4:7">
      <c r="D7581" s="200" t="s">
        <v>7466</v>
      </c>
      <c r="E7581" s="10">
        <v>8297</v>
      </c>
      <c r="F7581" s="201">
        <v>-14.1</v>
      </c>
      <c r="G7581" s="201">
        <v>7.9</v>
      </c>
    </row>
    <row r="7582" spans="4:7">
      <c r="D7582" s="200" t="s">
        <v>7467</v>
      </c>
      <c r="E7582" s="10">
        <v>8340</v>
      </c>
      <c r="F7582" s="201">
        <v>-14.1</v>
      </c>
      <c r="G7582" s="201">
        <v>8.1</v>
      </c>
    </row>
    <row r="7583" spans="4:7">
      <c r="D7583" s="200" t="s">
        <v>7468</v>
      </c>
      <c r="E7583" s="10">
        <v>9419</v>
      </c>
      <c r="F7583" s="201">
        <v>-14.1</v>
      </c>
      <c r="G7583" s="201">
        <v>7.9</v>
      </c>
    </row>
    <row r="7584" spans="4:7">
      <c r="D7584" s="200" t="s">
        <v>7469</v>
      </c>
      <c r="E7584" s="10">
        <v>9627</v>
      </c>
      <c r="F7584" s="201">
        <v>-14.1</v>
      </c>
      <c r="G7584" s="201">
        <v>8.1999999999999993</v>
      </c>
    </row>
    <row r="7585" spans="4:7">
      <c r="D7585" s="200" t="s">
        <v>7470</v>
      </c>
      <c r="E7585" s="10">
        <v>14947</v>
      </c>
      <c r="F7585" s="201">
        <v>-14.1</v>
      </c>
      <c r="G7585" s="201">
        <v>9.5</v>
      </c>
    </row>
    <row r="7586" spans="4:7">
      <c r="D7586" s="200" t="s">
        <v>6966</v>
      </c>
      <c r="E7586" s="10">
        <v>15234</v>
      </c>
      <c r="F7586" s="201">
        <v>-14.1</v>
      </c>
      <c r="G7586" s="201">
        <v>9.3000000000000007</v>
      </c>
    </row>
    <row r="7587" spans="4:7">
      <c r="D7587" s="200" t="s">
        <v>7471</v>
      </c>
      <c r="E7587" s="10">
        <v>15326</v>
      </c>
      <c r="F7587" s="201">
        <v>-14.1</v>
      </c>
      <c r="G7587" s="201">
        <v>9.3000000000000007</v>
      </c>
    </row>
    <row r="7588" spans="4:7">
      <c r="D7588" s="200" t="s">
        <v>7472</v>
      </c>
      <c r="E7588" s="10">
        <v>15746</v>
      </c>
      <c r="F7588" s="201">
        <v>-14.1</v>
      </c>
      <c r="G7588" s="201">
        <v>9.5</v>
      </c>
    </row>
    <row r="7589" spans="4:7">
      <c r="D7589" s="200" t="s">
        <v>7473</v>
      </c>
      <c r="E7589" s="10">
        <v>15837</v>
      </c>
      <c r="F7589" s="201">
        <v>-14.1</v>
      </c>
      <c r="G7589" s="201">
        <v>9.3000000000000007</v>
      </c>
    </row>
    <row r="7590" spans="4:7">
      <c r="D7590" s="200" t="s">
        <v>7474</v>
      </c>
      <c r="E7590" s="10">
        <v>15898</v>
      </c>
      <c r="F7590" s="201">
        <v>-14.1</v>
      </c>
      <c r="G7590" s="201">
        <v>9.4</v>
      </c>
    </row>
    <row r="7591" spans="4:7">
      <c r="D7591" s="200" t="s">
        <v>7475</v>
      </c>
      <c r="E7591" s="10">
        <v>16248</v>
      </c>
      <c r="F7591" s="201">
        <v>-14.1</v>
      </c>
      <c r="G7591" s="201">
        <v>9</v>
      </c>
    </row>
    <row r="7592" spans="4:7">
      <c r="D7592" s="200" t="s">
        <v>7476</v>
      </c>
      <c r="E7592" s="10">
        <v>16303</v>
      </c>
      <c r="F7592" s="201">
        <v>-14.1</v>
      </c>
      <c r="G7592" s="201">
        <v>9.4</v>
      </c>
    </row>
    <row r="7593" spans="4:7">
      <c r="D7593" s="200" t="s">
        <v>7477</v>
      </c>
      <c r="E7593" s="10">
        <v>16307</v>
      </c>
      <c r="F7593" s="201">
        <v>-14.1</v>
      </c>
      <c r="G7593" s="201">
        <v>9</v>
      </c>
    </row>
    <row r="7594" spans="4:7">
      <c r="D7594" s="200" t="s">
        <v>7478</v>
      </c>
      <c r="E7594" s="10">
        <v>17326</v>
      </c>
      <c r="F7594" s="201">
        <v>-14.1</v>
      </c>
      <c r="G7594" s="201">
        <v>9.1</v>
      </c>
    </row>
    <row r="7595" spans="4:7">
      <c r="D7595" s="200" t="s">
        <v>7479</v>
      </c>
      <c r="E7595" s="10">
        <v>79859</v>
      </c>
      <c r="F7595" s="201">
        <v>-14.1</v>
      </c>
      <c r="G7595" s="201">
        <v>6.9</v>
      </c>
    </row>
    <row r="7596" spans="4:7">
      <c r="D7596" s="200" t="s">
        <v>7480</v>
      </c>
      <c r="E7596" s="10">
        <v>82031</v>
      </c>
      <c r="F7596" s="201">
        <v>-14.1</v>
      </c>
      <c r="G7596" s="201">
        <v>8.4</v>
      </c>
    </row>
    <row r="7597" spans="4:7">
      <c r="D7597" s="200" t="s">
        <v>7481</v>
      </c>
      <c r="E7597" s="10">
        <v>82152</v>
      </c>
      <c r="F7597" s="201">
        <v>-14.1</v>
      </c>
      <c r="G7597" s="201">
        <v>8.5</v>
      </c>
    </row>
    <row r="7598" spans="4:7">
      <c r="D7598" s="200" t="s">
        <v>7482</v>
      </c>
      <c r="E7598" s="10">
        <v>82216</v>
      </c>
      <c r="F7598" s="201">
        <v>-14.1</v>
      </c>
      <c r="G7598" s="201">
        <v>8.6999999999999993</v>
      </c>
    </row>
    <row r="7599" spans="4:7">
      <c r="D7599" s="200" t="s">
        <v>7483</v>
      </c>
      <c r="E7599" s="10">
        <v>82266</v>
      </c>
      <c r="F7599" s="201">
        <v>-14.1</v>
      </c>
      <c r="G7599" s="201">
        <v>8.6</v>
      </c>
    </row>
    <row r="7600" spans="4:7">
      <c r="D7600" s="200" t="s">
        <v>7484</v>
      </c>
      <c r="E7600" s="10">
        <v>82284</v>
      </c>
      <c r="F7600" s="201">
        <v>-14.1</v>
      </c>
      <c r="G7600" s="201">
        <v>8.6</v>
      </c>
    </row>
    <row r="7601" spans="4:7">
      <c r="D7601" s="200" t="s">
        <v>7485</v>
      </c>
      <c r="E7601" s="10">
        <v>82288</v>
      </c>
      <c r="F7601" s="201">
        <v>-14.1</v>
      </c>
      <c r="G7601" s="201">
        <v>8.5</v>
      </c>
    </row>
    <row r="7602" spans="4:7">
      <c r="D7602" s="200" t="s">
        <v>7486</v>
      </c>
      <c r="E7602" s="10">
        <v>82340</v>
      </c>
      <c r="F7602" s="201">
        <v>-14.1</v>
      </c>
      <c r="G7602" s="201">
        <v>8.1999999999999993</v>
      </c>
    </row>
    <row r="7603" spans="4:7">
      <c r="D7603" s="200" t="s">
        <v>7257</v>
      </c>
      <c r="E7603" s="10">
        <v>82347</v>
      </c>
      <c r="F7603" s="201">
        <v>-14.1</v>
      </c>
      <c r="G7603" s="201">
        <v>8.3000000000000007</v>
      </c>
    </row>
    <row r="7604" spans="4:7">
      <c r="D7604" s="200" t="s">
        <v>7487</v>
      </c>
      <c r="E7604" s="10">
        <v>82383</v>
      </c>
      <c r="F7604" s="201">
        <v>-14.1</v>
      </c>
      <c r="G7604" s="201">
        <v>7.9</v>
      </c>
    </row>
    <row r="7605" spans="4:7">
      <c r="D7605" s="200" t="s">
        <v>7488</v>
      </c>
      <c r="E7605" s="10">
        <v>82390</v>
      </c>
      <c r="F7605" s="201">
        <v>-14.1</v>
      </c>
      <c r="G7605" s="201">
        <v>8.1</v>
      </c>
    </row>
    <row r="7606" spans="4:7">
      <c r="D7606" s="200" t="s">
        <v>7489</v>
      </c>
      <c r="E7606" s="10">
        <v>82401</v>
      </c>
      <c r="F7606" s="201">
        <v>-14.1</v>
      </c>
      <c r="G7606" s="201">
        <v>7.7</v>
      </c>
    </row>
    <row r="7607" spans="4:7">
      <c r="D7607" s="200" t="s">
        <v>7490</v>
      </c>
      <c r="E7607" s="10">
        <v>82402</v>
      </c>
      <c r="F7607" s="201">
        <v>-14.1</v>
      </c>
      <c r="G7607" s="201">
        <v>8.3000000000000007</v>
      </c>
    </row>
    <row r="7608" spans="4:7">
      <c r="D7608" s="200" t="s">
        <v>7491</v>
      </c>
      <c r="E7608" s="10">
        <v>82405</v>
      </c>
      <c r="F7608" s="201">
        <v>-14.1</v>
      </c>
      <c r="G7608" s="201">
        <v>8.1999999999999993</v>
      </c>
    </row>
    <row r="7609" spans="4:7">
      <c r="D7609" s="200" t="s">
        <v>7492</v>
      </c>
      <c r="E7609" s="10">
        <v>82407</v>
      </c>
      <c r="F7609" s="201">
        <v>-14.1</v>
      </c>
      <c r="G7609" s="201">
        <v>8.6</v>
      </c>
    </row>
    <row r="7610" spans="4:7">
      <c r="D7610" s="200" t="s">
        <v>7493</v>
      </c>
      <c r="E7610" s="10">
        <v>82418</v>
      </c>
      <c r="F7610" s="201">
        <v>-14.1</v>
      </c>
      <c r="G7610" s="201">
        <v>7.9</v>
      </c>
    </row>
    <row r="7611" spans="4:7">
      <c r="D7611" s="200" t="s">
        <v>7494</v>
      </c>
      <c r="E7611" s="10">
        <v>82435</v>
      </c>
      <c r="F7611" s="201">
        <v>-14.1</v>
      </c>
      <c r="G7611" s="201">
        <v>7.7</v>
      </c>
    </row>
    <row r="7612" spans="4:7">
      <c r="D7612" s="200" t="s">
        <v>7495</v>
      </c>
      <c r="E7612" s="10">
        <v>82487</v>
      </c>
      <c r="F7612" s="201">
        <v>-14.1</v>
      </c>
      <c r="G7612" s="201">
        <v>7.5</v>
      </c>
    </row>
    <row r="7613" spans="4:7">
      <c r="D7613" s="200" t="s">
        <v>7496</v>
      </c>
      <c r="E7613" s="10">
        <v>82497</v>
      </c>
      <c r="F7613" s="201">
        <v>-14.1</v>
      </c>
      <c r="G7613" s="201">
        <v>7.5</v>
      </c>
    </row>
    <row r="7614" spans="4:7">
      <c r="D7614" s="200" t="s">
        <v>7497</v>
      </c>
      <c r="E7614" s="10">
        <v>83679</v>
      </c>
      <c r="F7614" s="201">
        <v>-14.1</v>
      </c>
      <c r="G7614" s="201">
        <v>7.7</v>
      </c>
    </row>
    <row r="7615" spans="4:7">
      <c r="D7615" s="200" t="s">
        <v>7498</v>
      </c>
      <c r="E7615" s="10">
        <v>83703</v>
      </c>
      <c r="F7615" s="201">
        <v>-14.1</v>
      </c>
      <c r="G7615" s="201">
        <v>7.6</v>
      </c>
    </row>
    <row r="7616" spans="4:7">
      <c r="D7616" s="200" t="s">
        <v>7499</v>
      </c>
      <c r="E7616" s="10">
        <v>83734</v>
      </c>
      <c r="F7616" s="201">
        <v>-14.1</v>
      </c>
      <c r="G7616" s="201">
        <v>7.6</v>
      </c>
    </row>
    <row r="7617" spans="4:7">
      <c r="D7617" s="200" t="s">
        <v>7500</v>
      </c>
      <c r="E7617" s="10">
        <v>85235</v>
      </c>
      <c r="F7617" s="201">
        <v>-14.1</v>
      </c>
      <c r="G7617" s="201">
        <v>8.8000000000000007</v>
      </c>
    </row>
    <row r="7618" spans="4:7">
      <c r="D7618" s="200" t="s">
        <v>7501</v>
      </c>
      <c r="E7618" s="10">
        <v>85244</v>
      </c>
      <c r="F7618" s="201">
        <v>-14.1</v>
      </c>
      <c r="G7618" s="201">
        <v>8.6999999999999993</v>
      </c>
    </row>
    <row r="7619" spans="4:7">
      <c r="D7619" s="200" t="s">
        <v>7502</v>
      </c>
      <c r="E7619" s="10">
        <v>85253</v>
      </c>
      <c r="F7619" s="201">
        <v>-14.1</v>
      </c>
      <c r="G7619" s="201">
        <v>8.8000000000000007</v>
      </c>
    </row>
    <row r="7620" spans="4:7">
      <c r="D7620" s="200" t="s">
        <v>7503</v>
      </c>
      <c r="E7620" s="10">
        <v>85258</v>
      </c>
      <c r="F7620" s="201">
        <v>-14.1</v>
      </c>
      <c r="G7620" s="201">
        <v>8.6999999999999993</v>
      </c>
    </row>
    <row r="7621" spans="4:7">
      <c r="D7621" s="200" t="s">
        <v>7504</v>
      </c>
      <c r="E7621" s="10">
        <v>85276</v>
      </c>
      <c r="F7621" s="201">
        <v>-14.1</v>
      </c>
      <c r="G7621" s="201">
        <v>8.8000000000000007</v>
      </c>
    </row>
    <row r="7622" spans="4:7">
      <c r="D7622" s="200" t="s">
        <v>7505</v>
      </c>
      <c r="E7622" s="10">
        <v>85293</v>
      </c>
      <c r="F7622" s="201">
        <v>-14.1</v>
      </c>
      <c r="G7622" s="201">
        <v>8.6</v>
      </c>
    </row>
    <row r="7623" spans="4:7">
      <c r="D7623" s="200" t="s">
        <v>7506</v>
      </c>
      <c r="E7623" s="10">
        <v>85302</v>
      </c>
      <c r="F7623" s="201">
        <v>-14.1</v>
      </c>
      <c r="G7623" s="201">
        <v>8.6</v>
      </c>
    </row>
    <row r="7624" spans="4:7">
      <c r="D7624" s="200" t="s">
        <v>7507</v>
      </c>
      <c r="E7624" s="10">
        <v>85305</v>
      </c>
      <c r="F7624" s="201">
        <v>-14.1</v>
      </c>
      <c r="G7624" s="201">
        <v>8.6999999999999993</v>
      </c>
    </row>
    <row r="7625" spans="4:7">
      <c r="D7625" s="200" t="s">
        <v>7508</v>
      </c>
      <c r="E7625" s="10">
        <v>85635</v>
      </c>
      <c r="F7625" s="201">
        <v>-14.1</v>
      </c>
      <c r="G7625" s="201">
        <v>8.3000000000000007</v>
      </c>
    </row>
    <row r="7626" spans="4:7">
      <c r="D7626" s="200" t="s">
        <v>7509</v>
      </c>
      <c r="E7626" s="10">
        <v>85662</v>
      </c>
      <c r="F7626" s="201">
        <v>-14.1</v>
      </c>
      <c r="G7626" s="201">
        <v>8.4</v>
      </c>
    </row>
    <row r="7627" spans="4:7">
      <c r="D7627" s="200" t="s">
        <v>6446</v>
      </c>
      <c r="E7627" s="10">
        <v>86161</v>
      </c>
      <c r="F7627" s="201">
        <v>-14.1</v>
      </c>
      <c r="G7627" s="201">
        <v>8.9</v>
      </c>
    </row>
    <row r="7628" spans="4:7">
      <c r="D7628" s="200" t="s">
        <v>6446</v>
      </c>
      <c r="E7628" s="10">
        <v>86179</v>
      </c>
      <c r="F7628" s="201">
        <v>-14.1</v>
      </c>
      <c r="G7628" s="201">
        <v>8.6</v>
      </c>
    </row>
    <row r="7629" spans="4:7">
      <c r="D7629" s="200" t="s">
        <v>7510</v>
      </c>
      <c r="E7629" s="10">
        <v>86391</v>
      </c>
      <c r="F7629" s="201">
        <v>-14.1</v>
      </c>
      <c r="G7629" s="201">
        <v>8.6999999999999993</v>
      </c>
    </row>
    <row r="7630" spans="4:7">
      <c r="D7630" s="200" t="s">
        <v>7511</v>
      </c>
      <c r="E7630" s="10">
        <v>86420</v>
      </c>
      <c r="F7630" s="201">
        <v>-14.1</v>
      </c>
      <c r="G7630" s="201">
        <v>8.8000000000000007</v>
      </c>
    </row>
    <row r="7631" spans="4:7">
      <c r="D7631" s="200" t="s">
        <v>7512</v>
      </c>
      <c r="E7631" s="10">
        <v>86459</v>
      </c>
      <c r="F7631" s="201">
        <v>-14.1</v>
      </c>
      <c r="G7631" s="201">
        <v>8.6999999999999993</v>
      </c>
    </row>
    <row r="7632" spans="4:7">
      <c r="D7632" s="200" t="s">
        <v>7513</v>
      </c>
      <c r="E7632" s="10">
        <v>86473</v>
      </c>
      <c r="F7632" s="201">
        <v>-14.1</v>
      </c>
      <c r="G7632" s="201">
        <v>8.6</v>
      </c>
    </row>
    <row r="7633" spans="4:7">
      <c r="D7633" s="200" t="s">
        <v>7514</v>
      </c>
      <c r="E7633" s="10">
        <v>86486</v>
      </c>
      <c r="F7633" s="201">
        <v>-14.1</v>
      </c>
      <c r="G7633" s="201">
        <v>8.4</v>
      </c>
    </row>
    <row r="7634" spans="4:7">
      <c r="D7634" s="200" t="s">
        <v>7515</v>
      </c>
      <c r="E7634" s="10">
        <v>86500</v>
      </c>
      <c r="F7634" s="201">
        <v>-14.1</v>
      </c>
      <c r="G7634" s="201">
        <v>8.6</v>
      </c>
    </row>
    <row r="7635" spans="4:7">
      <c r="D7635" s="200" t="s">
        <v>7516</v>
      </c>
      <c r="E7635" s="10">
        <v>86565</v>
      </c>
      <c r="F7635" s="201">
        <v>-14.1</v>
      </c>
      <c r="G7635" s="201">
        <v>8.6999999999999993</v>
      </c>
    </row>
    <row r="7636" spans="4:7">
      <c r="D7636" s="200" t="s">
        <v>7517</v>
      </c>
      <c r="E7636" s="10">
        <v>86576</v>
      </c>
      <c r="F7636" s="201">
        <v>-14.1</v>
      </c>
      <c r="G7636" s="201">
        <v>8.6</v>
      </c>
    </row>
    <row r="7637" spans="4:7">
      <c r="D7637" s="200" t="s">
        <v>7518</v>
      </c>
      <c r="E7637" s="10">
        <v>86825</v>
      </c>
      <c r="F7637" s="201">
        <v>-14.1</v>
      </c>
      <c r="G7637" s="201">
        <v>8.4</v>
      </c>
    </row>
    <row r="7638" spans="4:7">
      <c r="D7638" s="200" t="s">
        <v>7519</v>
      </c>
      <c r="E7638" s="10">
        <v>86850</v>
      </c>
      <c r="F7638" s="201">
        <v>-14.1</v>
      </c>
      <c r="G7638" s="201">
        <v>8.6999999999999993</v>
      </c>
    </row>
    <row r="7639" spans="4:7">
      <c r="D7639" s="200" t="s">
        <v>7520</v>
      </c>
      <c r="E7639" s="10">
        <v>86860</v>
      </c>
      <c r="F7639" s="201">
        <v>-14.1</v>
      </c>
      <c r="G7639" s="201">
        <v>8.4</v>
      </c>
    </row>
    <row r="7640" spans="4:7">
      <c r="D7640" s="200" t="s">
        <v>7521</v>
      </c>
      <c r="E7640" s="10">
        <v>86863</v>
      </c>
      <c r="F7640" s="201">
        <v>-14.1</v>
      </c>
      <c r="G7640" s="201">
        <v>8.6999999999999993</v>
      </c>
    </row>
    <row r="7641" spans="4:7">
      <c r="D7641" s="200" t="s">
        <v>5501</v>
      </c>
      <c r="E7641" s="10">
        <v>86871</v>
      </c>
      <c r="F7641" s="201">
        <v>-14.1</v>
      </c>
      <c r="G7641" s="201">
        <v>8.5</v>
      </c>
    </row>
    <row r="7642" spans="4:7">
      <c r="D7642" s="200" t="s">
        <v>7522</v>
      </c>
      <c r="E7642" s="10">
        <v>86916</v>
      </c>
      <c r="F7642" s="201">
        <v>-14.1</v>
      </c>
      <c r="G7642" s="201">
        <v>8.6</v>
      </c>
    </row>
    <row r="7643" spans="4:7">
      <c r="D7643" s="200" t="s">
        <v>7523</v>
      </c>
      <c r="E7643" s="10">
        <v>86928</v>
      </c>
      <c r="F7643" s="201">
        <v>-14.1</v>
      </c>
      <c r="G7643" s="201">
        <v>8.3000000000000007</v>
      </c>
    </row>
    <row r="7644" spans="4:7">
      <c r="D7644" s="200" t="s">
        <v>7524</v>
      </c>
      <c r="E7644" s="10">
        <v>86932</v>
      </c>
      <c r="F7644" s="201">
        <v>-14.1</v>
      </c>
      <c r="G7644" s="201">
        <v>8.3000000000000007</v>
      </c>
    </row>
    <row r="7645" spans="4:7">
      <c r="D7645" s="200" t="s">
        <v>7525</v>
      </c>
      <c r="E7645" s="10">
        <v>86947</v>
      </c>
      <c r="F7645" s="201">
        <v>-14.1</v>
      </c>
      <c r="G7645" s="201">
        <v>8.6</v>
      </c>
    </row>
    <row r="7646" spans="4:7">
      <c r="D7646" s="200" t="s">
        <v>7526</v>
      </c>
      <c r="E7646" s="10">
        <v>86956</v>
      </c>
      <c r="F7646" s="201">
        <v>-14.1</v>
      </c>
      <c r="G7646" s="201">
        <v>8.1</v>
      </c>
    </row>
    <row r="7647" spans="4:7">
      <c r="D7647" s="200" t="s">
        <v>7527</v>
      </c>
      <c r="E7647" s="10">
        <v>86971</v>
      </c>
      <c r="F7647" s="201">
        <v>-14.1</v>
      </c>
      <c r="G7647" s="201">
        <v>8.1</v>
      </c>
    </row>
    <row r="7648" spans="4:7">
      <c r="D7648" s="200" t="s">
        <v>7528</v>
      </c>
      <c r="E7648" s="10">
        <v>86980</v>
      </c>
      <c r="F7648" s="201">
        <v>-14.1</v>
      </c>
      <c r="G7648" s="201">
        <v>7.6</v>
      </c>
    </row>
    <row r="7649" spans="4:7">
      <c r="D7649" s="200" t="s">
        <v>7529</v>
      </c>
      <c r="E7649" s="10">
        <v>86989</v>
      </c>
      <c r="F7649" s="201">
        <v>-14.1</v>
      </c>
      <c r="G7649" s="201">
        <v>7.8</v>
      </c>
    </row>
    <row r="7650" spans="4:7">
      <c r="D7650" s="200" t="s">
        <v>7530</v>
      </c>
      <c r="E7650" s="10">
        <v>87463</v>
      </c>
      <c r="F7650" s="201">
        <v>-14.1</v>
      </c>
      <c r="G7650" s="201">
        <v>7.6</v>
      </c>
    </row>
    <row r="7651" spans="4:7">
      <c r="D7651" s="200" t="s">
        <v>7531</v>
      </c>
      <c r="E7651" s="10">
        <v>87668</v>
      </c>
      <c r="F7651" s="201">
        <v>-14.1</v>
      </c>
      <c r="G7651" s="201">
        <v>8.3000000000000007</v>
      </c>
    </row>
    <row r="7652" spans="4:7">
      <c r="D7652" s="200" t="s">
        <v>7532</v>
      </c>
      <c r="E7652" s="10">
        <v>87733</v>
      </c>
      <c r="F7652" s="201">
        <v>-14.1</v>
      </c>
      <c r="G7652" s="201">
        <v>8</v>
      </c>
    </row>
    <row r="7653" spans="4:7">
      <c r="D7653" s="200" t="s">
        <v>7533</v>
      </c>
      <c r="E7653" s="10">
        <v>88316</v>
      </c>
      <c r="F7653" s="201">
        <v>-14.1</v>
      </c>
      <c r="G7653" s="201">
        <v>7.7</v>
      </c>
    </row>
    <row r="7654" spans="4:7">
      <c r="D7654" s="200" t="s">
        <v>7534</v>
      </c>
      <c r="E7654" s="10">
        <v>91235</v>
      </c>
      <c r="F7654" s="201">
        <v>-14.1</v>
      </c>
      <c r="G7654" s="201">
        <v>8.5</v>
      </c>
    </row>
    <row r="7655" spans="4:7">
      <c r="D7655" s="200" t="s">
        <v>7535</v>
      </c>
      <c r="E7655" s="10">
        <v>91245</v>
      </c>
      <c r="F7655" s="201">
        <v>-14.1</v>
      </c>
      <c r="G7655" s="201">
        <v>8.1999999999999993</v>
      </c>
    </row>
    <row r="7656" spans="4:7">
      <c r="D7656" s="200" t="s">
        <v>7536</v>
      </c>
      <c r="E7656" s="10">
        <v>91281</v>
      </c>
      <c r="F7656" s="201">
        <v>-14.1</v>
      </c>
      <c r="G7656" s="201">
        <v>7.8</v>
      </c>
    </row>
    <row r="7657" spans="4:7">
      <c r="D7657" s="200" t="s">
        <v>7537</v>
      </c>
      <c r="E7657" s="10">
        <v>91282</v>
      </c>
      <c r="F7657" s="201">
        <v>-14.1</v>
      </c>
      <c r="G7657" s="201">
        <v>8.1</v>
      </c>
    </row>
    <row r="7658" spans="4:7">
      <c r="D7658" s="200" t="s">
        <v>7538</v>
      </c>
      <c r="E7658" s="10">
        <v>91327</v>
      </c>
      <c r="F7658" s="201">
        <v>-14.1</v>
      </c>
      <c r="G7658" s="201">
        <v>8.1999999999999993</v>
      </c>
    </row>
    <row r="7659" spans="4:7">
      <c r="D7659" s="200" t="s">
        <v>4135</v>
      </c>
      <c r="E7659" s="10">
        <v>91359</v>
      </c>
      <c r="F7659" s="201">
        <v>-14.1</v>
      </c>
      <c r="G7659" s="201">
        <v>8.1</v>
      </c>
    </row>
    <row r="7660" spans="4:7">
      <c r="D7660" s="200" t="s">
        <v>7539</v>
      </c>
      <c r="E7660" s="10">
        <v>92262</v>
      </c>
      <c r="F7660" s="201">
        <v>-14.1</v>
      </c>
      <c r="G7660" s="201">
        <v>7.9</v>
      </c>
    </row>
    <row r="7661" spans="4:7">
      <c r="D7661" s="200" t="s">
        <v>6436</v>
      </c>
      <c r="E7661" s="10">
        <v>92280</v>
      </c>
      <c r="F7661" s="201">
        <v>-14.1</v>
      </c>
      <c r="G7661" s="201">
        <v>8.5</v>
      </c>
    </row>
    <row r="7662" spans="4:7">
      <c r="D7662" s="200" t="s">
        <v>7540</v>
      </c>
      <c r="E7662" s="10">
        <v>92287</v>
      </c>
      <c r="F7662" s="201">
        <v>-14.1</v>
      </c>
      <c r="G7662" s="201">
        <v>8.9</v>
      </c>
    </row>
    <row r="7663" spans="4:7">
      <c r="D7663" s="200" t="s">
        <v>7541</v>
      </c>
      <c r="E7663" s="10">
        <v>92449</v>
      </c>
      <c r="F7663" s="201">
        <v>-14.1</v>
      </c>
      <c r="G7663" s="201">
        <v>8.6999999999999993</v>
      </c>
    </row>
    <row r="7664" spans="4:7">
      <c r="D7664" s="200" t="s">
        <v>6531</v>
      </c>
      <c r="E7664" s="10">
        <v>92540</v>
      </c>
      <c r="F7664" s="201">
        <v>-14.1</v>
      </c>
      <c r="G7664" s="201">
        <v>8.3000000000000007</v>
      </c>
    </row>
    <row r="7665" spans="4:7">
      <c r="D7665" s="200" t="s">
        <v>7542</v>
      </c>
      <c r="E7665" s="10">
        <v>92542</v>
      </c>
      <c r="F7665" s="201">
        <v>-14.1</v>
      </c>
      <c r="G7665" s="201">
        <v>8.1</v>
      </c>
    </row>
    <row r="7666" spans="4:7">
      <c r="D7666" s="200" t="s">
        <v>7543</v>
      </c>
      <c r="E7666" s="10">
        <v>92545</v>
      </c>
      <c r="F7666" s="201">
        <v>-14.1</v>
      </c>
      <c r="G7666" s="201">
        <v>8.1999999999999993</v>
      </c>
    </row>
    <row r="7667" spans="4:7">
      <c r="D7667" s="200" t="s">
        <v>7544</v>
      </c>
      <c r="E7667" s="10">
        <v>92711</v>
      </c>
      <c r="F7667" s="201">
        <v>-14.1</v>
      </c>
      <c r="G7667" s="201">
        <v>8</v>
      </c>
    </row>
    <row r="7668" spans="4:7">
      <c r="D7668" s="200" t="s">
        <v>7545</v>
      </c>
      <c r="E7668" s="10">
        <v>93142</v>
      </c>
      <c r="F7668" s="201">
        <v>-14.1</v>
      </c>
      <c r="G7668" s="201">
        <v>8.6999999999999993</v>
      </c>
    </row>
    <row r="7669" spans="4:7">
      <c r="D7669" s="200" t="s">
        <v>7546</v>
      </c>
      <c r="E7669" s="10">
        <v>93183</v>
      </c>
      <c r="F7669" s="201">
        <v>-14.1</v>
      </c>
      <c r="G7669" s="201">
        <v>8.6999999999999993</v>
      </c>
    </row>
    <row r="7670" spans="4:7">
      <c r="D7670" s="200" t="s">
        <v>7547</v>
      </c>
      <c r="E7670" s="10">
        <v>94143</v>
      </c>
      <c r="F7670" s="201">
        <v>-14.1</v>
      </c>
      <c r="G7670" s="201">
        <v>6.5</v>
      </c>
    </row>
    <row r="7671" spans="4:7">
      <c r="D7671" s="200" t="s">
        <v>7548</v>
      </c>
      <c r="E7671" s="10">
        <v>94227</v>
      </c>
      <c r="F7671" s="201">
        <v>-14.1</v>
      </c>
      <c r="G7671" s="201">
        <v>7</v>
      </c>
    </row>
    <row r="7672" spans="4:7">
      <c r="D7672" s="200" t="s">
        <v>7549</v>
      </c>
      <c r="E7672" s="10">
        <v>94239</v>
      </c>
      <c r="F7672" s="201">
        <v>-14.1</v>
      </c>
      <c r="G7672" s="201">
        <v>7.1</v>
      </c>
    </row>
    <row r="7673" spans="4:7">
      <c r="D7673" s="200" t="s">
        <v>7550</v>
      </c>
      <c r="E7673" s="10">
        <v>94249</v>
      </c>
      <c r="F7673" s="201">
        <v>-14.1</v>
      </c>
      <c r="G7673" s="201">
        <v>6.6</v>
      </c>
    </row>
    <row r="7674" spans="4:7">
      <c r="D7674" s="200" t="s">
        <v>7551</v>
      </c>
      <c r="E7674" s="10">
        <v>94250</v>
      </c>
      <c r="F7674" s="201">
        <v>-14.1</v>
      </c>
      <c r="G7674" s="201">
        <v>6.6</v>
      </c>
    </row>
    <row r="7675" spans="4:7">
      <c r="D7675" s="200" t="s">
        <v>7552</v>
      </c>
      <c r="E7675" s="10">
        <v>94255</v>
      </c>
      <c r="F7675" s="201">
        <v>-14.1</v>
      </c>
      <c r="G7675" s="201">
        <v>7.1</v>
      </c>
    </row>
    <row r="7676" spans="4:7">
      <c r="D7676" s="200" t="s">
        <v>7553</v>
      </c>
      <c r="E7676" s="10">
        <v>94256</v>
      </c>
      <c r="F7676" s="201">
        <v>-14.1</v>
      </c>
      <c r="G7676" s="201">
        <v>7.1</v>
      </c>
    </row>
    <row r="7677" spans="4:7">
      <c r="D7677" s="200" t="s">
        <v>7554</v>
      </c>
      <c r="E7677" s="10">
        <v>94258</v>
      </c>
      <c r="F7677" s="201">
        <v>-14.1</v>
      </c>
      <c r="G7677" s="201">
        <v>6.7</v>
      </c>
    </row>
    <row r="7678" spans="4:7">
      <c r="D7678" s="200" t="s">
        <v>7555</v>
      </c>
      <c r="E7678" s="10">
        <v>94344</v>
      </c>
      <c r="F7678" s="201">
        <v>-14.1</v>
      </c>
      <c r="G7678" s="201">
        <v>7.3</v>
      </c>
    </row>
    <row r="7679" spans="4:7">
      <c r="D7679" s="200" t="s">
        <v>7556</v>
      </c>
      <c r="E7679" s="10">
        <v>94539</v>
      </c>
      <c r="F7679" s="201">
        <v>-14.1</v>
      </c>
      <c r="G7679" s="201">
        <v>7.1</v>
      </c>
    </row>
    <row r="7680" spans="4:7">
      <c r="D7680" s="200" t="s">
        <v>7557</v>
      </c>
      <c r="E7680" s="10">
        <v>95352</v>
      </c>
      <c r="F7680" s="201">
        <v>-14.1</v>
      </c>
      <c r="G7680" s="201">
        <v>7.6</v>
      </c>
    </row>
    <row r="7681" spans="4:7">
      <c r="D7681" s="200" t="s">
        <v>7558</v>
      </c>
      <c r="E7681" s="10">
        <v>95482</v>
      </c>
      <c r="F7681" s="201">
        <v>-14.1</v>
      </c>
      <c r="G7681" s="201">
        <v>7.9</v>
      </c>
    </row>
    <row r="7682" spans="4:7">
      <c r="D7682" s="200" t="s">
        <v>7559</v>
      </c>
      <c r="E7682" s="10">
        <v>95497</v>
      </c>
      <c r="F7682" s="201">
        <v>-14.1</v>
      </c>
      <c r="G7682" s="201">
        <v>7.7</v>
      </c>
    </row>
    <row r="7683" spans="4:7">
      <c r="D7683" s="200" t="s">
        <v>7560</v>
      </c>
      <c r="E7683" s="10">
        <v>95671</v>
      </c>
      <c r="F7683" s="201">
        <v>-14.1</v>
      </c>
      <c r="G7683" s="201">
        <v>7.6</v>
      </c>
    </row>
    <row r="7684" spans="4:7">
      <c r="D7684" s="200" t="s">
        <v>6154</v>
      </c>
      <c r="E7684" s="10">
        <v>95685</v>
      </c>
      <c r="F7684" s="201">
        <v>-14.1</v>
      </c>
      <c r="G7684" s="201">
        <v>7.9</v>
      </c>
    </row>
    <row r="7685" spans="4:7">
      <c r="D7685" s="200" t="s">
        <v>7561</v>
      </c>
      <c r="E7685" s="10">
        <v>99326</v>
      </c>
      <c r="F7685" s="201">
        <v>-14.1</v>
      </c>
      <c r="G7685" s="201">
        <v>8</v>
      </c>
    </row>
    <row r="7686" spans="4:7">
      <c r="D7686" s="200" t="s">
        <v>7562</v>
      </c>
      <c r="E7686" s="10">
        <v>99842</v>
      </c>
      <c r="F7686" s="201">
        <v>-14.1</v>
      </c>
      <c r="G7686" s="201">
        <v>7</v>
      </c>
    </row>
    <row r="7687" spans="4:7">
      <c r="D7687" s="200" t="s">
        <v>7563</v>
      </c>
      <c r="E7687" s="10">
        <v>1906</v>
      </c>
      <c r="F7687" s="201">
        <v>-14.2</v>
      </c>
      <c r="G7687" s="201">
        <v>9.1</v>
      </c>
    </row>
    <row r="7688" spans="4:7">
      <c r="D7688" s="200" t="s">
        <v>7564</v>
      </c>
      <c r="E7688" s="10">
        <v>1945</v>
      </c>
      <c r="F7688" s="201">
        <v>-14.2</v>
      </c>
      <c r="G7688" s="201">
        <v>9.5</v>
      </c>
    </row>
    <row r="7689" spans="4:7">
      <c r="D7689" s="200" t="s">
        <v>7565</v>
      </c>
      <c r="E7689" s="10">
        <v>1968</v>
      </c>
      <c r="F7689" s="201">
        <v>-14.2</v>
      </c>
      <c r="G7689" s="201">
        <v>9.5</v>
      </c>
    </row>
    <row r="7690" spans="4:7">
      <c r="D7690" s="200" t="s">
        <v>7566</v>
      </c>
      <c r="E7690" s="10">
        <v>1983</v>
      </c>
      <c r="F7690" s="201">
        <v>-14.2</v>
      </c>
      <c r="G7690" s="201">
        <v>9.4</v>
      </c>
    </row>
    <row r="7691" spans="4:7">
      <c r="D7691" s="200" t="s">
        <v>7567</v>
      </c>
      <c r="E7691" s="10">
        <v>2979</v>
      </c>
      <c r="F7691" s="201">
        <v>-14.2</v>
      </c>
      <c r="G7691" s="201">
        <v>9.5</v>
      </c>
    </row>
    <row r="7692" spans="4:7">
      <c r="D7692" s="200" t="s">
        <v>7568</v>
      </c>
      <c r="E7692" s="10">
        <v>4626</v>
      </c>
      <c r="F7692" s="201">
        <v>-14.2</v>
      </c>
      <c r="G7692" s="201">
        <v>9.1</v>
      </c>
    </row>
    <row r="7693" spans="4:7">
      <c r="D7693" s="200" t="s">
        <v>7569</v>
      </c>
      <c r="E7693" s="10">
        <v>6502</v>
      </c>
      <c r="F7693" s="201">
        <v>-14.2</v>
      </c>
      <c r="G7693" s="201">
        <v>7.8</v>
      </c>
    </row>
    <row r="7694" spans="4:7">
      <c r="D7694" s="200" t="s">
        <v>7570</v>
      </c>
      <c r="E7694" s="10">
        <v>6536</v>
      </c>
      <c r="F7694" s="201">
        <v>-14.2</v>
      </c>
      <c r="G7694" s="201">
        <v>7.9</v>
      </c>
    </row>
    <row r="7695" spans="4:7">
      <c r="D7695" s="200" t="s">
        <v>6384</v>
      </c>
      <c r="E7695" s="10">
        <v>7548</v>
      </c>
      <c r="F7695" s="201">
        <v>-14.2</v>
      </c>
      <c r="G7695" s="201">
        <v>8.9</v>
      </c>
    </row>
    <row r="7696" spans="4:7">
      <c r="D7696" s="200" t="s">
        <v>7571</v>
      </c>
      <c r="E7696" s="10">
        <v>7554</v>
      </c>
      <c r="F7696" s="201">
        <v>-14.2</v>
      </c>
      <c r="G7696" s="201">
        <v>9.1</v>
      </c>
    </row>
    <row r="7697" spans="4:7" ht="30">
      <c r="D7697" s="200" t="s">
        <v>7572</v>
      </c>
      <c r="E7697" s="10">
        <v>7580</v>
      </c>
      <c r="F7697" s="201">
        <v>-14.2</v>
      </c>
      <c r="G7697" s="201">
        <v>8.9</v>
      </c>
    </row>
    <row r="7698" spans="4:7">
      <c r="D7698" s="200" t="s">
        <v>7573</v>
      </c>
      <c r="E7698" s="10">
        <v>7586</v>
      </c>
      <c r="F7698" s="201">
        <v>-14.2</v>
      </c>
      <c r="G7698" s="201">
        <v>8.9</v>
      </c>
    </row>
    <row r="7699" spans="4:7">
      <c r="D7699" s="200" t="s">
        <v>7574</v>
      </c>
      <c r="E7699" s="10">
        <v>7629</v>
      </c>
      <c r="F7699" s="201">
        <v>-14.2</v>
      </c>
      <c r="G7699" s="201">
        <v>8.6</v>
      </c>
    </row>
    <row r="7700" spans="4:7">
      <c r="D7700" s="200" t="s">
        <v>7575</v>
      </c>
      <c r="E7700" s="10">
        <v>7957</v>
      </c>
      <c r="F7700" s="201">
        <v>-14.2</v>
      </c>
      <c r="G7700" s="201">
        <v>8.6</v>
      </c>
    </row>
    <row r="7701" spans="4:7">
      <c r="D7701" s="200" t="s">
        <v>7576</v>
      </c>
      <c r="E7701" s="10">
        <v>7987</v>
      </c>
      <c r="F7701" s="201">
        <v>-14.2</v>
      </c>
      <c r="G7701" s="201">
        <v>8.6</v>
      </c>
    </row>
    <row r="7702" spans="4:7">
      <c r="D7702" s="200" t="s">
        <v>7577</v>
      </c>
      <c r="E7702" s="10">
        <v>9429</v>
      </c>
      <c r="F7702" s="201">
        <v>-14.2</v>
      </c>
      <c r="G7702" s="201">
        <v>8</v>
      </c>
    </row>
    <row r="7703" spans="4:7">
      <c r="D7703" s="200" t="s">
        <v>7578</v>
      </c>
      <c r="E7703" s="10">
        <v>9488</v>
      </c>
      <c r="F7703" s="201">
        <v>-14.2</v>
      </c>
      <c r="G7703" s="201">
        <v>8</v>
      </c>
    </row>
    <row r="7704" spans="4:7">
      <c r="D7704" s="200" t="s">
        <v>7579</v>
      </c>
      <c r="E7704" s="10">
        <v>15838</v>
      </c>
      <c r="F7704" s="201">
        <v>-14.2</v>
      </c>
      <c r="G7704" s="201">
        <v>9.4</v>
      </c>
    </row>
    <row r="7705" spans="4:7">
      <c r="D7705" s="200" t="s">
        <v>7580</v>
      </c>
      <c r="E7705" s="10">
        <v>15938</v>
      </c>
      <c r="F7705" s="201">
        <v>-14.2</v>
      </c>
      <c r="G7705" s="201">
        <v>9.4</v>
      </c>
    </row>
    <row r="7706" spans="4:7">
      <c r="D7706" s="200" t="s">
        <v>7581</v>
      </c>
      <c r="E7706" s="10">
        <v>16306</v>
      </c>
      <c r="F7706" s="201">
        <v>-14.2</v>
      </c>
      <c r="G7706" s="201">
        <v>9.1</v>
      </c>
    </row>
    <row r="7707" spans="4:7">
      <c r="D7707" s="200" t="s">
        <v>7582</v>
      </c>
      <c r="E7707" s="10">
        <v>17291</v>
      </c>
      <c r="F7707" s="201">
        <v>-14.2</v>
      </c>
      <c r="G7707" s="201">
        <v>9.1999999999999993</v>
      </c>
    </row>
    <row r="7708" spans="4:7">
      <c r="D7708" s="200" t="s">
        <v>7583</v>
      </c>
      <c r="E7708" s="10">
        <v>17328</v>
      </c>
      <c r="F7708" s="201">
        <v>-14.2</v>
      </c>
      <c r="G7708" s="201">
        <v>9.1</v>
      </c>
    </row>
    <row r="7709" spans="4:7">
      <c r="D7709" s="200" t="s">
        <v>6974</v>
      </c>
      <c r="E7709" s="10">
        <v>37444</v>
      </c>
      <c r="F7709" s="201">
        <v>-14.2</v>
      </c>
      <c r="G7709" s="201">
        <v>6.2</v>
      </c>
    </row>
    <row r="7710" spans="4:7">
      <c r="D7710" s="200" t="s">
        <v>6976</v>
      </c>
      <c r="E7710" s="10">
        <v>38899</v>
      </c>
      <c r="F7710" s="201">
        <v>-14.2</v>
      </c>
      <c r="G7710" s="201">
        <v>7.4</v>
      </c>
    </row>
    <row r="7711" spans="4:7">
      <c r="D7711" s="200" t="s">
        <v>7584</v>
      </c>
      <c r="E7711" s="10">
        <v>79868</v>
      </c>
      <c r="F7711" s="201">
        <v>-14.2</v>
      </c>
      <c r="G7711" s="201">
        <v>6.6</v>
      </c>
    </row>
    <row r="7712" spans="4:7">
      <c r="D7712" s="200" t="s">
        <v>7585</v>
      </c>
      <c r="E7712" s="10">
        <v>82131</v>
      </c>
      <c r="F7712" s="201">
        <v>-14.2</v>
      </c>
      <c r="G7712" s="201">
        <v>8.4</v>
      </c>
    </row>
    <row r="7713" spans="4:7">
      <c r="D7713" s="200" t="s">
        <v>7586</v>
      </c>
      <c r="E7713" s="10">
        <v>82211</v>
      </c>
      <c r="F7713" s="201">
        <v>-14.2</v>
      </c>
      <c r="G7713" s="201">
        <v>8.6999999999999993</v>
      </c>
    </row>
    <row r="7714" spans="4:7">
      <c r="D7714" s="200" t="s">
        <v>7587</v>
      </c>
      <c r="E7714" s="10">
        <v>82223</v>
      </c>
      <c r="F7714" s="201">
        <v>-14.2</v>
      </c>
      <c r="G7714" s="201">
        <v>8.6999999999999993</v>
      </c>
    </row>
    <row r="7715" spans="4:7">
      <c r="D7715" s="200" t="s">
        <v>7588</v>
      </c>
      <c r="E7715" s="10">
        <v>82234</v>
      </c>
      <c r="F7715" s="201">
        <v>-14.2</v>
      </c>
      <c r="G7715" s="201">
        <v>8.5</v>
      </c>
    </row>
    <row r="7716" spans="4:7">
      <c r="D7716" s="200" t="s">
        <v>7589</v>
      </c>
      <c r="E7716" s="10">
        <v>82256</v>
      </c>
      <c r="F7716" s="201">
        <v>-14.2</v>
      </c>
      <c r="G7716" s="201">
        <v>8.6</v>
      </c>
    </row>
    <row r="7717" spans="4:7">
      <c r="D7717" s="200" t="s">
        <v>7590</v>
      </c>
      <c r="E7717" s="10">
        <v>82272</v>
      </c>
      <c r="F7717" s="201">
        <v>-14.2</v>
      </c>
      <c r="G7717" s="201">
        <v>8.5</v>
      </c>
    </row>
    <row r="7718" spans="4:7">
      <c r="D7718" s="200" t="s">
        <v>7591</v>
      </c>
      <c r="E7718" s="10">
        <v>82279</v>
      </c>
      <c r="F7718" s="201">
        <v>-14.2</v>
      </c>
      <c r="G7718" s="201">
        <v>8.6999999999999993</v>
      </c>
    </row>
    <row r="7719" spans="4:7">
      <c r="D7719" s="200" t="s">
        <v>7592</v>
      </c>
      <c r="E7719" s="10">
        <v>82296</v>
      </c>
      <c r="F7719" s="201">
        <v>-14.2</v>
      </c>
      <c r="G7719" s="201">
        <v>8.6999999999999993</v>
      </c>
    </row>
    <row r="7720" spans="4:7">
      <c r="D7720" s="200" t="s">
        <v>2963</v>
      </c>
      <c r="E7720" s="10">
        <v>82335</v>
      </c>
      <c r="F7720" s="201">
        <v>-14.2</v>
      </c>
      <c r="G7720" s="201">
        <v>8.1999999999999993</v>
      </c>
    </row>
    <row r="7721" spans="4:7">
      <c r="D7721" s="200" t="s">
        <v>7593</v>
      </c>
      <c r="E7721" s="10">
        <v>82431</v>
      </c>
      <c r="F7721" s="201">
        <v>-14.2</v>
      </c>
      <c r="G7721" s="201">
        <v>7.6</v>
      </c>
    </row>
    <row r="7722" spans="4:7">
      <c r="D7722" s="200" t="s">
        <v>7594</v>
      </c>
      <c r="E7722" s="10">
        <v>82433</v>
      </c>
      <c r="F7722" s="201">
        <v>-14.2</v>
      </c>
      <c r="G7722" s="201">
        <v>7.5</v>
      </c>
    </row>
    <row r="7723" spans="4:7">
      <c r="D7723" s="200" t="s">
        <v>7595</v>
      </c>
      <c r="E7723" s="10">
        <v>82441</v>
      </c>
      <c r="F7723" s="201">
        <v>-14.2</v>
      </c>
      <c r="G7723" s="201">
        <v>7.5</v>
      </c>
    </row>
    <row r="7724" spans="4:7">
      <c r="D7724" s="200" t="s">
        <v>7596</v>
      </c>
      <c r="E7724" s="10">
        <v>82541</v>
      </c>
      <c r="F7724" s="201">
        <v>-14.2</v>
      </c>
      <c r="G7724" s="201">
        <v>8.1999999999999993</v>
      </c>
    </row>
    <row r="7725" spans="4:7">
      <c r="D7725" s="200" t="s">
        <v>7597</v>
      </c>
      <c r="E7725" s="10">
        <v>83088</v>
      </c>
      <c r="F7725" s="201">
        <v>-14.2</v>
      </c>
      <c r="G7725" s="201">
        <v>7.2</v>
      </c>
    </row>
    <row r="7726" spans="4:7">
      <c r="D7726" s="200" t="s">
        <v>7598</v>
      </c>
      <c r="E7726" s="10">
        <v>83607</v>
      </c>
      <c r="F7726" s="201">
        <v>-14.2</v>
      </c>
      <c r="G7726" s="201">
        <v>7.7</v>
      </c>
    </row>
    <row r="7727" spans="4:7">
      <c r="D7727" s="200" t="s">
        <v>7599</v>
      </c>
      <c r="E7727" s="10">
        <v>83676</v>
      </c>
      <c r="F7727" s="201">
        <v>-14.2</v>
      </c>
      <c r="G7727" s="201">
        <v>7.6</v>
      </c>
    </row>
    <row r="7728" spans="4:7">
      <c r="D7728" s="200" t="s">
        <v>7600</v>
      </c>
      <c r="E7728" s="10">
        <v>85250</v>
      </c>
      <c r="F7728" s="201">
        <v>-14.2</v>
      </c>
      <c r="G7728" s="201">
        <v>8.6</v>
      </c>
    </row>
    <row r="7729" spans="4:7">
      <c r="D7729" s="200" t="s">
        <v>7601</v>
      </c>
      <c r="E7729" s="10">
        <v>85256</v>
      </c>
      <c r="F7729" s="201">
        <v>-14.2</v>
      </c>
      <c r="G7729" s="201">
        <v>8.6999999999999993</v>
      </c>
    </row>
    <row r="7730" spans="4:7">
      <c r="D7730" s="200" t="s">
        <v>7602</v>
      </c>
      <c r="E7730" s="10">
        <v>85298</v>
      </c>
      <c r="F7730" s="201">
        <v>-14.2</v>
      </c>
      <c r="G7730" s="201">
        <v>8.6999999999999993</v>
      </c>
    </row>
    <row r="7731" spans="4:7">
      <c r="D7731" s="200" t="s">
        <v>7603</v>
      </c>
      <c r="E7731" s="10">
        <v>85304</v>
      </c>
      <c r="F7731" s="201">
        <v>-14.2</v>
      </c>
      <c r="G7731" s="201">
        <v>8.6999999999999993</v>
      </c>
    </row>
    <row r="7732" spans="4:7">
      <c r="D7732" s="200" t="s">
        <v>7604</v>
      </c>
      <c r="E7732" s="10">
        <v>85649</v>
      </c>
      <c r="F7732" s="201">
        <v>-14.2</v>
      </c>
      <c r="G7732" s="201">
        <v>8.3000000000000007</v>
      </c>
    </row>
    <row r="7733" spans="4:7">
      <c r="D7733" s="200" t="s">
        <v>6446</v>
      </c>
      <c r="E7733" s="10">
        <v>86199</v>
      </c>
      <c r="F7733" s="201">
        <v>-14.2</v>
      </c>
      <c r="G7733" s="201">
        <v>8.6</v>
      </c>
    </row>
    <row r="7734" spans="4:7">
      <c r="D7734" s="200" t="s">
        <v>7605</v>
      </c>
      <c r="E7734" s="10">
        <v>86482</v>
      </c>
      <c r="F7734" s="201">
        <v>-14.2</v>
      </c>
      <c r="G7734" s="201">
        <v>8.6</v>
      </c>
    </row>
    <row r="7735" spans="4:7">
      <c r="D7735" s="200" t="s">
        <v>7606</v>
      </c>
      <c r="E7735" s="10">
        <v>86485</v>
      </c>
      <c r="F7735" s="201">
        <v>-14.2</v>
      </c>
      <c r="G7735" s="201">
        <v>8.6999999999999993</v>
      </c>
    </row>
    <row r="7736" spans="4:7">
      <c r="D7736" s="200" t="s">
        <v>7607</v>
      </c>
      <c r="E7736" s="10">
        <v>86577</v>
      </c>
      <c r="F7736" s="201">
        <v>-14.2</v>
      </c>
      <c r="G7736" s="201">
        <v>8.6999999999999993</v>
      </c>
    </row>
    <row r="7737" spans="4:7">
      <c r="D7737" s="200" t="s">
        <v>7608</v>
      </c>
      <c r="E7737" s="10">
        <v>86842</v>
      </c>
      <c r="F7737" s="201">
        <v>-14.2</v>
      </c>
      <c r="G7737" s="201">
        <v>8.5</v>
      </c>
    </row>
    <row r="7738" spans="4:7">
      <c r="D7738" s="200" t="s">
        <v>6893</v>
      </c>
      <c r="E7738" s="10">
        <v>86854</v>
      </c>
      <c r="F7738" s="201">
        <v>-14.2</v>
      </c>
      <c r="G7738" s="201">
        <v>8.5</v>
      </c>
    </row>
    <row r="7739" spans="4:7">
      <c r="D7739" s="200" t="s">
        <v>7609</v>
      </c>
      <c r="E7739" s="10">
        <v>86862</v>
      </c>
      <c r="F7739" s="201">
        <v>-14.2</v>
      </c>
      <c r="G7739" s="201">
        <v>8.5</v>
      </c>
    </row>
    <row r="7740" spans="4:7">
      <c r="D7740" s="200" t="s">
        <v>7610</v>
      </c>
      <c r="E7740" s="10">
        <v>86868</v>
      </c>
      <c r="F7740" s="201">
        <v>-14.2</v>
      </c>
      <c r="G7740" s="201">
        <v>8.5</v>
      </c>
    </row>
    <row r="7741" spans="4:7">
      <c r="D7741" s="200" t="s">
        <v>7611</v>
      </c>
      <c r="E7741" s="10">
        <v>86877</v>
      </c>
      <c r="F7741" s="201">
        <v>-14.2</v>
      </c>
      <c r="G7741" s="201">
        <v>8.6999999999999993</v>
      </c>
    </row>
    <row r="7742" spans="4:7">
      <c r="D7742" s="200" t="s">
        <v>7612</v>
      </c>
      <c r="E7742" s="10">
        <v>86911</v>
      </c>
      <c r="F7742" s="201">
        <v>-14.2</v>
      </c>
      <c r="G7742" s="201">
        <v>8.1999999999999993</v>
      </c>
    </row>
    <row r="7743" spans="4:7">
      <c r="D7743" s="200" t="s">
        <v>7613</v>
      </c>
      <c r="E7743" s="10">
        <v>86987</v>
      </c>
      <c r="F7743" s="201">
        <v>-14.2</v>
      </c>
      <c r="G7743" s="201">
        <v>7.7</v>
      </c>
    </row>
    <row r="7744" spans="4:7">
      <c r="D7744" s="200" t="s">
        <v>7028</v>
      </c>
      <c r="E7744" s="10">
        <v>87437</v>
      </c>
      <c r="F7744" s="201">
        <v>-14.2</v>
      </c>
      <c r="G7744" s="201">
        <v>7.6</v>
      </c>
    </row>
    <row r="7745" spans="4:7">
      <c r="D7745" s="200" t="s">
        <v>7028</v>
      </c>
      <c r="E7745" s="10">
        <v>87439</v>
      </c>
      <c r="F7745" s="201">
        <v>-14.2</v>
      </c>
      <c r="G7745" s="201">
        <v>7.6</v>
      </c>
    </row>
    <row r="7746" spans="4:7">
      <c r="D7746" s="200" t="s">
        <v>7614</v>
      </c>
      <c r="E7746" s="10">
        <v>87600</v>
      </c>
      <c r="F7746" s="201">
        <v>-14.2</v>
      </c>
      <c r="G7746" s="201">
        <v>8.1999999999999993</v>
      </c>
    </row>
    <row r="7747" spans="4:7">
      <c r="D7747" s="200" t="s">
        <v>7615</v>
      </c>
      <c r="E7747" s="10">
        <v>87730</v>
      </c>
      <c r="F7747" s="201">
        <v>-14.2</v>
      </c>
      <c r="G7747" s="201">
        <v>7.6</v>
      </c>
    </row>
    <row r="7748" spans="4:7">
      <c r="D7748" s="200" t="s">
        <v>7616</v>
      </c>
      <c r="E7748" s="10">
        <v>91224</v>
      </c>
      <c r="F7748" s="201">
        <v>-14.2</v>
      </c>
      <c r="G7748" s="201">
        <v>8.1999999999999993</v>
      </c>
    </row>
    <row r="7749" spans="4:7">
      <c r="D7749" s="200" t="s">
        <v>7617</v>
      </c>
      <c r="E7749" s="10">
        <v>91241</v>
      </c>
      <c r="F7749" s="201">
        <v>-14.2</v>
      </c>
      <c r="G7749" s="201">
        <v>8.3000000000000007</v>
      </c>
    </row>
    <row r="7750" spans="4:7">
      <c r="D7750" s="200" t="s">
        <v>7618</v>
      </c>
      <c r="E7750" s="10">
        <v>91287</v>
      </c>
      <c r="F7750" s="201">
        <v>-14.2</v>
      </c>
      <c r="G7750" s="201">
        <v>8.4</v>
      </c>
    </row>
    <row r="7751" spans="4:7">
      <c r="D7751" s="200" t="s">
        <v>7619</v>
      </c>
      <c r="E7751" s="10">
        <v>91355</v>
      </c>
      <c r="F7751" s="201">
        <v>-14.2</v>
      </c>
      <c r="G7751" s="201">
        <v>8</v>
      </c>
    </row>
    <row r="7752" spans="4:7">
      <c r="D7752" s="200" t="s">
        <v>7620</v>
      </c>
      <c r="E7752" s="10">
        <v>92268</v>
      </c>
      <c r="F7752" s="201">
        <v>-14.2</v>
      </c>
      <c r="G7752" s="201">
        <v>8.1999999999999993</v>
      </c>
    </row>
    <row r="7753" spans="4:7">
      <c r="D7753" s="200" t="s">
        <v>7621</v>
      </c>
      <c r="E7753" s="10">
        <v>92277</v>
      </c>
      <c r="F7753" s="201">
        <v>-14.2</v>
      </c>
      <c r="G7753" s="201">
        <v>8.6</v>
      </c>
    </row>
    <row r="7754" spans="4:7">
      <c r="D7754" s="200" t="s">
        <v>7622</v>
      </c>
      <c r="E7754" s="10">
        <v>92548</v>
      </c>
      <c r="F7754" s="201">
        <v>-14.2</v>
      </c>
      <c r="G7754" s="201">
        <v>8.1</v>
      </c>
    </row>
    <row r="7755" spans="4:7">
      <c r="D7755" s="200" t="s">
        <v>7623</v>
      </c>
      <c r="E7755" s="10">
        <v>92551</v>
      </c>
      <c r="F7755" s="201">
        <v>-14.2</v>
      </c>
      <c r="G7755" s="201">
        <v>8.6999999999999993</v>
      </c>
    </row>
    <row r="7756" spans="4:7">
      <c r="D7756" s="200" t="s">
        <v>7624</v>
      </c>
      <c r="E7756" s="10">
        <v>92655</v>
      </c>
      <c r="F7756" s="201">
        <v>-14.2</v>
      </c>
      <c r="G7756" s="201">
        <v>8</v>
      </c>
    </row>
    <row r="7757" spans="4:7">
      <c r="D7757" s="200" t="s">
        <v>7625</v>
      </c>
      <c r="E7757" s="10">
        <v>94145</v>
      </c>
      <c r="F7757" s="201">
        <v>-14.2</v>
      </c>
      <c r="G7757" s="201">
        <v>6.5</v>
      </c>
    </row>
    <row r="7758" spans="4:7">
      <c r="D7758" s="200" t="s">
        <v>7626</v>
      </c>
      <c r="E7758" s="10">
        <v>94568</v>
      </c>
      <c r="F7758" s="201">
        <v>-14.2</v>
      </c>
      <c r="G7758" s="201">
        <v>6.6</v>
      </c>
    </row>
    <row r="7759" spans="4:7">
      <c r="D7759" s="200" t="s">
        <v>7627</v>
      </c>
      <c r="E7759" s="10">
        <v>94572</v>
      </c>
      <c r="F7759" s="201">
        <v>-14.2</v>
      </c>
      <c r="G7759" s="201">
        <v>6.6</v>
      </c>
    </row>
    <row r="7760" spans="4:7">
      <c r="D7760" s="200" t="s">
        <v>7628</v>
      </c>
      <c r="E7760" s="10">
        <v>95168</v>
      </c>
      <c r="F7760" s="201">
        <v>-14.2</v>
      </c>
      <c r="G7760" s="201">
        <v>7.6</v>
      </c>
    </row>
    <row r="7761" spans="4:7">
      <c r="D7761" s="200" t="s">
        <v>7629</v>
      </c>
      <c r="E7761" s="10">
        <v>95615</v>
      </c>
      <c r="F7761" s="201">
        <v>-14.2</v>
      </c>
      <c r="G7761" s="201">
        <v>7.8</v>
      </c>
    </row>
    <row r="7762" spans="4:7">
      <c r="D7762" s="200" t="s">
        <v>7630</v>
      </c>
      <c r="E7762" s="10">
        <v>95632</v>
      </c>
      <c r="F7762" s="201">
        <v>-14.2</v>
      </c>
      <c r="G7762" s="201">
        <v>7.7</v>
      </c>
    </row>
    <row r="7763" spans="4:7">
      <c r="D7763" s="200" t="s">
        <v>7631</v>
      </c>
      <c r="E7763" s="10">
        <v>95643</v>
      </c>
      <c r="F7763" s="201">
        <v>-14.2</v>
      </c>
      <c r="G7763" s="201">
        <v>7.9</v>
      </c>
    </row>
    <row r="7764" spans="4:7">
      <c r="D7764" s="200" t="s">
        <v>7632</v>
      </c>
      <c r="E7764" s="10">
        <v>95679</v>
      </c>
      <c r="F7764" s="201">
        <v>-14.2</v>
      </c>
      <c r="G7764" s="201">
        <v>7.5</v>
      </c>
    </row>
    <row r="7765" spans="4:7">
      <c r="D7765" s="200" t="s">
        <v>7633</v>
      </c>
      <c r="E7765" s="10">
        <v>95682</v>
      </c>
      <c r="F7765" s="201">
        <v>-14.2</v>
      </c>
      <c r="G7765" s="201">
        <v>7.4</v>
      </c>
    </row>
    <row r="7766" spans="4:7">
      <c r="D7766" s="200" t="s">
        <v>7634</v>
      </c>
      <c r="E7766" s="10">
        <v>95683</v>
      </c>
      <c r="F7766" s="201">
        <v>-14.2</v>
      </c>
      <c r="G7766" s="201">
        <v>7.7</v>
      </c>
    </row>
    <row r="7767" spans="4:7">
      <c r="D7767" s="200" t="s">
        <v>7635</v>
      </c>
      <c r="E7767" s="10">
        <v>98587</v>
      </c>
      <c r="F7767" s="201">
        <v>-14.2</v>
      </c>
      <c r="G7767" s="201">
        <v>6.9</v>
      </c>
    </row>
    <row r="7768" spans="4:7">
      <c r="D7768" s="200" t="s">
        <v>7636</v>
      </c>
      <c r="E7768" s="10">
        <v>99887</v>
      </c>
      <c r="F7768" s="201">
        <v>-14.2</v>
      </c>
      <c r="G7768" s="201">
        <v>7.3</v>
      </c>
    </row>
    <row r="7769" spans="4:7">
      <c r="D7769" s="200" t="s">
        <v>7637</v>
      </c>
      <c r="E7769" s="10">
        <v>1993</v>
      </c>
      <c r="F7769" s="201">
        <v>-14.3</v>
      </c>
      <c r="G7769" s="201">
        <v>9.5</v>
      </c>
    </row>
    <row r="7770" spans="4:7">
      <c r="D7770" s="200" t="s">
        <v>7637</v>
      </c>
      <c r="E7770" s="10">
        <v>1994</v>
      </c>
      <c r="F7770" s="201">
        <v>-14.3</v>
      </c>
      <c r="G7770" s="201">
        <v>9.4</v>
      </c>
    </row>
    <row r="7771" spans="4:7">
      <c r="D7771" s="200" t="s">
        <v>7637</v>
      </c>
      <c r="E7771" s="10">
        <v>1998</v>
      </c>
      <c r="F7771" s="201">
        <v>-14.3</v>
      </c>
      <c r="G7771" s="201">
        <v>9.4</v>
      </c>
    </row>
    <row r="7772" spans="4:7">
      <c r="D7772" s="200" t="s">
        <v>7638</v>
      </c>
      <c r="E7772" s="10">
        <v>2625</v>
      </c>
      <c r="F7772" s="201">
        <v>-14.3</v>
      </c>
      <c r="G7772" s="201">
        <v>9.1999999999999993</v>
      </c>
    </row>
    <row r="7773" spans="4:7">
      <c r="D7773" s="200" t="s">
        <v>7639</v>
      </c>
      <c r="E7773" s="10">
        <v>2633</v>
      </c>
      <c r="F7773" s="201">
        <v>-14.3</v>
      </c>
      <c r="G7773" s="201">
        <v>9.1999999999999993</v>
      </c>
    </row>
    <row r="7774" spans="4:7">
      <c r="D7774" s="200" t="s">
        <v>7640</v>
      </c>
      <c r="E7774" s="10">
        <v>2681</v>
      </c>
      <c r="F7774" s="201">
        <v>-14.3</v>
      </c>
      <c r="G7774" s="201">
        <v>8.9</v>
      </c>
    </row>
    <row r="7775" spans="4:7">
      <c r="D7775" s="200" t="s">
        <v>7641</v>
      </c>
      <c r="E7775" s="10">
        <v>2689</v>
      </c>
      <c r="F7775" s="201">
        <v>-14.3</v>
      </c>
      <c r="G7775" s="201">
        <v>8.6</v>
      </c>
    </row>
    <row r="7776" spans="4:7" ht="30">
      <c r="D7776" s="200" t="s">
        <v>7642</v>
      </c>
      <c r="E7776" s="10">
        <v>2692</v>
      </c>
      <c r="F7776" s="201">
        <v>-14.3</v>
      </c>
      <c r="G7776" s="201">
        <v>9</v>
      </c>
    </row>
    <row r="7777" spans="4:7">
      <c r="D7777" s="200" t="s">
        <v>7643</v>
      </c>
      <c r="E7777" s="10">
        <v>2763</v>
      </c>
      <c r="F7777" s="201">
        <v>-14.3</v>
      </c>
      <c r="G7777" s="201">
        <v>8.9</v>
      </c>
    </row>
    <row r="7778" spans="4:7">
      <c r="D7778" s="200" t="s">
        <v>7644</v>
      </c>
      <c r="E7778" s="10">
        <v>2929</v>
      </c>
      <c r="F7778" s="201">
        <v>-14.3</v>
      </c>
      <c r="G7778" s="201">
        <v>9.1999999999999993</v>
      </c>
    </row>
    <row r="7779" spans="4:7">
      <c r="D7779" s="200" t="s">
        <v>7645</v>
      </c>
      <c r="E7779" s="10">
        <v>2977</v>
      </c>
      <c r="F7779" s="201">
        <v>-14.3</v>
      </c>
      <c r="G7779" s="201">
        <v>9.5</v>
      </c>
    </row>
    <row r="7780" spans="4:7">
      <c r="D7780" s="200" t="s">
        <v>7646</v>
      </c>
      <c r="E7780" s="10">
        <v>2997</v>
      </c>
      <c r="F7780" s="201">
        <v>-14.3</v>
      </c>
      <c r="G7780" s="201">
        <v>9.5</v>
      </c>
    </row>
    <row r="7781" spans="4:7">
      <c r="D7781" s="200" t="s">
        <v>7647</v>
      </c>
      <c r="E7781" s="10">
        <v>2999</v>
      </c>
      <c r="F7781" s="201">
        <v>-14.3</v>
      </c>
      <c r="G7781" s="201">
        <v>9.4</v>
      </c>
    </row>
    <row r="7782" spans="4:7">
      <c r="D7782" s="200" t="s">
        <v>7648</v>
      </c>
      <c r="E7782" s="10">
        <v>3159</v>
      </c>
      <c r="F7782" s="201">
        <v>-14.3</v>
      </c>
      <c r="G7782" s="201">
        <v>9.3000000000000007</v>
      </c>
    </row>
    <row r="7783" spans="4:7">
      <c r="D7783" s="200" t="s">
        <v>5099</v>
      </c>
      <c r="E7783" s="10">
        <v>6193</v>
      </c>
      <c r="F7783" s="201">
        <v>-14.3</v>
      </c>
      <c r="G7783" s="201">
        <v>9.4</v>
      </c>
    </row>
    <row r="7784" spans="4:7">
      <c r="D7784" s="200" t="s">
        <v>7649</v>
      </c>
      <c r="E7784" s="10">
        <v>7950</v>
      </c>
      <c r="F7784" s="201">
        <v>-14.3</v>
      </c>
      <c r="G7784" s="201">
        <v>8.6</v>
      </c>
    </row>
    <row r="7785" spans="4:7">
      <c r="D7785" s="200" t="s">
        <v>7650</v>
      </c>
      <c r="E7785" s="10">
        <v>8485</v>
      </c>
      <c r="F7785" s="201">
        <v>-14.3</v>
      </c>
      <c r="G7785" s="201">
        <v>8.4</v>
      </c>
    </row>
    <row r="7786" spans="4:7">
      <c r="D7786" s="200" t="s">
        <v>7651</v>
      </c>
      <c r="E7786" s="10">
        <v>8523</v>
      </c>
      <c r="F7786" s="201">
        <v>-14.3</v>
      </c>
      <c r="G7786" s="201">
        <v>8.5</v>
      </c>
    </row>
    <row r="7787" spans="4:7">
      <c r="D7787" s="200" t="s">
        <v>7651</v>
      </c>
      <c r="E7787" s="10">
        <v>8529</v>
      </c>
      <c r="F7787" s="201">
        <v>-14.3</v>
      </c>
      <c r="G7787" s="201">
        <v>8.6</v>
      </c>
    </row>
    <row r="7788" spans="4:7">
      <c r="D7788" s="200" t="s">
        <v>5882</v>
      </c>
      <c r="E7788" s="10">
        <v>9128</v>
      </c>
      <c r="F7788" s="201">
        <v>-14.3</v>
      </c>
      <c r="G7788" s="201">
        <v>8</v>
      </c>
    </row>
    <row r="7789" spans="4:7">
      <c r="D7789" s="200" t="s">
        <v>7652</v>
      </c>
      <c r="E7789" s="10">
        <v>9526</v>
      </c>
      <c r="F7789" s="201">
        <v>-14.3</v>
      </c>
      <c r="G7789" s="201">
        <v>7.7</v>
      </c>
    </row>
    <row r="7790" spans="4:7">
      <c r="D7790" s="200" t="s">
        <v>7653</v>
      </c>
      <c r="E7790" s="10">
        <v>9618</v>
      </c>
      <c r="F7790" s="201">
        <v>-14.3</v>
      </c>
      <c r="G7790" s="201">
        <v>7.6</v>
      </c>
    </row>
    <row r="7791" spans="4:7">
      <c r="D7791" s="200" t="s">
        <v>7654</v>
      </c>
      <c r="E7791" s="10">
        <v>15295</v>
      </c>
      <c r="F7791" s="201">
        <v>-14.3</v>
      </c>
      <c r="G7791" s="201">
        <v>9.5</v>
      </c>
    </row>
    <row r="7792" spans="4:7">
      <c r="D7792" s="200" t="s">
        <v>7655</v>
      </c>
      <c r="E7792" s="10">
        <v>15755</v>
      </c>
      <c r="F7792" s="201">
        <v>-14.3</v>
      </c>
      <c r="G7792" s="201">
        <v>9.5</v>
      </c>
    </row>
    <row r="7793" spans="4:7">
      <c r="D7793" s="200" t="s">
        <v>7656</v>
      </c>
      <c r="E7793" s="10">
        <v>82041</v>
      </c>
      <c r="F7793" s="201">
        <v>-14.3</v>
      </c>
      <c r="G7793" s="201">
        <v>8.1999999999999993</v>
      </c>
    </row>
    <row r="7794" spans="4:7">
      <c r="D7794" s="200" t="s">
        <v>7657</v>
      </c>
      <c r="E7794" s="10">
        <v>82054</v>
      </c>
      <c r="F7794" s="201">
        <v>-14.3</v>
      </c>
      <c r="G7794" s="201">
        <v>8.1</v>
      </c>
    </row>
    <row r="7795" spans="4:7">
      <c r="D7795" s="200" t="s">
        <v>2433</v>
      </c>
      <c r="E7795" s="10">
        <v>82061</v>
      </c>
      <c r="F7795" s="201">
        <v>-14.3</v>
      </c>
      <c r="G7795" s="201">
        <v>8.4</v>
      </c>
    </row>
    <row r="7796" spans="4:7">
      <c r="D7796" s="200" t="s">
        <v>7658</v>
      </c>
      <c r="E7796" s="10">
        <v>82064</v>
      </c>
      <c r="F7796" s="201">
        <v>-14.3</v>
      </c>
      <c r="G7796" s="201">
        <v>8.1</v>
      </c>
    </row>
    <row r="7797" spans="4:7">
      <c r="D7797" s="200" t="s">
        <v>7659</v>
      </c>
      <c r="E7797" s="10">
        <v>82065</v>
      </c>
      <c r="F7797" s="201">
        <v>-14.3</v>
      </c>
      <c r="G7797" s="201">
        <v>8.1</v>
      </c>
    </row>
    <row r="7798" spans="4:7">
      <c r="D7798" s="200" t="s">
        <v>7660</v>
      </c>
      <c r="E7798" s="10">
        <v>82067</v>
      </c>
      <c r="F7798" s="201">
        <v>-14.3</v>
      </c>
      <c r="G7798" s="201">
        <v>8.1</v>
      </c>
    </row>
    <row r="7799" spans="4:7">
      <c r="D7799" s="200" t="s">
        <v>7661</v>
      </c>
      <c r="E7799" s="10">
        <v>82205</v>
      </c>
      <c r="F7799" s="201">
        <v>-14.3</v>
      </c>
      <c r="G7799" s="201">
        <v>8.6</v>
      </c>
    </row>
    <row r="7800" spans="4:7">
      <c r="D7800" s="200" t="s">
        <v>7662</v>
      </c>
      <c r="E7800" s="10">
        <v>82237</v>
      </c>
      <c r="F7800" s="201">
        <v>-14.3</v>
      </c>
      <c r="G7800" s="201">
        <v>8.5</v>
      </c>
    </row>
    <row r="7801" spans="4:7">
      <c r="D7801" s="200" t="s">
        <v>7663</v>
      </c>
      <c r="E7801" s="10">
        <v>82239</v>
      </c>
      <c r="F7801" s="201">
        <v>-14.3</v>
      </c>
      <c r="G7801" s="201">
        <v>8.5</v>
      </c>
    </row>
    <row r="7802" spans="4:7">
      <c r="D7802" s="200" t="s">
        <v>7664</v>
      </c>
      <c r="E7802" s="10">
        <v>82269</v>
      </c>
      <c r="F7802" s="201">
        <v>-14.3</v>
      </c>
      <c r="G7802" s="201">
        <v>8.6</v>
      </c>
    </row>
    <row r="7803" spans="4:7">
      <c r="D7803" s="200" t="s">
        <v>7665</v>
      </c>
      <c r="E7803" s="10">
        <v>82281</v>
      </c>
      <c r="F7803" s="201">
        <v>-14.3</v>
      </c>
      <c r="G7803" s="201">
        <v>8.6999999999999993</v>
      </c>
    </row>
    <row r="7804" spans="4:7">
      <c r="D7804" s="200" t="s">
        <v>7666</v>
      </c>
      <c r="E7804" s="10">
        <v>82287</v>
      </c>
      <c r="F7804" s="201">
        <v>-14.3</v>
      </c>
      <c r="G7804" s="201">
        <v>8.5</v>
      </c>
    </row>
    <row r="7805" spans="4:7">
      <c r="D7805" s="200" t="s">
        <v>7667</v>
      </c>
      <c r="E7805" s="10">
        <v>82290</v>
      </c>
      <c r="F7805" s="201">
        <v>-14.3</v>
      </c>
      <c r="G7805" s="201">
        <v>8.5</v>
      </c>
    </row>
    <row r="7806" spans="4:7">
      <c r="D7806" s="200" t="s">
        <v>7668</v>
      </c>
      <c r="E7806" s="10">
        <v>82293</v>
      </c>
      <c r="F7806" s="201">
        <v>-14.3</v>
      </c>
      <c r="G7806" s="201">
        <v>8.6999999999999993</v>
      </c>
    </row>
    <row r="7807" spans="4:7">
      <c r="D7807" s="200" t="s">
        <v>7669</v>
      </c>
      <c r="E7807" s="10">
        <v>82327</v>
      </c>
      <c r="F7807" s="201">
        <v>-14.3</v>
      </c>
      <c r="G7807" s="201">
        <v>7.8</v>
      </c>
    </row>
    <row r="7808" spans="4:7">
      <c r="D7808" s="200" t="s">
        <v>7670</v>
      </c>
      <c r="E7808" s="10">
        <v>82349</v>
      </c>
      <c r="F7808" s="201">
        <v>-14.3</v>
      </c>
      <c r="G7808" s="201">
        <v>8.5</v>
      </c>
    </row>
    <row r="7809" spans="4:7">
      <c r="D7809" s="200" t="s">
        <v>7671</v>
      </c>
      <c r="E7809" s="10">
        <v>82409</v>
      </c>
      <c r="F7809" s="201">
        <v>-14.3</v>
      </c>
      <c r="G7809" s="201">
        <v>7.6</v>
      </c>
    </row>
    <row r="7810" spans="4:7">
      <c r="D7810" s="200" t="s">
        <v>7672</v>
      </c>
      <c r="E7810" s="10">
        <v>82544</v>
      </c>
      <c r="F7810" s="201">
        <v>-14.3</v>
      </c>
      <c r="G7810" s="201">
        <v>8.1</v>
      </c>
    </row>
    <row r="7811" spans="4:7">
      <c r="D7811" s="200" t="s">
        <v>7673</v>
      </c>
      <c r="E7811" s="10">
        <v>83623</v>
      </c>
      <c r="F7811" s="201">
        <v>-14.3</v>
      </c>
      <c r="G7811" s="201">
        <v>7.7</v>
      </c>
    </row>
    <row r="7812" spans="4:7">
      <c r="D7812" s="200" t="s">
        <v>7674</v>
      </c>
      <c r="E7812" s="10">
        <v>83624</v>
      </c>
      <c r="F7812" s="201">
        <v>-14.3</v>
      </c>
      <c r="G7812" s="201">
        <v>8</v>
      </c>
    </row>
    <row r="7813" spans="4:7">
      <c r="D7813" s="200" t="s">
        <v>7675</v>
      </c>
      <c r="E7813" s="10">
        <v>83666</v>
      </c>
      <c r="F7813" s="201">
        <v>-14.3</v>
      </c>
      <c r="G7813" s="201">
        <v>7.6</v>
      </c>
    </row>
    <row r="7814" spans="4:7">
      <c r="D7814" s="200" t="s">
        <v>7676</v>
      </c>
      <c r="E7814" s="10">
        <v>83671</v>
      </c>
      <c r="F7814" s="201">
        <v>-14.3</v>
      </c>
      <c r="G7814" s="201">
        <v>7.4</v>
      </c>
    </row>
    <row r="7815" spans="4:7">
      <c r="D7815" s="200" t="s">
        <v>7677</v>
      </c>
      <c r="E7815" s="10">
        <v>85229</v>
      </c>
      <c r="F7815" s="201">
        <v>-14.3</v>
      </c>
      <c r="G7815" s="201">
        <v>8.6999999999999993</v>
      </c>
    </row>
    <row r="7816" spans="4:7">
      <c r="D7816" s="200" t="s">
        <v>7678</v>
      </c>
      <c r="E7816" s="10">
        <v>85247</v>
      </c>
      <c r="F7816" s="201">
        <v>-14.3</v>
      </c>
      <c r="G7816" s="201">
        <v>8.6</v>
      </c>
    </row>
    <row r="7817" spans="4:7">
      <c r="D7817" s="200" t="s">
        <v>7394</v>
      </c>
      <c r="E7817" s="10">
        <v>85254</v>
      </c>
      <c r="F7817" s="201">
        <v>-14.3</v>
      </c>
      <c r="G7817" s="201">
        <v>8.6999999999999993</v>
      </c>
    </row>
    <row r="7818" spans="4:7">
      <c r="D7818" s="200" t="s">
        <v>6446</v>
      </c>
      <c r="E7818" s="10">
        <v>86169</v>
      </c>
      <c r="F7818" s="201">
        <v>-14.3</v>
      </c>
      <c r="G7818" s="201">
        <v>8.8000000000000007</v>
      </c>
    </row>
    <row r="7819" spans="4:7">
      <c r="D7819" s="200" t="s">
        <v>7679</v>
      </c>
      <c r="E7819" s="10">
        <v>86316</v>
      </c>
      <c r="F7819" s="201">
        <v>-14.3</v>
      </c>
      <c r="G7819" s="201">
        <v>8.6</v>
      </c>
    </row>
    <row r="7820" spans="4:7">
      <c r="D7820" s="200" t="s">
        <v>7680</v>
      </c>
      <c r="E7820" s="10">
        <v>86343</v>
      </c>
      <c r="F7820" s="201">
        <v>-14.3</v>
      </c>
      <c r="G7820" s="201">
        <v>8.6999999999999993</v>
      </c>
    </row>
    <row r="7821" spans="4:7">
      <c r="D7821" s="200" t="s">
        <v>7681</v>
      </c>
      <c r="E7821" s="10">
        <v>86356</v>
      </c>
      <c r="F7821" s="201">
        <v>-14.3</v>
      </c>
      <c r="G7821" s="201">
        <v>8.6999999999999993</v>
      </c>
    </row>
    <row r="7822" spans="4:7">
      <c r="D7822" s="200" t="s">
        <v>7682</v>
      </c>
      <c r="E7822" s="10">
        <v>86368</v>
      </c>
      <c r="F7822" s="201">
        <v>-14.3</v>
      </c>
      <c r="G7822" s="201">
        <v>8.6999999999999993</v>
      </c>
    </row>
    <row r="7823" spans="4:7">
      <c r="D7823" s="200" t="s">
        <v>7683</v>
      </c>
      <c r="E7823" s="10">
        <v>86444</v>
      </c>
      <c r="F7823" s="201">
        <v>-14.3</v>
      </c>
      <c r="G7823" s="201">
        <v>8.6</v>
      </c>
    </row>
    <row r="7824" spans="4:7">
      <c r="D7824" s="200" t="s">
        <v>7684</v>
      </c>
      <c r="E7824" s="10">
        <v>86456</v>
      </c>
      <c r="F7824" s="201">
        <v>-14.3</v>
      </c>
      <c r="G7824" s="201">
        <v>8.6999999999999993</v>
      </c>
    </row>
    <row r="7825" spans="4:7">
      <c r="D7825" s="200" t="s">
        <v>7685</v>
      </c>
      <c r="E7825" s="10">
        <v>86462</v>
      </c>
      <c r="F7825" s="201">
        <v>-14.3</v>
      </c>
      <c r="G7825" s="201">
        <v>8.8000000000000007</v>
      </c>
    </row>
    <row r="7826" spans="4:7">
      <c r="D7826" s="200" t="s">
        <v>7686</v>
      </c>
      <c r="E7826" s="10">
        <v>86508</v>
      </c>
      <c r="F7826" s="201">
        <v>-14.3</v>
      </c>
      <c r="G7826" s="201">
        <v>8.8000000000000007</v>
      </c>
    </row>
    <row r="7827" spans="4:7">
      <c r="D7827" s="200" t="s">
        <v>7687</v>
      </c>
      <c r="E7827" s="10">
        <v>86510</v>
      </c>
      <c r="F7827" s="201">
        <v>-14.3</v>
      </c>
      <c r="G7827" s="201">
        <v>8.6</v>
      </c>
    </row>
    <row r="7828" spans="4:7">
      <c r="D7828" s="200" t="s">
        <v>7688</v>
      </c>
      <c r="E7828" s="10">
        <v>86559</v>
      </c>
      <c r="F7828" s="201">
        <v>-14.3</v>
      </c>
      <c r="G7828" s="201">
        <v>8.6</v>
      </c>
    </row>
    <row r="7829" spans="4:7">
      <c r="D7829" s="200" t="s">
        <v>7689</v>
      </c>
      <c r="E7829" s="10">
        <v>86567</v>
      </c>
      <c r="F7829" s="201">
        <v>-14.3</v>
      </c>
      <c r="G7829" s="201">
        <v>8.6</v>
      </c>
    </row>
    <row r="7830" spans="4:7">
      <c r="D7830" s="200" t="s">
        <v>7690</v>
      </c>
      <c r="E7830" s="10">
        <v>86568</v>
      </c>
      <c r="F7830" s="201">
        <v>-14.3</v>
      </c>
      <c r="G7830" s="201">
        <v>8.6</v>
      </c>
    </row>
    <row r="7831" spans="4:7">
      <c r="D7831" s="200" t="s">
        <v>7691</v>
      </c>
      <c r="E7831" s="10">
        <v>86853</v>
      </c>
      <c r="F7831" s="201">
        <v>-14.3</v>
      </c>
      <c r="G7831" s="201">
        <v>8.5</v>
      </c>
    </row>
    <row r="7832" spans="4:7">
      <c r="D7832" s="200" t="s">
        <v>7692</v>
      </c>
      <c r="E7832" s="10">
        <v>86866</v>
      </c>
      <c r="F7832" s="201">
        <v>-14.3</v>
      </c>
      <c r="G7832" s="201">
        <v>8.6</v>
      </c>
    </row>
    <row r="7833" spans="4:7">
      <c r="D7833" s="200" t="s">
        <v>7693</v>
      </c>
      <c r="E7833" s="10">
        <v>86872</v>
      </c>
      <c r="F7833" s="201">
        <v>-14.3</v>
      </c>
      <c r="G7833" s="201">
        <v>8.6</v>
      </c>
    </row>
    <row r="7834" spans="4:7">
      <c r="D7834" s="200" t="s">
        <v>7694</v>
      </c>
      <c r="E7834" s="10">
        <v>86943</v>
      </c>
      <c r="F7834" s="201">
        <v>-14.3</v>
      </c>
      <c r="G7834" s="201">
        <v>8.1</v>
      </c>
    </row>
    <row r="7835" spans="4:7">
      <c r="D7835" s="200" t="s">
        <v>3297</v>
      </c>
      <c r="E7835" s="10">
        <v>86972</v>
      </c>
      <c r="F7835" s="201">
        <v>-14.3</v>
      </c>
      <c r="G7835" s="201">
        <v>8</v>
      </c>
    </row>
    <row r="7836" spans="4:7">
      <c r="D7836" s="200" t="s">
        <v>7695</v>
      </c>
      <c r="E7836" s="10">
        <v>86977</v>
      </c>
      <c r="F7836" s="201">
        <v>-14.3</v>
      </c>
      <c r="G7836" s="201">
        <v>7.7</v>
      </c>
    </row>
    <row r="7837" spans="4:7">
      <c r="D7837" s="200" t="s">
        <v>7696</v>
      </c>
      <c r="E7837" s="10">
        <v>86978</v>
      </c>
      <c r="F7837" s="201">
        <v>-14.3</v>
      </c>
      <c r="G7837" s="201">
        <v>8</v>
      </c>
    </row>
    <row r="7838" spans="4:7">
      <c r="D7838" s="200" t="s">
        <v>7697</v>
      </c>
      <c r="E7838" s="10">
        <v>86983</v>
      </c>
      <c r="F7838" s="201">
        <v>-14.3</v>
      </c>
      <c r="G7838" s="201">
        <v>7.7</v>
      </c>
    </row>
    <row r="7839" spans="4:7">
      <c r="D7839" s="200" t="s">
        <v>7698</v>
      </c>
      <c r="E7839" s="10">
        <v>86984</v>
      </c>
      <c r="F7839" s="201">
        <v>-14.3</v>
      </c>
      <c r="G7839" s="201">
        <v>7.7</v>
      </c>
    </row>
    <row r="7840" spans="4:7">
      <c r="D7840" s="200" t="s">
        <v>7699</v>
      </c>
      <c r="E7840" s="10">
        <v>86986</v>
      </c>
      <c r="F7840" s="201">
        <v>-14.3</v>
      </c>
      <c r="G7840" s="201">
        <v>7.9</v>
      </c>
    </row>
    <row r="7841" spans="4:7">
      <c r="D7841" s="200" t="s">
        <v>7700</v>
      </c>
      <c r="E7841" s="10">
        <v>87477</v>
      </c>
      <c r="F7841" s="201">
        <v>-14.3</v>
      </c>
      <c r="G7841" s="201">
        <v>7.4</v>
      </c>
    </row>
    <row r="7842" spans="4:7">
      <c r="D7842" s="200" t="s">
        <v>7701</v>
      </c>
      <c r="E7842" s="10">
        <v>87640</v>
      </c>
      <c r="F7842" s="201">
        <v>-14.3</v>
      </c>
      <c r="G7842" s="201">
        <v>8</v>
      </c>
    </row>
    <row r="7843" spans="4:7">
      <c r="D7843" s="200" t="s">
        <v>7702</v>
      </c>
      <c r="E7843" s="10">
        <v>87650</v>
      </c>
      <c r="F7843" s="201">
        <v>-14.3</v>
      </c>
      <c r="G7843" s="201">
        <v>8</v>
      </c>
    </row>
    <row r="7844" spans="4:7">
      <c r="D7844" s="200" t="s">
        <v>7703</v>
      </c>
      <c r="E7844" s="10">
        <v>87675</v>
      </c>
      <c r="F7844" s="201">
        <v>-14.3</v>
      </c>
      <c r="G7844" s="201">
        <v>7.4</v>
      </c>
    </row>
    <row r="7845" spans="4:7">
      <c r="D7845" s="200" t="s">
        <v>7704</v>
      </c>
      <c r="E7845" s="10">
        <v>87679</v>
      </c>
      <c r="F7845" s="201">
        <v>-14.3</v>
      </c>
      <c r="G7845" s="201">
        <v>8.1</v>
      </c>
    </row>
    <row r="7846" spans="4:7">
      <c r="D7846" s="200" t="s">
        <v>7705</v>
      </c>
      <c r="E7846" s="10">
        <v>87724</v>
      </c>
      <c r="F7846" s="201">
        <v>-14.3</v>
      </c>
      <c r="G7846" s="201">
        <v>7.6</v>
      </c>
    </row>
    <row r="7847" spans="4:7">
      <c r="D7847" s="200" t="s">
        <v>7706</v>
      </c>
      <c r="E7847" s="10">
        <v>87782</v>
      </c>
      <c r="F7847" s="201">
        <v>-14.3</v>
      </c>
      <c r="G7847" s="201">
        <v>7.9</v>
      </c>
    </row>
    <row r="7848" spans="4:7">
      <c r="D7848" s="200" t="s">
        <v>7707</v>
      </c>
      <c r="E7848" s="10">
        <v>88167</v>
      </c>
      <c r="F7848" s="201">
        <v>-14.3</v>
      </c>
      <c r="G7848" s="201">
        <v>7.6</v>
      </c>
    </row>
    <row r="7849" spans="4:7">
      <c r="D7849" s="200" t="s">
        <v>7708</v>
      </c>
      <c r="E7849" s="10">
        <v>88319</v>
      </c>
      <c r="F7849" s="201">
        <v>-14.3</v>
      </c>
      <c r="G7849" s="201">
        <v>7.7</v>
      </c>
    </row>
    <row r="7850" spans="4:7">
      <c r="D7850" s="200" t="s">
        <v>7709</v>
      </c>
      <c r="E7850" s="10">
        <v>91247</v>
      </c>
      <c r="F7850" s="201">
        <v>-14.3</v>
      </c>
      <c r="G7850" s="201">
        <v>8.3000000000000007</v>
      </c>
    </row>
    <row r="7851" spans="4:7">
      <c r="D7851" s="200" t="s">
        <v>7710</v>
      </c>
      <c r="E7851" s="10">
        <v>91249</v>
      </c>
      <c r="F7851" s="201">
        <v>-14.3</v>
      </c>
      <c r="G7851" s="201">
        <v>8.4</v>
      </c>
    </row>
    <row r="7852" spans="4:7">
      <c r="D7852" s="200" t="s">
        <v>7711</v>
      </c>
      <c r="E7852" s="10">
        <v>92256</v>
      </c>
      <c r="F7852" s="201">
        <v>-14.3</v>
      </c>
      <c r="G7852" s="201">
        <v>8.6</v>
      </c>
    </row>
    <row r="7853" spans="4:7">
      <c r="D7853" s="200" t="s">
        <v>7712</v>
      </c>
      <c r="E7853" s="10">
        <v>92265</v>
      </c>
      <c r="F7853" s="201">
        <v>-14.3</v>
      </c>
      <c r="G7853" s="201">
        <v>8</v>
      </c>
    </row>
    <row r="7854" spans="4:7">
      <c r="D7854" s="200" t="s">
        <v>7713</v>
      </c>
      <c r="E7854" s="10">
        <v>92269</v>
      </c>
      <c r="F7854" s="201">
        <v>-14.3</v>
      </c>
      <c r="G7854" s="201">
        <v>8.6999999999999993</v>
      </c>
    </row>
    <row r="7855" spans="4:7">
      <c r="D7855" s="200" t="s">
        <v>7714</v>
      </c>
      <c r="E7855" s="10">
        <v>92274</v>
      </c>
      <c r="F7855" s="201">
        <v>-14.3</v>
      </c>
      <c r="G7855" s="201">
        <v>8.3000000000000007</v>
      </c>
    </row>
    <row r="7856" spans="4:7">
      <c r="D7856" s="200" t="s">
        <v>7715</v>
      </c>
      <c r="E7856" s="10">
        <v>92275</v>
      </c>
      <c r="F7856" s="201">
        <v>-14.3</v>
      </c>
      <c r="G7856" s="201">
        <v>8.5</v>
      </c>
    </row>
    <row r="7857" spans="4:7">
      <c r="D7857" s="200" t="s">
        <v>7716</v>
      </c>
      <c r="E7857" s="10">
        <v>92281</v>
      </c>
      <c r="F7857" s="201">
        <v>-14.3</v>
      </c>
      <c r="G7857" s="201">
        <v>8.1</v>
      </c>
    </row>
    <row r="7858" spans="4:7">
      <c r="D7858" s="200" t="s">
        <v>7531</v>
      </c>
      <c r="E7858" s="10">
        <v>92286</v>
      </c>
      <c r="F7858" s="201">
        <v>-14.3</v>
      </c>
      <c r="G7858" s="201">
        <v>8.5</v>
      </c>
    </row>
    <row r="7859" spans="4:7">
      <c r="D7859" s="200" t="s">
        <v>7717</v>
      </c>
      <c r="E7859" s="10">
        <v>92355</v>
      </c>
      <c r="F7859" s="201">
        <v>-14.3</v>
      </c>
      <c r="G7859" s="201">
        <v>8</v>
      </c>
    </row>
    <row r="7860" spans="4:7">
      <c r="D7860" s="200" t="s">
        <v>4800</v>
      </c>
      <c r="E7860" s="10">
        <v>92366</v>
      </c>
      <c r="F7860" s="201">
        <v>-14.3</v>
      </c>
      <c r="G7860" s="201">
        <v>8.4</v>
      </c>
    </row>
    <row r="7861" spans="4:7">
      <c r="D7861" s="200" t="s">
        <v>7718</v>
      </c>
      <c r="E7861" s="10">
        <v>92367</v>
      </c>
      <c r="F7861" s="201">
        <v>-14.3</v>
      </c>
      <c r="G7861" s="201">
        <v>7.8</v>
      </c>
    </row>
    <row r="7862" spans="4:7">
      <c r="D7862" s="200" t="s">
        <v>7719</v>
      </c>
      <c r="E7862" s="10">
        <v>92442</v>
      </c>
      <c r="F7862" s="201">
        <v>-14.3</v>
      </c>
      <c r="G7862" s="201">
        <v>8.6</v>
      </c>
    </row>
    <row r="7863" spans="4:7">
      <c r="D7863" s="200" t="s">
        <v>6518</v>
      </c>
      <c r="E7863" s="10">
        <v>92557</v>
      </c>
      <c r="F7863" s="201">
        <v>-14.3</v>
      </c>
      <c r="G7863" s="201">
        <v>7.1</v>
      </c>
    </row>
    <row r="7864" spans="4:7">
      <c r="D7864" s="200" t="s">
        <v>7720</v>
      </c>
      <c r="E7864" s="10">
        <v>92697</v>
      </c>
      <c r="F7864" s="201">
        <v>-14.3</v>
      </c>
      <c r="G7864" s="201">
        <v>7.3</v>
      </c>
    </row>
    <row r="7865" spans="4:7">
      <c r="D7865" s="200" t="s">
        <v>7721</v>
      </c>
      <c r="E7865" s="10">
        <v>94164</v>
      </c>
      <c r="F7865" s="201">
        <v>-14.3</v>
      </c>
      <c r="G7865" s="201">
        <v>6.5</v>
      </c>
    </row>
    <row r="7866" spans="4:7">
      <c r="D7866" s="200" t="s">
        <v>7722</v>
      </c>
      <c r="E7866" s="10">
        <v>95100</v>
      </c>
      <c r="F7866" s="201">
        <v>-14.3</v>
      </c>
      <c r="G7866" s="201">
        <v>7.5</v>
      </c>
    </row>
    <row r="7867" spans="4:7">
      <c r="D7867" s="200" t="s">
        <v>7723</v>
      </c>
      <c r="E7867" s="10">
        <v>95163</v>
      </c>
      <c r="F7867" s="201">
        <v>-14.3</v>
      </c>
      <c r="G7867" s="201">
        <v>7.2</v>
      </c>
    </row>
    <row r="7868" spans="4:7">
      <c r="D7868" s="200" t="s">
        <v>7724</v>
      </c>
      <c r="E7868" s="10">
        <v>95195</v>
      </c>
      <c r="F7868" s="201">
        <v>-14.3</v>
      </c>
      <c r="G7868" s="201">
        <v>7.5</v>
      </c>
    </row>
    <row r="7869" spans="4:7">
      <c r="D7869" s="200" t="s">
        <v>7725</v>
      </c>
      <c r="E7869" s="10">
        <v>95356</v>
      </c>
      <c r="F7869" s="201">
        <v>-14.3</v>
      </c>
      <c r="G7869" s="201">
        <v>7.5</v>
      </c>
    </row>
    <row r="7870" spans="4:7">
      <c r="D7870" s="200" t="s">
        <v>7726</v>
      </c>
      <c r="E7870" s="10">
        <v>95505</v>
      </c>
      <c r="F7870" s="201">
        <v>-14.3</v>
      </c>
      <c r="G7870" s="201">
        <v>7.1</v>
      </c>
    </row>
    <row r="7871" spans="4:7">
      <c r="D7871" s="200" t="s">
        <v>7727</v>
      </c>
      <c r="E7871" s="10">
        <v>95508</v>
      </c>
      <c r="F7871" s="201">
        <v>-14.3</v>
      </c>
      <c r="G7871" s="201">
        <v>7.5</v>
      </c>
    </row>
    <row r="7872" spans="4:7">
      <c r="D7872" s="200" t="s">
        <v>7728</v>
      </c>
      <c r="E7872" s="10">
        <v>95676</v>
      </c>
      <c r="F7872" s="201">
        <v>-14.3</v>
      </c>
      <c r="G7872" s="201">
        <v>7.9</v>
      </c>
    </row>
    <row r="7873" spans="4:7">
      <c r="D7873" s="200" t="s">
        <v>7729</v>
      </c>
      <c r="E7873" s="10">
        <v>95688</v>
      </c>
      <c r="F7873" s="201">
        <v>-14.3</v>
      </c>
      <c r="G7873" s="201">
        <v>7.2</v>
      </c>
    </row>
    <row r="7874" spans="4:7">
      <c r="D7874" s="200" t="s">
        <v>7730</v>
      </c>
      <c r="E7874" s="10">
        <v>95694</v>
      </c>
      <c r="F7874" s="201">
        <v>-14.3</v>
      </c>
      <c r="G7874" s="201">
        <v>7.3</v>
      </c>
    </row>
    <row r="7875" spans="4:7">
      <c r="D7875" s="200" t="s">
        <v>7731</v>
      </c>
      <c r="E7875" s="10">
        <v>95697</v>
      </c>
      <c r="F7875" s="201">
        <v>-14.3</v>
      </c>
      <c r="G7875" s="201">
        <v>7.2</v>
      </c>
    </row>
    <row r="7876" spans="4:7">
      <c r="D7876" s="200" t="s">
        <v>7732</v>
      </c>
      <c r="E7876" s="10">
        <v>95700</v>
      </c>
      <c r="F7876" s="201">
        <v>-14.3</v>
      </c>
      <c r="G7876" s="201">
        <v>7.3</v>
      </c>
    </row>
    <row r="7877" spans="4:7">
      <c r="D7877" s="200" t="s">
        <v>7733</v>
      </c>
      <c r="E7877" s="10">
        <v>95704</v>
      </c>
      <c r="F7877" s="201">
        <v>-14.3</v>
      </c>
      <c r="G7877" s="201">
        <v>7.2</v>
      </c>
    </row>
    <row r="7878" spans="4:7">
      <c r="D7878" s="200" t="s">
        <v>7734</v>
      </c>
      <c r="E7878" s="10">
        <v>95709</v>
      </c>
      <c r="F7878" s="201">
        <v>-14.3</v>
      </c>
      <c r="G7878" s="201">
        <v>7.2</v>
      </c>
    </row>
    <row r="7879" spans="4:7">
      <c r="D7879" s="200" t="s">
        <v>7735</v>
      </c>
      <c r="E7879" s="10">
        <v>96337</v>
      </c>
      <c r="F7879" s="201">
        <v>-14.3</v>
      </c>
      <c r="G7879" s="201">
        <v>7.4</v>
      </c>
    </row>
    <row r="7880" spans="4:7">
      <c r="D7880" s="200" t="s">
        <v>7736</v>
      </c>
      <c r="E7880" s="10">
        <v>96358</v>
      </c>
      <c r="F7880" s="201">
        <v>-14.3</v>
      </c>
      <c r="G7880" s="201">
        <v>7.3</v>
      </c>
    </row>
    <row r="7881" spans="4:7">
      <c r="D7881" s="200" t="s">
        <v>7737</v>
      </c>
      <c r="E7881" s="10">
        <v>96367</v>
      </c>
      <c r="F7881" s="201">
        <v>-14.3</v>
      </c>
      <c r="G7881" s="201">
        <v>7.4</v>
      </c>
    </row>
    <row r="7882" spans="4:7">
      <c r="D7882" s="200" t="s">
        <v>7738</v>
      </c>
      <c r="E7882" s="10">
        <v>98667</v>
      </c>
      <c r="F7882" s="201">
        <v>-14.3</v>
      </c>
      <c r="G7882" s="201">
        <v>7</v>
      </c>
    </row>
    <row r="7883" spans="4:7">
      <c r="D7883" s="200" t="s">
        <v>7739</v>
      </c>
      <c r="E7883" s="10">
        <v>98693</v>
      </c>
      <c r="F7883" s="201">
        <v>-14.3</v>
      </c>
      <c r="G7883" s="201">
        <v>7.3</v>
      </c>
    </row>
    <row r="7884" spans="4:7">
      <c r="D7884" s="200" t="s">
        <v>7740</v>
      </c>
      <c r="E7884" s="10">
        <v>98708</v>
      </c>
      <c r="F7884" s="201">
        <v>-14.3</v>
      </c>
      <c r="G7884" s="201">
        <v>7.8</v>
      </c>
    </row>
    <row r="7885" spans="4:7">
      <c r="D7885" s="200" t="s">
        <v>7741</v>
      </c>
      <c r="E7885" s="10">
        <v>98714</v>
      </c>
      <c r="F7885" s="201">
        <v>-14.3</v>
      </c>
      <c r="G7885" s="201">
        <v>7</v>
      </c>
    </row>
    <row r="7886" spans="4:7">
      <c r="D7886" s="200" t="s">
        <v>7742</v>
      </c>
      <c r="E7886" s="10">
        <v>98716</v>
      </c>
      <c r="F7886" s="201">
        <v>-14.3</v>
      </c>
      <c r="G7886" s="201">
        <v>7.2</v>
      </c>
    </row>
    <row r="7887" spans="4:7">
      <c r="D7887" s="200" t="s">
        <v>7743</v>
      </c>
      <c r="E7887" s="10">
        <v>99897</v>
      </c>
      <c r="F7887" s="201">
        <v>-14.3</v>
      </c>
      <c r="G7887" s="201">
        <v>6.9</v>
      </c>
    </row>
    <row r="7888" spans="4:7">
      <c r="D7888" s="200" t="s">
        <v>7744</v>
      </c>
      <c r="E7888" s="10">
        <v>1920</v>
      </c>
      <c r="F7888" s="201">
        <v>-14.4</v>
      </c>
      <c r="G7888" s="201">
        <v>9.4</v>
      </c>
    </row>
    <row r="7889" spans="4:7">
      <c r="D7889" s="200" t="s">
        <v>7565</v>
      </c>
      <c r="E7889" s="10">
        <v>1996</v>
      </c>
      <c r="F7889" s="201">
        <v>-14.4</v>
      </c>
      <c r="G7889" s="201">
        <v>9.5</v>
      </c>
    </row>
    <row r="7890" spans="4:7">
      <c r="D7890" s="200" t="s">
        <v>7745</v>
      </c>
      <c r="E7890" s="10">
        <v>2627</v>
      </c>
      <c r="F7890" s="201">
        <v>-14.4</v>
      </c>
      <c r="G7890" s="201">
        <v>9.3000000000000007</v>
      </c>
    </row>
    <row r="7891" spans="4:7">
      <c r="D7891" s="200" t="s">
        <v>7101</v>
      </c>
      <c r="E7891" s="10">
        <v>2827</v>
      </c>
      <c r="F7891" s="201">
        <v>-14.4</v>
      </c>
      <c r="G7891" s="201">
        <v>9</v>
      </c>
    </row>
    <row r="7892" spans="4:7">
      <c r="D7892" s="200" t="s">
        <v>7101</v>
      </c>
      <c r="E7892" s="10">
        <v>2828</v>
      </c>
      <c r="F7892" s="201">
        <v>-14.4</v>
      </c>
      <c r="G7892" s="201">
        <v>9</v>
      </c>
    </row>
    <row r="7893" spans="4:7">
      <c r="D7893" s="200" t="s">
        <v>7746</v>
      </c>
      <c r="E7893" s="10">
        <v>2829</v>
      </c>
      <c r="F7893" s="201">
        <v>-14.4</v>
      </c>
      <c r="G7893" s="201">
        <v>9</v>
      </c>
    </row>
    <row r="7894" spans="4:7">
      <c r="D7894" s="200" t="s">
        <v>7747</v>
      </c>
      <c r="E7894" s="10">
        <v>2923</v>
      </c>
      <c r="F7894" s="201">
        <v>-14.4</v>
      </c>
      <c r="G7894" s="201">
        <v>9.1999999999999993</v>
      </c>
    </row>
    <row r="7895" spans="4:7">
      <c r="D7895" s="200" t="s">
        <v>7748</v>
      </c>
      <c r="E7895" s="10">
        <v>2959</v>
      </c>
      <c r="F7895" s="201">
        <v>-14.4</v>
      </c>
      <c r="G7895" s="201">
        <v>9.3000000000000007</v>
      </c>
    </row>
    <row r="7896" spans="4:7">
      <c r="D7896" s="200" t="s">
        <v>7749</v>
      </c>
      <c r="E7896" s="10">
        <v>3103</v>
      </c>
      <c r="F7896" s="201">
        <v>-14.4</v>
      </c>
      <c r="G7896" s="201">
        <v>9.4</v>
      </c>
    </row>
    <row r="7897" spans="4:7">
      <c r="D7897" s="200" t="s">
        <v>7750</v>
      </c>
      <c r="E7897" s="10">
        <v>3130</v>
      </c>
      <c r="F7897" s="201">
        <v>-14.4</v>
      </c>
      <c r="G7897" s="201">
        <v>9.3000000000000007</v>
      </c>
    </row>
    <row r="7898" spans="4:7">
      <c r="D7898" s="200" t="s">
        <v>7751</v>
      </c>
      <c r="E7898" s="10">
        <v>6493</v>
      </c>
      <c r="F7898" s="201">
        <v>-14.4</v>
      </c>
      <c r="G7898" s="201">
        <v>7.8</v>
      </c>
    </row>
    <row r="7899" spans="4:7">
      <c r="D7899" s="200" t="s">
        <v>7752</v>
      </c>
      <c r="E7899" s="10">
        <v>7973</v>
      </c>
      <c r="F7899" s="201">
        <v>-14.4</v>
      </c>
      <c r="G7899" s="201">
        <v>8.5</v>
      </c>
    </row>
    <row r="7900" spans="4:7">
      <c r="D7900" s="200" t="s">
        <v>7753</v>
      </c>
      <c r="E7900" s="10">
        <v>8228</v>
      </c>
      <c r="F7900" s="201">
        <v>-14.4</v>
      </c>
      <c r="G7900" s="201">
        <v>8.1999999999999993</v>
      </c>
    </row>
    <row r="7901" spans="4:7">
      <c r="D7901" s="200" t="s">
        <v>7754</v>
      </c>
      <c r="E7901" s="10">
        <v>8468</v>
      </c>
      <c r="F7901" s="201">
        <v>-14.4</v>
      </c>
      <c r="G7901" s="201">
        <v>8.3000000000000007</v>
      </c>
    </row>
    <row r="7902" spans="4:7">
      <c r="D7902" s="200" t="s">
        <v>7755</v>
      </c>
      <c r="E7902" s="10">
        <v>16278</v>
      </c>
      <c r="F7902" s="201">
        <v>-14.4</v>
      </c>
      <c r="G7902" s="201">
        <v>9.1999999999999993</v>
      </c>
    </row>
    <row r="7903" spans="4:7">
      <c r="D7903" s="200" t="s">
        <v>7756</v>
      </c>
      <c r="E7903" s="10">
        <v>82057</v>
      </c>
      <c r="F7903" s="201">
        <v>-14.4</v>
      </c>
      <c r="G7903" s="201">
        <v>7.8</v>
      </c>
    </row>
    <row r="7904" spans="4:7">
      <c r="D7904" s="200" t="s">
        <v>5336</v>
      </c>
      <c r="E7904" s="10">
        <v>82276</v>
      </c>
      <c r="F7904" s="201">
        <v>-14.4</v>
      </c>
      <c r="G7904" s="201">
        <v>8.6</v>
      </c>
    </row>
    <row r="7905" spans="4:7">
      <c r="D7905" s="200" t="s">
        <v>7757</v>
      </c>
      <c r="E7905" s="10">
        <v>82291</v>
      </c>
      <c r="F7905" s="201">
        <v>-14.4</v>
      </c>
      <c r="G7905" s="201">
        <v>8.6</v>
      </c>
    </row>
    <row r="7906" spans="4:7">
      <c r="D7906" s="200" t="s">
        <v>7758</v>
      </c>
      <c r="E7906" s="10">
        <v>82294</v>
      </c>
      <c r="F7906" s="201">
        <v>-14.4</v>
      </c>
      <c r="G7906" s="201">
        <v>8.6</v>
      </c>
    </row>
    <row r="7907" spans="4:7">
      <c r="D7907" s="200" t="s">
        <v>7759</v>
      </c>
      <c r="E7907" s="10">
        <v>83242</v>
      </c>
      <c r="F7907" s="201">
        <v>-14.4</v>
      </c>
      <c r="G7907" s="201">
        <v>6.6</v>
      </c>
    </row>
    <row r="7908" spans="4:7">
      <c r="D7908" s="200" t="s">
        <v>7760</v>
      </c>
      <c r="E7908" s="10">
        <v>83627</v>
      </c>
      <c r="F7908" s="201">
        <v>-14.4</v>
      </c>
      <c r="G7908" s="201">
        <v>7.5</v>
      </c>
    </row>
    <row r="7909" spans="4:7">
      <c r="D7909" s="200" t="s">
        <v>7761</v>
      </c>
      <c r="E7909" s="10">
        <v>86415</v>
      </c>
      <c r="F7909" s="201">
        <v>-14.4</v>
      </c>
      <c r="G7909" s="201">
        <v>8.6</v>
      </c>
    </row>
    <row r="7910" spans="4:7">
      <c r="D7910" s="200" t="s">
        <v>7762</v>
      </c>
      <c r="E7910" s="10">
        <v>86438</v>
      </c>
      <c r="F7910" s="201">
        <v>-14.4</v>
      </c>
      <c r="G7910" s="201">
        <v>8.6</v>
      </c>
    </row>
    <row r="7911" spans="4:7">
      <c r="D7911" s="200" t="s">
        <v>7763</v>
      </c>
      <c r="E7911" s="10">
        <v>86574</v>
      </c>
      <c r="F7911" s="201">
        <v>-14.4</v>
      </c>
      <c r="G7911" s="201">
        <v>8.5</v>
      </c>
    </row>
    <row r="7912" spans="4:7">
      <c r="D7912" s="200" t="s">
        <v>7764</v>
      </c>
      <c r="E7912" s="10">
        <v>86857</v>
      </c>
      <c r="F7912" s="201">
        <v>-14.4</v>
      </c>
      <c r="G7912" s="201">
        <v>8.5</v>
      </c>
    </row>
    <row r="7913" spans="4:7">
      <c r="D7913" s="200" t="s">
        <v>7765</v>
      </c>
      <c r="E7913" s="10">
        <v>86869</v>
      </c>
      <c r="F7913" s="201">
        <v>-14.4</v>
      </c>
      <c r="G7913" s="201">
        <v>8.1999999999999993</v>
      </c>
    </row>
    <row r="7914" spans="4:7">
      <c r="D7914" s="200" t="s">
        <v>7766</v>
      </c>
      <c r="E7914" s="10">
        <v>86946</v>
      </c>
      <c r="F7914" s="201">
        <v>-14.4</v>
      </c>
      <c r="G7914" s="201">
        <v>8.1</v>
      </c>
    </row>
    <row r="7915" spans="4:7">
      <c r="D7915" s="200" t="s">
        <v>7767</v>
      </c>
      <c r="E7915" s="10">
        <v>86975</v>
      </c>
      <c r="F7915" s="201">
        <v>-14.4</v>
      </c>
      <c r="G7915" s="201">
        <v>7.6</v>
      </c>
    </row>
    <row r="7916" spans="4:7">
      <c r="D7916" s="200" t="s">
        <v>7768</v>
      </c>
      <c r="E7916" s="10">
        <v>87448</v>
      </c>
      <c r="F7916" s="201">
        <v>-14.4</v>
      </c>
      <c r="G7916" s="201">
        <v>7.4</v>
      </c>
    </row>
    <row r="7917" spans="4:7">
      <c r="D7917" s="200" t="s">
        <v>7769</v>
      </c>
      <c r="E7917" s="10">
        <v>87645</v>
      </c>
      <c r="F7917" s="201">
        <v>-14.4</v>
      </c>
      <c r="G7917" s="201">
        <v>7.3</v>
      </c>
    </row>
    <row r="7918" spans="4:7">
      <c r="D7918" s="200" t="s">
        <v>7770</v>
      </c>
      <c r="E7918" s="10">
        <v>87666</v>
      </c>
      <c r="F7918" s="201">
        <v>-14.4</v>
      </c>
      <c r="G7918" s="201">
        <v>8</v>
      </c>
    </row>
    <row r="7919" spans="4:7">
      <c r="D7919" s="200" t="s">
        <v>7771</v>
      </c>
      <c r="E7919" s="10">
        <v>87669</v>
      </c>
      <c r="F7919" s="201">
        <v>-14.4</v>
      </c>
      <c r="G7919" s="201">
        <v>7.3</v>
      </c>
    </row>
    <row r="7920" spans="4:7">
      <c r="D7920" s="200" t="s">
        <v>7772</v>
      </c>
      <c r="E7920" s="10">
        <v>87674</v>
      </c>
      <c r="F7920" s="201">
        <v>-14.4</v>
      </c>
      <c r="G7920" s="201">
        <v>7.8</v>
      </c>
    </row>
    <row r="7921" spans="4:7">
      <c r="D7921" s="200" t="s">
        <v>7773</v>
      </c>
      <c r="E7921" s="10">
        <v>88179</v>
      </c>
      <c r="F7921" s="201">
        <v>-14.4</v>
      </c>
      <c r="G7921" s="201">
        <v>7.1</v>
      </c>
    </row>
    <row r="7922" spans="4:7">
      <c r="D7922" s="200" t="s">
        <v>7774</v>
      </c>
      <c r="E7922" s="10">
        <v>92245</v>
      </c>
      <c r="F7922" s="201">
        <v>-14.4</v>
      </c>
      <c r="G7922" s="201">
        <v>8.6</v>
      </c>
    </row>
    <row r="7923" spans="4:7">
      <c r="D7923" s="200" t="s">
        <v>7775</v>
      </c>
      <c r="E7923" s="10">
        <v>92259</v>
      </c>
      <c r="F7923" s="201">
        <v>-14.4</v>
      </c>
      <c r="G7923" s="201">
        <v>8.1999999999999993</v>
      </c>
    </row>
    <row r="7924" spans="4:7">
      <c r="D7924" s="200" t="s">
        <v>2146</v>
      </c>
      <c r="E7924" s="10">
        <v>92266</v>
      </c>
      <c r="F7924" s="201">
        <v>-14.4</v>
      </c>
      <c r="G7924" s="201">
        <v>8.5</v>
      </c>
    </row>
    <row r="7925" spans="4:7">
      <c r="D7925" s="200" t="s">
        <v>7776</v>
      </c>
      <c r="E7925" s="10">
        <v>92284</v>
      </c>
      <c r="F7925" s="201">
        <v>-14.4</v>
      </c>
      <c r="G7925" s="201">
        <v>8.6</v>
      </c>
    </row>
    <row r="7926" spans="4:7">
      <c r="D7926" s="200" t="s">
        <v>7777</v>
      </c>
      <c r="E7926" s="10">
        <v>92289</v>
      </c>
      <c r="F7926" s="201">
        <v>-14.4</v>
      </c>
      <c r="G7926" s="201">
        <v>8</v>
      </c>
    </row>
    <row r="7927" spans="4:7">
      <c r="D7927" s="200" t="s">
        <v>7778</v>
      </c>
      <c r="E7927" s="10">
        <v>92546</v>
      </c>
      <c r="F7927" s="201">
        <v>-14.4</v>
      </c>
      <c r="G7927" s="201">
        <v>8.4</v>
      </c>
    </row>
    <row r="7928" spans="4:7">
      <c r="D7928" s="200" t="s">
        <v>7779</v>
      </c>
      <c r="E7928" s="10">
        <v>92549</v>
      </c>
      <c r="F7928" s="201">
        <v>-14.4</v>
      </c>
      <c r="G7928" s="201">
        <v>7</v>
      </c>
    </row>
    <row r="7929" spans="4:7">
      <c r="D7929" s="200" t="s">
        <v>7780</v>
      </c>
      <c r="E7929" s="10">
        <v>93133</v>
      </c>
      <c r="F7929" s="201">
        <v>-14.4</v>
      </c>
      <c r="G7929" s="201">
        <v>8.6</v>
      </c>
    </row>
    <row r="7930" spans="4:7">
      <c r="D7930" s="200" t="s">
        <v>7781</v>
      </c>
      <c r="E7930" s="10">
        <v>95199</v>
      </c>
      <c r="F7930" s="201">
        <v>-14.4</v>
      </c>
      <c r="G7930" s="201">
        <v>7.6</v>
      </c>
    </row>
    <row r="7931" spans="4:7">
      <c r="D7931" s="200" t="s">
        <v>7782</v>
      </c>
      <c r="E7931" s="10">
        <v>95355</v>
      </c>
      <c r="F7931" s="201">
        <v>-14.4</v>
      </c>
      <c r="G7931" s="201">
        <v>7.2</v>
      </c>
    </row>
    <row r="7932" spans="4:7">
      <c r="D7932" s="200" t="s">
        <v>7783</v>
      </c>
      <c r="E7932" s="10">
        <v>95686</v>
      </c>
      <c r="F7932" s="201">
        <v>-14.4</v>
      </c>
      <c r="G7932" s="201">
        <v>7</v>
      </c>
    </row>
    <row r="7933" spans="4:7">
      <c r="D7933" s="200" t="s">
        <v>7784</v>
      </c>
      <c r="E7933" s="10">
        <v>95701</v>
      </c>
      <c r="F7933" s="201">
        <v>-14.4</v>
      </c>
      <c r="G7933" s="201">
        <v>7.7</v>
      </c>
    </row>
    <row r="7934" spans="4:7">
      <c r="D7934" s="200" t="s">
        <v>7785</v>
      </c>
      <c r="E7934" s="10">
        <v>95707</v>
      </c>
      <c r="F7934" s="201">
        <v>-14.4</v>
      </c>
      <c r="G7934" s="201">
        <v>7.6</v>
      </c>
    </row>
    <row r="7935" spans="4:7">
      <c r="D7935" s="200" t="s">
        <v>7786</v>
      </c>
      <c r="E7935" s="10">
        <v>96361</v>
      </c>
      <c r="F7935" s="201">
        <v>-14.4</v>
      </c>
      <c r="G7935" s="201">
        <v>7.3</v>
      </c>
    </row>
    <row r="7936" spans="4:7">
      <c r="D7936" s="200" t="s">
        <v>7787</v>
      </c>
      <c r="E7936" s="10">
        <v>98743</v>
      </c>
      <c r="F7936" s="201">
        <v>-14.4</v>
      </c>
      <c r="G7936" s="201">
        <v>7.7</v>
      </c>
    </row>
    <row r="7937" spans="4:7">
      <c r="D7937" s="200" t="s">
        <v>7788</v>
      </c>
      <c r="E7937" s="10">
        <v>1778</v>
      </c>
      <c r="F7937" s="201">
        <v>-14.5</v>
      </c>
      <c r="G7937" s="201">
        <v>7</v>
      </c>
    </row>
    <row r="7938" spans="4:7">
      <c r="D7938" s="200" t="s">
        <v>7789</v>
      </c>
      <c r="E7938" s="10">
        <v>2694</v>
      </c>
      <c r="F7938" s="201">
        <v>-14.5</v>
      </c>
      <c r="G7938" s="201">
        <v>9.4</v>
      </c>
    </row>
    <row r="7939" spans="4:7">
      <c r="D7939" s="200" t="s">
        <v>7790</v>
      </c>
      <c r="E7939" s="10">
        <v>2699</v>
      </c>
      <c r="F7939" s="201">
        <v>-14.5</v>
      </c>
      <c r="G7939" s="201">
        <v>9.4</v>
      </c>
    </row>
    <row r="7940" spans="4:7">
      <c r="D7940" s="200" t="s">
        <v>5684</v>
      </c>
      <c r="E7940" s="10">
        <v>2748</v>
      </c>
      <c r="F7940" s="201">
        <v>-14.5</v>
      </c>
      <c r="G7940" s="201">
        <v>8.9</v>
      </c>
    </row>
    <row r="7941" spans="4:7">
      <c r="D7941" s="200" t="s">
        <v>7791</v>
      </c>
      <c r="E7941" s="10">
        <v>2894</v>
      </c>
      <c r="F7941" s="201">
        <v>-14.5</v>
      </c>
      <c r="G7941" s="201">
        <v>9</v>
      </c>
    </row>
    <row r="7942" spans="4:7">
      <c r="D7942" s="200" t="s">
        <v>7792</v>
      </c>
      <c r="E7942" s="10">
        <v>2956</v>
      </c>
      <c r="F7942" s="201">
        <v>-14.5</v>
      </c>
      <c r="G7942" s="201">
        <v>9.1999999999999993</v>
      </c>
    </row>
    <row r="7943" spans="4:7">
      <c r="D7943" s="200" t="s">
        <v>7793</v>
      </c>
      <c r="E7943" s="10">
        <v>2957</v>
      </c>
      <c r="F7943" s="201">
        <v>-14.5</v>
      </c>
      <c r="G7943" s="201">
        <v>9.3000000000000007</v>
      </c>
    </row>
    <row r="7944" spans="4:7">
      <c r="D7944" s="200" t="s">
        <v>7794</v>
      </c>
      <c r="E7944" s="10">
        <v>2994</v>
      </c>
      <c r="F7944" s="201">
        <v>-14.5</v>
      </c>
      <c r="G7944" s="201">
        <v>9.5</v>
      </c>
    </row>
    <row r="7945" spans="4:7">
      <c r="D7945" s="200" t="s">
        <v>7795</v>
      </c>
      <c r="E7945" s="10">
        <v>7924</v>
      </c>
      <c r="F7945" s="201">
        <v>-14.5</v>
      </c>
      <c r="G7945" s="201">
        <v>8.1</v>
      </c>
    </row>
    <row r="7946" spans="4:7">
      <c r="D7946" s="200" t="s">
        <v>7796</v>
      </c>
      <c r="E7946" s="10">
        <v>7955</v>
      </c>
      <c r="F7946" s="201">
        <v>-14.5</v>
      </c>
      <c r="G7946" s="201">
        <v>8.4</v>
      </c>
    </row>
    <row r="7947" spans="4:7">
      <c r="D7947" s="200" t="s">
        <v>7797</v>
      </c>
      <c r="E7947" s="10">
        <v>8248</v>
      </c>
      <c r="F7947" s="201">
        <v>-14.5</v>
      </c>
      <c r="G7947" s="201">
        <v>6.6</v>
      </c>
    </row>
    <row r="7948" spans="4:7">
      <c r="D7948" s="200" t="s">
        <v>7798</v>
      </c>
      <c r="E7948" s="10">
        <v>8258</v>
      </c>
      <c r="F7948" s="201">
        <v>-14.5</v>
      </c>
      <c r="G7948" s="201">
        <v>7.5</v>
      </c>
    </row>
    <row r="7949" spans="4:7">
      <c r="D7949" s="200" t="s">
        <v>7651</v>
      </c>
      <c r="E7949" s="10">
        <v>8525</v>
      </c>
      <c r="F7949" s="201">
        <v>-14.5</v>
      </c>
      <c r="G7949" s="201">
        <v>8.3000000000000007</v>
      </c>
    </row>
    <row r="7950" spans="4:7">
      <c r="D7950" s="200" t="s">
        <v>7799</v>
      </c>
      <c r="E7950" s="10">
        <v>8543</v>
      </c>
      <c r="F7950" s="201">
        <v>-14.5</v>
      </c>
      <c r="G7950" s="201">
        <v>8.3000000000000007</v>
      </c>
    </row>
    <row r="7951" spans="4:7">
      <c r="D7951" s="200" t="s">
        <v>7800</v>
      </c>
      <c r="E7951" s="10">
        <v>8645</v>
      </c>
      <c r="F7951" s="201">
        <v>-14.5</v>
      </c>
      <c r="G7951" s="201">
        <v>7.6</v>
      </c>
    </row>
    <row r="7952" spans="4:7">
      <c r="D7952" s="200" t="s">
        <v>7801</v>
      </c>
      <c r="E7952" s="10">
        <v>9487</v>
      </c>
      <c r="F7952" s="201">
        <v>-14.5</v>
      </c>
      <c r="G7952" s="201">
        <v>7.6</v>
      </c>
    </row>
    <row r="7953" spans="4:7">
      <c r="D7953" s="200" t="s">
        <v>7802</v>
      </c>
      <c r="E7953" s="10">
        <v>82278</v>
      </c>
      <c r="F7953" s="201">
        <v>-14.5</v>
      </c>
      <c r="G7953" s="201">
        <v>8.6</v>
      </c>
    </row>
    <row r="7954" spans="4:7">
      <c r="D7954" s="200" t="s">
        <v>4370</v>
      </c>
      <c r="E7954" s="10">
        <v>82285</v>
      </c>
      <c r="F7954" s="201">
        <v>-14.5</v>
      </c>
      <c r="G7954" s="201">
        <v>8.6</v>
      </c>
    </row>
    <row r="7955" spans="4:7">
      <c r="D7955" s="200" t="s">
        <v>7803</v>
      </c>
      <c r="E7955" s="10">
        <v>82297</v>
      </c>
      <c r="F7955" s="201">
        <v>-14.5</v>
      </c>
      <c r="G7955" s="201">
        <v>8.6</v>
      </c>
    </row>
    <row r="7956" spans="4:7">
      <c r="D7956" s="200" t="s">
        <v>7804</v>
      </c>
      <c r="E7956" s="10">
        <v>82346</v>
      </c>
      <c r="F7956" s="201">
        <v>-14.5</v>
      </c>
      <c r="G7956" s="201">
        <v>8</v>
      </c>
    </row>
    <row r="7957" spans="4:7">
      <c r="D7957" s="200" t="s">
        <v>7805</v>
      </c>
      <c r="E7957" s="10">
        <v>83727</v>
      </c>
      <c r="F7957" s="201">
        <v>-14.5</v>
      </c>
      <c r="G7957" s="201">
        <v>7.2</v>
      </c>
    </row>
    <row r="7958" spans="4:7">
      <c r="D7958" s="200" t="s">
        <v>7806</v>
      </c>
      <c r="E7958" s="10">
        <v>86447</v>
      </c>
      <c r="F7958" s="201">
        <v>-14.5</v>
      </c>
      <c r="G7958" s="201">
        <v>8.6</v>
      </c>
    </row>
    <row r="7959" spans="4:7">
      <c r="D7959" s="200" t="s">
        <v>7807</v>
      </c>
      <c r="E7959" s="10">
        <v>86453</v>
      </c>
      <c r="F7959" s="201">
        <v>-14.5</v>
      </c>
      <c r="G7959" s="201">
        <v>8.6</v>
      </c>
    </row>
    <row r="7960" spans="4:7">
      <c r="D7960" s="200" t="s">
        <v>7298</v>
      </c>
      <c r="E7960" s="10">
        <v>86495</v>
      </c>
      <c r="F7960" s="201">
        <v>-14.5</v>
      </c>
      <c r="G7960" s="201">
        <v>8.4</v>
      </c>
    </row>
    <row r="7961" spans="4:7">
      <c r="D7961" s="200" t="s">
        <v>7808</v>
      </c>
      <c r="E7961" s="10">
        <v>86504</v>
      </c>
      <c r="F7961" s="201">
        <v>-14.5</v>
      </c>
      <c r="G7961" s="201">
        <v>8.6</v>
      </c>
    </row>
    <row r="7962" spans="4:7">
      <c r="D7962" s="200" t="s">
        <v>7809</v>
      </c>
      <c r="E7962" s="10">
        <v>86507</v>
      </c>
      <c r="F7962" s="201">
        <v>-14.5</v>
      </c>
      <c r="G7962" s="201">
        <v>8.6</v>
      </c>
    </row>
    <row r="7963" spans="4:7">
      <c r="D7963" s="200" t="s">
        <v>7810</v>
      </c>
      <c r="E7963" s="10">
        <v>86511</v>
      </c>
      <c r="F7963" s="201">
        <v>-14.5</v>
      </c>
      <c r="G7963" s="201">
        <v>8.6</v>
      </c>
    </row>
    <row r="7964" spans="4:7">
      <c r="D7964" s="200" t="s">
        <v>7811</v>
      </c>
      <c r="E7964" s="10">
        <v>86517</v>
      </c>
      <c r="F7964" s="201">
        <v>-14.5</v>
      </c>
      <c r="G7964" s="201">
        <v>8.6</v>
      </c>
    </row>
    <row r="7965" spans="4:7">
      <c r="D7965" s="200" t="s">
        <v>7812</v>
      </c>
      <c r="E7965" s="10">
        <v>86573</v>
      </c>
      <c r="F7965" s="201">
        <v>-14.5</v>
      </c>
      <c r="G7965" s="201">
        <v>8.6</v>
      </c>
    </row>
    <row r="7966" spans="4:7">
      <c r="D7966" s="200" t="s">
        <v>3998</v>
      </c>
      <c r="E7966" s="10">
        <v>86833</v>
      </c>
      <c r="F7966" s="201">
        <v>-14.5</v>
      </c>
      <c r="G7966" s="201">
        <v>8.5</v>
      </c>
    </row>
    <row r="7967" spans="4:7">
      <c r="D7967" s="200" t="s">
        <v>7813</v>
      </c>
      <c r="E7967" s="10">
        <v>86920</v>
      </c>
      <c r="F7967" s="201">
        <v>-14.5</v>
      </c>
      <c r="G7967" s="201">
        <v>7.9</v>
      </c>
    </row>
    <row r="7968" spans="4:7">
      <c r="D7968" s="200" t="s">
        <v>7814</v>
      </c>
      <c r="E7968" s="10">
        <v>86925</v>
      </c>
      <c r="F7968" s="201">
        <v>-14.5</v>
      </c>
      <c r="G7968" s="201">
        <v>8</v>
      </c>
    </row>
    <row r="7969" spans="4:7">
      <c r="D7969" s="200" t="s">
        <v>7815</v>
      </c>
      <c r="E7969" s="10">
        <v>86935</v>
      </c>
      <c r="F7969" s="201">
        <v>-14.5</v>
      </c>
      <c r="G7969" s="201">
        <v>8</v>
      </c>
    </row>
    <row r="7970" spans="4:7">
      <c r="D7970" s="200" t="s">
        <v>7816</v>
      </c>
      <c r="E7970" s="10">
        <v>86974</v>
      </c>
      <c r="F7970" s="201">
        <v>-14.5</v>
      </c>
      <c r="G7970" s="201">
        <v>8</v>
      </c>
    </row>
    <row r="7971" spans="4:7">
      <c r="D7971" s="200" t="s">
        <v>7817</v>
      </c>
      <c r="E7971" s="10">
        <v>86981</v>
      </c>
      <c r="F7971" s="201">
        <v>-14.5</v>
      </c>
      <c r="G7971" s="201">
        <v>8</v>
      </c>
    </row>
    <row r="7972" spans="4:7">
      <c r="D7972" s="200" t="s">
        <v>7818</v>
      </c>
      <c r="E7972" s="10">
        <v>87656</v>
      </c>
      <c r="F7972" s="201">
        <v>-14.5</v>
      </c>
      <c r="G7972" s="201">
        <v>7.9</v>
      </c>
    </row>
    <row r="7973" spans="4:7">
      <c r="D7973" s="200" t="s">
        <v>7819</v>
      </c>
      <c r="E7973" s="10">
        <v>92260</v>
      </c>
      <c r="F7973" s="201">
        <v>-14.5</v>
      </c>
      <c r="G7973" s="201">
        <v>8.4</v>
      </c>
    </row>
    <row r="7974" spans="4:7">
      <c r="D7974" s="200" t="s">
        <v>7820</v>
      </c>
      <c r="E7974" s="10">
        <v>92263</v>
      </c>
      <c r="F7974" s="201">
        <v>-14.5</v>
      </c>
      <c r="G7974" s="201">
        <v>8.5</v>
      </c>
    </row>
    <row r="7975" spans="4:7">
      <c r="D7975" s="200" t="s">
        <v>7821</v>
      </c>
      <c r="E7975" s="10">
        <v>92278</v>
      </c>
      <c r="F7975" s="201">
        <v>-14.5</v>
      </c>
      <c r="G7975" s="201">
        <v>8.1999999999999993</v>
      </c>
    </row>
    <row r="7976" spans="4:7">
      <c r="D7976" s="200" t="s">
        <v>7822</v>
      </c>
      <c r="E7976" s="10">
        <v>92696</v>
      </c>
      <c r="F7976" s="201">
        <v>-14.5</v>
      </c>
      <c r="G7976" s="201">
        <v>7</v>
      </c>
    </row>
    <row r="7977" spans="4:7">
      <c r="D7977" s="200" t="s">
        <v>7823</v>
      </c>
      <c r="E7977" s="10">
        <v>94252</v>
      </c>
      <c r="F7977" s="201">
        <v>-14.5</v>
      </c>
      <c r="G7977" s="201">
        <v>6.4</v>
      </c>
    </row>
    <row r="7978" spans="4:7">
      <c r="D7978" s="200" t="s">
        <v>7824</v>
      </c>
      <c r="E7978" s="10">
        <v>94379</v>
      </c>
      <c r="F7978" s="201">
        <v>-14.5</v>
      </c>
      <c r="G7978" s="201">
        <v>6.7</v>
      </c>
    </row>
    <row r="7979" spans="4:7">
      <c r="D7979" s="200" t="s">
        <v>7825</v>
      </c>
      <c r="E7979" s="10">
        <v>95131</v>
      </c>
      <c r="F7979" s="201">
        <v>-14.5</v>
      </c>
      <c r="G7979" s="201">
        <v>7.2</v>
      </c>
    </row>
    <row r="7980" spans="4:7">
      <c r="D7980" s="200" t="s">
        <v>7826</v>
      </c>
      <c r="E7980" s="10">
        <v>95186</v>
      </c>
      <c r="F7980" s="201">
        <v>-14.5</v>
      </c>
      <c r="G7980" s="201">
        <v>7.3</v>
      </c>
    </row>
    <row r="7981" spans="4:7">
      <c r="D7981" s="200" t="s">
        <v>7827</v>
      </c>
      <c r="E7981" s="10">
        <v>95234</v>
      </c>
      <c r="F7981" s="201">
        <v>-14.5</v>
      </c>
      <c r="G7981" s="201">
        <v>7.3</v>
      </c>
    </row>
    <row r="7982" spans="4:7">
      <c r="D7982" s="200" t="s">
        <v>7828</v>
      </c>
      <c r="E7982" s="10">
        <v>95236</v>
      </c>
      <c r="F7982" s="201">
        <v>-14.5</v>
      </c>
      <c r="G7982" s="201">
        <v>7.3</v>
      </c>
    </row>
    <row r="7983" spans="4:7">
      <c r="D7983" s="200" t="s">
        <v>7829</v>
      </c>
      <c r="E7983" s="10">
        <v>95493</v>
      </c>
      <c r="F7983" s="201">
        <v>-14.5</v>
      </c>
      <c r="G7983" s="201">
        <v>7</v>
      </c>
    </row>
    <row r="7984" spans="4:7">
      <c r="D7984" s="200" t="s">
        <v>7830</v>
      </c>
      <c r="E7984" s="10">
        <v>95666</v>
      </c>
      <c r="F7984" s="201">
        <v>-14.5</v>
      </c>
      <c r="G7984" s="201">
        <v>7.9</v>
      </c>
    </row>
    <row r="7985" spans="4:7">
      <c r="D7985" s="200" t="s">
        <v>7831</v>
      </c>
      <c r="E7985" s="10">
        <v>95680</v>
      </c>
      <c r="F7985" s="201">
        <v>-14.5</v>
      </c>
      <c r="G7985" s="201">
        <v>7.2</v>
      </c>
    </row>
    <row r="7986" spans="4:7">
      <c r="D7986" s="200" t="s">
        <v>7832</v>
      </c>
      <c r="E7986" s="10">
        <v>95689</v>
      </c>
      <c r="F7986" s="201">
        <v>-14.5</v>
      </c>
      <c r="G7986" s="201">
        <v>7</v>
      </c>
    </row>
    <row r="7987" spans="4:7">
      <c r="D7987" s="200" t="s">
        <v>7833</v>
      </c>
      <c r="E7987" s="10">
        <v>95692</v>
      </c>
      <c r="F7987" s="201">
        <v>-14.5</v>
      </c>
      <c r="G7987" s="201">
        <v>7.5</v>
      </c>
    </row>
    <row r="7988" spans="4:7">
      <c r="D7988" s="200" t="s">
        <v>7834</v>
      </c>
      <c r="E7988" s="10">
        <v>95695</v>
      </c>
      <c r="F7988" s="201">
        <v>-14.5</v>
      </c>
      <c r="G7988" s="201">
        <v>7.3</v>
      </c>
    </row>
    <row r="7989" spans="4:7">
      <c r="D7989" s="200" t="s">
        <v>7835</v>
      </c>
      <c r="E7989" s="10">
        <v>96515</v>
      </c>
      <c r="F7989" s="201">
        <v>-14.5</v>
      </c>
      <c r="G7989" s="201">
        <v>7</v>
      </c>
    </row>
    <row r="7990" spans="4:7">
      <c r="D7990" s="200" t="s">
        <v>7836</v>
      </c>
      <c r="E7990" s="10">
        <v>1762</v>
      </c>
      <c r="F7990" s="201">
        <v>-14.6</v>
      </c>
      <c r="G7990" s="201">
        <v>7.1</v>
      </c>
    </row>
    <row r="7991" spans="4:7">
      <c r="D7991" s="200" t="s">
        <v>7837</v>
      </c>
      <c r="E7991" s="10">
        <v>2708</v>
      </c>
      <c r="F7991" s="201">
        <v>-14.6</v>
      </c>
      <c r="G7991" s="201">
        <v>8.8000000000000007</v>
      </c>
    </row>
    <row r="7992" spans="4:7">
      <c r="D7992" s="200" t="s">
        <v>7838</v>
      </c>
      <c r="E7992" s="10">
        <v>2733</v>
      </c>
      <c r="F7992" s="201">
        <v>-14.6</v>
      </c>
      <c r="G7992" s="201">
        <v>8.6</v>
      </c>
    </row>
    <row r="7993" spans="4:7">
      <c r="D7993" s="200" t="s">
        <v>7839</v>
      </c>
      <c r="E7993" s="10">
        <v>2742</v>
      </c>
      <c r="F7993" s="201">
        <v>-14.6</v>
      </c>
      <c r="G7993" s="201">
        <v>8.5</v>
      </c>
    </row>
    <row r="7994" spans="4:7">
      <c r="D7994" s="200" t="s">
        <v>7840</v>
      </c>
      <c r="E7994" s="10">
        <v>2899</v>
      </c>
      <c r="F7994" s="201">
        <v>-14.6</v>
      </c>
      <c r="G7994" s="201">
        <v>8.8000000000000007</v>
      </c>
    </row>
    <row r="7995" spans="4:7">
      <c r="D7995" s="200" t="s">
        <v>7841</v>
      </c>
      <c r="E7995" s="10">
        <v>2906</v>
      </c>
      <c r="F7995" s="201">
        <v>-14.6</v>
      </c>
      <c r="G7995" s="201">
        <v>9.3000000000000007</v>
      </c>
    </row>
    <row r="7996" spans="4:7">
      <c r="D7996" s="200" t="s">
        <v>7842</v>
      </c>
      <c r="E7996" s="10">
        <v>2943</v>
      </c>
      <c r="F7996" s="201">
        <v>-14.6</v>
      </c>
      <c r="G7996" s="201">
        <v>9.4</v>
      </c>
    </row>
    <row r="7997" spans="4:7">
      <c r="D7997" s="200" t="s">
        <v>7843</v>
      </c>
      <c r="E7997" s="10">
        <v>3119</v>
      </c>
      <c r="F7997" s="201">
        <v>-14.6</v>
      </c>
      <c r="G7997" s="201">
        <v>9.4</v>
      </c>
    </row>
    <row r="7998" spans="4:7">
      <c r="D7998" s="200" t="s">
        <v>7844</v>
      </c>
      <c r="E7998" s="10">
        <v>6485</v>
      </c>
      <c r="F7998" s="201">
        <v>-14.6</v>
      </c>
      <c r="G7998" s="201">
        <v>7.4</v>
      </c>
    </row>
    <row r="7999" spans="4:7">
      <c r="D7999" s="200" t="s">
        <v>7845</v>
      </c>
      <c r="E7999" s="10">
        <v>7389</v>
      </c>
      <c r="F7999" s="201">
        <v>-14.6</v>
      </c>
      <c r="G7999" s="201">
        <v>8.1</v>
      </c>
    </row>
    <row r="8000" spans="4:7">
      <c r="D8000" s="200" t="s">
        <v>7846</v>
      </c>
      <c r="E8000" s="10">
        <v>7422</v>
      </c>
      <c r="F8000" s="201">
        <v>-14.6</v>
      </c>
      <c r="G8000" s="201">
        <v>7.7</v>
      </c>
    </row>
    <row r="8001" spans="4:7">
      <c r="D8001" s="200" t="s">
        <v>7847</v>
      </c>
      <c r="E8001" s="10">
        <v>7907</v>
      </c>
      <c r="F8001" s="201">
        <v>-14.6</v>
      </c>
      <c r="G8001" s="201">
        <v>8.1</v>
      </c>
    </row>
    <row r="8002" spans="4:7">
      <c r="D8002" s="200" t="s">
        <v>7848</v>
      </c>
      <c r="E8002" s="10">
        <v>7919</v>
      </c>
      <c r="F8002" s="201">
        <v>-14.6</v>
      </c>
      <c r="G8002" s="201">
        <v>8.1</v>
      </c>
    </row>
    <row r="8003" spans="4:7">
      <c r="D8003" s="200" t="s">
        <v>7849</v>
      </c>
      <c r="E8003" s="10">
        <v>7937</v>
      </c>
      <c r="F8003" s="201">
        <v>-14.6</v>
      </c>
      <c r="G8003" s="201">
        <v>8.1999999999999993</v>
      </c>
    </row>
    <row r="8004" spans="4:7">
      <c r="D8004" s="200" t="s">
        <v>7850</v>
      </c>
      <c r="E8004" s="10">
        <v>7952</v>
      </c>
      <c r="F8004" s="201">
        <v>-14.6</v>
      </c>
      <c r="G8004" s="201">
        <v>8.1</v>
      </c>
    </row>
    <row r="8005" spans="4:7">
      <c r="D8005" s="200" t="s">
        <v>7851</v>
      </c>
      <c r="E8005" s="10">
        <v>8236</v>
      </c>
      <c r="F8005" s="201">
        <v>-14.6</v>
      </c>
      <c r="G8005" s="201">
        <v>7.7</v>
      </c>
    </row>
    <row r="8006" spans="4:7">
      <c r="D8006" s="200" t="s">
        <v>7852</v>
      </c>
      <c r="E8006" s="10">
        <v>8267</v>
      </c>
      <c r="F8006" s="201">
        <v>-14.6</v>
      </c>
      <c r="G8006" s="201">
        <v>6.4</v>
      </c>
    </row>
    <row r="8007" spans="4:7">
      <c r="D8007" s="200" t="s">
        <v>7853</v>
      </c>
      <c r="E8007" s="10">
        <v>8527</v>
      </c>
      <c r="F8007" s="201">
        <v>-14.6</v>
      </c>
      <c r="G8007" s="201">
        <v>8.3000000000000007</v>
      </c>
    </row>
    <row r="8008" spans="4:7">
      <c r="D8008" s="200" t="s">
        <v>7854</v>
      </c>
      <c r="E8008" s="10">
        <v>8541</v>
      </c>
      <c r="F8008" s="201">
        <v>-14.6</v>
      </c>
      <c r="G8008" s="201">
        <v>8.3000000000000007</v>
      </c>
    </row>
    <row r="8009" spans="4:7">
      <c r="D8009" s="200" t="s">
        <v>7855</v>
      </c>
      <c r="E8009" s="10">
        <v>8547</v>
      </c>
      <c r="F8009" s="201">
        <v>-14.6</v>
      </c>
      <c r="G8009" s="201">
        <v>8.3000000000000007</v>
      </c>
    </row>
    <row r="8010" spans="4:7">
      <c r="D8010" s="200" t="s">
        <v>7856</v>
      </c>
      <c r="E8010" s="10">
        <v>8648</v>
      </c>
      <c r="F8010" s="201">
        <v>-14.6</v>
      </c>
      <c r="G8010" s="201">
        <v>7.3</v>
      </c>
    </row>
    <row r="8011" spans="4:7">
      <c r="D8011" s="200" t="s">
        <v>6600</v>
      </c>
      <c r="E8011" s="10">
        <v>9392</v>
      </c>
      <c r="F8011" s="201">
        <v>-14.6</v>
      </c>
      <c r="G8011" s="201">
        <v>7.4</v>
      </c>
    </row>
    <row r="8012" spans="4:7">
      <c r="D8012" s="200" t="s">
        <v>7857</v>
      </c>
      <c r="E8012" s="10">
        <v>9427</v>
      </c>
      <c r="F8012" s="201">
        <v>-14.6</v>
      </c>
      <c r="G8012" s="201">
        <v>7.6</v>
      </c>
    </row>
    <row r="8013" spans="4:7">
      <c r="D8013" s="200" t="s">
        <v>7660</v>
      </c>
      <c r="E8013" s="10">
        <v>82069</v>
      </c>
      <c r="F8013" s="201">
        <v>-14.6</v>
      </c>
      <c r="G8013" s="201">
        <v>7.9</v>
      </c>
    </row>
    <row r="8014" spans="4:7">
      <c r="D8014" s="200" t="s">
        <v>7858</v>
      </c>
      <c r="E8014" s="10">
        <v>83471</v>
      </c>
      <c r="F8014" s="201">
        <v>-14.6</v>
      </c>
      <c r="G8014" s="201">
        <v>6.6</v>
      </c>
    </row>
    <row r="8015" spans="4:7">
      <c r="D8015" s="200" t="s">
        <v>7859</v>
      </c>
      <c r="E8015" s="10">
        <v>83674</v>
      </c>
      <c r="F8015" s="201">
        <v>-14.6</v>
      </c>
      <c r="G8015" s="201">
        <v>7.4</v>
      </c>
    </row>
    <row r="8016" spans="4:7">
      <c r="D8016" s="200" t="s">
        <v>7860</v>
      </c>
      <c r="E8016" s="10">
        <v>83735</v>
      </c>
      <c r="F8016" s="201">
        <v>-14.6</v>
      </c>
      <c r="G8016" s="201">
        <v>6.8</v>
      </c>
    </row>
    <row r="8017" spans="4:7">
      <c r="D8017" s="200" t="s">
        <v>7861</v>
      </c>
      <c r="E8017" s="10">
        <v>86399</v>
      </c>
      <c r="F8017" s="201">
        <v>-14.6</v>
      </c>
      <c r="G8017" s="201">
        <v>8.5</v>
      </c>
    </row>
    <row r="8018" spans="4:7">
      <c r="D8018" s="200" t="s">
        <v>7862</v>
      </c>
      <c r="E8018" s="10">
        <v>86492</v>
      </c>
      <c r="F8018" s="201">
        <v>-14.6</v>
      </c>
      <c r="G8018" s="201">
        <v>8.5</v>
      </c>
    </row>
    <row r="8019" spans="4:7">
      <c r="D8019" s="200" t="s">
        <v>7863</v>
      </c>
      <c r="E8019" s="10">
        <v>86836</v>
      </c>
      <c r="F8019" s="201">
        <v>-14.6</v>
      </c>
      <c r="G8019" s="201">
        <v>8.5</v>
      </c>
    </row>
    <row r="8020" spans="4:7">
      <c r="D8020" s="200" t="s">
        <v>7864</v>
      </c>
      <c r="E8020" s="10">
        <v>86845</v>
      </c>
      <c r="F8020" s="201">
        <v>-14.6</v>
      </c>
      <c r="G8020" s="201">
        <v>8.6</v>
      </c>
    </row>
    <row r="8021" spans="4:7">
      <c r="D8021" s="200" t="s">
        <v>7865</v>
      </c>
      <c r="E8021" s="10">
        <v>86856</v>
      </c>
      <c r="F8021" s="201">
        <v>-14.6</v>
      </c>
      <c r="G8021" s="201">
        <v>8.5</v>
      </c>
    </row>
    <row r="8022" spans="4:7">
      <c r="D8022" s="200" t="s">
        <v>7866</v>
      </c>
      <c r="E8022" s="10">
        <v>86931</v>
      </c>
      <c r="F8022" s="201">
        <v>-14.6</v>
      </c>
      <c r="G8022" s="201">
        <v>8.6</v>
      </c>
    </row>
    <row r="8023" spans="4:7">
      <c r="D8023" s="200" t="s">
        <v>7867</v>
      </c>
      <c r="E8023" s="10">
        <v>86934</v>
      </c>
      <c r="F8023" s="201">
        <v>-14.6</v>
      </c>
      <c r="G8023" s="201">
        <v>7.9</v>
      </c>
    </row>
    <row r="8024" spans="4:7">
      <c r="D8024" s="200" t="s">
        <v>7868</v>
      </c>
      <c r="E8024" s="10">
        <v>86937</v>
      </c>
      <c r="F8024" s="201">
        <v>-14.6</v>
      </c>
      <c r="G8024" s="201">
        <v>8.4</v>
      </c>
    </row>
    <row r="8025" spans="4:7">
      <c r="D8025" s="200" t="s">
        <v>7869</v>
      </c>
      <c r="E8025" s="10">
        <v>87452</v>
      </c>
      <c r="F8025" s="201">
        <v>-14.6</v>
      </c>
      <c r="G8025" s="201">
        <v>7.3</v>
      </c>
    </row>
    <row r="8026" spans="4:7">
      <c r="D8026" s="200" t="s">
        <v>7870</v>
      </c>
      <c r="E8026" s="10">
        <v>87484</v>
      </c>
      <c r="F8026" s="201">
        <v>-14.6</v>
      </c>
      <c r="G8026" s="201">
        <v>7</v>
      </c>
    </row>
    <row r="8027" spans="4:7">
      <c r="D8027" s="200" t="s">
        <v>7871</v>
      </c>
      <c r="E8027" s="10">
        <v>87616</v>
      </c>
      <c r="F8027" s="201">
        <v>-14.6</v>
      </c>
      <c r="G8027" s="201">
        <v>7.6</v>
      </c>
    </row>
    <row r="8028" spans="4:7">
      <c r="D8028" s="200" t="s">
        <v>7872</v>
      </c>
      <c r="E8028" s="10">
        <v>87648</v>
      </c>
      <c r="F8028" s="201">
        <v>-14.6</v>
      </c>
      <c r="G8028" s="201">
        <v>7.5</v>
      </c>
    </row>
    <row r="8029" spans="4:7">
      <c r="D8029" s="200" t="s">
        <v>7873</v>
      </c>
      <c r="E8029" s="10">
        <v>87660</v>
      </c>
      <c r="F8029" s="201">
        <v>-14.6</v>
      </c>
      <c r="G8029" s="201">
        <v>7.6</v>
      </c>
    </row>
    <row r="8030" spans="4:7">
      <c r="D8030" s="200" t="s">
        <v>7874</v>
      </c>
      <c r="E8030" s="10">
        <v>87665</v>
      </c>
      <c r="F8030" s="201">
        <v>-14.6</v>
      </c>
      <c r="G8030" s="201">
        <v>7.8</v>
      </c>
    </row>
    <row r="8031" spans="4:7">
      <c r="D8031" s="200" t="s">
        <v>7875</v>
      </c>
      <c r="E8031" s="10">
        <v>87672</v>
      </c>
      <c r="F8031" s="201">
        <v>-14.6</v>
      </c>
      <c r="G8031" s="201">
        <v>7.4</v>
      </c>
    </row>
    <row r="8032" spans="4:7">
      <c r="D8032" s="200" t="s">
        <v>7876</v>
      </c>
      <c r="E8032" s="10">
        <v>87677</v>
      </c>
      <c r="F8032" s="201">
        <v>-14.6</v>
      </c>
      <c r="G8032" s="201">
        <v>7.9</v>
      </c>
    </row>
    <row r="8033" spans="4:7">
      <c r="D8033" s="200" t="s">
        <v>7877</v>
      </c>
      <c r="E8033" s="10">
        <v>87736</v>
      </c>
      <c r="F8033" s="201">
        <v>-14.6</v>
      </c>
      <c r="G8033" s="201">
        <v>7.4</v>
      </c>
    </row>
    <row r="8034" spans="4:7">
      <c r="D8034" s="200" t="s">
        <v>3045</v>
      </c>
      <c r="E8034" s="10">
        <v>92272</v>
      </c>
      <c r="F8034" s="201">
        <v>-14.6</v>
      </c>
      <c r="G8034" s="201">
        <v>8.4</v>
      </c>
    </row>
    <row r="8035" spans="4:7">
      <c r="D8035" s="200" t="s">
        <v>7878</v>
      </c>
      <c r="E8035" s="10">
        <v>94146</v>
      </c>
      <c r="F8035" s="201">
        <v>-14.6</v>
      </c>
      <c r="G8035" s="201">
        <v>6.4</v>
      </c>
    </row>
    <row r="8036" spans="4:7">
      <c r="D8036" s="200" t="s">
        <v>7879</v>
      </c>
      <c r="E8036" s="10">
        <v>94151</v>
      </c>
      <c r="F8036" s="201">
        <v>-14.6</v>
      </c>
      <c r="G8036" s="201">
        <v>6.4</v>
      </c>
    </row>
    <row r="8037" spans="4:7">
      <c r="D8037" s="200" t="s">
        <v>7880</v>
      </c>
      <c r="E8037" s="10">
        <v>95028</v>
      </c>
      <c r="F8037" s="201">
        <v>-14.6</v>
      </c>
      <c r="G8037" s="201">
        <v>7.8</v>
      </c>
    </row>
    <row r="8038" spans="4:7">
      <c r="D8038" s="200" t="s">
        <v>7881</v>
      </c>
      <c r="E8038" s="10">
        <v>95126</v>
      </c>
      <c r="F8038" s="201">
        <v>-14.6</v>
      </c>
      <c r="G8038" s="201">
        <v>7.6</v>
      </c>
    </row>
    <row r="8039" spans="4:7">
      <c r="D8039" s="200" t="s">
        <v>7882</v>
      </c>
      <c r="E8039" s="10">
        <v>95138</v>
      </c>
      <c r="F8039" s="201">
        <v>-14.6</v>
      </c>
      <c r="G8039" s="201">
        <v>7.3</v>
      </c>
    </row>
    <row r="8040" spans="4:7">
      <c r="D8040" s="200" t="s">
        <v>7883</v>
      </c>
      <c r="E8040" s="10">
        <v>95158</v>
      </c>
      <c r="F8040" s="201">
        <v>-14.6</v>
      </c>
      <c r="G8040" s="201">
        <v>7.2</v>
      </c>
    </row>
    <row r="8041" spans="4:7">
      <c r="D8041" s="200" t="s">
        <v>7884</v>
      </c>
      <c r="E8041" s="10">
        <v>95179</v>
      </c>
      <c r="F8041" s="201">
        <v>-14.6</v>
      </c>
      <c r="G8041" s="201">
        <v>7.2</v>
      </c>
    </row>
    <row r="8042" spans="4:7">
      <c r="D8042" s="200" t="s">
        <v>7885</v>
      </c>
      <c r="E8042" s="10">
        <v>95197</v>
      </c>
      <c r="F8042" s="201">
        <v>-14.6</v>
      </c>
      <c r="G8042" s="201">
        <v>7.6</v>
      </c>
    </row>
    <row r="8043" spans="4:7">
      <c r="D8043" s="200" t="s">
        <v>7886</v>
      </c>
      <c r="E8043" s="10">
        <v>95213</v>
      </c>
      <c r="F8043" s="201">
        <v>-14.6</v>
      </c>
      <c r="G8043" s="201">
        <v>7.6</v>
      </c>
    </row>
    <row r="8044" spans="4:7">
      <c r="D8044" s="200" t="s">
        <v>7887</v>
      </c>
      <c r="E8044" s="10">
        <v>95237</v>
      </c>
      <c r="F8044" s="201">
        <v>-14.6</v>
      </c>
      <c r="G8044" s="201">
        <v>7.6</v>
      </c>
    </row>
    <row r="8045" spans="4:7">
      <c r="D8045" s="200" t="s">
        <v>7241</v>
      </c>
      <c r="E8045" s="10">
        <v>95239</v>
      </c>
      <c r="F8045" s="201">
        <v>-14.6</v>
      </c>
      <c r="G8045" s="201">
        <v>7</v>
      </c>
    </row>
    <row r="8046" spans="4:7">
      <c r="D8046" s="200" t="s">
        <v>7888</v>
      </c>
      <c r="E8046" s="10">
        <v>95652</v>
      </c>
      <c r="F8046" s="201">
        <v>-14.6</v>
      </c>
      <c r="G8046" s="201">
        <v>8</v>
      </c>
    </row>
    <row r="8047" spans="4:7">
      <c r="D8047" s="200" t="s">
        <v>7889</v>
      </c>
      <c r="E8047" s="10">
        <v>95659</v>
      </c>
      <c r="F8047" s="201">
        <v>-14.6</v>
      </c>
      <c r="G8047" s="201">
        <v>7.8</v>
      </c>
    </row>
    <row r="8048" spans="4:7">
      <c r="D8048" s="200" t="s">
        <v>7890</v>
      </c>
      <c r="E8048" s="10">
        <v>95691</v>
      </c>
      <c r="F8048" s="201">
        <v>-14.6</v>
      </c>
      <c r="G8048" s="201">
        <v>7.4</v>
      </c>
    </row>
    <row r="8049" spans="4:7">
      <c r="D8049" s="200" t="s">
        <v>7891</v>
      </c>
      <c r="E8049" s="10">
        <v>95698</v>
      </c>
      <c r="F8049" s="201">
        <v>-14.6</v>
      </c>
      <c r="G8049" s="201">
        <v>7.8</v>
      </c>
    </row>
    <row r="8050" spans="4:7">
      <c r="D8050" s="200" t="s">
        <v>7892</v>
      </c>
      <c r="E8050" s="10">
        <v>98701</v>
      </c>
      <c r="F8050" s="201">
        <v>-14.6</v>
      </c>
      <c r="G8050" s="201">
        <v>7</v>
      </c>
    </row>
    <row r="8051" spans="4:7">
      <c r="D8051" s="200" t="s">
        <v>7893</v>
      </c>
      <c r="E8051" s="10">
        <v>98711</v>
      </c>
      <c r="F8051" s="201">
        <v>-14.6</v>
      </c>
      <c r="G8051" s="201">
        <v>6.6</v>
      </c>
    </row>
    <row r="8052" spans="4:7">
      <c r="D8052" s="200" t="s">
        <v>7894</v>
      </c>
      <c r="E8052" s="10">
        <v>1904</v>
      </c>
      <c r="F8052" s="201">
        <v>-14.7</v>
      </c>
      <c r="G8052" s="201">
        <v>8</v>
      </c>
    </row>
    <row r="8053" spans="4:7">
      <c r="D8053" s="200" t="s">
        <v>7895</v>
      </c>
      <c r="E8053" s="10">
        <v>2953</v>
      </c>
      <c r="F8053" s="201">
        <v>-14.7</v>
      </c>
      <c r="G8053" s="201">
        <v>9.3000000000000007</v>
      </c>
    </row>
    <row r="8054" spans="4:7">
      <c r="D8054" s="200" t="s">
        <v>7896</v>
      </c>
      <c r="E8054" s="10">
        <v>7343</v>
      </c>
      <c r="F8054" s="201">
        <v>-14.7</v>
      </c>
      <c r="G8054" s="201">
        <v>7.2</v>
      </c>
    </row>
    <row r="8055" spans="4:7">
      <c r="D8055" s="200" t="s">
        <v>7897</v>
      </c>
      <c r="E8055" s="10">
        <v>7366</v>
      </c>
      <c r="F8055" s="201">
        <v>-14.7</v>
      </c>
      <c r="G8055" s="201">
        <v>7.6</v>
      </c>
    </row>
    <row r="8056" spans="4:7">
      <c r="D8056" s="200" t="s">
        <v>7898</v>
      </c>
      <c r="E8056" s="10">
        <v>7429</v>
      </c>
      <c r="F8056" s="201">
        <v>-14.7</v>
      </c>
      <c r="G8056" s="201">
        <v>6.9</v>
      </c>
    </row>
    <row r="8057" spans="4:7">
      <c r="D8057" s="200" t="s">
        <v>7899</v>
      </c>
      <c r="E8057" s="10">
        <v>7922</v>
      </c>
      <c r="F8057" s="201">
        <v>-14.7</v>
      </c>
      <c r="G8057" s="201">
        <v>7.5</v>
      </c>
    </row>
    <row r="8058" spans="4:7">
      <c r="D8058" s="200" t="s">
        <v>7900</v>
      </c>
      <c r="E8058" s="10">
        <v>7927</v>
      </c>
      <c r="F8058" s="201">
        <v>-14.7</v>
      </c>
      <c r="G8058" s="201">
        <v>7.7</v>
      </c>
    </row>
    <row r="8059" spans="4:7">
      <c r="D8059" s="200" t="s">
        <v>7901</v>
      </c>
      <c r="E8059" s="10">
        <v>8147</v>
      </c>
      <c r="F8059" s="201">
        <v>-14.7</v>
      </c>
      <c r="G8059" s="201">
        <v>7.9</v>
      </c>
    </row>
    <row r="8060" spans="4:7">
      <c r="D8060" s="200" t="s">
        <v>7902</v>
      </c>
      <c r="E8060" s="10">
        <v>8209</v>
      </c>
      <c r="F8060" s="201">
        <v>-14.7</v>
      </c>
      <c r="G8060" s="201">
        <v>7.3</v>
      </c>
    </row>
    <row r="8061" spans="4:7">
      <c r="D8061" s="200" t="s">
        <v>7903</v>
      </c>
      <c r="E8061" s="10">
        <v>8233</v>
      </c>
      <c r="F8061" s="201">
        <v>-14.7</v>
      </c>
      <c r="G8061" s="201">
        <v>8.1</v>
      </c>
    </row>
    <row r="8062" spans="4:7">
      <c r="D8062" s="200" t="s">
        <v>7904</v>
      </c>
      <c r="E8062" s="10">
        <v>8321</v>
      </c>
      <c r="F8062" s="201">
        <v>-14.7</v>
      </c>
      <c r="G8062" s="201">
        <v>6.8</v>
      </c>
    </row>
    <row r="8063" spans="4:7">
      <c r="D8063" s="200" t="s">
        <v>7905</v>
      </c>
      <c r="E8063" s="10">
        <v>8328</v>
      </c>
      <c r="F8063" s="201">
        <v>-14.7</v>
      </c>
      <c r="G8063" s="201">
        <v>7.4</v>
      </c>
    </row>
    <row r="8064" spans="4:7">
      <c r="D8064" s="200" t="s">
        <v>7906</v>
      </c>
      <c r="E8064" s="10">
        <v>8491</v>
      </c>
      <c r="F8064" s="201">
        <v>-14.7</v>
      </c>
      <c r="G8064" s="201">
        <v>8.1999999999999993</v>
      </c>
    </row>
    <row r="8065" spans="4:7">
      <c r="D8065" s="200" t="s">
        <v>7907</v>
      </c>
      <c r="E8065" s="10">
        <v>8626</v>
      </c>
      <c r="F8065" s="201">
        <v>-14.7</v>
      </c>
      <c r="G8065" s="201">
        <v>7.4</v>
      </c>
    </row>
    <row r="8066" spans="4:7">
      <c r="D8066" s="200" t="s">
        <v>7908</v>
      </c>
      <c r="E8066" s="10">
        <v>9518</v>
      </c>
      <c r="F8066" s="201">
        <v>-14.7</v>
      </c>
      <c r="G8066" s="201">
        <v>7.6</v>
      </c>
    </row>
    <row r="8067" spans="4:7">
      <c r="D8067" s="200" t="s">
        <v>7909</v>
      </c>
      <c r="E8067" s="10">
        <v>9619</v>
      </c>
      <c r="F8067" s="201">
        <v>-14.7</v>
      </c>
      <c r="G8067" s="201">
        <v>7.4</v>
      </c>
    </row>
    <row r="8068" spans="4:7">
      <c r="D8068" s="200" t="s">
        <v>7910</v>
      </c>
      <c r="E8068" s="10">
        <v>82438</v>
      </c>
      <c r="F8068" s="201">
        <v>-14.7</v>
      </c>
      <c r="G8068" s="201">
        <v>7.2</v>
      </c>
    </row>
    <row r="8069" spans="4:7">
      <c r="D8069" s="200" t="s">
        <v>7911</v>
      </c>
      <c r="E8069" s="10">
        <v>83708</v>
      </c>
      <c r="F8069" s="201">
        <v>-14.7</v>
      </c>
      <c r="G8069" s="201">
        <v>7.2</v>
      </c>
    </row>
    <row r="8070" spans="4:7">
      <c r="D8070" s="200" t="s">
        <v>7912</v>
      </c>
      <c r="E8070" s="10">
        <v>86830</v>
      </c>
      <c r="F8070" s="201">
        <v>-14.7</v>
      </c>
      <c r="G8070" s="201">
        <v>8.5</v>
      </c>
    </row>
    <row r="8071" spans="4:7">
      <c r="D8071" s="200" t="s">
        <v>7913</v>
      </c>
      <c r="E8071" s="10">
        <v>87471</v>
      </c>
      <c r="F8071" s="201">
        <v>-14.7</v>
      </c>
      <c r="G8071" s="201">
        <v>7.2</v>
      </c>
    </row>
    <row r="8072" spans="4:7">
      <c r="D8072" s="200" t="s">
        <v>7914</v>
      </c>
      <c r="E8072" s="10">
        <v>87488</v>
      </c>
      <c r="F8072" s="201">
        <v>-14.7</v>
      </c>
      <c r="G8072" s="201">
        <v>7</v>
      </c>
    </row>
    <row r="8073" spans="4:7">
      <c r="D8073" s="200" t="s">
        <v>7915</v>
      </c>
      <c r="E8073" s="10">
        <v>87629</v>
      </c>
      <c r="F8073" s="201">
        <v>-14.7</v>
      </c>
      <c r="G8073" s="201">
        <v>7.4</v>
      </c>
    </row>
    <row r="8074" spans="4:7">
      <c r="D8074" s="200" t="s">
        <v>7916</v>
      </c>
      <c r="E8074" s="10">
        <v>87651</v>
      </c>
      <c r="F8074" s="201">
        <v>-14.7</v>
      </c>
      <c r="G8074" s="201">
        <v>7.7</v>
      </c>
    </row>
    <row r="8075" spans="4:7">
      <c r="D8075" s="200" t="s">
        <v>7917</v>
      </c>
      <c r="E8075" s="10">
        <v>87653</v>
      </c>
      <c r="F8075" s="201">
        <v>-14.7</v>
      </c>
      <c r="G8075" s="201">
        <v>7.5</v>
      </c>
    </row>
    <row r="8076" spans="4:7">
      <c r="D8076" s="200" t="s">
        <v>7918</v>
      </c>
      <c r="E8076" s="10">
        <v>87654</v>
      </c>
      <c r="F8076" s="201">
        <v>-14.7</v>
      </c>
      <c r="G8076" s="201">
        <v>7.6</v>
      </c>
    </row>
    <row r="8077" spans="4:7">
      <c r="D8077" s="200" t="s">
        <v>7919</v>
      </c>
      <c r="E8077" s="10">
        <v>87671</v>
      </c>
      <c r="F8077" s="201">
        <v>-14.7</v>
      </c>
      <c r="G8077" s="201">
        <v>7.4</v>
      </c>
    </row>
    <row r="8078" spans="4:7">
      <c r="D8078" s="200" t="s">
        <v>7920</v>
      </c>
      <c r="E8078" s="10">
        <v>94518</v>
      </c>
      <c r="F8078" s="201">
        <v>-14.7</v>
      </c>
      <c r="G8078" s="201">
        <v>6.4</v>
      </c>
    </row>
    <row r="8079" spans="4:7">
      <c r="D8079" s="200" t="s">
        <v>7921</v>
      </c>
      <c r="E8079" s="10">
        <v>95145</v>
      </c>
      <c r="F8079" s="201">
        <v>-14.7</v>
      </c>
      <c r="G8079" s="201">
        <v>7.7</v>
      </c>
    </row>
    <row r="8080" spans="4:7">
      <c r="D8080" s="200" t="s">
        <v>7922</v>
      </c>
      <c r="E8080" s="10">
        <v>7338</v>
      </c>
      <c r="F8080" s="201">
        <v>-14.8</v>
      </c>
      <c r="G8080" s="201">
        <v>7.8</v>
      </c>
    </row>
    <row r="8081" spans="4:7">
      <c r="D8081" s="200" t="s">
        <v>7923</v>
      </c>
      <c r="E8081" s="10">
        <v>7356</v>
      </c>
      <c r="F8081" s="201">
        <v>-14.8</v>
      </c>
      <c r="G8081" s="201">
        <v>7.3</v>
      </c>
    </row>
    <row r="8082" spans="4:7">
      <c r="D8082" s="200" t="s">
        <v>7924</v>
      </c>
      <c r="E8082" s="10">
        <v>7368</v>
      </c>
      <c r="F8082" s="201">
        <v>-14.8</v>
      </c>
      <c r="G8082" s="201">
        <v>7.6</v>
      </c>
    </row>
    <row r="8083" spans="4:7">
      <c r="D8083" s="200" t="s">
        <v>7925</v>
      </c>
      <c r="E8083" s="10">
        <v>7929</v>
      </c>
      <c r="F8083" s="201">
        <v>-14.8</v>
      </c>
      <c r="G8083" s="201">
        <v>7.9</v>
      </c>
    </row>
    <row r="8084" spans="4:7">
      <c r="D8084" s="200" t="s">
        <v>4115</v>
      </c>
      <c r="E8084" s="10">
        <v>8239</v>
      </c>
      <c r="F8084" s="201">
        <v>-14.8</v>
      </c>
      <c r="G8084" s="201">
        <v>7.9</v>
      </c>
    </row>
    <row r="8085" spans="4:7">
      <c r="D8085" s="200" t="s">
        <v>7926</v>
      </c>
      <c r="E8085" s="10">
        <v>8304</v>
      </c>
      <c r="F8085" s="201">
        <v>-14.8</v>
      </c>
      <c r="G8085" s="201">
        <v>6.5</v>
      </c>
    </row>
    <row r="8086" spans="4:7">
      <c r="D8086" s="200" t="s">
        <v>7927</v>
      </c>
      <c r="E8086" s="10">
        <v>8324</v>
      </c>
      <c r="F8086" s="201">
        <v>-14.8</v>
      </c>
      <c r="G8086" s="201">
        <v>7.2</v>
      </c>
    </row>
    <row r="8087" spans="4:7">
      <c r="D8087" s="200" t="s">
        <v>7928</v>
      </c>
      <c r="E8087" s="10">
        <v>8344</v>
      </c>
      <c r="F8087" s="201">
        <v>-14.8</v>
      </c>
      <c r="G8087" s="201">
        <v>6.8</v>
      </c>
    </row>
    <row r="8088" spans="4:7">
      <c r="D8088" s="200" t="s">
        <v>7929</v>
      </c>
      <c r="E8088" s="10">
        <v>8352</v>
      </c>
      <c r="F8088" s="201">
        <v>-14.8</v>
      </c>
      <c r="G8088" s="201">
        <v>6.1</v>
      </c>
    </row>
    <row r="8089" spans="4:7">
      <c r="D8089" s="200" t="s">
        <v>7930</v>
      </c>
      <c r="E8089" s="10">
        <v>8539</v>
      </c>
      <c r="F8089" s="201">
        <v>-14.8</v>
      </c>
      <c r="G8089" s="201">
        <v>8</v>
      </c>
    </row>
    <row r="8090" spans="4:7">
      <c r="D8090" s="200" t="s">
        <v>7930</v>
      </c>
      <c r="E8090" s="10">
        <v>8548</v>
      </c>
      <c r="F8090" s="201">
        <v>-14.8</v>
      </c>
      <c r="G8090" s="201">
        <v>8</v>
      </c>
    </row>
    <row r="8091" spans="4:7">
      <c r="D8091" s="200" t="s">
        <v>7931</v>
      </c>
      <c r="E8091" s="10">
        <v>9456</v>
      </c>
      <c r="F8091" s="201">
        <v>-14.8</v>
      </c>
      <c r="G8091" s="201">
        <v>7.5</v>
      </c>
    </row>
    <row r="8092" spans="4:7">
      <c r="D8092" s="200" t="s">
        <v>7932</v>
      </c>
      <c r="E8092" s="10">
        <v>9465</v>
      </c>
      <c r="F8092" s="201">
        <v>-14.8</v>
      </c>
      <c r="G8092" s="201">
        <v>6.2</v>
      </c>
    </row>
    <row r="8093" spans="4:7">
      <c r="D8093" s="200" t="s">
        <v>7933</v>
      </c>
      <c r="E8093" s="10">
        <v>9474</v>
      </c>
      <c r="F8093" s="201">
        <v>-14.8</v>
      </c>
      <c r="G8093" s="201">
        <v>6.7</v>
      </c>
    </row>
    <row r="8094" spans="4:7">
      <c r="D8094" s="200" t="s">
        <v>7934</v>
      </c>
      <c r="E8094" s="10">
        <v>9477</v>
      </c>
      <c r="F8094" s="201">
        <v>-14.8</v>
      </c>
      <c r="G8094" s="201">
        <v>6.6</v>
      </c>
    </row>
    <row r="8095" spans="4:7">
      <c r="D8095" s="200" t="s">
        <v>7935</v>
      </c>
      <c r="E8095" s="10">
        <v>9544</v>
      </c>
      <c r="F8095" s="201">
        <v>-14.8</v>
      </c>
      <c r="G8095" s="201">
        <v>7</v>
      </c>
    </row>
    <row r="8096" spans="4:7">
      <c r="D8096" s="200" t="s">
        <v>7936</v>
      </c>
      <c r="E8096" s="10">
        <v>9623</v>
      </c>
      <c r="F8096" s="201">
        <v>-14.8</v>
      </c>
      <c r="G8096" s="201">
        <v>7.2</v>
      </c>
    </row>
    <row r="8097" spans="4:7">
      <c r="D8097" s="200" t="s">
        <v>7937</v>
      </c>
      <c r="E8097" s="10">
        <v>82488</v>
      </c>
      <c r="F8097" s="201">
        <v>-14.8</v>
      </c>
      <c r="G8097" s="201">
        <v>7.3</v>
      </c>
    </row>
    <row r="8098" spans="4:7">
      <c r="D8098" s="200" t="s">
        <v>7938</v>
      </c>
      <c r="E8098" s="10">
        <v>87496</v>
      </c>
      <c r="F8098" s="201">
        <v>-14.8</v>
      </c>
      <c r="G8098" s="201">
        <v>7.2</v>
      </c>
    </row>
    <row r="8099" spans="4:7">
      <c r="D8099" s="200" t="s">
        <v>7939</v>
      </c>
      <c r="E8099" s="10">
        <v>87499</v>
      </c>
      <c r="F8099" s="201">
        <v>-14.8</v>
      </c>
      <c r="G8099" s="201">
        <v>7.2</v>
      </c>
    </row>
    <row r="8100" spans="4:7">
      <c r="D8100" s="200" t="s">
        <v>7940</v>
      </c>
      <c r="E8100" s="10">
        <v>87634</v>
      </c>
      <c r="F8100" s="201">
        <v>-14.8</v>
      </c>
      <c r="G8100" s="201">
        <v>7.2</v>
      </c>
    </row>
    <row r="8101" spans="4:7">
      <c r="D8101" s="200" t="s">
        <v>7941</v>
      </c>
      <c r="E8101" s="10">
        <v>87637</v>
      </c>
      <c r="F8101" s="201">
        <v>-14.8</v>
      </c>
      <c r="G8101" s="201">
        <v>7.3</v>
      </c>
    </row>
    <row r="8102" spans="4:7">
      <c r="D8102" s="200" t="s">
        <v>7942</v>
      </c>
      <c r="E8102" s="10">
        <v>87647</v>
      </c>
      <c r="F8102" s="201">
        <v>-14.8</v>
      </c>
      <c r="G8102" s="201">
        <v>7.3</v>
      </c>
    </row>
    <row r="8103" spans="4:7">
      <c r="D8103" s="200" t="s">
        <v>7943</v>
      </c>
      <c r="E8103" s="10">
        <v>87659</v>
      </c>
      <c r="F8103" s="201">
        <v>-14.8</v>
      </c>
      <c r="G8103" s="201">
        <v>7.3</v>
      </c>
    </row>
    <row r="8104" spans="4:7">
      <c r="D8104" s="200" t="s">
        <v>7944</v>
      </c>
      <c r="E8104" s="10">
        <v>87662</v>
      </c>
      <c r="F8104" s="201">
        <v>-14.8</v>
      </c>
      <c r="G8104" s="201">
        <v>7.7</v>
      </c>
    </row>
    <row r="8105" spans="4:7">
      <c r="D8105" s="200" t="s">
        <v>7945</v>
      </c>
      <c r="E8105" s="10">
        <v>87663</v>
      </c>
      <c r="F8105" s="201">
        <v>-14.8</v>
      </c>
      <c r="G8105" s="201">
        <v>7.3</v>
      </c>
    </row>
    <row r="8106" spans="4:7">
      <c r="D8106" s="200" t="s">
        <v>7946</v>
      </c>
      <c r="E8106" s="10">
        <v>94158</v>
      </c>
      <c r="F8106" s="201">
        <v>-14.8</v>
      </c>
      <c r="G8106" s="201">
        <v>5.8</v>
      </c>
    </row>
    <row r="8107" spans="4:7">
      <c r="D8107" s="200" t="s">
        <v>7947</v>
      </c>
      <c r="E8107" s="10">
        <v>94556</v>
      </c>
      <c r="F8107" s="201">
        <v>-14.8</v>
      </c>
      <c r="G8107" s="201">
        <v>6.4</v>
      </c>
    </row>
    <row r="8108" spans="4:7">
      <c r="D8108" s="200" t="s">
        <v>7948</v>
      </c>
      <c r="E8108" s="10">
        <v>95111</v>
      </c>
      <c r="F8108" s="201">
        <v>-14.8</v>
      </c>
      <c r="G8108" s="201">
        <v>7.5</v>
      </c>
    </row>
    <row r="8109" spans="4:7">
      <c r="D8109" s="200" t="s">
        <v>7949</v>
      </c>
      <c r="E8109" s="10">
        <v>95119</v>
      </c>
      <c r="F8109" s="201">
        <v>-14.8</v>
      </c>
      <c r="G8109" s="201">
        <v>7.1</v>
      </c>
    </row>
    <row r="8110" spans="4:7">
      <c r="D8110" s="200" t="s">
        <v>7950</v>
      </c>
      <c r="E8110" s="10">
        <v>95152</v>
      </c>
      <c r="F8110" s="201">
        <v>-14.8</v>
      </c>
      <c r="G8110" s="201">
        <v>7.4</v>
      </c>
    </row>
    <row r="8111" spans="4:7">
      <c r="D8111" s="200" t="s">
        <v>7951</v>
      </c>
      <c r="E8111" s="10">
        <v>95182</v>
      </c>
      <c r="F8111" s="201">
        <v>-14.8</v>
      </c>
      <c r="G8111" s="201">
        <v>7.7</v>
      </c>
    </row>
    <row r="8112" spans="4:7">
      <c r="D8112" s="200" t="s">
        <v>7952</v>
      </c>
      <c r="E8112" s="10">
        <v>95188</v>
      </c>
      <c r="F8112" s="201">
        <v>-14.8</v>
      </c>
      <c r="G8112" s="201">
        <v>7.2</v>
      </c>
    </row>
    <row r="8113" spans="4:7">
      <c r="D8113" s="200" t="s">
        <v>7953</v>
      </c>
      <c r="E8113" s="10">
        <v>95191</v>
      </c>
      <c r="F8113" s="201">
        <v>-14.8</v>
      </c>
      <c r="G8113" s="201">
        <v>7.1</v>
      </c>
    </row>
    <row r="8114" spans="4:7">
      <c r="D8114" s="200" t="s">
        <v>7954</v>
      </c>
      <c r="E8114" s="10">
        <v>95192</v>
      </c>
      <c r="F8114" s="201">
        <v>-14.8</v>
      </c>
      <c r="G8114" s="201">
        <v>7.4</v>
      </c>
    </row>
    <row r="8115" spans="4:7">
      <c r="D8115" s="200" t="s">
        <v>7955</v>
      </c>
      <c r="E8115" s="10">
        <v>95194</v>
      </c>
      <c r="F8115" s="201">
        <v>-14.8</v>
      </c>
      <c r="G8115" s="201">
        <v>7.6</v>
      </c>
    </row>
    <row r="8116" spans="4:7">
      <c r="D8116" s="200" t="s">
        <v>7956</v>
      </c>
      <c r="E8116" s="10">
        <v>95233</v>
      </c>
      <c r="F8116" s="201">
        <v>-14.8</v>
      </c>
      <c r="G8116" s="201">
        <v>6.8</v>
      </c>
    </row>
    <row r="8117" spans="4:7">
      <c r="D8117" s="200" t="s">
        <v>7957</v>
      </c>
      <c r="E8117" s="10">
        <v>95706</v>
      </c>
      <c r="F8117" s="201">
        <v>-14.8</v>
      </c>
      <c r="G8117" s="201">
        <v>7.8</v>
      </c>
    </row>
    <row r="8118" spans="4:7">
      <c r="D8118" s="200" t="s">
        <v>7574</v>
      </c>
      <c r="E8118" s="10">
        <v>1776</v>
      </c>
      <c r="F8118" s="201">
        <v>-14.9</v>
      </c>
      <c r="G8118" s="201">
        <v>6.4</v>
      </c>
    </row>
    <row r="8119" spans="4:7">
      <c r="D8119" s="200" t="s">
        <v>7958</v>
      </c>
      <c r="E8119" s="10">
        <v>2736</v>
      </c>
      <c r="F8119" s="201">
        <v>-14.9</v>
      </c>
      <c r="G8119" s="201">
        <v>8.4</v>
      </c>
    </row>
    <row r="8120" spans="4:7">
      <c r="D8120" s="200" t="s">
        <v>7959</v>
      </c>
      <c r="E8120" s="10">
        <v>2785</v>
      </c>
      <c r="F8120" s="201">
        <v>-14.9</v>
      </c>
      <c r="G8120" s="201">
        <v>8.6</v>
      </c>
    </row>
    <row r="8121" spans="4:7">
      <c r="D8121" s="200" t="s">
        <v>7960</v>
      </c>
      <c r="E8121" s="10">
        <v>7926</v>
      </c>
      <c r="F8121" s="201">
        <v>-14.9</v>
      </c>
      <c r="G8121" s="201">
        <v>7.1</v>
      </c>
    </row>
    <row r="8122" spans="4:7">
      <c r="D8122" s="200" t="s">
        <v>7961</v>
      </c>
      <c r="E8122" s="10">
        <v>8261</v>
      </c>
      <c r="F8122" s="201">
        <v>-14.9</v>
      </c>
      <c r="G8122" s="201">
        <v>6.7</v>
      </c>
    </row>
    <row r="8123" spans="4:7">
      <c r="D8123" s="200" t="s">
        <v>7962</v>
      </c>
      <c r="E8123" s="10">
        <v>8359</v>
      </c>
      <c r="F8123" s="201">
        <v>-14.9</v>
      </c>
      <c r="G8123" s="201">
        <v>6</v>
      </c>
    </row>
    <row r="8124" spans="4:7">
      <c r="D8124" s="200" t="s">
        <v>7963</v>
      </c>
      <c r="E8124" s="10">
        <v>9471</v>
      </c>
      <c r="F8124" s="201">
        <v>-14.9</v>
      </c>
      <c r="G8124" s="201">
        <v>6.6</v>
      </c>
    </row>
    <row r="8125" spans="4:7">
      <c r="D8125" s="200" t="s">
        <v>7964</v>
      </c>
      <c r="E8125" s="10">
        <v>87534</v>
      </c>
      <c r="F8125" s="201">
        <v>-14.9</v>
      </c>
      <c r="G8125" s="201">
        <v>6.9</v>
      </c>
    </row>
    <row r="8126" spans="4:7">
      <c r="D8126" s="200" t="s">
        <v>7965</v>
      </c>
      <c r="E8126" s="10">
        <v>87547</v>
      </c>
      <c r="F8126" s="201">
        <v>-14.9</v>
      </c>
      <c r="G8126" s="201">
        <v>7</v>
      </c>
    </row>
    <row r="8127" spans="4:7">
      <c r="D8127" s="200" t="s">
        <v>7966</v>
      </c>
      <c r="E8127" s="10">
        <v>87657</v>
      </c>
      <c r="F8127" s="201">
        <v>-14.9</v>
      </c>
      <c r="G8127" s="201">
        <v>7.2</v>
      </c>
    </row>
    <row r="8128" spans="4:7">
      <c r="D8128" s="200" t="s">
        <v>7880</v>
      </c>
      <c r="E8128" s="10">
        <v>95032</v>
      </c>
      <c r="F8128" s="201">
        <v>-14.9</v>
      </c>
      <c r="G8128" s="201">
        <v>7.4</v>
      </c>
    </row>
    <row r="8129" spans="4:7">
      <c r="D8129" s="200" t="s">
        <v>7967</v>
      </c>
      <c r="E8129" s="10">
        <v>95173</v>
      </c>
      <c r="F8129" s="201">
        <v>-14.9</v>
      </c>
      <c r="G8129" s="201">
        <v>6.9</v>
      </c>
    </row>
    <row r="8130" spans="4:7">
      <c r="D8130" s="200" t="s">
        <v>7968</v>
      </c>
      <c r="E8130" s="10">
        <v>95176</v>
      </c>
      <c r="F8130" s="201">
        <v>-14.9</v>
      </c>
      <c r="G8130" s="201">
        <v>7.4</v>
      </c>
    </row>
    <row r="8131" spans="4:7">
      <c r="D8131" s="200" t="s">
        <v>7969</v>
      </c>
      <c r="E8131" s="10">
        <v>98724</v>
      </c>
      <c r="F8131" s="201">
        <v>-14.9</v>
      </c>
      <c r="G8131" s="201">
        <v>6.6</v>
      </c>
    </row>
    <row r="8132" spans="4:7">
      <c r="D8132" s="200" t="s">
        <v>7970</v>
      </c>
      <c r="E8132" s="10">
        <v>98746</v>
      </c>
      <c r="F8132" s="201">
        <v>-14.9</v>
      </c>
      <c r="G8132" s="201">
        <v>6.7</v>
      </c>
    </row>
    <row r="8133" spans="4:7">
      <c r="D8133" s="200" t="s">
        <v>7971</v>
      </c>
      <c r="E8133" s="10">
        <v>2747</v>
      </c>
      <c r="F8133" s="201">
        <v>-15</v>
      </c>
      <c r="G8133" s="201">
        <v>8.5</v>
      </c>
    </row>
    <row r="8134" spans="4:7">
      <c r="D8134" s="200" t="s">
        <v>7972</v>
      </c>
      <c r="E8134" s="10">
        <v>2791</v>
      </c>
      <c r="F8134" s="201">
        <v>-15</v>
      </c>
      <c r="G8134" s="201">
        <v>8.5</v>
      </c>
    </row>
    <row r="8135" spans="4:7">
      <c r="D8135" s="200" t="s">
        <v>7973</v>
      </c>
      <c r="E8135" s="10">
        <v>7349</v>
      </c>
      <c r="F8135" s="201">
        <v>-15</v>
      </c>
      <c r="G8135" s="201">
        <v>6.8</v>
      </c>
    </row>
    <row r="8136" spans="4:7">
      <c r="D8136" s="200" t="s">
        <v>7974</v>
      </c>
      <c r="E8136" s="10">
        <v>8223</v>
      </c>
      <c r="F8136" s="201">
        <v>-15</v>
      </c>
      <c r="G8136" s="201">
        <v>6.8</v>
      </c>
    </row>
    <row r="8137" spans="4:7">
      <c r="D8137" s="200" t="s">
        <v>7541</v>
      </c>
      <c r="E8137" s="10">
        <v>8237</v>
      </c>
      <c r="F8137" s="201">
        <v>-15</v>
      </c>
      <c r="G8137" s="201">
        <v>6.8</v>
      </c>
    </row>
    <row r="8138" spans="4:7">
      <c r="D8138" s="200" t="s">
        <v>7975</v>
      </c>
      <c r="E8138" s="10">
        <v>8538</v>
      </c>
      <c r="F8138" s="201">
        <v>-15</v>
      </c>
      <c r="G8138" s="201">
        <v>7.8</v>
      </c>
    </row>
    <row r="8139" spans="4:7">
      <c r="D8139" s="200" t="s">
        <v>7976</v>
      </c>
      <c r="E8139" s="10">
        <v>8606</v>
      </c>
      <c r="F8139" s="201">
        <v>-15</v>
      </c>
      <c r="G8139" s="201">
        <v>7.8</v>
      </c>
    </row>
    <row r="8140" spans="4:7">
      <c r="D8140" s="200" t="s">
        <v>7977</v>
      </c>
      <c r="E8140" s="10">
        <v>9468</v>
      </c>
      <c r="F8140" s="201">
        <v>-15</v>
      </c>
      <c r="G8140" s="201">
        <v>7.2</v>
      </c>
    </row>
    <row r="8141" spans="4:7">
      <c r="D8141" s="200" t="s">
        <v>7978</v>
      </c>
      <c r="E8141" s="10">
        <v>9481</v>
      </c>
      <c r="F8141" s="201">
        <v>-15</v>
      </c>
      <c r="G8141" s="201">
        <v>7.2</v>
      </c>
    </row>
    <row r="8142" spans="4:7">
      <c r="D8142" s="200" t="s">
        <v>7979</v>
      </c>
      <c r="E8142" s="10">
        <v>83126</v>
      </c>
      <c r="F8142" s="201">
        <v>-15</v>
      </c>
      <c r="G8142" s="201">
        <v>6</v>
      </c>
    </row>
    <row r="8143" spans="4:7">
      <c r="D8143" s="200" t="s">
        <v>7980</v>
      </c>
      <c r="E8143" s="10">
        <v>83324</v>
      </c>
      <c r="F8143" s="201">
        <v>-15</v>
      </c>
      <c r="G8143" s="201">
        <v>5.0999999999999996</v>
      </c>
    </row>
    <row r="8144" spans="4:7">
      <c r="D8144" s="200" t="s">
        <v>7981</v>
      </c>
      <c r="E8144" s="10">
        <v>87466</v>
      </c>
      <c r="F8144" s="201">
        <v>-15</v>
      </c>
      <c r="G8144" s="201">
        <v>6.7</v>
      </c>
    </row>
    <row r="8145" spans="4:7">
      <c r="D8145" s="200" t="s">
        <v>7982</v>
      </c>
      <c r="E8145" s="10">
        <v>87474</v>
      </c>
      <c r="F8145" s="201">
        <v>-15</v>
      </c>
      <c r="G8145" s="201">
        <v>6.8</v>
      </c>
    </row>
    <row r="8146" spans="4:7">
      <c r="D8146" s="200" t="s">
        <v>6188</v>
      </c>
      <c r="E8146" s="10">
        <v>87490</v>
      </c>
      <c r="F8146" s="201">
        <v>-15</v>
      </c>
      <c r="G8146" s="201">
        <v>7.1</v>
      </c>
    </row>
    <row r="8147" spans="4:7">
      <c r="D8147" s="200" t="s">
        <v>7983</v>
      </c>
      <c r="E8147" s="10">
        <v>87494</v>
      </c>
      <c r="F8147" s="201">
        <v>-15</v>
      </c>
      <c r="G8147" s="201">
        <v>7.2</v>
      </c>
    </row>
    <row r="8148" spans="4:7">
      <c r="D8148" s="200" t="s">
        <v>7984</v>
      </c>
      <c r="E8148" s="10">
        <v>87642</v>
      </c>
      <c r="F8148" s="201">
        <v>-15</v>
      </c>
      <c r="G8148" s="201">
        <v>7</v>
      </c>
    </row>
    <row r="8149" spans="4:7">
      <c r="D8149" s="200" t="s">
        <v>7880</v>
      </c>
      <c r="E8149" s="10">
        <v>95030</v>
      </c>
      <c r="F8149" s="201">
        <v>-15</v>
      </c>
      <c r="G8149" s="201">
        <v>7.3</v>
      </c>
    </row>
    <row r="8150" spans="4:7">
      <c r="D8150" s="200" t="s">
        <v>2963</v>
      </c>
      <c r="E8150" s="10">
        <v>95180</v>
      </c>
      <c r="F8150" s="201">
        <v>-15</v>
      </c>
      <c r="G8150" s="201">
        <v>7.1</v>
      </c>
    </row>
    <row r="8151" spans="4:7">
      <c r="D8151" s="200" t="s">
        <v>7985</v>
      </c>
      <c r="E8151" s="10">
        <v>95183</v>
      </c>
      <c r="F8151" s="201">
        <v>-15</v>
      </c>
      <c r="G8151" s="201">
        <v>7.4</v>
      </c>
    </row>
    <row r="8152" spans="4:7">
      <c r="D8152" s="200" t="s">
        <v>7986</v>
      </c>
      <c r="E8152" s="10">
        <v>95189</v>
      </c>
      <c r="F8152" s="201">
        <v>-15</v>
      </c>
      <c r="G8152" s="201">
        <v>7.3</v>
      </c>
    </row>
    <row r="8153" spans="4:7">
      <c r="D8153" s="200" t="s">
        <v>7987</v>
      </c>
      <c r="E8153" s="10">
        <v>98559</v>
      </c>
      <c r="F8153" s="201">
        <v>-15</v>
      </c>
      <c r="G8153" s="201">
        <v>6.2</v>
      </c>
    </row>
    <row r="8154" spans="4:7">
      <c r="D8154" s="200" t="s">
        <v>7988</v>
      </c>
      <c r="E8154" s="10">
        <v>2779</v>
      </c>
      <c r="F8154" s="201">
        <v>-15.1</v>
      </c>
      <c r="G8154" s="201">
        <v>8.4</v>
      </c>
    </row>
    <row r="8155" spans="4:7">
      <c r="D8155" s="200" t="s">
        <v>7989</v>
      </c>
      <c r="E8155" s="10">
        <v>2782</v>
      </c>
      <c r="F8155" s="201">
        <v>-15.1</v>
      </c>
      <c r="G8155" s="201">
        <v>8.3000000000000007</v>
      </c>
    </row>
    <row r="8156" spans="4:7">
      <c r="D8156" s="200" t="s">
        <v>7990</v>
      </c>
      <c r="E8156" s="10">
        <v>8262</v>
      </c>
      <c r="F8156" s="201">
        <v>-15.1</v>
      </c>
      <c r="G8156" s="201">
        <v>5.9</v>
      </c>
    </row>
    <row r="8157" spans="4:7">
      <c r="D8157" s="200" t="s">
        <v>7991</v>
      </c>
      <c r="E8157" s="10">
        <v>9496</v>
      </c>
      <c r="F8157" s="201">
        <v>-15.1</v>
      </c>
      <c r="G8157" s="201">
        <v>6.2</v>
      </c>
    </row>
    <row r="8158" spans="4:7">
      <c r="D8158" s="200" t="s">
        <v>7992</v>
      </c>
      <c r="E8158" s="10">
        <v>82445</v>
      </c>
      <c r="F8158" s="201">
        <v>-15.1</v>
      </c>
      <c r="G8158" s="201">
        <v>7</v>
      </c>
    </row>
    <row r="8159" spans="4:7">
      <c r="D8159" s="200" t="s">
        <v>7993</v>
      </c>
      <c r="E8159" s="10">
        <v>87480</v>
      </c>
      <c r="F8159" s="201">
        <v>-15.1</v>
      </c>
      <c r="G8159" s="201">
        <v>6.5</v>
      </c>
    </row>
    <row r="8160" spans="4:7">
      <c r="D8160" s="200" t="s">
        <v>7994</v>
      </c>
      <c r="E8160" s="10">
        <v>87487</v>
      </c>
      <c r="F8160" s="201">
        <v>-15.1</v>
      </c>
      <c r="G8160" s="201">
        <v>6.9</v>
      </c>
    </row>
    <row r="8161" spans="4:7">
      <c r="D8161" s="200" t="s">
        <v>7995</v>
      </c>
      <c r="E8161" s="10">
        <v>87509</v>
      </c>
      <c r="F8161" s="201">
        <v>-15.1</v>
      </c>
      <c r="G8161" s="201">
        <v>7.2</v>
      </c>
    </row>
    <row r="8162" spans="4:7">
      <c r="D8162" s="200" t="s">
        <v>7996</v>
      </c>
      <c r="E8162" s="10">
        <v>95185</v>
      </c>
      <c r="F8162" s="201">
        <v>-15.1</v>
      </c>
      <c r="G8162" s="201">
        <v>7.3</v>
      </c>
    </row>
    <row r="8163" spans="4:7">
      <c r="D8163" s="200" t="s">
        <v>7997</v>
      </c>
      <c r="E8163" s="10">
        <v>96355</v>
      </c>
      <c r="F8163" s="201">
        <v>-15.1</v>
      </c>
      <c r="G8163" s="201">
        <v>6.6</v>
      </c>
    </row>
    <row r="8164" spans="4:7">
      <c r="D8164" s="200" t="s">
        <v>7998</v>
      </c>
      <c r="E8164" s="10">
        <v>98666</v>
      </c>
      <c r="F8164" s="201">
        <v>-15.1</v>
      </c>
      <c r="G8164" s="201">
        <v>6.4</v>
      </c>
    </row>
    <row r="8165" spans="4:7">
      <c r="D8165" s="200" t="s">
        <v>7999</v>
      </c>
      <c r="E8165" s="10">
        <v>98739</v>
      </c>
      <c r="F8165" s="201">
        <v>-15.1</v>
      </c>
      <c r="G8165" s="201">
        <v>6.6</v>
      </c>
    </row>
    <row r="8166" spans="4:7">
      <c r="D8166" s="200" t="s">
        <v>8000</v>
      </c>
      <c r="E8166" s="10">
        <v>98744</v>
      </c>
      <c r="F8166" s="201">
        <v>-15.1</v>
      </c>
      <c r="G8166" s="201">
        <v>6.6</v>
      </c>
    </row>
    <row r="8167" spans="4:7">
      <c r="D8167" s="200" t="s">
        <v>7788</v>
      </c>
      <c r="E8167" s="10">
        <v>1773</v>
      </c>
      <c r="F8167" s="201">
        <v>-15.2</v>
      </c>
      <c r="G8167" s="201">
        <v>5.8</v>
      </c>
    </row>
    <row r="8168" spans="4:7">
      <c r="D8168" s="200" t="s">
        <v>8001</v>
      </c>
      <c r="E8168" s="10">
        <v>2730</v>
      </c>
      <c r="F8168" s="201">
        <v>-15.2</v>
      </c>
      <c r="G8168" s="201">
        <v>8.1999999999999993</v>
      </c>
    </row>
    <row r="8169" spans="4:7">
      <c r="D8169" s="200" t="s">
        <v>8002</v>
      </c>
      <c r="E8169" s="10">
        <v>9548</v>
      </c>
      <c r="F8169" s="201">
        <v>-15.2</v>
      </c>
      <c r="G8169" s="201">
        <v>6.1</v>
      </c>
    </row>
    <row r="8170" spans="4:7">
      <c r="D8170" s="200" t="s">
        <v>8003</v>
      </c>
      <c r="E8170" s="10">
        <v>82494</v>
      </c>
      <c r="F8170" s="201">
        <v>-15.2</v>
      </c>
      <c r="G8170" s="201">
        <v>6.8</v>
      </c>
    </row>
    <row r="8171" spans="4:7">
      <c r="D8171" s="200" t="s">
        <v>8004</v>
      </c>
      <c r="E8171" s="10">
        <v>82499</v>
      </c>
      <c r="F8171" s="201">
        <v>-15.2</v>
      </c>
      <c r="G8171" s="201">
        <v>6.6</v>
      </c>
    </row>
    <row r="8172" spans="4:7">
      <c r="D8172" s="200" t="s">
        <v>8005</v>
      </c>
      <c r="E8172" s="10">
        <v>83700</v>
      </c>
      <c r="F8172" s="201">
        <v>-15.2</v>
      </c>
      <c r="G8172" s="201">
        <v>6.4</v>
      </c>
    </row>
    <row r="8173" spans="4:7">
      <c r="D8173" s="200" t="s">
        <v>8006</v>
      </c>
      <c r="E8173" s="10">
        <v>87459</v>
      </c>
      <c r="F8173" s="201">
        <v>-15.2</v>
      </c>
      <c r="G8173" s="201">
        <v>6.7</v>
      </c>
    </row>
    <row r="8174" spans="4:7">
      <c r="D8174" s="200" t="s">
        <v>8007</v>
      </c>
      <c r="E8174" s="10">
        <v>87497</v>
      </c>
      <c r="F8174" s="201">
        <v>-15.2</v>
      </c>
      <c r="G8174" s="201">
        <v>6.4</v>
      </c>
    </row>
    <row r="8175" spans="4:7">
      <c r="D8175" s="200" t="s">
        <v>8001</v>
      </c>
      <c r="E8175" s="10">
        <v>2727</v>
      </c>
      <c r="F8175" s="201">
        <v>-15.3</v>
      </c>
      <c r="G8175" s="201">
        <v>7.9</v>
      </c>
    </row>
    <row r="8176" spans="4:7">
      <c r="D8176" s="200" t="s">
        <v>8008</v>
      </c>
      <c r="E8176" s="10">
        <v>2739</v>
      </c>
      <c r="F8176" s="201">
        <v>-15.3</v>
      </c>
      <c r="G8176" s="201">
        <v>8.1999999999999993</v>
      </c>
    </row>
    <row r="8177" spans="4:7">
      <c r="D8177" s="200" t="s">
        <v>8009</v>
      </c>
      <c r="E8177" s="10">
        <v>2788</v>
      </c>
      <c r="F8177" s="201">
        <v>-15.3</v>
      </c>
      <c r="G8177" s="201">
        <v>8.3000000000000007</v>
      </c>
    </row>
    <row r="8178" spans="4:7">
      <c r="D8178" s="200" t="s">
        <v>8010</v>
      </c>
      <c r="E8178" s="10">
        <v>2794</v>
      </c>
      <c r="F8178" s="201">
        <v>-15.3</v>
      </c>
      <c r="G8178" s="201">
        <v>8.1999999999999993</v>
      </c>
    </row>
    <row r="8179" spans="4:7">
      <c r="D8179" s="200" t="s">
        <v>8011</v>
      </c>
      <c r="E8179" s="10">
        <v>8309</v>
      </c>
      <c r="F8179" s="201">
        <v>-15.3</v>
      </c>
      <c r="G8179" s="201">
        <v>5.6</v>
      </c>
    </row>
    <row r="8180" spans="4:7">
      <c r="D8180" s="200" t="s">
        <v>8012</v>
      </c>
      <c r="E8180" s="10">
        <v>8349</v>
      </c>
      <c r="F8180" s="201">
        <v>-15.3</v>
      </c>
      <c r="G8180" s="201">
        <v>5.6</v>
      </c>
    </row>
    <row r="8181" spans="4:7">
      <c r="D8181" s="200" t="s">
        <v>8013</v>
      </c>
      <c r="E8181" s="10">
        <v>82442</v>
      </c>
      <c r="F8181" s="201">
        <v>-15.3</v>
      </c>
      <c r="G8181" s="201">
        <v>6.9</v>
      </c>
    </row>
    <row r="8182" spans="4:7">
      <c r="D8182" s="200" t="s">
        <v>8014</v>
      </c>
      <c r="E8182" s="10">
        <v>82467</v>
      </c>
      <c r="F8182" s="201">
        <v>-15.3</v>
      </c>
      <c r="G8182" s="201">
        <v>7</v>
      </c>
    </row>
    <row r="8183" spans="4:7">
      <c r="D8183" s="200" t="s">
        <v>8015</v>
      </c>
      <c r="E8183" s="10">
        <v>83661</v>
      </c>
      <c r="F8183" s="201">
        <v>-15.3</v>
      </c>
      <c r="G8183" s="201">
        <v>6.6</v>
      </c>
    </row>
    <row r="8184" spans="4:7">
      <c r="D8184" s="200" t="s">
        <v>8016</v>
      </c>
      <c r="E8184" s="10">
        <v>83707</v>
      </c>
      <c r="F8184" s="201">
        <v>-15.3</v>
      </c>
      <c r="G8184" s="201">
        <v>6.5</v>
      </c>
    </row>
    <row r="8185" spans="4:7">
      <c r="D8185" s="200" t="s">
        <v>7988</v>
      </c>
      <c r="E8185" s="10">
        <v>2799</v>
      </c>
      <c r="F8185" s="201">
        <v>-15.4</v>
      </c>
      <c r="G8185" s="201">
        <v>7.7</v>
      </c>
    </row>
    <row r="8186" spans="4:7">
      <c r="D8186" s="200" t="s">
        <v>8003</v>
      </c>
      <c r="E8186" s="10">
        <v>82493</v>
      </c>
      <c r="F8186" s="201">
        <v>-15.4</v>
      </c>
      <c r="G8186" s="201">
        <v>6.6</v>
      </c>
    </row>
    <row r="8187" spans="4:7">
      <c r="D8187" s="200" t="s">
        <v>8017</v>
      </c>
      <c r="E8187" s="10">
        <v>87549</v>
      </c>
      <c r="F8187" s="201">
        <v>-15.4</v>
      </c>
      <c r="G8187" s="201">
        <v>6.8</v>
      </c>
    </row>
    <row r="8188" spans="4:7">
      <c r="D8188" s="200" t="s">
        <v>8018</v>
      </c>
      <c r="E8188" s="10">
        <v>2796</v>
      </c>
      <c r="F8188" s="201">
        <v>-15.5</v>
      </c>
      <c r="G8188" s="201">
        <v>7.8</v>
      </c>
    </row>
    <row r="8189" spans="4:7">
      <c r="D8189" s="200" t="s">
        <v>8019</v>
      </c>
      <c r="E8189" s="10">
        <v>2797</v>
      </c>
      <c r="F8189" s="201">
        <v>-15.5</v>
      </c>
      <c r="G8189" s="201">
        <v>7.9</v>
      </c>
    </row>
    <row r="8190" spans="4:7">
      <c r="D8190" s="200" t="s">
        <v>8020</v>
      </c>
      <c r="E8190" s="10">
        <v>82481</v>
      </c>
      <c r="F8190" s="201">
        <v>-15.5</v>
      </c>
      <c r="G8190" s="201">
        <v>5.6</v>
      </c>
    </row>
    <row r="8191" spans="4:7">
      <c r="D8191" s="200" t="s">
        <v>8021</v>
      </c>
      <c r="E8191" s="10">
        <v>38879</v>
      </c>
      <c r="F8191" s="201">
        <v>-15.6</v>
      </c>
      <c r="G8191" s="201">
        <v>4.7</v>
      </c>
    </row>
    <row r="8192" spans="4:7">
      <c r="D8192" s="200" t="s">
        <v>8022</v>
      </c>
      <c r="E8192" s="10">
        <v>82491</v>
      </c>
      <c r="F8192" s="201">
        <v>-15.6</v>
      </c>
      <c r="G8192" s="201">
        <v>6.4</v>
      </c>
    </row>
    <row r="8193" spans="4:7">
      <c r="D8193" s="200" t="s">
        <v>8023</v>
      </c>
      <c r="E8193" s="10">
        <v>87545</v>
      </c>
      <c r="F8193" s="201">
        <v>-15.8</v>
      </c>
      <c r="G8193" s="201">
        <v>6.4</v>
      </c>
    </row>
    <row r="8194" spans="4:7">
      <c r="D8194" s="200" t="s">
        <v>8024</v>
      </c>
      <c r="E8194" s="10">
        <v>87544</v>
      </c>
      <c r="F8194" s="201">
        <v>-16</v>
      </c>
      <c r="G8194" s="201">
        <v>5.9</v>
      </c>
    </row>
    <row r="8195" spans="4:7">
      <c r="D8195" s="200" t="s">
        <v>8025</v>
      </c>
      <c r="E8195" s="10">
        <v>9484</v>
      </c>
      <c r="F8195" s="201">
        <v>-16.100000000000001</v>
      </c>
      <c r="G8195" s="201">
        <v>4.4000000000000004</v>
      </c>
    </row>
    <row r="8196" spans="4:7">
      <c r="D8196" s="200" t="s">
        <v>8026</v>
      </c>
      <c r="E8196" s="10">
        <v>87541</v>
      </c>
      <c r="F8196" s="201">
        <v>-16.100000000000001</v>
      </c>
      <c r="G8196" s="201">
        <v>6.2</v>
      </c>
    </row>
    <row r="8197" spans="4:7">
      <c r="D8197" s="200" t="s">
        <v>8027</v>
      </c>
      <c r="E8197" s="10">
        <v>87527</v>
      </c>
      <c r="F8197" s="201">
        <v>-16.2</v>
      </c>
      <c r="G8197" s="201">
        <v>6.9</v>
      </c>
    </row>
    <row r="8198" spans="4:7">
      <c r="D8198" s="200" t="s">
        <v>8028</v>
      </c>
      <c r="E8198" s="10">
        <v>87538</v>
      </c>
      <c r="F8198" s="201">
        <v>-16.3</v>
      </c>
      <c r="G8198" s="201">
        <v>4.3</v>
      </c>
    </row>
    <row r="8199" spans="4:7">
      <c r="D8199" s="200" t="s">
        <v>8029</v>
      </c>
      <c r="E8199" s="10">
        <v>83486</v>
      </c>
      <c r="F8199" s="201">
        <v>-16.7</v>
      </c>
      <c r="G8199" s="201">
        <v>3.3</v>
      </c>
    </row>
    <row r="8200" spans="4:7">
      <c r="D8200" s="200" t="s">
        <v>8030</v>
      </c>
      <c r="E8200" s="10">
        <v>87561</v>
      </c>
      <c r="F8200" s="201">
        <v>-16.7</v>
      </c>
      <c r="G8200" s="201">
        <v>6.5</v>
      </c>
    </row>
    <row r="8201" spans="4:7" ht="30.75" thickBot="1">
      <c r="D8201" s="202" t="s">
        <v>8031</v>
      </c>
      <c r="E8201" s="10">
        <v>82475</v>
      </c>
      <c r="F8201" s="203">
        <v>-19.2</v>
      </c>
      <c r="G8201" s="203">
        <v>0.1</v>
      </c>
    </row>
    <row r="8202" spans="4:7" ht="15.75" thickTop="1"/>
  </sheetData>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e28572-f0d3-41b4-bb0a-1bb4c4c07cb2">
      <Terms xmlns="http://schemas.microsoft.com/office/infopath/2007/PartnerControls"/>
    </lcf76f155ced4ddcb4097134ff3c332f>
    <TaxCatchAll xmlns="3a0d7443-76b7-49fa-a488-da73805823e1"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353AF7D570046C47B442B9F7D44F9446" ma:contentTypeVersion="11" ma:contentTypeDescription="Ein neues Dokument erstellen." ma:contentTypeScope="" ma:versionID="a222f9e39ff16b099717181812f66925">
  <xsd:schema xmlns:xsd="http://www.w3.org/2001/XMLSchema" xmlns:xs="http://www.w3.org/2001/XMLSchema" xmlns:p="http://schemas.microsoft.com/office/2006/metadata/properties" xmlns:ns2="8ee28572-f0d3-41b4-bb0a-1bb4c4c07cb2" xmlns:ns3="3a0d7443-76b7-49fa-a488-da73805823e1" targetNamespace="http://schemas.microsoft.com/office/2006/metadata/properties" ma:root="true" ma:fieldsID="668a638856958ed9d57103471ed09cb8" ns2:_="" ns3:_="">
    <xsd:import namespace="8ee28572-f0d3-41b4-bb0a-1bb4c4c07cb2"/>
    <xsd:import namespace="3a0d7443-76b7-49fa-a488-da73805823e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e28572-f0d3-41b4-bb0a-1bb4c4c07c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0d7443-76b7-49fa-a488-da73805823e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61f5050-775b-4644-967d-ab9b2ca85fc6}" ma:internalName="TaxCatchAll" ma:showField="CatchAllData" ma:web="3a0d7443-76b7-49fa-a488-da73805823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7AC229-5831-4C7C-A7E2-FE4AC28B6F6D}"/>
</file>

<file path=customXml/itemProps2.xml><?xml version="1.0" encoding="utf-8"?>
<ds:datastoreItem xmlns:ds="http://schemas.openxmlformats.org/officeDocument/2006/customXml" ds:itemID="{A203BFF3-2BB4-43F0-AE8D-85D9B38AC958}"/>
</file>

<file path=customXml/itemProps3.xml><?xml version="1.0" encoding="utf-8"?>
<ds:datastoreItem xmlns:ds="http://schemas.openxmlformats.org/officeDocument/2006/customXml" ds:itemID="{D366597C-7DA9-42A4-974B-1A63EA79D971}"/>
</file>

<file path=customXml/itemProps4.xml><?xml version="1.0" encoding="utf-8"?>
<ds:datastoreItem xmlns:ds="http://schemas.openxmlformats.org/officeDocument/2006/customXml" ds:itemID="{B27E142E-7619-422A-BFCA-6C7F7B4196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Mellwig</dc:creator>
  <cp:keywords/>
  <dc:description/>
  <cp:lastModifiedBy/>
  <cp:revision/>
  <dcterms:created xsi:type="dcterms:W3CDTF">2024-05-07T13:02:24Z</dcterms:created>
  <dcterms:modified xsi:type="dcterms:W3CDTF">2026-03-14T16:25:06Z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0x010100353AF7D570046C47B442B9F7D44F9446</vt:lpwstr>
  </property>
  <property fmtid="{D5CDD505-2E9C-101B-9397-08002B2CF9AE}" pid="3" name="MediaServiceImageTags">
    <vt:lpwstr/>
  </property>
</Properties>
</file>