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8.xml" ContentType="application/vnd.openxmlformats-officedocument.spreadsheetml.comments+xml"/>
  <Override PartName="/xl/comments2.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sharedStrings.xml" ContentType="application/vnd.openxmlformats-officedocument.spreadsheetml.sharedString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_rels/workbook.xml.rels" ContentType="application/vnd.openxmlformats-package.relationships+xml"/>
  <Override PartName="/xl/comments6.xml" ContentType="application/vnd.openxmlformats-officedocument.spreadsheetml.comment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Changelog" sheetId="1" state="visible" r:id="rId2"/>
    <sheet name="Matrix" sheetId="2" state="visible" r:id="rId3"/>
    <sheet name="Fragen_Prototyp_Einzelfahrzeug" sheetId="3" state="visible" r:id="rId4"/>
    <sheet name="Fragen_Prototyp_Flotte" sheetId="4" state="visible" r:id="rId5"/>
    <sheet name="Darstellung_Flotte" sheetId="5" state="visible" r:id="rId6"/>
    <sheet name="Auswahllisten" sheetId="6" state="visible" r:id="rId7"/>
    <sheet name="Empfehlungslisten" sheetId="7" state="visible" r:id="rId8"/>
    <sheet name="Hinweisliste_Flotte" sheetId="8" state="visible" r:id="rId9"/>
  </sheets>
  <definedNames>
    <definedName function="false" hidden="false" name="A_JN1" vbProcedure="false">Auswahllisten!$B$7</definedName>
    <definedName function="false" hidden="false" name="A_JN2" vbProcedure="false">Auswahllisten!$B$8</definedName>
    <definedName function="false" hidden="false" name="A_R1" vbProcedure="false">Auswahllisten!$B$4</definedName>
    <definedName function="false" hidden="false" name="A_S1" vbProcedure="false">Auswahllisten!$B$11</definedName>
    <definedName function="false" hidden="false" name="A_S2" vbProcedure="false">Auswahllisten!$B$12</definedName>
    <definedName function="false" hidden="false" name="A_S3" vbProcedure="false">Auswahllisten!$B$13</definedName>
    <definedName function="false" hidden="false" name="A_SP1" vbProcedure="false">Auswahllisten!$B$21</definedName>
    <definedName function="false" hidden="false" name="A_SP2" vbProcedure="false">Auswahllisten!$B$22</definedName>
    <definedName function="false" hidden="false" name="A_SP3" vbProcedure="false">Auswahllisten!$B$23</definedName>
    <definedName function="false" hidden="false" name="A_SV1" vbProcedure="false">Auswahllisten!$B$16</definedName>
    <definedName function="false" hidden="false" name="A_SV2" vbProcedure="false">Auswahllisten!$B$17</definedName>
    <definedName function="false" hidden="false" name="A_SV3" vbProcedure="false">Auswahllisten!$B$18</definedName>
    <definedName function="false" hidden="false" name="A_T1" vbProcedure="false">Auswahllisten!$B$26</definedName>
    <definedName function="false" hidden="false" name="A_T2" vbProcedure="false">Auswahllisten!$B$27</definedName>
    <definedName function="false" hidden="false" name="A_T3" vbProcedure="false">Auswahllisten!$B$28</definedName>
    <definedName function="false" hidden="false" name="E_A0" vbProcedure="false">Fragen_Prototyp_Einzelfahrzeug!$B$26</definedName>
    <definedName function="false" hidden="false" name="E_A1" vbProcedure="false">Empfehlungslisten!$B$4</definedName>
    <definedName function="false" hidden="false" name="E_A10" vbProcedure="false">Empfehlungslisten!$B$13</definedName>
    <definedName function="false" hidden="false" name="E_A11" vbProcedure="false">Empfehlungslisten!$B$14</definedName>
    <definedName function="false" hidden="false" name="E_A2" vbProcedure="false">Empfehlungslisten!$B$5</definedName>
    <definedName function="false" hidden="false" name="E_A3" vbProcedure="false">Empfehlungslisten!$B$6</definedName>
    <definedName function="false" hidden="false" name="E_A4" vbProcedure="false">Empfehlungslisten!$B$7</definedName>
    <definedName function="false" hidden="false" name="E_A5" vbProcedure="false">Empfehlungslisten!$B$8</definedName>
    <definedName function="false" hidden="false" name="E_A6" vbProcedure="false">Empfehlungslisten!$B$9</definedName>
    <definedName function="false" hidden="false" name="E_A7" vbProcedure="false">Empfehlungslisten!$B$10</definedName>
    <definedName function="false" hidden="false" name="E_A8" vbProcedure="false">Empfehlungslisten!$B$11</definedName>
    <definedName function="false" hidden="false" name="E_A9" vbProcedure="false">Empfehlungslisten!$B$12</definedName>
    <definedName function="false" hidden="false" name="E_F0" vbProcedure="false">Fragen_Prototyp_Einzelfahrzeug!$B$42</definedName>
    <definedName function="false" hidden="false" name="E_F1" vbProcedure="false">Empfehlungslisten!$B$17</definedName>
    <definedName function="false" hidden="false" name="E_F10" vbProcedure="false">Empfehlungslisten!$B$26</definedName>
    <definedName function="false" hidden="false" name="E_F11" vbProcedure="false">Empfehlungslisten!$B$27</definedName>
    <definedName function="false" hidden="false" name="E_F12" vbProcedure="false">Empfehlungslisten!$B$28</definedName>
    <definedName function="false" hidden="false" name="E_F13" vbProcedure="false">Empfehlungslisten!$B$29</definedName>
    <definedName function="false" hidden="false" name="E_F14" vbProcedure="false">Empfehlungslisten!$B$30</definedName>
    <definedName function="false" hidden="false" name="E_F15" vbProcedure="false">Empfehlungslisten!$B$31</definedName>
    <definedName function="false" hidden="false" name="E_F16" vbProcedure="false">Empfehlungslisten!$B$32</definedName>
    <definedName function="false" hidden="false" name="E_F17" vbProcedure="false">Empfehlungslisten!$B$33</definedName>
    <definedName function="false" hidden="false" name="E_F18" vbProcedure="false">Empfehlungslisten!$B$34</definedName>
    <definedName function="false" hidden="false" name="E_F19" vbProcedure="false">Empfehlungslisten!$B$35</definedName>
    <definedName function="false" hidden="false" name="E_F2" vbProcedure="false">Empfehlungslisten!$B$18</definedName>
    <definedName function="false" hidden="false" name="E_F20" vbProcedure="false">Empfehlungslisten!$B$36</definedName>
    <definedName function="false" hidden="false" name="E_F21" vbProcedure="false">Empfehlungslisten!$B$37</definedName>
    <definedName function="false" hidden="false" name="E_F22" vbProcedure="false">Empfehlungslisten!$B$38</definedName>
    <definedName function="false" hidden="false" name="E_F23" vbProcedure="false">Empfehlungslisten!$B$39</definedName>
    <definedName function="false" hidden="false" name="E_F24" vbProcedure="false">Empfehlungslisten!$B$40</definedName>
    <definedName function="false" hidden="false" name="E_F25" vbProcedure="false">Empfehlungslisten!$B$41</definedName>
    <definedName function="false" hidden="false" name="E_F26" vbProcedure="false">Empfehlungslisten!$B$42</definedName>
    <definedName function="false" hidden="false" name="E_F27" vbProcedure="false">Empfehlungslisten!$B$43</definedName>
    <definedName function="false" hidden="false" name="E_F28" vbProcedure="false">Empfehlungslisten!$B$44</definedName>
    <definedName function="false" hidden="false" name="E_F29" vbProcedure="false">Empfehlungslisten!$B$45</definedName>
    <definedName function="false" hidden="false" name="E_F3" vbProcedure="false">Empfehlungslisten!$B$19</definedName>
    <definedName function="false" hidden="false" name="E_F30" vbProcedure="false">Empfehlungslisten!$B$46</definedName>
    <definedName function="false" hidden="false" name="E_F31" vbProcedure="false">Empfehlungslisten!$B$47</definedName>
    <definedName function="false" hidden="false" name="E_F32" vbProcedure="false">Empfehlungslisten!$B$48</definedName>
    <definedName function="false" hidden="false" name="E_F33" vbProcedure="false">Empfehlungslisten!$B$49</definedName>
    <definedName function="false" hidden="false" name="E_F34" vbProcedure="false">Empfehlungslisten!$B$50</definedName>
    <definedName function="false" hidden="false" name="E_F35" vbProcedure="false">Empfehlungslisten!$B$51</definedName>
    <definedName function="false" hidden="false" name="E_F36" vbProcedure="false">Empfehlungslisten!$B$52</definedName>
    <definedName function="false" hidden="false" name="E_F37" vbProcedure="false">Empfehlungslisten!$B$53</definedName>
    <definedName function="false" hidden="false" name="E_F38" vbProcedure="false">Empfehlungslisten!$B$54</definedName>
    <definedName function="false" hidden="false" name="E_F39" vbProcedure="false">Empfehlungslisten!$B$55</definedName>
    <definedName function="false" hidden="false" name="E_F4" vbProcedure="false">Empfehlungslisten!$B$20</definedName>
    <definedName function="false" hidden="false" name="E_F40" vbProcedure="false">Empfehlungslisten!$B$56</definedName>
    <definedName function="false" hidden="false" name="E_F41" vbProcedure="false">Empfehlungslisten!$B$57</definedName>
    <definedName function="false" hidden="false" name="E_F42" vbProcedure="false">Empfehlungslisten!$B$58</definedName>
    <definedName function="false" hidden="false" name="E_F5" vbProcedure="false">Empfehlungslisten!$B$21</definedName>
    <definedName function="false" hidden="false" name="E_F6" vbProcedure="false">Empfehlungslisten!$B$22</definedName>
    <definedName function="false" hidden="false" name="E_F7" vbProcedure="false">Empfehlungslisten!$B$23</definedName>
    <definedName function="false" hidden="false" name="E_F8" vbProcedure="false">Empfehlungslisten!$B$24</definedName>
    <definedName function="false" hidden="false" name="E_F9" vbProcedure="false">Empfehlungslisten!$B$25</definedName>
    <definedName function="false" hidden="false" name="F_B1" vbProcedure="false">Fragen_Prototyp_Flotte!$B$11</definedName>
    <definedName function="false" hidden="false" name="F_BF1" vbProcedure="false">Fragen_Prototyp_Flotte!$B$22</definedName>
    <definedName function="false" hidden="false" name="F_CP1" vbProcedure="false">Fragen_Prototyp_Flotte!$B$26</definedName>
    <definedName function="false" hidden="false" name="F_CS1" vbProcedure="false">Fragen_Prototyp_Flotte!$B$28</definedName>
    <definedName function="false" hidden="false" name="F_E1" vbProcedure="false">Fragen_Prototyp_Flotte!$B$14</definedName>
    <definedName function="false" hidden="false" name="F_E2" vbProcedure="false">Fragen_Prototyp_Flotte!$B$57</definedName>
    <definedName function="false" hidden="false" name="F_F1" vbProcedure="false">Fragen_Prototyp_Einzelfahrzeug!$B$23</definedName>
    <definedName function="false" hidden="false" name="F_FL1" vbProcedure="false">Fragen_Prototyp_Flotte!$B$24</definedName>
    <definedName function="false" hidden="false" name="F_L1" vbProcedure="false">Fragen_Prototyp_Einzelfahrzeug!$B$17</definedName>
    <definedName function="false" hidden="false" name="F_L2" vbProcedure="false">Fragen_Prototyp_Einzelfahrzeug!$B$20</definedName>
    <definedName function="false" hidden="false" name="F_LE1" vbProcedure="false">Fragen_Prototyp_Einzelfahrzeug!$B$39</definedName>
    <definedName function="false" hidden="false" name="F_M1" vbProcedure="false">Fragen_Prototyp_Flotte!$B$30</definedName>
    <definedName function="false" hidden="false" name="F_P1" vbProcedure="false">Fragen_Prototyp_Einzelfahrzeug!$B$33</definedName>
    <definedName function="false" hidden="false" name="F_R1" vbProcedure="false">Fragen_Prototyp_Einzelfahrzeug!$B$11</definedName>
    <definedName function="false" hidden="false" name="F_S1" vbProcedure="false">Fragen_Prototyp_Einzelfahrzeug!$E$11</definedName>
    <definedName function="false" hidden="false" name="F_SP1" vbProcedure="false">Fragen_Prototyp_Einzelfahrzeug!$E$33</definedName>
    <definedName function="false" hidden="false" name="F_SZ1" vbProcedure="false">Fragen_Prototyp_Einzelfahrzeug!$B$14</definedName>
    <definedName function="false" hidden="false" name="F_T1" vbProcedure="false">Fragen_Prototyp_Einzelfahrzeug!$B$36</definedName>
    <definedName function="false" hidden="false" name="H_F1" vbProcedure="false">Hinweisliste_Flotte!$B$4</definedName>
    <definedName function="false" hidden="false" name="H_F2" vbProcedure="false">Hinweisliste_Flotte!$B$5</definedName>
    <definedName function="false" hidden="false" name="H_F3" vbProcedure="false">Hinweisliste_Flotte!$B$8</definedName>
    <definedName function="false" hidden="false" name="H_F4" vbProcedure="false">Hinweisliste_Flotte!$B$9</definedName>
    <definedName function="false" hidden="false" name="H_F5" vbProcedure="false">Hinweisliste_Flotte!$B$10</definedName>
    <definedName function="false" hidden="false" name="H_V1" vbProcedure="false">Hinweisliste_Flotte!$B$13</definedName>
    <definedName function="false" hidden="false" name="H_V2" vbProcedure="false">Hinweisliste_Flotte!$B$14</definedName>
    <definedName function="false" hidden="false" name="H_V3" vbProcedure="false">Hinweisliste_Flotte!$B$15</definedName>
    <definedName function="false" hidden="false" name="H_V4" vbProcedure="false">Hinweisliste_Flotte!$B$16</definedName>
    <definedName function="false" hidden="false" name="H_V5" vbProcedure="false">Hinweisliste_Flotte!$B$17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TS</author>
  </authors>
  <commentList>
    <comment ref="E6"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Gibt es für die Download-Funktion eine konkrete Funktion? d.h. Was genau soll heruntergeladen werden?
Ich könnte hier wieder die Seite drucken, wie beiden Infoboxen
Reply:
    Für eine schnelle Lösung, damit ich das heute Abend rausschicken kann, können wir das gerne erstmal so machen. Müsste dann aber im Querformat sein, oder? Später könnte man es dann auch untereinander bringen, damit es im Hochformat auf eine DIN A4 Seite passt, also immer erst die Angaben mit der Frage und der eigenen Eingabe, und dann jeweils darunter die Ergebnisse (nach dem jeweiligen Fragenblock, der die Ergebnisse generiert). 
Reply:
    Wie soll den die finale Lösung aussehen, vll geht  das ja ähnlich schnell?
Reply:
    Die linke Seite mit den allen Fragen und Antworten z.B. zur Antriebsart, und dann danach die Empfehlung zur Antriebsart. Dann alle Fragen und Antworten zum Fahrzeugsegment und dann die Empfehlung dazu (analog bei den Vorüberlegungen). Und so platziert, dass es auf DIN A4 passt</t>
        </r>
      </text>
    </comment>
    <comment ref="E11"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2023-05-31_Hilfeboxen.docx
Reply:
    done</t>
        </r>
      </text>
    </comment>
    <comment ref="E15"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Was soll heruntergeladen werden?
Ich könnte auch her die Seite oder einen Teil davon zum Drucken anbieten.
Reply:
    Die Downloadfunktion bezieht sich hier auf das gleiche wie im Kommentar zu Zeile 6, also alle Seiten der Vorüberlegungen. Wenn noch nicht alles ausgefüllt ist, bleiben die Eingaben/Ergebnisse einfach leer. Hier am Ende soll einfach nochmal ganz explizit der Download-Hinweis kommen, damit diese Funktion nicht nur im Button in der Kopfzeile versteckt ist</t>
        </r>
      </text>
    </comment>
    <comment ref="E21"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Gibt es diese Texte als DOC-Datei?
Ich finde sie grad nicht, und aus Figma kann ich sie nicht (mehr) kopieren. Das alles abzutippen dauert zu lang:)
Reply:
    Da hatte ich Susanne einfach auf MeR verwiesen: Du kannst die Infos von MeR übernehmen, bis auf den gelb-markierten Satz bei der Datenschutzerklärung (siehe Screenshot rechts)
Reply:
    done</t>
        </r>
      </text>
    </comment>
    <comment ref="E22"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Figma behandelt diesen Fall eigentlich nicht: Die Box für die Anwendung ist immer statisch.
Wem wir das auch beschränken müssen wir zB eine Lösung finden wie wir die ausgeblendete Hintergrundgrafik darstellen:
Die Haptik hier ist ja das es 'aus dem rechten Rand raus' geschoben wird. Wenn die App aber nicht mehr am rechten Bildschirmrand ist, muss da was anderes her:
https://i.imgur.com/w4bP2jE.png
Muss Susanne nochmal schauen
Reply:
    Finde ich aber schon mal gut, wie du es jetzt umgesetzt hast. 
Reply:
    Es kam noch folgende Rückmeldung von einem Kollegen: "Kann man das Fenster auf den Browser skalieren lassen? Bei mir war bspw. der „Weiter“-Knopf gerade komplett abgeschnitten. Wenn man nicht runterscrollt, sieht man den Knopf nicht" -&gt; Vielleicht kann man die Navigation bei Vorüberlegungen und Empfehlungen immer am unteren Bildschirmrand fixieren, damit der Weiter-Button und der Fortschritt immer zu sehen sind. @Susanne: Da kannst du gerne nochmal überlegen, wie man das am besten macht :-)
Reply:
    Naja, das kan man nur lösen in dem man die Eingabe-Felder abschneidet/mit einer Scrollbar versieht, oder indem man sie platzsparender anordnet
Reply:
    Ich habe ein Lösung hochgeladen, die die Inhalte der linken und rechten Seite jeweils begrenzt und zur Not scrollt
Reply:
    Finde ich gut! </t>
        </r>
      </text>
    </comment>
    <comment ref="E29"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vmtl ist bei dir Figma nicht auf 100% gezoomt. Wenn ich es gegenüberstellt wurde in der Webversion sogar schon einiges an vertikalem Platz eingespaart.
Hier können wir nur durch eine andere Anordnung der Eingaben noch Platz sparen, oder eben alles enger machen, aber das sollten wir dann überall machen, damit das Design nicht schräg wirkt:)
Reply:
    Ah okay, danke für die Einordnung! Dann warten wir damit am besten auf Susanne :-)
Reply:
    So wie es jetzt ist (Fußzeile mit Fortschrittsbalken und Weiter-Button fixiert), passt es :-)</t>
        </r>
      </text>
    </comment>
    <comment ref="E35"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Sollte sich dann behoben, der Grdun ist einfach das dann nur eine Zeile benötigt wird für den Text, die Grafiken aber fix für die Höhe von 2 Teilen ausgelegt sind.
Undabhängig der Größe der Gesamtanwendung habe ich erstmal eine Maximalbreite für die einzelnen Boxen festgelegt um das zu umgehen.
Reply:
    Ah okay! Gerade sieht's bei mir gut aus bis auf die öffentlichen Verkehrsmittel - die sind noch abgeschnitten
Reply:
    Hab es noch etwas schmaler gemacht
Reply:
    Sieht gut aus, danke dir!</t>
        </r>
      </text>
    </comment>
    <comment ref="E38"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Ich würde nochmal Susanne dazu befragen. Ist nur anekdotisch, aber ich hab den Eindruck das das oft die User nervt, weil sie meist 'einkanalig' unterwegs sind und nicht gern viele Tabs auf haben.
Ich bin selber auch Typ viele Tabs, aber ich weiss dann auch das ich mit Strg-klick oder mittelklick links in eigenem Tab öffnen kann.
Reply:
    Okay, dann fragen wir sie nochmal :-)
Reply:
    Susanne ist dafür, die Links in einem neuen Tab zu öffnen :-)</t>
        </r>
      </text>
    </comment>
    <comment ref="E40"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Zoomfunktion ist kein Problem, aber hier wirklich nötig? Die Grafik hat ja nicht viel mehr Details, die nicht schon gut sichtbar sind oder?
Reply:
    Das stimmt - können wir von mir aus weglassen :-)
Reply:
    Wenn ihr die noch habt: Die Grafik wäre als SVG oä auch schön; auf dem Laptop sieht sie etwas unscharf aus, weil das display das hochauflösend ist.
Reply:
    Hab sie jetzt selber aus der Word-Datei als SVG extrahiert und die Farben so angepasst wie in Susannes Version
Reply:
    Sehr cool, vielen Dank für die extra Mühe! Und sogar die 2 bei CO2 tiefgestellt :-D</t>
        </r>
      </text>
    </comment>
    <comment ref="E43"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Kann man leider nicht kontrollieren
Reply:
    Alles klar!</t>
        </r>
      </text>
    </comment>
    <comment ref="E44"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Bei mir wird das aktuell auf Seite 2 gedruckt im PDF.
Das Layout für diesen Druck werde ich noch überarbeiten, und dort unnötige Abstände rausnehmen, so das es dann hoffentlich alles auf eine Seite passen wird.
Reply:
    Bei mir werden die ersten Seiten (wie in Zeile 36 beschrieben) einfach immer doppelt gedruckt. Ich schicke dir gleich mal ein Beispiel per Mail</t>
        </r>
      </text>
    </comment>
    <comment ref="E49"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Ich denke ein PDF aus Word erstellt ist hier sinnvoller, weil ich kann Figma auch nicht editieren und da im PDF selber zu editieren ist sehr umständlich
Reply:
    Auf jeden Fall! Liegt auf Teams (habe dir vorhin dazu eine Mail geschickt): Umweltanforderungen_Pkw-Beschaffung.pdf
Reply:
    ist online
Reply:
    Bei Empfehlungen Seite 4 bitte auch noch hinterlegen :-)
Reply:
    done
Reply:
    Super! Wenn du die Zeit hast, kannst du dann gerne noch das Format von Susanne nachbauen
Reply:
    Ist jetzt nativ umgesetzt
Reply:
    Danke dir! Noch ein paar kleine Anpassungen: 
Rechtlicher Hinweis-Box: Erster Absatz "50 g CO2/km" mit Abstand zwischen "50" und "g" und tiefgestellter 2 bei CO2. Spaltenumbruch bei "Die in dieser Übersicht gelisteten Umweltanforderungen..." damit inhaltlich geclustert (so wie in Figma). Hyperlink über "Projekt" entfernen und nur über Projekttitel lassen.
In Tabelle: Zeile 4, Spalte 3 -&gt; "1" hochgestellt und Fußnote + Legende unter Tabelle ergänzen (siehe https://www.nachhaltige-oeffentliche-pkw-beschaffung.de/betatest/assets/downloads/Umweltanforderungen.pdf) . Zeile 7, Spalte 1 -&gt; Bindestrich bei "Mindestreichweite" entfernen.
Zuschlagskriterien: "Batteriegarantie" statt "Batterie-Garantie". 
Umgang mit Sonderausstattung: Mehr Abstand zwischen Haupt- und Unterpunkten (siehe Figma)
Reply:
    done
Reply:
    Folgende Punkte sind noch nicht umgesetzt:
Rechtlicher Hinweis-Box: Erster Absatz "50 g CO2/km" mit Abstand zwischen "50" und "g". Spaltenumbruch bei "Die in dieser Übersicht gelisteten Umweltanforderungen..." damit inhaltlich geclustert (so wie in Figma). 
In Tabelle: Fußnote und Erläuterungen unter der Tabelle in getrennte Zeilen, also Zeilenumbruch nach "eingehalten"
Reply:
    Für den Firefox brauchte es hier noch ein paar Workarounds. Ist jetzt einheitlich.</t>
        </r>
      </text>
    </comment>
    <comment ref="E53"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2023-05-31_Hilfeboxen.docx
Reply:
    done
Reply:
    Der zusätzliche Text unter der Überschrift von 1.2 fehlt noch (siehe letzter Abschnitt des Tasks)
Reply:
    satz ist ergänzt
Reply:
    Sorry, ungenaue Beschreibung von mir. Kannst du den Satz direkt unter die Unterüberschrift setzen und dann nicht fettgedruckt? Und dann danach erst die Frage in fettgedruckt. Also so wie der obere Absatz bei Empfehlungen 4/4
Reply:
    so jetzt besser?
Reply:
    Ja perfekt, danke dir!</t>
        </r>
      </text>
    </comment>
    <comment ref="E54"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2023-05-31_Hilfeboxen.docx
Reply:
    sind ergänzt
Reply:
    Die 2 Hilfebuttons auf Seite 2/4 fehlen bei mir noch. Und kannst du als Tooltip "Hilfe" einfügen statt "Empfehlungen"? Gleiches dann auch bei dem Hilfe-Button bei Vorüberlegungen 2/4
Reply:
    done
Reply:
    siehe Mail
Reply:
    In Mails: Text bei zweiter Hilfebox anpassen und Tooltip "Hilfe ergänzen"
Reply:
    done
Reply:
    Siehe Mail (die "Hilfe" erscheint bei mir noch nicht, aber ist auch erstmal nicht so wichtig) -&gt; kannst du die Version jetzt live schalten? :-)
Reply:
    Danke dir! Jetzt funktioniert bei mir auch die "Hilfe" :-)</t>
        </r>
      </text>
    </comment>
    <comment ref="E81"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2023-05-15_Infoboxen Online-Tool_Pkw-Beschaffung.docx</t>
        </r>
      </text>
    </comment>
    <comment ref="E97"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Link über "TREMOD 2020": 
https://www.ifeu.de/methoden-tools/modelle/tremod/
Link über "KBA":
https://www.kba.de/DE/Statistik/Fahrzeuge/Neuzulassungen/neuzulassungen_node.html</t>
        </r>
      </text>
    </comment>
    <comment ref="E99"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https://bmdv.bund.de/SharedDocs/DE/Artikel/G/clean-vehicles-directive.html </t>
        </r>
      </text>
    </comment>
    <comment ref="E101"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Umweltanforderungen_Pkw-Beschaffung.pdf</t>
        </r>
      </text>
    </comment>
    <comment ref="E103"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2023-05-15_Infoboxen Online-Tool_Pkw-Beschaffung.docx</t>
        </r>
      </text>
    </comment>
    <comment ref="G5"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Beim Hovern über Symbol "Eingaben zurücksetzen" anzeigen und noch einen Dialog öffnen "Alle Eingaben zurücksetzen?" wie bei MeR  
Reply:
    done
Reply:
    Bei mir wird auch noch der langsame, schwarze Tooltip mit dem Titel des Tooleinstiegs angezeigt. Kannst du den rausnehmen? Und den grauen Tooltip gerne verkürzen auf "Eingaben zurücksetzen" - das "Alle" kommt dann ja nochmal im Prüfdialog :-)
Reply:
    done</t>
        </r>
      </text>
    </comment>
    <comment ref="G7"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Wenn man zwei mal auf DOKUMENTATION klickt, wechselt die Ansicht zur ÜBERSICHTSGRAFIK und bleibt nicht einfach bei DOKUMENTATION (andersrum genauso bei ÜBERSICHTSGRAFIK). Beim Klicken auf DOKUMENTATION bitte immer bei der Doku-Ansicht bleiben (analog mit der Grafik)
Reply:
    done</t>
        </r>
      </text>
    </comment>
    <comment ref="G9"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Die Farbe stimmt, aber die Prozentzahl ist verschwunden ;-)
Reply:
    Fehlte noch der Upload der 'deutsche Zahlen formatieren'-Bibliothek.
Reply:
    Jetzt sieht's super aus :-)</t>
        </r>
      </text>
    </comment>
    <comment ref="G13"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Rahmen um Buttons wie in Übersichtsgrafik (siehe Figma). Und ist das die gleiche Schriftart wie in der Übersichtsgrafik? Sieht irgendwie anders aus, dabei soll es an sich einfach der jeweils kopierte Button aus der Übersichtsgrafik sein
Reply:
    Pkw-Button verbreitern -&gt; gleiche Breite wie Pooling etc. (siehe Figma)
Reply:
    done
Reply:
    Bei mir sieht's links und rechts irgendwie immer noch nicht nach dem gleichen Button aus (siehe Screenshots in Spalte J)
Reply:
    Der Grund ist das es rechts eine SVG-Grafik von susanne ist, um die Postionen der buttons exakt zur übernehmen, und links sind es HTML-Buttons. Ich versuche den Rahmen etwas dicker zu machen um da anzugleichen.
Reply:
    Ah okay, danke dir!
Reply:
    hab es angeglichen
Reply:
    Top, danke dir!</t>
        </r>
      </text>
    </comment>
    <comment ref="G15"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Erstmal nur als Druckdialog ist okay, aber wir bräuchten in der PDF dann auch die vorigen Seiten 2-3 der Vorüberlegungen
Reply:
    hm das ist schwieriger da die nicht sichtbar sind... dann erstell ich doch eine extra-druck-seite in der ales nochmal aufgelistet ist
Reply:
    Okay, danke dir!
Reply:
    Es wird jetzt alles gedruckt, jedoch immer zuerst die Fragen und dann alle Antworten. Anders geht es aktuell ohne größere Umbauten nicht
Reply:
    Abgesehen vom Bug auf der letzten Seite passt das so, danke dir!
Reply:
    Fehler gefunden und auf Dev behoben
Reply:
    Sehr cool! Kannst du das dann direkt mit der Live-Version synchronisieren?</t>
        </r>
      </text>
    </comment>
    <comment ref="G16"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Bei mir geht der Text jetzt über drei Zeilen (siehe Screenshot rechts)
Reply:
    Hängt auch immer ein wenig von Browser und dem Schriftrendering des OS ab. Habs noch ein wenig justiert
Reply:
    Super, jetzt sind's zwei  Zeilen bei mir. Mit "Ihre" in der nächsten Zeile wäre es perfekt - dann gibt's da auch inhaltlich den Bruch ;-)
Reply:
    dann würde ich nicht die breite festlegen, sondern einfach einen manuellen, festen Zeilenumbruch dort einfügen
Reply:
    Ja perfekt!</t>
        </r>
      </text>
    </comment>
    <comment ref="G18"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ifeu-Logo auf die gleiche Höhe wie die anderen Logos rücken; Berliner Logo vergrößern, sodass der untere Abschluss mit dem Brandenburger Logo zusammenpasst
Reply:
    done, sieht aber immernoch bissl schräg aus find ich
Reply:
    Das stimmt.. Sonst das ifeu-Logo vielleicht mittig zu den anderen Logos?
Reply:
    habs mal probiert
Reply:
    Top!</t>
        </r>
      </text>
    </comment>
    <comment ref="G20"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Graue Linie über "Über das Online-Tool" und etwas größere und eingerücktere Pfeile auf der rechten Seite (siehe Figma)
Reply:
    done
Reply:
    Kannst du das Grau von den Linien und Pfeilen noch ein bisschen dunkler wählen (siehe Figma)? Ist jetzt wirklich sehr dezent ;-)
Reply:
    ist geändert</t>
        </r>
      </text>
    </comment>
    <comment ref="G30"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Die Kreisgrößen von Sharing und Mieten sind gleich groß, sodass die übereinander liegen. Wenn das möglich ist, die Kreise pro Rechteck auch eher gleich groß lassen und dann nebeneinander anordnen (können gerne überlappen). Bei Pooling und Mieten bitte die Farben umdrehen (siehe Figma).
Reply:
    Und gerne die Grafik erst einblenden, sobald die erste Auswahl getroffen wurde. Davor noch ausgegraut und nur Nummer und Titel wie bei den anderen Boxen. 
Reply:
    kannst du mir kurz vorgaben geben welche Kreise welche Radii haben sollen? Ich habe das auf Figne abgeleitet, aber da die Kreise ja in den Rechts Spalten größer werden sollen, habe ich keine 'Grundgröße' für jeden Kreis
Reply:
    Ich schicke dir gleich eine PPT dazu!
Reply:
    Kreise pro Rechteck auf eine Höhe bringen (siehe PPT)
Reply:
    Sollen sie nicht versetzt sein, damit sie sich nicht 100% überlappen? Oder soll das dynamisch ermittelt werden, das sie nur versetzt werden, wenn mehr als 1 kreis in einem rechteck ist?
Reply:
    Letzteres wäre natürlich optimal. Ich würde aber sagen, dass wir hier mit der Optimierung warten können, bis Susanne aus ihrer Auszeit zurück ist und nochmal einen Blick drauf geworfen hat :-)
Reply:
    Habe jetzt mit Susanne besprochen, dass es so wie hier in verschiedenen (hypothetischen) Ansichten gezeigt ist, ausgestaltet werden soll: Alternativen zum Pkw-Kauf.pptx Also wie von dir vorgeschlagen: Wenn nur ein Kreis in einem Feld ist, dann mittig positionieren. Wenn mehrere Kreise in einem Feld sind, nebeneinander bzw. überlappen, aber nur in der Horizontalen und nicht versetzt in der Vertikalen (siehe möglich Positionen in der PowerPoint-Präsentation). </t>
        </r>
      </text>
    </comment>
    <comment ref="G31"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Das Hovern über die Kreise funktioniert bei mir noch nicht. Und mir ist noch ein Schreibfehler aufgefallen -&gt; Bevorzugen mit u statt o hinten
Reply:
    dauert je nach Browser-Einstellung evtl ne Sekunde. 
Ich hab sie jetzt mal durch JS-Tooltips ersetzt, die sofort kommen
Reply:
    Hast recht - jetzt kommen die Tooltips bei mir nach kurzem Warten doppelt ;-) Kannst du die langsameren (schwarzen) wieder rausnehmen? Und noch eine letzte Wording-Sache: Kannst du bei "Car-Sharing" den Bindestrich und das große S mit reinnehmen? War auch in Figma falsch.. Aber dann ist es einheitlich mir der Infobox :-)
Reply:
    done</t>
        </r>
      </text>
    </comment>
    <comment ref="G44"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Bei FF sieht bei mir jetzt alles gut aus. Bei Chrome fehlt bei mir bei der Antriebsart unten noch ein bisschen was vom PHEV-Kasten und der Abschnitt darunter (der Abschnitt darunter soll aber eh auf die linke Seite wechseln (siehe Zeile 45))
Reply:
    sollte jetzt besser sin</t>
        </r>
      </text>
    </comment>
    <comment ref="G47"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Hier gerne auch noch die Links auf die Logos setzen (wie auf der Startseite in der Fußzeile)
Reply:
    done</t>
        </r>
      </text>
    </comment>
    <comment ref="G57"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Beim Jobrad-Kasten in der Infobox "Abo/Leasing eines Fahrrads" ist der untere Teil des §-Symbols abgeschnitten
Reply:
    fixed</t>
        </r>
      </text>
    </comment>
    <comment ref="G58"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Positionierung auf Startseite noch mit Susanne besprechen
Reply:
    Kannst du den Tool-Namen in der Kopfzeile auf den Unterseiten noch ein bisschen mehr vom Logo abrücken? Und auf der Startseite: "Willkommen beim Online-Tool" etwas näher an den Tooltitel ranrücken (also etwas weiter runterziehen) und dann um die gleiche Distanz das Logo weiter nach unten verschieben (Abstand zwischen Logo und "Willkommen beim Online-Tool" bleibt aber gleich) -&gt; Siehe Vorschlag rechts
Reply:
    done</t>
        </r>
      </text>
    </comment>
    <comment ref="G60"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An Till: Kannst du beim Hovern über die Navigationspunkte die Hand erscheinen lassen wie bei den anderen aktiven Elementen?
Reply:
    Und das Blau heller (wie beim Weiter-Button -&gt; siehe Figma)
Reply:
    done</t>
        </r>
      </text>
    </comment>
    <comment ref="G65"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Bitte "Angebotswertung" und "Rechner" in den Kästen jeweils zentrieren
Reply:
    done</t>
        </r>
      </text>
    </comment>
    <comment ref="G71"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Wenn es von den Logos jeweils noch SVG-Versionen gibt, sähe es noch etwas schärfer aus. Für Ifeu hab ich glaub eins von MeD. für die anderen findet sich bestimmt auch mit der Bildersuche etwas</t>
        </r>
      </text>
    </comment>
    <comment ref="G77"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Hab es mal halbautomatisch übernommen, ich hoffe es hat alle erwischt. Ich schau später nochmal genau drüber,
Reply:
    Meine Stichprobe sah soweit schon mal gut aus :-)</t>
        </r>
      </text>
    </comment>
    <comment ref="G78"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Kann man es auch so einstellen, dass das Feld mit Enter verlassen wird, also nicht mehr ausgewählt ist? Wenn das aufwändig einzustellen ist, ist das aber auch nicht nötig :-)
Reply:
    Das ist jetzt auch so. Im ersten Schritt hatte ich nur den Fehler entfernt.
Reply:
    Jetzt geht es bei mir nach Enter direkt zum nächsten Feld. An sich ein schöner Service, aber z.B. bei Vorüberlegungen 4/4 passiert dann nichts mehr bei Enter, weil es kein nächstes Feld mehr gibt (das Feld wird bei Enter dann aber auch nicht mehr verlassen). Und bei Empfehlungen 2/4 wird bei mir beim ersten Betreten direkt das zweite Feld angewählt und nicht das erste.. 
Reply:
    Dann war das ein Mißverständins, ich dachte genau so war der Wunsch. Ich würde auf keinen Fall den nach Focus programmatisch entfernen, ohne neuen neuen zu setzen, da das sonst Tastaturbedienung unmöglich macht.
Dass das Zweite Feld selektiert wurde war in einer Zwischenversion so, evtl hat es sich mit meinem Kommentar überschnitten,; probier nochmal bitte:)
Reply:
    Bei den Empfehlungen wird bei mir immer noch das zweite Feld ausgewählt. Ich glaube kaum, dass jemand aus der öffentlichen Verwaltung die Tastaturbedienung benutzt, aber klar, wenn das fixbar ist, ist das ein einfaches Durchleiten durch die Abfragen :-) Aber wie gesagt, keine Prio ;-)
Reply:
    Fehler gefunden!</t>
        </r>
      </text>
    </comment>
    <comment ref="G85"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Die Schriftgröße in den Boxen ist die 'Defaultgröße' für Fließtext. 
Die Schriftgröße für die drei Fragen oben ist die für Überschriften 4. Ordnung.
Soll der Fließtext wirklich die Überschrifteingröße bekommen, oder vll besser umgekehrt?
Reply:
    Alles klar, dann lassen wir den Fließtext erstmal in der jetzigen Schriftgröße. Könntest du aber die Überschriften im Akkordeonmenü (also "Über das Online-Tool" etc.) eine Schriftgrößenstufe von Material Design kleiner machen?
Reply:
    done. 
Reply:
    Kannst du die Schriftgröße der Überschriften im Akkordeonmenü noch eine Stufe kleiner machen? Und den Abstand zwischen dem Tooleinstieg und der jeweiligen Frage darüber + den Abstand zwischen dem Akkordeonmenü und der Fußzeile verkleinern (so wie in Figma jeweils)?</t>
        </r>
      </text>
    </comment>
    <comment ref="G87"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Sorry, war ein bisschen missverständlich. Die ersten beiden blauen Kästen sollen wie die Tooleinstiege funktionieren, also dass man direkt zu den Vorüberlegungen oder den Emfpehlungen springt. 
Bei den Umweltanforderungen soll die Druckversion wieder das PDF sein. Gleiches gilt für die Umweltanforderungen beim Akkordeonmenü-Teil "Rechtliche Einordnung"
Reply:
    done</t>
        </r>
      </text>
    </comment>
  </commentList>
</comments>
</file>

<file path=xl/comments2.xml><?xml version="1.0" encoding="utf-8"?>
<comments xmlns="http://schemas.openxmlformats.org/spreadsheetml/2006/main" xmlns:xdr="http://schemas.openxmlformats.org/drawingml/2006/spreadsheetDrawing">
  <authors>
    <author>TS</author>
  </authors>
  <commentList>
    <comment ref="A3" authorId="0">
      <text>
        <r>
          <rPr>
            <sz val="11"/>
            <color rgb="FF000000"/>
            <rFont val="Calibri"/>
            <family val="2"/>
            <charset val="1"/>
          </rPr>
          <t xml:space="preserve">Julia Pelzeter:
</t>
        </r>
        <r>
          <rPr>
            <sz val="9"/>
            <color rgb="FF000000"/>
            <rFont val="Segoe UI"/>
            <family val="2"/>
            <charset val="1"/>
          </rPr>
          <t xml:space="preserve">Kategorie, auf die die Abfragen einen Einfluss haben</t>
        </r>
      </text>
    </comment>
    <comment ref="N26" authorId="0">
      <text>
        <r>
          <rPr>
            <sz val="11"/>
            <color rgb="FF000000"/>
            <rFont val="Calibri"/>
            <family val="2"/>
            <charset val="1"/>
          </rPr>
          <t xml:space="preserve">Julia Pelzeter:
</t>
        </r>
        <r>
          <rPr>
            <sz val="9"/>
            <color rgb="FF000000"/>
            <rFont val="Segoe UI"/>
            <family val="2"/>
            <charset val="1"/>
          </rPr>
          <t xml:space="preserve">Später im Tool ADAC-Artikel verlinken:
https://www.adac.de/rund-ums-fahrzeug/auto-kaufen-verkaufen/kauftipps/autos-viel-platz-rueckbank/</t>
        </r>
      </text>
    </comment>
    <comment ref="N27" authorId="0">
      <text>
        <r>
          <rPr>
            <sz val="11"/>
            <color rgb="FF000000"/>
            <rFont val="Calibri"/>
            <family val="2"/>
            <charset val="1"/>
          </rPr>
          <t xml:space="preserve">Julia Pelzeter:
</t>
        </r>
        <r>
          <rPr>
            <sz val="9"/>
            <color rgb="FF000000"/>
            <rFont val="Segoe UI"/>
            <family val="2"/>
            <charset val="1"/>
          </rPr>
          <t xml:space="preserve">Später im Tool ADAC-Artikel verlinken:
https://www.adac.de/rund-ums-fahrzeug/auto-kaufen-verkaufen/kauftipps/autos-viel-platz-rueckbank/</t>
        </r>
      </text>
    </comment>
    <comment ref="N33" authorId="0">
      <text>
        <r>
          <rPr>
            <sz val="11"/>
            <color rgb="FF000000"/>
            <rFont val="Calibri"/>
            <family val="2"/>
            <charset val="1"/>
          </rPr>
          <t xml:space="preserve">Julia Pelzeter:
</t>
        </r>
        <r>
          <rPr>
            <sz val="9"/>
            <color rgb="FF000000"/>
            <rFont val="Segoe UI"/>
            <family val="2"/>
            <charset val="1"/>
          </rPr>
          <t xml:space="preserve">Später im Tool ADAC-Artikel verlinken: https://www.adac.de/rund-ums-fahrzeug/auto-kaufen-verkaufen/kauftipps/7-sitzer-autos/</t>
        </r>
      </text>
    </comment>
    <comment ref="N51" authorId="0">
      <text>
        <r>
          <rPr>
            <sz val="11"/>
            <color rgb="FF000000"/>
            <rFont val="Calibri"/>
            <family val="2"/>
            <charset val="1"/>
          </rPr>
          <t xml:space="preserve">Julia Pelzeter:
</t>
        </r>
        <r>
          <rPr>
            <sz val="9"/>
            <color rgb="FF000000"/>
            <rFont val="Segoe UI"/>
            <family val="2"/>
            <charset val="1"/>
          </rPr>
          <t xml:space="preserve">Später im Tool ADAC-Artikel verlinken:
https://www.adac.de/rund-ums-fahrzeug/auto-kaufen-verkaufen/kauftipps/autos-viel-platz-rueckbank/</t>
        </r>
      </text>
    </comment>
    <comment ref="N52" authorId="0">
      <text>
        <r>
          <rPr>
            <sz val="11"/>
            <color rgb="FF000000"/>
            <rFont val="Calibri"/>
            <family val="2"/>
            <charset val="1"/>
          </rPr>
          <t xml:space="preserve">Julia Pelzeter:
</t>
        </r>
        <r>
          <rPr>
            <sz val="9"/>
            <color rgb="FF000000"/>
            <rFont val="Segoe UI"/>
            <family val="2"/>
            <charset val="1"/>
          </rPr>
          <t xml:space="preserve">Später im Tool ADAC-Artikel verlinken:
https://www.adac.de/rund-ums-fahrzeug/auto-kaufen-verkaufen/kauftipps/autos-viel-platz-rueckbank/</t>
        </r>
      </text>
    </comment>
    <comment ref="N53" authorId="0">
      <text>
        <r>
          <rPr>
            <sz val="11"/>
            <color rgb="FF000000"/>
            <rFont val="Calibri"/>
            <family val="2"/>
            <charset val="1"/>
          </rPr>
          <t xml:space="preserve">Julia Pelzeter:
</t>
        </r>
        <r>
          <rPr>
            <sz val="9"/>
            <color rgb="FF000000"/>
            <rFont val="Segoe UI"/>
            <family val="2"/>
            <charset val="1"/>
          </rPr>
          <t xml:space="preserve">Später im Tool ADAC-Artikel verlinken:
https://www.adac.de/rund-ums-fahrzeug/auto-kaufen-verkaufen/kauftipps/autos-viel-platz-rueckbank/</t>
        </r>
      </text>
    </comment>
    <comment ref="N54" authorId="0">
      <text>
        <r>
          <rPr>
            <sz val="11"/>
            <color rgb="FF000000"/>
            <rFont val="Calibri"/>
            <family val="2"/>
            <charset val="1"/>
          </rPr>
          <t xml:space="preserve">Julia Pelzeter:
</t>
        </r>
        <r>
          <rPr>
            <sz val="9"/>
            <color rgb="FF000000"/>
            <rFont val="Segoe UI"/>
            <family val="2"/>
            <charset val="1"/>
          </rPr>
          <t xml:space="preserve">Später im Tool ADAC-Artikel verlinken:
https://www.adac.de/rund-ums-fahrzeug/auto-kaufen-verkaufen/kauftipps/autos-viel-platz-rueckbank/</t>
        </r>
      </text>
    </comment>
  </commentList>
</comments>
</file>

<file path=xl/comments3.xml><?xml version="1.0" encoding="utf-8"?>
<comments xmlns="http://schemas.openxmlformats.org/spreadsheetml/2006/main" xmlns:xdr="http://schemas.openxmlformats.org/drawingml/2006/spreadsheetDrawing">
  <authors>
    <author>TS</author>
  </authors>
  <commentList>
    <comment ref="A6" authorId="0">
      <text>
        <r>
          <rPr>
            <sz val="11"/>
            <color rgb="FF000000"/>
            <rFont val="Calibri"/>
            <family val="2"/>
            <charset val="1"/>
          </rPr>
          <t xml:space="preserve">Julia Pelzeter:
</t>
        </r>
        <r>
          <rPr>
            <sz val="9"/>
            <color rgb="FF000000"/>
            <rFont val="Segoe UI"/>
            <family val="2"/>
            <charset val="1"/>
          </rPr>
          <t xml:space="preserve">Zelle des Textfelds ist mit ID benannt -&gt; als Variable in Formeln verwendet</t>
        </r>
      </text>
    </comment>
    <comment ref="A35" authorId="0">
      <text>
        <r>
          <rPr>
            <sz val="11"/>
            <color rgb="FF000000"/>
            <rFont val="Calibri"/>
            <family val="2"/>
            <charset val="1"/>
          </rPr>
          <t xml:space="preserve">Utilities: Hochdachkombis, Kleinbusse und Pick-ups, die als Pkw zugelassen sind</t>
        </r>
      </text>
    </comment>
  </commentList>
</comments>
</file>

<file path=xl/comments6.xml><?xml version="1.0" encoding="utf-8"?>
<comments xmlns="http://schemas.openxmlformats.org/spreadsheetml/2006/main" xmlns:xdr="http://schemas.openxmlformats.org/drawingml/2006/spreadsheetDrawing">
  <authors>
    <author>TS</author>
  </authors>
  <commentList>
    <comment ref="A3" authorId="0">
      <text>
        <r>
          <rPr>
            <sz val="11"/>
            <color rgb="FF000000"/>
            <rFont val="Calibri"/>
            <family val="2"/>
            <charset val="1"/>
          </rPr>
          <t xml:space="preserve">Julia Pelzeter:
</t>
        </r>
        <r>
          <rPr>
            <sz val="9"/>
            <color rgb="FF000000"/>
            <rFont val="Segoe UI"/>
            <family val="2"/>
            <charset val="1"/>
          </rPr>
          <t xml:space="preserve">Zelle des Textfelds ist mit ID benannt -&gt; als Variable in Formeln verwendet</t>
        </r>
      </text>
    </comment>
  </commentList>
</comments>
</file>

<file path=xl/comments7.xml><?xml version="1.0" encoding="utf-8"?>
<comments xmlns="http://schemas.openxmlformats.org/spreadsheetml/2006/main" xmlns:xdr="http://schemas.openxmlformats.org/drawingml/2006/spreadsheetDrawing">
  <authors>
    <author>TS</author>
  </authors>
  <commentList>
    <comment ref="A3" authorId="0">
      <text>
        <r>
          <rPr>
            <sz val="11"/>
            <color rgb="FF000000"/>
            <rFont val="Calibri"/>
            <family val="2"/>
            <charset val="1"/>
          </rPr>
          <t xml:space="preserve">Julia Pelzeter:
</t>
        </r>
        <r>
          <rPr>
            <sz val="9"/>
            <color rgb="FF000000"/>
            <rFont val="Segoe UI"/>
            <family val="2"/>
            <charset val="1"/>
          </rPr>
          <t xml:space="preserve">Zelle des Textfelds ist mit ID benannt -&gt; als Variable in Formeln verwendet</t>
        </r>
      </text>
    </comment>
    <comment ref="A16" authorId="0">
      <text>
        <r>
          <rPr>
            <sz val="11"/>
            <color rgb="FF000000"/>
            <rFont val="Calibri"/>
            <family val="2"/>
            <charset val="1"/>
          </rPr>
          <t xml:space="preserve">Julia Pelzeter:
</t>
        </r>
        <r>
          <rPr>
            <sz val="9"/>
            <color rgb="FF000000"/>
            <rFont val="Segoe UI"/>
            <family val="2"/>
            <charset val="1"/>
          </rPr>
          <t xml:space="preserve">Zelle des Textfelds ist mit ID benannt -&gt; als Variable in Formeln verwendet</t>
        </r>
      </text>
    </comment>
    <comment ref="B24"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 </t>
        </r>
      </text>
    </comment>
    <comment ref="B25"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t>
        </r>
      </text>
    </comment>
    <comment ref="B27"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 </t>
        </r>
      </text>
    </comment>
    <comment ref="B28"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 </t>
        </r>
      </text>
    </comment>
    <comment ref="B32"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t>
        </r>
      </text>
    </comment>
    <comment ref="B33"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t>
        </r>
      </text>
    </comment>
    <comment ref="B49"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 </t>
        </r>
      </text>
    </comment>
    <comment ref="B50"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t>
        </r>
      </text>
    </comment>
    <comment ref="B51"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t>
        </r>
      </text>
    </comment>
    <comment ref="B52"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t>
        </r>
      </text>
    </comment>
    <comment ref="B55"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 </t>
        </r>
      </text>
    </comment>
    <comment ref="B56"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t>
        </r>
      </text>
    </comment>
    <comment ref="B57"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t>
        </r>
      </text>
    </comment>
    <comment ref="B58"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https://www.adac.de/rund-ums-fahrzeug/auto-kaufen-verkaufen/kauftipps/autos-viel-platz-rueckbank/</t>
        </r>
      </text>
    </comment>
  </commentList>
</comments>
</file>

<file path=xl/comments8.xml><?xml version="1.0" encoding="utf-8"?>
<comments xmlns="http://schemas.openxmlformats.org/spreadsheetml/2006/main" xmlns:xdr="http://schemas.openxmlformats.org/drawingml/2006/spreadsheetDrawing">
  <authors>
    <author>TS</author>
  </authors>
  <commentList>
    <comment ref="A3" authorId="0">
      <text>
        <r>
          <rPr>
            <sz val="11"/>
            <color rgb="FF000000"/>
            <rFont val="Calibri"/>
            <family val="2"/>
            <charset val="1"/>
          </rPr>
          <t xml:space="preserve">Julia Pelzeter:
</t>
        </r>
        <r>
          <rPr>
            <sz val="9"/>
            <color rgb="FF000000"/>
            <rFont val="Segoe UI"/>
            <family val="2"/>
            <charset val="1"/>
          </rPr>
          <t xml:space="preserve">Zelle des Textfelds ist mit ID benannt -&gt; als Variable in Formeln verwendet</t>
        </r>
      </text>
    </comment>
  </commentList>
</comments>
</file>

<file path=xl/sharedStrings.xml><?xml version="1.0" encoding="utf-8"?>
<sst xmlns="http://schemas.openxmlformats.org/spreadsheetml/2006/main" count="1576" uniqueCount="465">
  <si>
    <t xml:space="preserve">Änderungsdatum</t>
  </si>
  <si>
    <t xml:space="preserve">Bearbeitet durch:</t>
  </si>
  <si>
    <t xml:space="preserve">Blatt/Unterseite Website</t>
  </si>
  <si>
    <t xml:space="preserve">Zelle/Position auf Website</t>
  </si>
  <si>
    <t xml:space="preserve">Alter Code/ Änderung auf Website</t>
  </si>
  <si>
    <t xml:space="preserve">Neuer Code</t>
  </si>
  <si>
    <t xml:space="preserve">Priorität</t>
  </si>
  <si>
    <t xml:space="preserve">Im Online-Tool angepasst?</t>
  </si>
  <si>
    <t xml:space="preserve">Webumsetzung geprüft am:</t>
  </si>
  <si>
    <t xml:space="preserve">Anmerkung</t>
  </si>
  <si>
    <t xml:space="preserve">Julia</t>
  </si>
  <si>
    <t xml:space="preserve">Alle</t>
  </si>
  <si>
    <t xml:space="preserve">Formeln: Bezug auf Zellen</t>
  </si>
  <si>
    <t xml:space="preserve">Formeln: Bezug auf Variablennamen (siehe Reiter "Formeln" -&gt; "Namens-Manager")</t>
  </si>
  <si>
    <t xml:space="preserve">Erledigt</t>
  </si>
  <si>
    <t xml:space="preserve">Vorüberlegungen 1/4</t>
  </si>
  <si>
    <t xml:space="preserve">Linke Seite</t>
  </si>
  <si>
    <t xml:space="preserve">Bei Aufzählung einzelne Wörter fettgedruckt wie in Figma</t>
  </si>
  <si>
    <t xml:space="preserve">Rechte Seite</t>
  </si>
  <si>
    <t xml:space="preserve">Verknüpfung der Felder in der Übersichtsgrafik mit den Infoboxen (gleiche Infoboxen wie im Teil "Hintergrundinformationen")</t>
  </si>
  <si>
    <t xml:space="preserve">Vorüberlegungen 2/4</t>
  </si>
  <si>
    <t xml:space="preserve">Kopfzeile: Zurücksetzen-Funktion neben "ANGABEN" wie in Figma</t>
  </si>
  <si>
    <t xml:space="preserve">Kopfzeile wie in Figma ergänzen: DOKUMENTATION, Download-Funktion, Wechselbutton zwischen Dokumentation und Übersichtsgrafik</t>
  </si>
  <si>
    <t xml:space="preserve">Auswahl der Ansicht Dokumentation/Übersichtsgrafik über Wechselbutton in Kopfzeile + über Klicken auf DOKUMENTATION oder ÜBERSICHTSGRAFIK in Kopfzeile + über Pfeil links/rechts auf der rechten Seite neben der Übersichtsgrafik (siehe Animation in Figma)</t>
  </si>
  <si>
    <t xml:space="preserve">Der letzte Satz im Feld Nr. 1 "Bitte überlegen Sie mithilfe der nächsten Frage, ob der Fuhrpark noch weiter verkleinert werden kann." ist statisch und doppelt - einfach rausnehmen (der entsprechende Satz kommt eh über die Verknüpfungen in der Excel-Datei)</t>
  </si>
  <si>
    <t xml:space="preserve">"vergößern" und Prozentzahl in Rot, wenn "vergrößern" gezogen wird; "verkleinern" und "0%" in Gelb, wenn "verkleinern" + 0% berechnet wird; bei Prozentzahlen über 1000 wird zurzeit ein Komma statt Tausenderpunkt angezeigt -&gt; bitte zu Punkt ändern</t>
  </si>
  <si>
    <t xml:space="preserve">Eingabekästen: Rahmen auch schon vor der Eingabe/Auswahl in dunkelgrau (wie in Figma) und Sternchen weglassen</t>
  </si>
  <si>
    <t xml:space="preserve">Fragebutton neben "Wie viele Fahrzeuge aus einem vorhandenen Fuhrpark werden durch diese Beschaffung ersetzt?" (siehe Figma, Text für Hilfebox siehe Link in Kommentar)</t>
  </si>
  <si>
    <t xml:space="preserve">Vorüberlegungen 3/4</t>
  </si>
  <si>
    <t xml:space="preserve">PKW (über der Auswahl für Pooling etc.)</t>
  </si>
  <si>
    <t xml:space="preserve">Pkw</t>
  </si>
  <si>
    <t xml:space="preserve">Farbige Buttons neben Auswahloptionen hinzufügen (siehe Figma), die dann die entsprechenden Infoboxen öffnen</t>
  </si>
  <si>
    <t xml:space="preserve">Auswahlfelder verbreitern, sodass "Häufigkeit der Nutzung" ganz zu sehen ist -&gt; Schrift ggf. auch ein bisschen kleiner; Erste Auswahlfelder etwas von "Eine Analyse der bisherigen Nutzung des Fuhrparks kann bei der Beantwortung der Frage helfen." abrücken/etwas tiefer (siehe Figma)</t>
  </si>
  <si>
    <t xml:space="preserve">Vorüberlegungen 4/4</t>
  </si>
  <si>
    <t xml:space="preserve">Unter 3. -&gt; Hinweis auf Download + Download-Button (siehe Figma) -&gt; im Gegensatz zu Figma soll im Button allerdings stehen "Download Vorüberlegungen"</t>
  </si>
  <si>
    <t xml:space="preserve">Startseite</t>
  </si>
  <si>
    <t xml:space="preserve">Text über Tooleinstieg</t>
  </si>
  <si>
    <t xml:space="preserve">Text in zwei Zeilen anordnen, damit der Text nicht über die gesamte Seite geht</t>
  </si>
  <si>
    <t xml:space="preserve">Burgermenü oben rechts</t>
  </si>
  <si>
    <t xml:space="preserve">Menü nur als Box auf der rechten Seite ausklappen (siehe Figma)</t>
  </si>
  <si>
    <t xml:space="preserve">Fußzeile</t>
  </si>
  <si>
    <t xml:space="preserve">ifeu-Logo nach rechts rücken (sieht bei mir verrutscht aus und ist unter den anderen drei Logos gelandet)</t>
  </si>
  <si>
    <t xml:space="preserve">Link auf Logos setzen -&gt; DBU: https://www.dbu.de/; Berlin: https://www.berlin.de/sen/uvk/; Brandenburg: https://mluk.brandenburg.de/mluk/de/</t>
  </si>
  <si>
    <t xml:space="preserve">Akkordeonmenü</t>
  </si>
  <si>
    <t xml:space="preserve">Nicht als Kasten mit Schatten außenrum, sondern vom Design her wie in Figma</t>
  </si>
  <si>
    <t xml:space="preserve">Impressum und Datenschutz: Overlays mit Infos ergänzen</t>
  </si>
  <si>
    <t xml:space="preserve">Bildschirmbreite</t>
  </si>
  <si>
    <t xml:space="preserve">Tool nicht über die ganze Breite gehen lassen, sondern so wie in Figma + etwas mehr Platz am Rand lassen (wie in Figma)</t>
  </si>
  <si>
    <t xml:space="preserve">Empfehlungen 1/4</t>
  </si>
  <si>
    <t xml:space="preserve">Kopfzeile: Auto-Icon ist wie in Figma ganz ohne Schatten. Bei den Vorüberlegungen hattest du die Version mit ein bisschen Schatten (weniger als in der Übersichtsgrafik, aber mehr als jetzt gerade in Figma in der Kopfzeile) genommen. Das finde ich sogar besser, also gerne auch hier die Version mit ein bisschen Schatten</t>
  </si>
  <si>
    <t xml:space="preserve">Etwas Abstand zwischen den Aufzählungspunkten lassen (siehe Figma)</t>
  </si>
  <si>
    <t xml:space="preserve">Empfehlungen 2/4</t>
  </si>
  <si>
    <t xml:space="preserve">Die ersten beiden Fragen haben schon einen Eintrag, obwohl ich ein neues privates Fenster geöffnet habe </t>
  </si>
  <si>
    <t xml:space="preserve">Empfehlungen 3/4</t>
  </si>
  <si>
    <t xml:space="preserve">Die Ja/Nein-Buttons sehen schon für "Ja" vorausgewählt aus, aber werden anscheinend erst gezogen, nachdem man nochmal draufklickt/die Auswahl wechselt. Hier bitte im ersten Schritt keine Seite einfärben und mit Häkchen versehen</t>
  </si>
  <si>
    <t xml:space="preserve">Empfehlungen 4/4</t>
  </si>
  <si>
    <t xml:space="preserve">Kopfzeile: ANGABEN statt FAHRZEUGSEGMENT</t>
  </si>
  <si>
    <t xml:space="preserve">Infokasten zu Umweltanforderungen: Bindestrich in "Umwelt-anforderungen" rausnehmen -&gt; also erster Satz "Neben der Wahl der Antriebsart und des Fahrzeugsegments können Umweltanforderungen in der Ausschreibung einen Beitrag zur umweltverträglichen Pkw-Beschaffung leisten."</t>
  </si>
  <si>
    <t xml:space="preserve">Ansicht</t>
  </si>
  <si>
    <t xml:space="preserve">Bei mir muss man gerade scrollen, um alles zu sehen. In Figma ist das nicht nötig, aber da ist die Schrift dann auch noch kleiner, oder? Kleiner würde ich mit der Schrift lieber nicht werden. Falls sich das Scrollen nicht vermeiden lässt, gerne die Kopfzeile mit "EMPFEHLUNGEN 4/4" etc. fixieren</t>
  </si>
  <si>
    <t xml:space="preserve">Grafik Alternativen zum Pkw-Kauf -&gt; Anordnung: Einordnung oben/unten in Grafik tauschen, also Fahrrad + ÖPNV oben, die Pkw-bezogenen Kreise (Pooling, Sharing, Mieten) unten; Kreisgröße abhängig machen von x-Achse, also links kleine Kreise, rechts die größten Kreise; Grafik schon anzeigen, sobald die erste Auswahl getroffen wird und dann nach und nach Kreise ergänzen, sobald jeweilige Auswahl getroffen</t>
  </si>
  <si>
    <t xml:space="preserve">Gering</t>
  </si>
  <si>
    <t xml:space="preserve">ja</t>
  </si>
  <si>
    <t xml:space="preserve">siehe Kommentar</t>
  </si>
  <si>
    <t xml:space="preserve">@Till: Ist mit Susanne besprochen; kannst du jetzt umsetzen (siehe Kommentar)</t>
  </si>
  <si>
    <t xml:space="preserve">Grafik Alternativen zum Pkw-Kauf -&gt; Text + Hovern: y-Achsen-Beschriftung: "PKW" ersetzen mit "PKW-KAUF"; x-Achse -&gt; REGELMÄSSIG hat ein S zu viel; Beschriftung aus Legende beim Hovern über Kreise anzeigen (siehe Figma)</t>
  </si>
  <si>
    <t xml:space="preserve">Titel in Tab</t>
  </si>
  <si>
    <t xml:space="preserve">Wenn man auf die offizielle Website klickt, steht oben als Kurztitel im Tab zurzeit "DBU Online-Tool". Kannst du das ändern zu "Pkw-Beschaffung"?</t>
  </si>
  <si>
    <t xml:space="preserve">Hintergrundinformationen</t>
  </si>
  <si>
    <t xml:space="preserve">UX</t>
  </si>
  <si>
    <t xml:space="preserve">Blassere Boxen für Car-Pooling etc. (entsprechend auch bei Öffentl. + Fahrrad) noch etwas blasser einfärben, damit sie sich noch besser abheben</t>
  </si>
  <si>
    <t xml:space="preserve">Funktion</t>
  </si>
  <si>
    <t xml:space="preserve">Suchfunktion ergänzen (siehe Figma)</t>
  </si>
  <si>
    <t xml:space="preserve">Bildchen neben Infoboxen passen nicht ganz in den Rahmen, wenn der Bildschirm sehr breit ist -&gt; Problem löst sich ggf. ohnehin, wenn die Bildschirmbreite nicht mehr ganz ausgenutzt wird (siehe Changelog Zeile 22)</t>
  </si>
  <si>
    <t xml:space="preserve">Download-Funktion</t>
  </si>
  <si>
    <t xml:space="preserve">Cool, dass du die Download-Funktion schon eingebaut hast. Die war an sich von Susanne erstmal nur vorgemerkt für einen späteren Zeitpunkt, aber scheint ja gut zu funktionieren. Eine Sache ist mir dabei jedoch aufgefallen: Die Infoboxen werden in der Druckansicht immer doppelt ausgegeben, also immer zwei Seiten mit dem gleichen Inhalt. Falls sich das einfach lösen lässt, gerne - ansonsten das Icon einfach erstmal weglassen</t>
  </si>
  <si>
    <t xml:space="preserve">Infoboxen - Teilen</t>
  </si>
  <si>
    <t xml:space="preserve">Das Symbol zum Teilen war auch nur von Susanne vorgemerkt - das kannst du erstmal einfach rauslassen</t>
  </si>
  <si>
    <t xml:space="preserve">Infoboxen - Links</t>
  </si>
  <si>
    <t xml:space="preserve">Links zu externen Websites in neuem Tab öffnen</t>
  </si>
  <si>
    <t xml:space="preserve">Mittel</t>
  </si>
  <si>
    <t xml:space="preserve">THG-Vergleich von Verkehrsmitteln</t>
  </si>
  <si>
    <t xml:space="preserve">In erstem Absatz und in Abb.-Beschriftung: CO2 -&gt; 2 tiefgestellt;  in Abb.-Beschriftung: (UBA 2021) verlinken (siehe Word)</t>
  </si>
  <si>
    <t xml:space="preserve">Grafik ist bei breitem Bildschirm sehr groß - so anpassen, dass die Schriftgröße in der Grafik in etwa so groß ist wie der restliche Text; Zoomfunktion für Grafik ermöglichen (siehe Figma)</t>
  </si>
  <si>
    <t xml:space="preserve">Abo/Leasing eines Fahrrads</t>
  </si>
  <si>
    <t xml:space="preserve">Die Unterüberschrift "Jobrad" fettgedruckt; den unteren Teil zum Jobrad in eine extra Box in dieser Infobox mit dem Symbol für rechtliche Hinweise (also wie das Beispiel in Figma in der Antriebsart-Box)</t>
  </si>
  <si>
    <t xml:space="preserve">"Neubeschaffung" nicht als Link, aber dafür fettgedruckt. Dafür "geleast/gekauft" im oberen Absatz als Link zur "Leasing/Kauf eines Pkw"-Infobox + "Koordinierung des bestehenden Fuhrparks" als Link zur "Car-Pooling"-Infobox (aber dann nicht mehr fettgedruckt)</t>
  </si>
  <si>
    <t xml:space="preserve">Kann man es so einstellen, dass bei der sich öffnenden Druck-Ansicht direkt bei Ziel "Als PDF speichern" und nicht irgendein Drucker ausgewählt wird?</t>
  </si>
  <si>
    <t xml:space="preserve">Bei der Druckansicht fehlt bei den großen Infoboxen (Antriebsart, Fahrzeugsegment, Ausstattung) der untere Teil, der nicht mehr auf eine DIN A4-Seite passt (klärt sich ggf. zusammen mit dem Task in Zeile 36)</t>
  </si>
  <si>
    <t xml:space="preserve">Antriebsart</t>
  </si>
  <si>
    <t xml:space="preserve">Den letzten Absatz "Neben den Infoboxen auf dieser Website..." unter die Box "Rechtlicher Hinweis"</t>
  </si>
  <si>
    <t xml:space="preserve">Fahrzeugsegment</t>
  </si>
  <si>
    <t xml:space="preserve">Leerzeichen zwischen "Fahrzeuggröße" und "orientiert" (über der Aufzählung)</t>
  </si>
  <si>
    <t xml:space="preserve">Burgermenü</t>
  </si>
  <si>
    <t xml:space="preserve">"Kontakt" ergänzen -&gt; siehe Figma</t>
  </si>
  <si>
    <t xml:space="preserve">Downloads</t>
  </si>
  <si>
    <t xml:space="preserve">Dateien für LZK-Rechner zum Download bereitstellen (siehe Mail)</t>
  </si>
  <si>
    <t xml:space="preserve">Umweltanforderungen: Bei der schnellen Lösung (Erzeugen einer PDF aus Figma) gibt es drei Probleme (da ich leider nur einen View-only-Zugang habe und nichts direkt in Figma anpassen kann): 1. Die Beschriftung der ersten Kategorie ist in Figma verrutscht ("CO2-Emissionen (WLTP)" klebt unter der Partikelzahl). 2. Das x oben rechts und der Download-Pfeil sind hinfällig. 3. Die Fußnote fehlt in Figma. Könntest du die Umweltanforderungen also doch selber zusammenbauen? Falls das nicht bis heute Abend klappt, schicke ich dir die Ursprungsdatei aus Word als PDF, die du zum Download bereitstellen kannst (auch bei Empfehlungen Seite 4 beim entsprechenden Verweis auf die Umweltanforderungen)</t>
  </si>
  <si>
    <t xml:space="preserve">Button "Download individuelle Empfehlungen" ändern zu "Download Empfehlungen"</t>
  </si>
  <si>
    <t xml:space="preserve">Ansatzpunkte für die umweltverträgliche Beschaffung </t>
  </si>
  <si>
    <t xml:space="preserve">Die Grafik fehlt hier noch - für eine schnelle Lösung hier einfach die Grafik aus Figma als Bild einsetzen (später dann nachbauen?)</t>
  </si>
  <si>
    <t xml:space="preserve">Rechtliche Einordnung</t>
  </si>
  <si>
    <t xml:space="preserve">CO2 -&gt; 2 tiefgestellt (an 4 Stellen); Link nur über das erste Mal "SaubFahrzeugBeschG": https://bmdv.bund.de/SharedDocs/DE/Artikel/G/clean-vehicles-directive.html; "Umweltanforderungen" im unteren Absatz mit PDF verlinken (wie bei Downloads)</t>
  </si>
  <si>
    <t xml:space="preserve">Bei "1.2. Ladesäulen" zwei Hilfebuttons einbauen (siehe Link in Kommentar); unter "1.2. Ladesäulen" Text über der ersten Frage ergänzen: "Neben der Reichweite der Batterie ist die Verfügbarkeit von Ladeinfrastruktur entscheidend dafür, ob ein E-Auto geeignet ist."</t>
  </si>
  <si>
    <t xml:space="preserve">Empfehlungen 2/4 und 4/4</t>
  </si>
  <si>
    <t xml:space="preserve">Insgesamt 4 Hilfebuttons ergänzen (Text siehe Link in Kommentar)</t>
  </si>
  <si>
    <t xml:space="preserve">Kopfzeile</t>
  </si>
  <si>
    <t xml:space="preserve">In der Kopfzeile (alle Seiten außer die Startseite) beim Hovern über den Tool-Titel oben links eine Zeige-Hand erscheinen lassen (wie sonst auch bei klickbaren Elementen)</t>
  </si>
  <si>
    <t xml:space="preserve">Grafik etwas kleiner </t>
  </si>
  <si>
    <t xml:space="preserve">Infoboxen</t>
  </si>
  <si>
    <t xml:space="preserve">Icon</t>
  </si>
  <si>
    <t xml:space="preserve">Icon für die rechtlichen Hinweise als § (siehe Kommentar dazu in Figma-Kommentarwechsel)</t>
  </si>
  <si>
    <t xml:space="preserve">Logo</t>
  </si>
  <si>
    <t xml:space="preserve">Siehe Mail</t>
  </si>
  <si>
    <t xml:space="preserve">Kopfzeile bei Vorüberlegungen und Empfehlungen</t>
  </si>
  <si>
    <t xml:space="preserve">Tooltip "Drucken" ersetzen mit "Herunterladen"</t>
  </si>
  <si>
    <t xml:space="preserve">Empfehlungen und Vorüberlegungen</t>
  </si>
  <si>
    <t xml:space="preserve">Navigation</t>
  </si>
  <si>
    <t xml:space="preserve">Beim Testen des Tools ist mir aufgefallen, dass es beim Hin- und Herspringen zwischen den verschiedenen Tooleinstiegen etwas lästig ist, dass man immer wieder auf der ersten Seite eines jeden Tooleinstiegs landet und sich dann wieder bis zur letzten Seite durchklicken muss, wenn man dort hinwill. Daher die zwei Fragen: Sollte sich das Tool die jeweils zuletzt besuchte Seite eines Tooleinstiegs merken und dann direkt dahin springen? Und/oder sollten wir doch wieder auf die Punkte statt des Fortschrittbalkens in der Navigation gehen und dann die Punkte anklickbar machen, damit man schneller auf die letzte Seite kommt?</t>
  </si>
  <si>
    <t xml:space="preserve">Tooleinstieg</t>
  </si>
  <si>
    <t xml:space="preserve">Statt "Notwendigkeit der Beschaffung" -&gt; "Notwendigkeit der Beschaffung prüfen“</t>
  </si>
  <si>
    <t xml:space="preserve">Kann ein möglichst umweltverträgliches Fahrzeug beschafft werden? </t>
  </si>
  <si>
    <t xml:space="preserve">Kann ein umweltverträgliches Fahrzeug beschafft werden? </t>
  </si>
  <si>
    <t xml:space="preserve">Über das Online-Tool</t>
  </si>
  <si>
    <t xml:space="preserve">Als ersten Absatz neu einfügen: "Von der öffentlichen Hand werden in Deutschland pro Jahr über 40.000 Fahrzeuge (ohne ÖPNV und Eigenbetriebe wie Müllentsorgung) angeschafft. Dieses Finanz- und Nachfragevolumen begründet eine besondere Verantwortung der öffentlichen Hand zur umweltverträglichen Beschaffung in diesem Bereich." -&gt; Danach den jetzigen ersten Satz streichen (Es gibt viele Möglichkeiten, die Beschaffung umweltverträglicher zu gestalten.) und den verbleibenden Satz (Mithilfe dieses Tools können Sie sich umfassend zu Themen der umweltverträglichen Beschaffung im Mobilitätsbereich informieren.) an den Anfang des nächsten Absatzes packen (also in den Absatz "Der Fokus des Tools liegt..." eingliedern)</t>
  </si>
  <si>
    <t xml:space="preserve">Die Übersichtsgrafik zeigt, an welchen Punkten im Beschaffungsprozess dieses Tool mit welchen Mitteln ansetzt. </t>
  </si>
  <si>
    <t xml:space="preserve">Die Übersichtsgrafik zeigt, bei welchen Schritten des Beschaffungsprozesses welche Tool-Bestandteile (blaue Kästen) Unterstützung bieten können. </t>
  </si>
  <si>
    <t xml:space="preserve">"Angebotswertung" statt "Angebotsbewertung" in Kasten; "Lebenszykluskosten-Rechner" statt "Lebenszykluskosten-Tool"</t>
  </si>
  <si>
    <t xml:space="preserve">In Titel "Downloads: Umweltanforderungen und Lebenszykluskosten-Tool " -&gt; "Tool" durch "Rechner" ersetzen</t>
  </si>
  <si>
    <t xml:space="preserve">Dateinamen korrigieren: "LZK" statt "LKZ" (beim Herunterladen heißen die Dateien dann aber richtig); Punkt entfernen nach "Dokumentation des Rechners, die der Aussschreibung beigefügt werden kann"</t>
  </si>
  <si>
    <t xml:space="preserve">Dickgedruckte Wörter ändern: Statt "Datei" -&gt; "Umweltanforderungen"; statt "Tool" -&gt; "Lebenszykluskosten-Rechner"; nach den dickgedruckten Wörtern dann ein Zeilenumbruch (siehe Figma)</t>
  </si>
  <si>
    <t xml:space="preserve">"Den rechtlichen Rahmen für die öffentliche Pkw-Beschaffung..." -&gt; "öffentliche" ergänzen</t>
  </si>
  <si>
    <t xml:space="preserve">"Entwickelt von:" vor das ifeu-Logo (analog zu "Gefördert durch:" auf der linken Seite)</t>
  </si>
  <si>
    <t xml:space="preserve">Impressum und Datenschutz dunkelblau und ohne graue Hinterlegung beim Drüberhovern (siehe Figma). Ggf. das ifeu-Logo höher rücken (obere Kante der anderen Logos) und dann Impressum und Datenschutz unter das Logo (siehe Vorschlag rechts). Dann verschiebt sich die rechte Seite der Fußzeile vielleicht auch nicht mehr unter die linke Seite, wenn man das Fenster schmaler zieht. </t>
  </si>
  <si>
    <t xml:space="preserve">Auf der Startseite ist das Burgermenü jetzt ganz außen rechts, obwohl die Breite sonst für alle anderen Elemente schmaler geworden ist. Auf allen Unterseiten sieht es allerdings gut aus. Kannst du die Position des Menüs auf der Startseite den Unterseiten anpassen?</t>
  </si>
  <si>
    <t xml:space="preserve">Der Abstand zwischen der Überschrift und der ersten Unterüberschrift ist jetzt sehr groß. Bitte an die anderen ausklappbaren Boxen anpassen ("Über das Online-Tool" etc.)</t>
  </si>
  <si>
    <t xml:space="preserve">Ich dachte, ich hätte den Task schon irgendwo, aber finde ihn gerade nicht mehr: Der Link "Umweltanforderungen" im zweiten Absatz soll erst mal das Pop-Up wie bei Empfehlungen 4/4 öffnen und dann erst bei der Download-Funktion die andere PDF anzeigen</t>
  </si>
  <si>
    <t xml:space="preserve">Empfehlungslisten</t>
  </si>
  <si>
    <t xml:space="preserve">Zeile 19, 20, 39-42</t>
  </si>
  <si>
    <t xml:space="preserve">Mini (Kleinstwagen)</t>
  </si>
  <si>
    <t xml:space="preserve">Kleinstwagen</t>
  </si>
  <si>
    <t xml:space="preserve">Infobox</t>
  </si>
  <si>
    <t xml:space="preserve">In Aufzählung und Tabelle "Minis (Kleinstwagen)" mit "Kleinstwagen" ersetzen. In Absatz vor Unterüberschrift "Beispiele pro Fahrzeugsegment": "Minis" ersetzen mit "Kleinst-"</t>
  </si>
  <si>
    <t xml:space="preserve">Empfehlungen</t>
  </si>
  <si>
    <t xml:space="preserve">Kannst du bei den Empfehlungen die Zeilenumbrüche aus dem Tab "Empfehlungslisten" übernehmen? Muss keine Leerzeile sein (wie hier in Excel), sondern einfach ein Absatz mit kleinem Abstand. Ich hoffe, das geht automatisch und du musst die nicht alle händisch ergänzen...</t>
  </si>
  <si>
    <t xml:space="preserve">Zurücksetzen-Funktion</t>
  </si>
  <si>
    <t xml:space="preserve">Wenn man in die Eingabefelder eine Zahl eingibt und aus Excel-Gewohnheit Enter drückt, erscheint der Dialog, ob alle Eingaben zurückgesetzt werden sollen. Kannst du das rausnehmen und bei Enter einfach das Eingabefeld verlassen?</t>
  </si>
  <si>
    <t xml:space="preserve">Kontakt</t>
  </si>
  <si>
    <t xml:space="preserve">Die Logos von Berlin und Brandenburg sind jetzt auf einmal sehr groß - kannst du die wieder verkleinern (siehe Figma)? Und auch der Titel "Kontakt" wirkt bei mir gerade sehr groß. Vielleicht eher so wie bei Impressum und Datenschutz von der Schriftgröße her.</t>
  </si>
  <si>
    <t xml:space="preserve">In Aufzählung: Text in Klammern hinter "Obere Mittelklasse" und hinter "Oberklasse" löschen</t>
  </si>
  <si>
    <t xml:space="preserve">In Absatz über Tabelle -&gt; erste zwei Sätze ersetzen mit: "Gerade wenn meistens nur 1 bis 2 Personen zusammenfahren und keine großen Gegenstände befördert werden sollen, sind Kleinst- und Kleinwagen aus Umweltsicht zu bevorzugen. Falls regelmäßig mehrere Personen mitgenommen werden, gibt es bereits ab der unteren Mittelklasse (Kompaktklasse) zahlreiche Autos mit viel Platz auf der Rückbank." (siehe sonst auch Word -&gt; Link im Kommentar)</t>
  </si>
  <si>
    <t xml:space="preserve">In Tabelle: Unten eine Zeile hinzufügen: (links) "Oberklasse"; (rechts) "BMW 7er, Mercedes S-Klasse"</t>
  </si>
  <si>
    <t xml:space="preserve">Bei Abbildungsbezeichnung: in der Klammer hinter "(eigene Abbildung nach (UBA 2021)" ergänzen: ", Werte von 2017)" -&gt; also insgesamt neu (aber Link über Quelle beibehalten): "(eigene Abbildung nach (UBA 2021), Werte von 2017)"</t>
  </si>
  <si>
    <t xml:space="preserve">Impressum und Datenschutz</t>
  </si>
  <si>
    <t xml:space="preserve">Impressum und Datenschutz in Burgermenü unter "Kontakt" packen und damit von der Startseite nehmen</t>
  </si>
  <si>
    <t xml:space="preserve">Schriftgröße vom Fließtext anpassen an Schrift von den Fragen über den Tooleinstiegen; Schriftgröße der Überschriften "Über das Online-Tool" etc. kleiner (nächst kleinere Schriftgröße von Material Design; wenn unklar, sucht Susanne nochmal die konkrete Schriftgröße raus)</t>
  </si>
  <si>
    <t xml:space="preserve">Ja</t>
  </si>
  <si>
    <t xml:space="preserve">Wenn Zeile 85 erledigt: die 4 Balken des Akkordeonmenüs im geschlossenen Zustand schmaler machen. Abstand zwischen Tooleinstiegen und Akkordeonmenü verkleinern (Abstand wie in Figma)</t>
  </si>
  <si>
    <t xml:space="preserve">Ansatzpunkte für die umweltverträgliche Beschaffung</t>
  </si>
  <si>
    <t xml:space="preserve">Grafik: Blaue Kästen verlinken mit Tooleinstiegen (Vorüberlegungen und Empfehlungen). Bei Umweltanforderungen das Pop-Up-Fenster mit der Tabelle öffnen. Beim LZK-Rechner die Downloads im Akkordeonmenü aufklappen. </t>
  </si>
  <si>
    <t xml:space="preserve">Startseite, Kontakt, Impressum, Datenschutz</t>
  </si>
  <si>
    <t xml:space="preserve">Bei breiten Bildschirmen an den Seiten keine blaue Einrahmung, sondern nur die Kopfzeile in Blau und darunter an den Seiten weiß lassen (Breite der Inhalte aber beibehalten wie gehabt). Bei den anderen Tooleinstiegen bleibt es an der Seite blau (da liegt dann ja auch quasi ein weißes Feld mit abgerundeten Ecken drauf). War etwas missverständlich in Figma :-)</t>
  </si>
  <si>
    <t xml:space="preserve">Eingabefelder</t>
  </si>
  <si>
    <t xml:space="preserve">Die Überschriften der Eingabefelder sind zum Teil abweichend von Figma und passen nicht immer genau. Bitte an Figma anpassen (also die unteren beiden einfach nur "Häufigkeit")</t>
  </si>
  <si>
    <t xml:space="preserve">Fehlermeldung</t>
  </si>
  <si>
    <t xml:space="preserve">Beim Feld "Anzahl Personen":  Ab 10 -&gt; Feld, Feldüberschrift und Zahl rot färben und Fehlermeldung erscheinen lassen: "Die eingegebene Anzahl an Personen übersteigt die maximal zulässige Anzahl von 9 Personen in einem als Pkw zugelassenen Fahrzeug."</t>
  </si>
  <si>
    <t xml:space="preserve">Susanne</t>
  </si>
  <si>
    <t xml:space="preserve">weisse Hintergrundbox</t>
  </si>
  <si>
    <t xml:space="preserve">Die weisse Box passt sich hier nicht flexibel an die Höhe des Screens an, wie bei "Vorüberlegungen" und "Empfehlungen"</t>
  </si>
  <si>
    <t xml:space="preserve">Empfehlungen ab 2/4 und Vorüberlegungen ab 2/4</t>
  </si>
  <si>
    <t xml:space="preserve">Die Icons zum switchen der Grafik sind anders als die im figma-Layout </t>
  </si>
  <si>
    <t xml:space="preserve">Till: brauchst du von mir andere Icondateien?</t>
  </si>
  <si>
    <t xml:space="preserve">Overlay Boxen bei Fragezeichen: Close-Icons oben rechts sehen anders aus als bei den anderen Overlay Boxen (anderes Verhalten bei Hover, siehe Screenshot in mail)</t>
  </si>
  <si>
    <t xml:space="preserve">Cards Unterkategorien </t>
  </si>
  <si>
    <t xml:space="preserve">Die Cards der Unterkategorien sollen eingerückt werden (siehe figma "Hintergrundinformationen neu")</t>
  </si>
  <si>
    <t xml:space="preserve">Cards Oberkategorien</t>
  </si>
  <si>
    <t xml:space="preserve">Die weissen Headlines für die Oberkategorien (THG-Vergleich... etc.) werden 2 px größer = 18px (statt 16px), (siehe figma "Hintergrundinformationen neu")</t>
  </si>
  <si>
    <t xml:space="preserve">Icons: Download, refresh, Fragezeichen</t>
  </si>
  <si>
    <t xml:space="preserve">Icons werden nochmal ausgetauscht, siehe figma "Empfehlungen Abfrage 1 mit Auswertungen neue Icons"</t>
  </si>
  <si>
    <t xml:space="preserve">Startseite "Über das Online-Tool"</t>
  </si>
  <si>
    <t xml:space="preserve">"Von der öffentlichen Hand werden in Deutschland pro Jahr über 40.000 Fahrzeuge (ohne ÖPNV und Eigenbetriebe wie Müllentsorgung) angeschafft (TREMOD 2020, Werte vom KBA von 2019)." -&gt; "(TREMOD 2020, Werte vom KBA von 2019)" ergänzen mit Links wie in Kommentar</t>
  </si>
  <si>
    <t xml:space="preserve">Umweltanforderungen - Pop-up</t>
  </si>
  <si>
    <t xml:space="preserve">Bei "Umgang mit Sonderausstattung" -&gt; erster Absatz "Auf Sonderausstattungen, die keinen Sicherheits- oder Komfortvorteil haben, sondern ausschließlich der Optik dienen, sollte bei einer Pkw-Beschaffung verzichtet werden." -&gt; "verzichtet" auch fettgedruckt</t>
  </si>
  <si>
    <t xml:space="preserve">Erster Satz: "Den rechtlichen Rahmen für die öffentliche Pkw-Beschaffung gibt das SaubFahrzeugBeschG vor." -&gt; "für die öffentliche Pkw-Beschaffung" hinzufügen + Link über "SaubFahrzeugBeschG" (siehe Kommentar)</t>
  </si>
  <si>
    <t xml:space="preserve">Umgang mit Sonderausstattung</t>
  </si>
  <si>
    <t xml:space="preserve">Letzte Unteraufzählung unter "(Panorama-)Glasdach" austauschen mit "Negativer Einfluss auf die Fahrzeugisolation/Aufheizung und damit auf den Heizbedarf und die Kühlleistung"</t>
  </si>
  <si>
    <t xml:space="preserve">Umweltanforderungen - Downloadversion</t>
  </si>
  <si>
    <t xml:space="preserve">PDF für Downloadversion (sowohl auf Startseite unter Downloads als auch als Druckversion des Pop-ups) ersetzen (siehe Link zu PDF im Kommentar)</t>
  </si>
  <si>
    <t xml:space="preserve">Spalte B</t>
  </si>
  <si>
    <t xml:space="preserve">Anpassungen rot markiert (und Zelle gelb gefärbt) in Spalte B; Hinweise dazu in Spalte C. Zum Teil Kommentare für Hyperlink über dem Wort "Modelle" (ist immer der gleiche Link - Hinweis in Spalte C, wenn Link verwendet werden soll). Bei der Übernahme bitte wieder die Zeilenumbrüche beachten</t>
  </si>
  <si>
    <t xml:space="preserve">Hoch</t>
  </si>
  <si>
    <t xml:space="preserve">Änderungen in Infoboxen wie per Mail besprochen übernehmen -&gt; Abschnittsweise die Änderungen annehmen und dann übernehmen. Z.T. auch neue Verlinkungen zu anderen Infoboxen (in Kommentaren als NEU markiert). Abschnittsüberschriften haben sich zum Teil geändert -&gt; für "Hintergrundinformationen" und Infoboxen übernehmen, aber in der Übersichtsgrafik so lassen (ist sonst teilweise zu lang für die kleinen Boxen in der Grafik). Link zur Word-Datei im Kommentar</t>
  </si>
  <si>
    <t xml:space="preserve">Abfrage-Empfehlung-Matrix für das DBU-Online-Tool</t>
  </si>
  <si>
    <t xml:space="preserve">Kategorie</t>
  </si>
  <si>
    <t xml:space="preserve">Abfrage_1</t>
  </si>
  <si>
    <t xml:space="preserve">Auswahl_1</t>
  </si>
  <si>
    <t xml:space="preserve">Abfrage_2</t>
  </si>
  <si>
    <t xml:space="preserve">Auswahl_2</t>
  </si>
  <si>
    <t xml:space="preserve">Abfrage_3</t>
  </si>
  <si>
    <t xml:space="preserve">Auswahl_3</t>
  </si>
  <si>
    <t xml:space="preserve">Abfrage_4</t>
  </si>
  <si>
    <t xml:space="preserve">Auswahl_4</t>
  </si>
  <si>
    <t xml:space="preserve">Abfrage_5</t>
  </si>
  <si>
    <t xml:space="preserve">Auswahl_5</t>
  </si>
  <si>
    <t xml:space="preserve">Abfrage_6</t>
  </si>
  <si>
    <t xml:space="preserve">Auswahl_6</t>
  </si>
  <si>
    <t xml:space="preserve">Empfehlung</t>
  </si>
  <si>
    <t xml:space="preserve">Nicht relevant</t>
  </si>
  <si>
    <r>
      <rPr>
        <sz val="11"/>
        <rFont val="Calibri"/>
        <family val="2"/>
        <charset val="1"/>
      </rPr>
      <t xml:space="preserve">Ladesäulen </t>
    </r>
    <r>
      <rPr>
        <b val="true"/>
        <sz val="11"/>
        <rFont val="Calibri"/>
        <family val="2"/>
        <charset val="1"/>
      </rPr>
      <t xml:space="preserve">Standort</t>
    </r>
  </si>
  <si>
    <t xml:space="preserve">Nein</t>
  </si>
  <si>
    <t xml:space="preserve">-</t>
  </si>
  <si>
    <t xml:space="preserve">Strecke pro Tag</t>
  </si>
  <si>
    <t xml:space="preserve">Kleiner gleich 150 km/Tag</t>
  </si>
  <si>
    <t xml:space="preserve">Strecken über 150 km</t>
  </si>
  <si>
    <t xml:space="preserve">Selten</t>
  </si>
  <si>
    <t xml:space="preserve">Fuhrpark</t>
  </si>
  <si>
    <t xml:space="preserve">Häufig</t>
  </si>
  <si>
    <t xml:space="preserve">Meistens</t>
  </si>
  <si>
    <t xml:space="preserve">Größer 150 km/Tag</t>
  </si>
  <si>
    <t xml:space="preserve">Standzeiten</t>
  </si>
  <si>
    <t xml:space="preserve">Fast nie</t>
  </si>
  <si>
    <t xml:space="preserve">Ab und zu</t>
  </si>
  <si>
    <r>
      <rPr>
        <sz val="11"/>
        <color rgb="FF000000"/>
        <rFont val="Calibri"/>
        <family val="2"/>
        <charset val="1"/>
      </rPr>
      <t xml:space="preserve">Ladesäulen </t>
    </r>
    <r>
      <rPr>
        <b val="true"/>
        <sz val="11"/>
        <color rgb="FF000000"/>
        <rFont val="Calibri"/>
        <family val="2"/>
        <charset val="1"/>
      </rPr>
      <t xml:space="preserve">Strecken</t>
    </r>
  </si>
  <si>
    <t xml:space="preserve">Regelmäßig</t>
  </si>
  <si>
    <t xml:space="preserve">Anzahl_max Personen</t>
  </si>
  <si>
    <t xml:space="preserve">Kleiner 6</t>
  </si>
  <si>
    <t xml:space="preserve">Transport Van</t>
  </si>
  <si>
    <t xml:space="preserve">Nie (oder k.A.)</t>
  </si>
  <si>
    <t xml:space="preserve">Leitungsebene</t>
  </si>
  <si>
    <t xml:space="preserve">1 bis 2</t>
  </si>
  <si>
    <t xml:space="preserve">Nie</t>
  </si>
  <si>
    <t xml:space="preserve">Häufig, Meistens</t>
  </si>
  <si>
    <t xml:space="preserve">3 bis 4</t>
  </si>
  <si>
    <t xml:space="preserve">Alle Sitzplätze benötigt</t>
  </si>
  <si>
    <t xml:space="preserve">6 bis 7</t>
  </si>
  <si>
    <t xml:space="preserve">8 bis 9</t>
  </si>
  <si>
    <t xml:space="preserve">Gelegentlich</t>
  </si>
  <si>
    <t xml:space="preserve">Fragen - Prototyp Einzelfahrzeug</t>
  </si>
  <si>
    <t xml:space="preserve">Einzelfahrzeug beschaffen</t>
  </si>
  <si>
    <t xml:space="preserve">ID</t>
  </si>
  <si>
    <t xml:space="preserve">In diesem Abschnitt geht es darum, wie das Fahrprofil aussieht und ob Lademöglichkeiten bestehen. Diese Fragestellungen sind relevant, um ein möglichst umweltverträgliches Fahrzeug bzgl. der Antriebsart zu wählen.</t>
  </si>
  <si>
    <r>
      <rPr>
        <sz val="11"/>
        <color rgb="FF000000"/>
        <rFont val="Arial"/>
        <family val="2"/>
        <charset val="1"/>
      </rPr>
      <t xml:space="preserve">Welche </t>
    </r>
    <r>
      <rPr>
        <b val="true"/>
        <sz val="11"/>
        <color rgb="FF000000"/>
        <rFont val="Arial"/>
        <family val="2"/>
        <charset val="1"/>
      </rPr>
      <t xml:space="preserve">Distanz</t>
    </r>
    <r>
      <rPr>
        <sz val="11"/>
        <color rgb="FF000000"/>
        <rFont val="Arial"/>
        <family val="2"/>
        <charset val="1"/>
      </rPr>
      <t xml:space="preserve"> soll mit dem zu beschaffenden Pkw </t>
    </r>
    <r>
      <rPr>
        <i val="true"/>
        <sz val="11"/>
        <color rgb="FF000000"/>
        <rFont val="Arial"/>
        <family val="2"/>
        <charset val="1"/>
      </rPr>
      <t xml:space="preserve">im Normalfall</t>
    </r>
    <r>
      <rPr>
        <sz val="11"/>
        <color rgb="FF000000"/>
        <rFont val="Arial"/>
        <family val="2"/>
        <charset val="1"/>
      </rPr>
      <t xml:space="preserve"> </t>
    </r>
    <r>
      <rPr>
        <b val="true"/>
        <sz val="11"/>
        <color rgb="FF000000"/>
        <rFont val="Arial"/>
        <family val="2"/>
        <charset val="1"/>
      </rPr>
      <t xml:space="preserve">pro Tag</t>
    </r>
    <r>
      <rPr>
        <sz val="11"/>
        <color rgb="FF000000"/>
        <rFont val="Arial"/>
        <family val="2"/>
        <charset val="1"/>
      </rPr>
      <t xml:space="preserve"> zurückgelegt werden?</t>
    </r>
  </si>
  <si>
    <r>
      <rPr>
        <sz val="11"/>
        <color rgb="FF000000"/>
        <rFont val="Arial"/>
        <family val="2"/>
        <charset val="1"/>
      </rPr>
      <t xml:space="preserve">Wie oft werden übers Jahr </t>
    </r>
    <r>
      <rPr>
        <b val="true"/>
        <sz val="11"/>
        <color rgb="FF000000"/>
        <rFont val="Arial"/>
        <family val="2"/>
        <charset val="1"/>
      </rPr>
      <t xml:space="preserve">Tagesstrecken über 150 km </t>
    </r>
    <r>
      <rPr>
        <sz val="11"/>
        <color rgb="FF000000"/>
        <rFont val="Arial"/>
        <family val="2"/>
        <charset val="1"/>
      </rPr>
      <t xml:space="preserve">zurückgelegt?</t>
    </r>
  </si>
  <si>
    <t xml:space="preserve">F_R1</t>
  </si>
  <si>
    <t xml:space="preserve">km/Tag</t>
  </si>
  <si>
    <t xml:space="preserve">F_S1</t>
  </si>
  <si>
    <t xml:space="preserve">&lt;- Bitte auswählen</t>
  </si>
  <si>
    <r>
      <rPr>
        <sz val="11"/>
        <color rgb="FF000000"/>
        <rFont val="Arial"/>
        <family val="2"/>
        <charset val="1"/>
      </rPr>
      <t xml:space="preserve">Wie häufig werden die Tagesstrecken </t>
    </r>
    <r>
      <rPr>
        <i val="true"/>
        <sz val="11"/>
        <color rgb="FF000000"/>
        <rFont val="Arial"/>
        <family val="2"/>
        <charset val="1"/>
      </rPr>
      <t xml:space="preserve">im Normalfall</t>
    </r>
    <r>
      <rPr>
        <sz val="11"/>
        <color rgb="FF000000"/>
        <rFont val="Arial"/>
        <family val="2"/>
        <charset val="1"/>
      </rPr>
      <t xml:space="preserve"> von </t>
    </r>
    <r>
      <rPr>
        <b val="true"/>
        <sz val="11"/>
        <color rgb="FF000000"/>
        <rFont val="Arial"/>
        <family val="2"/>
        <charset val="1"/>
      </rPr>
      <t xml:space="preserve">Standzeiten</t>
    </r>
    <r>
      <rPr>
        <sz val="11"/>
        <color rgb="FF000000"/>
        <rFont val="Arial"/>
        <family val="2"/>
        <charset val="1"/>
      </rPr>
      <t xml:space="preserve"> (≈ mind. 30 min) unterbrochen?</t>
    </r>
  </si>
  <si>
    <t xml:space="preserve">F_SZ1</t>
  </si>
  <si>
    <r>
      <rPr>
        <sz val="11"/>
        <color rgb="FF000000"/>
        <rFont val="Arial"/>
        <family val="2"/>
        <charset val="1"/>
      </rPr>
      <t xml:space="preserve">Sind </t>
    </r>
    <r>
      <rPr>
        <b val="true"/>
        <sz val="11"/>
        <color rgb="FF000000"/>
        <rFont val="Arial"/>
        <family val="2"/>
        <charset val="1"/>
      </rPr>
      <t xml:space="preserve">Ladesäulen</t>
    </r>
    <r>
      <rPr>
        <sz val="11"/>
        <color rgb="FF000000"/>
        <rFont val="Arial"/>
        <family val="2"/>
        <charset val="1"/>
      </rPr>
      <t xml:space="preserve"> am </t>
    </r>
    <r>
      <rPr>
        <b val="true"/>
        <sz val="11"/>
        <color rgb="FF000000"/>
        <rFont val="Arial"/>
        <family val="2"/>
        <charset val="1"/>
      </rPr>
      <t xml:space="preserve">Standort</t>
    </r>
    <r>
      <rPr>
        <sz val="11"/>
        <color rgb="FF000000"/>
        <rFont val="Arial"/>
        <family val="2"/>
        <charset val="1"/>
      </rPr>
      <t xml:space="preserve"> bzw. im umliegenden öffentlichen Raum oder am Wohnort der Nutzenden verfügbar?</t>
    </r>
  </si>
  <si>
    <t xml:space="preserve">F_L1</t>
  </si>
  <si>
    <r>
      <rPr>
        <sz val="11"/>
        <color rgb="FF000000"/>
        <rFont val="Arial"/>
        <family val="2"/>
        <charset val="1"/>
      </rPr>
      <t xml:space="preserve">Sind </t>
    </r>
    <r>
      <rPr>
        <b val="true"/>
        <sz val="11"/>
        <color rgb="FF000000"/>
        <rFont val="Arial"/>
        <family val="2"/>
        <charset val="1"/>
      </rPr>
      <t xml:space="preserve">Ladesäulen</t>
    </r>
    <r>
      <rPr>
        <sz val="11"/>
        <color rgb="FF000000"/>
        <rFont val="Arial"/>
        <family val="2"/>
        <charset val="1"/>
      </rPr>
      <t xml:space="preserve"> auf den zu befahrenden </t>
    </r>
    <r>
      <rPr>
        <b val="true"/>
        <sz val="11"/>
        <color rgb="FF000000"/>
        <rFont val="Arial"/>
        <family val="2"/>
        <charset val="1"/>
      </rPr>
      <t xml:space="preserve">Strecken</t>
    </r>
    <r>
      <rPr>
        <sz val="11"/>
        <color rgb="FF000000"/>
        <rFont val="Arial"/>
        <family val="2"/>
        <charset val="1"/>
      </rPr>
      <t xml:space="preserve"> verfügbar?</t>
    </r>
  </si>
  <si>
    <t xml:space="preserve">F_L2</t>
  </si>
  <si>
    <r>
      <rPr>
        <sz val="11"/>
        <color rgb="FF000000"/>
        <rFont val="Arial"/>
        <family val="2"/>
        <charset val="1"/>
      </rPr>
      <t xml:space="preserve">Ist das zu beschaffende Fahrzeug Teil eines </t>
    </r>
    <r>
      <rPr>
        <b val="true"/>
        <sz val="11"/>
        <color rgb="FF000000"/>
        <rFont val="Arial"/>
        <family val="2"/>
        <charset val="1"/>
      </rPr>
      <t xml:space="preserve">Fuhrparks</t>
    </r>
    <r>
      <rPr>
        <sz val="11"/>
        <color rgb="FF000000"/>
        <rFont val="Arial"/>
        <family val="2"/>
        <charset val="1"/>
      </rPr>
      <t xml:space="preserve">?</t>
    </r>
  </si>
  <si>
    <t xml:space="preserve">F_F1</t>
  </si>
  <si>
    <r>
      <rPr>
        <b val="true"/>
        <sz val="11"/>
        <color rgb="FF000000"/>
        <rFont val="Arial"/>
        <family val="2"/>
        <charset val="1"/>
      </rPr>
      <t xml:space="preserve">Empfehlung</t>
    </r>
    <r>
      <rPr>
        <sz val="11"/>
        <color rgb="FF000000"/>
        <rFont val="Arial"/>
        <family val="2"/>
        <charset val="1"/>
      </rPr>
      <t xml:space="preserve"> zur Antriebsart:</t>
    </r>
  </si>
  <si>
    <t xml:space="preserve">E_A0</t>
  </si>
  <si>
    <t xml:space="preserve">In diesem Abschnitt geht es darum, welche Aufgabenstellung erfüllt werden soll, um ein möglichst umweltverträgliches Fahrzeug bzgl. des Fahrzeugsegments zu wählen. Die Abfragen bezüglich der Antriebsart gehen teilweise ebenfalls mit ein in die Empfehlung zum Fahrzeugsegment.</t>
  </si>
  <si>
    <r>
      <rPr>
        <sz val="11"/>
        <color rgb="FF000000"/>
        <rFont val="Arial"/>
        <family val="2"/>
        <charset val="1"/>
      </rPr>
      <t xml:space="preserve">Wie viele </t>
    </r>
    <r>
      <rPr>
        <b val="true"/>
        <sz val="11"/>
        <color rgb="FF000000"/>
        <rFont val="Arial"/>
        <family val="2"/>
        <charset val="1"/>
      </rPr>
      <t xml:space="preserve">Personen</t>
    </r>
    <r>
      <rPr>
        <sz val="11"/>
        <color rgb="FF000000"/>
        <rFont val="Arial"/>
        <family val="2"/>
        <charset val="1"/>
      </rPr>
      <t xml:space="preserve"> fahren maximal zusammen in dem Pkw?</t>
    </r>
  </si>
  <si>
    <r>
      <rPr>
        <b val="true"/>
        <sz val="11"/>
        <color rgb="FF000000"/>
        <rFont val="Arial"/>
        <family val="2"/>
        <charset val="1"/>
      </rPr>
      <t xml:space="preserve">Wie häufig</t>
    </r>
    <r>
      <rPr>
        <sz val="11"/>
        <color rgb="FF000000"/>
        <rFont val="Arial"/>
        <family val="2"/>
        <charset val="1"/>
      </rPr>
      <t xml:space="preserve"> werden alle </t>
    </r>
    <r>
      <rPr>
        <b val="true"/>
        <sz val="11"/>
        <color rgb="FF000000"/>
        <rFont val="Arial"/>
        <family val="2"/>
        <charset val="1"/>
      </rPr>
      <t xml:space="preserve">Sitzplätze benötigt</t>
    </r>
    <r>
      <rPr>
        <sz val="11"/>
        <color rgb="FF000000"/>
        <rFont val="Arial"/>
        <family val="2"/>
        <charset val="1"/>
      </rPr>
      <t xml:space="preserve">?</t>
    </r>
  </si>
  <si>
    <t xml:space="preserve">F_P1</t>
  </si>
  <si>
    <t xml:space="preserve">Person(en)</t>
  </si>
  <si>
    <t xml:space="preserve">F_SP1</t>
  </si>
  <si>
    <t xml:space="preserve">i</t>
  </si>
  <si>
    <r>
      <rPr>
        <sz val="11"/>
        <color rgb="FF000000"/>
        <rFont val="Arial"/>
        <family val="2"/>
        <charset val="1"/>
      </rPr>
      <t xml:space="preserve">Wie häufig bestehen aufwändige Anforderungen an den </t>
    </r>
    <r>
      <rPr>
        <b val="true"/>
        <sz val="11"/>
        <color rgb="FF000000"/>
        <rFont val="Arial"/>
        <family val="2"/>
        <charset val="1"/>
      </rPr>
      <t xml:space="preserve">Transport von Gegenständen</t>
    </r>
    <r>
      <rPr>
        <sz val="11"/>
        <color rgb="FF000000"/>
        <rFont val="Arial"/>
        <family val="2"/>
        <charset val="1"/>
      </rPr>
      <t xml:space="preserve"> (z.B. viele/große/schwere Gegenstände), sodass Vans/Utilities notwendig sind?</t>
    </r>
  </si>
  <si>
    <t xml:space="preserve">F_T1</t>
  </si>
  <si>
    <r>
      <rPr>
        <sz val="11"/>
        <color rgb="FF000000"/>
        <rFont val="Arial"/>
        <family val="2"/>
        <charset val="1"/>
      </rPr>
      <t xml:space="preserve">Wird der Pkw für die </t>
    </r>
    <r>
      <rPr>
        <b val="true"/>
        <sz val="11"/>
        <color rgb="FF000000"/>
        <rFont val="Arial"/>
        <family val="2"/>
        <charset val="1"/>
      </rPr>
      <t xml:space="preserve">Leitungsebene</t>
    </r>
    <r>
      <rPr>
        <sz val="11"/>
        <color rgb="FF000000"/>
        <rFont val="Arial"/>
        <family val="2"/>
        <charset val="1"/>
      </rPr>
      <t xml:space="preserve"> beschafft?</t>
    </r>
  </si>
  <si>
    <t xml:space="preserve">F_LE1</t>
  </si>
  <si>
    <r>
      <rPr>
        <b val="true"/>
        <sz val="11"/>
        <color rgb="FF000000"/>
        <rFont val="Arial"/>
        <family val="2"/>
        <charset val="1"/>
      </rPr>
      <t xml:space="preserve">Empfehlung</t>
    </r>
    <r>
      <rPr>
        <sz val="11"/>
        <color rgb="FF000000"/>
        <rFont val="Arial"/>
        <family val="2"/>
        <charset val="1"/>
      </rPr>
      <t xml:space="preserve"> zum Fahrzeugsegment:</t>
    </r>
  </si>
  <si>
    <t xml:space="preserve">E_F0</t>
  </si>
  <si>
    <t xml:space="preserve">Fragen - Prototyp Flotte</t>
  </si>
  <si>
    <t xml:space="preserve">Mehrere Fahrzeuge/Flotte beschaffen</t>
  </si>
  <si>
    <t xml:space="preserve">Verkehrsmittel</t>
  </si>
  <si>
    <r>
      <rPr>
        <sz val="11"/>
        <rFont val="Arial"/>
        <family val="2"/>
        <charset val="1"/>
      </rPr>
      <t xml:space="preserve">Der folgende Teil beschäftigt sich mit den Fragen, wie der Mobilitätsbedarf gedeckt werden kann und ob alle Pkw-Beschaffungen tatsächlich notwendig sind. Solche Vorüberlegungen bezüglich der Bedarfsermittlung sind z.B. im Land Berlin verpflichtend zu dokumentieren.
Die Fragen sollten </t>
    </r>
    <r>
      <rPr>
        <b val="true"/>
        <sz val="11"/>
        <rFont val="Arial"/>
        <family val="2"/>
        <charset val="1"/>
      </rPr>
      <t xml:space="preserve">jeweils für einen Standort</t>
    </r>
    <r>
      <rPr>
        <sz val="11"/>
        <rFont val="Arial"/>
        <family val="2"/>
        <charset val="1"/>
      </rPr>
      <t xml:space="preserve"> bzw. für Zusammenschlüsse von Standorten/Institutionen, die Fahrzeuge untereinander austauschen/gemeinsam nutzen, beantwortet werden.</t>
    </r>
  </si>
  <si>
    <r>
      <rPr>
        <b val="true"/>
        <sz val="11"/>
        <color rgb="FF000000"/>
        <rFont val="Arial"/>
        <family val="2"/>
        <charset val="1"/>
      </rPr>
      <t xml:space="preserve">Wie viele Pkw</t>
    </r>
    <r>
      <rPr>
        <sz val="11"/>
        <color rgb="FF000000"/>
        <rFont val="Arial"/>
        <family val="2"/>
        <charset val="1"/>
      </rPr>
      <t xml:space="preserve"> sollen beschafft werden?</t>
    </r>
  </si>
  <si>
    <t xml:space="preserve">F_B1</t>
  </si>
  <si>
    <r>
      <rPr>
        <sz val="11"/>
        <color rgb="FF000000"/>
        <rFont val="Arial"/>
        <family val="2"/>
        <charset val="1"/>
      </rPr>
      <t xml:space="preserve">Wie viele</t>
    </r>
    <r>
      <rPr>
        <b val="true"/>
        <sz val="11"/>
        <color rgb="FF000000"/>
        <rFont val="Arial"/>
        <family val="2"/>
        <charset val="1"/>
      </rPr>
      <t xml:space="preserve"> Fahrzeuge</t>
    </r>
    <r>
      <rPr>
        <sz val="11"/>
        <color rgb="FF000000"/>
        <rFont val="Arial"/>
        <family val="2"/>
        <charset val="1"/>
      </rPr>
      <t xml:space="preserve"> aus einem vorhandenen Fuhrpark werden durch diese Beschaffung </t>
    </r>
    <r>
      <rPr>
        <b val="true"/>
        <sz val="11"/>
        <color rgb="FF000000"/>
        <rFont val="Arial"/>
        <family val="2"/>
        <charset val="1"/>
      </rPr>
      <t xml:space="preserve">ersetzt</t>
    </r>
    <r>
      <rPr>
        <sz val="11"/>
        <color rgb="FF000000"/>
        <rFont val="Arial"/>
        <family val="2"/>
        <charset val="1"/>
      </rPr>
      <t xml:space="preserve">?</t>
    </r>
  </si>
  <si>
    <t xml:space="preserve">F_E1</t>
  </si>
  <si>
    <t xml:space="preserve">Wie oft können die geplanten Strecken/Einsatzzwecke mit folgenden Verkehrsmitteln erledigt werden?
</t>
  </si>
  <si>
    <r>
      <rPr>
        <i val="true"/>
        <sz val="11"/>
        <color rgb="FF000000"/>
        <rFont val="Arial"/>
        <family val="2"/>
        <charset val="1"/>
      </rPr>
      <t xml:space="preserve">Bedenken Sie bei der Beantwortung der Frage, dass die abgefragten </t>
    </r>
    <r>
      <rPr>
        <b val="true"/>
        <i val="true"/>
        <sz val="11"/>
        <color rgb="FF000000"/>
        <rFont val="Arial"/>
        <family val="2"/>
        <charset val="1"/>
      </rPr>
      <t xml:space="preserve">Optionen</t>
    </r>
    <r>
      <rPr>
        <i val="true"/>
        <sz val="11"/>
        <color rgb="FF000000"/>
        <rFont val="Arial"/>
        <family val="2"/>
        <charset val="1"/>
      </rPr>
      <t xml:space="preserve"> auch </t>
    </r>
    <r>
      <rPr>
        <b val="true"/>
        <i val="true"/>
        <sz val="11"/>
        <color rgb="FF000000"/>
        <rFont val="Arial"/>
        <family val="2"/>
        <charset val="1"/>
      </rPr>
      <t xml:space="preserve">kombiniert</t>
    </r>
    <r>
      <rPr>
        <i val="true"/>
        <sz val="11"/>
        <color rgb="FF000000"/>
        <rFont val="Arial"/>
        <family val="2"/>
        <charset val="1"/>
      </rPr>
      <t xml:space="preserve"> werden können (z.B. Fahrrad und ÖPNV).
Eine </t>
    </r>
    <r>
      <rPr>
        <b val="true"/>
        <i val="true"/>
        <sz val="11"/>
        <color rgb="FF000000"/>
        <rFont val="Arial"/>
        <family val="2"/>
        <charset val="1"/>
      </rPr>
      <t xml:space="preserve">Analyse der bisherigen Nutzung des Fuhrparks</t>
    </r>
    <r>
      <rPr>
        <i val="true"/>
        <sz val="11"/>
        <color rgb="FF000000"/>
        <rFont val="Arial"/>
        <family val="2"/>
        <charset val="1"/>
      </rPr>
      <t xml:space="preserve"> kann bei der Beantwortung der Frage helfen.</t>
    </r>
  </si>
  <si>
    <t xml:space="preserve">F_BF1</t>
  </si>
  <si>
    <r>
      <rPr>
        <b val="true"/>
        <sz val="11"/>
        <color rgb="FF000000"/>
        <rFont val="Arial"/>
        <family val="2"/>
        <charset val="1"/>
      </rPr>
      <t xml:space="preserve">ÖPNV</t>
    </r>
    <r>
      <rPr>
        <sz val="11"/>
        <color rgb="FF000000"/>
        <rFont val="Arial"/>
        <family val="2"/>
        <charset val="1"/>
      </rPr>
      <t xml:space="preserve"> bzw. </t>
    </r>
    <r>
      <rPr>
        <b val="true"/>
        <sz val="11"/>
        <color rgb="FF000000"/>
        <rFont val="Arial"/>
        <family val="2"/>
        <charset val="1"/>
      </rPr>
      <t xml:space="preserve">Bahn/Fernbus</t>
    </r>
  </si>
  <si>
    <t xml:space="preserve">F_FL1</t>
  </si>
  <si>
    <r>
      <rPr>
        <sz val="11"/>
        <color rgb="FF000000"/>
        <rFont val="Arial"/>
        <family val="2"/>
        <charset val="1"/>
      </rPr>
      <t xml:space="preserve">(Elektro-)</t>
    </r>
    <r>
      <rPr>
        <b val="true"/>
        <sz val="11"/>
        <color rgb="FF000000"/>
        <rFont val="Arial"/>
        <family val="2"/>
        <charset val="1"/>
      </rPr>
      <t xml:space="preserve">Fahrrad</t>
    </r>
    <r>
      <rPr>
        <sz val="11"/>
        <color rgb="FF000000"/>
        <rFont val="Arial"/>
        <family val="2"/>
        <charset val="1"/>
      </rPr>
      <t xml:space="preserve">/Lastenrad</t>
    </r>
  </si>
  <si>
    <t xml:space="preserve">F_CP1</t>
  </si>
  <si>
    <r>
      <rPr>
        <sz val="11"/>
        <color rgb="FF000000"/>
        <rFont val="Arial"/>
        <family val="2"/>
        <charset val="1"/>
      </rPr>
      <t xml:space="preserve">Gemeinsame Nutzung vorhandener Pkw (</t>
    </r>
    <r>
      <rPr>
        <b val="true"/>
        <sz val="11"/>
        <color rgb="FF000000"/>
        <rFont val="Arial"/>
        <family val="2"/>
        <charset val="1"/>
      </rPr>
      <t xml:space="preserve">Car-Pooling</t>
    </r>
    <r>
      <rPr>
        <sz val="11"/>
        <color rgb="FF000000"/>
        <rFont val="Arial"/>
        <family val="2"/>
        <charset val="1"/>
      </rPr>
      <t xml:space="preserve">)</t>
    </r>
  </si>
  <si>
    <t xml:space="preserve">F_CS1</t>
  </si>
  <si>
    <r>
      <rPr>
        <sz val="11"/>
        <color rgb="FF000000"/>
        <rFont val="Arial"/>
        <family val="2"/>
        <charset val="1"/>
      </rPr>
      <t xml:space="preserve">Nutzung von Pkw eines </t>
    </r>
    <r>
      <rPr>
        <b val="true"/>
        <sz val="11"/>
        <color rgb="FF000000"/>
        <rFont val="Arial"/>
        <family val="2"/>
        <charset val="1"/>
      </rPr>
      <t xml:space="preserve">Car-Sharing</t>
    </r>
    <r>
      <rPr>
        <sz val="11"/>
        <color rgb="FF000000"/>
        <rFont val="Arial"/>
        <family val="2"/>
        <charset val="1"/>
      </rPr>
      <t xml:space="preserve">-Anbieters</t>
    </r>
  </si>
  <si>
    <t xml:space="preserve">F_M1</t>
  </si>
  <si>
    <r>
      <rPr>
        <b val="true"/>
        <sz val="11"/>
        <color rgb="FF000000"/>
        <rFont val="Arial"/>
        <family val="2"/>
        <charset val="1"/>
      </rPr>
      <t xml:space="preserve">Mietwagen</t>
    </r>
    <r>
      <rPr>
        <sz val="11"/>
        <color rgb="FF000000"/>
        <rFont val="Arial"/>
        <family val="2"/>
        <charset val="1"/>
      </rPr>
      <t xml:space="preserve"> für einzelne Strecken</t>
    </r>
  </si>
  <si>
    <t xml:space="preserve">Folgende Verkehrsmittel/Nutzungsarten kommen neben einer Pkw-Beschaffung zur Deckung des betrachteten Mobilitätsbedarfs in Frage:</t>
  </si>
  <si>
    <t xml:space="preserve">Die folgende Frage bezieht sich auf Ihre Einschätzung, nachdem Sie die Vorüberlegungen zur Flottenbeschaffung durchgegangen sind:</t>
  </si>
  <si>
    <r>
      <rPr>
        <sz val="11"/>
        <color rgb="FF000000"/>
        <rFont val="Arial"/>
        <family val="2"/>
        <charset val="1"/>
      </rPr>
      <t xml:space="preserve">Auf wie viele der</t>
    </r>
    <r>
      <rPr>
        <b val="true"/>
        <sz val="11"/>
        <color rgb="FF000000"/>
        <rFont val="Arial"/>
        <family val="2"/>
        <charset val="1"/>
      </rPr>
      <t xml:space="preserve"> ursprünglich zu beschaffenden Pkw</t>
    </r>
    <r>
      <rPr>
        <sz val="11"/>
        <color rgb="FF000000"/>
        <rFont val="Arial"/>
        <family val="2"/>
        <charset val="1"/>
      </rPr>
      <t xml:space="preserve"> kann durch eine optimale Ausnutzung des Fuhrparks und die Kombination mit anderen Verkehrsmitteln </t>
    </r>
    <r>
      <rPr>
        <b val="true"/>
        <sz val="11"/>
        <color rgb="FF000000"/>
        <rFont val="Arial"/>
        <family val="2"/>
        <charset val="1"/>
      </rPr>
      <t xml:space="preserve">verzichtet</t>
    </r>
    <r>
      <rPr>
        <sz val="11"/>
        <color rgb="FF000000"/>
        <rFont val="Arial"/>
        <family val="2"/>
        <charset val="1"/>
      </rPr>
      <t xml:space="preserve"> werden?</t>
    </r>
  </si>
  <si>
    <t xml:space="preserve">F_E2</t>
  </si>
  <si>
    <r>
      <rPr>
        <sz val="11"/>
        <color rgb="FF000000"/>
        <rFont val="Arial"/>
        <family val="2"/>
        <charset val="1"/>
      </rPr>
      <t xml:space="preserve">Für die verbleibenden Pkw nutzen Sie bitte den</t>
    </r>
    <r>
      <rPr>
        <b val="true"/>
        <sz val="11"/>
        <color rgb="FF000000"/>
        <rFont val="Arial"/>
        <family val="2"/>
        <charset val="1"/>
      </rPr>
      <t xml:space="preserve"> Tooleinstieg (B) </t>
    </r>
    <r>
      <rPr>
        <sz val="11"/>
        <color rgb="FF000000"/>
        <rFont val="Arial"/>
        <family val="2"/>
        <charset val="1"/>
      </rPr>
      <t xml:space="preserve">"Einzelfahrzeug beschaffen". Sollte der Einsatzzweck für alle zu beschaffenden Pkw gleich sein, können die resultierenden Empfehlungen für die komplette Ausschreibung übernommen werden. Bei sich deutlich unterscheidenden Einsatzzwecken sollten die Abfragen </t>
    </r>
    <r>
      <rPr>
        <b val="true"/>
        <sz val="11"/>
        <color rgb="FF000000"/>
        <rFont val="Arial"/>
        <family val="2"/>
        <charset val="1"/>
      </rPr>
      <t xml:space="preserve">pro Einsatzzweck</t>
    </r>
    <r>
      <rPr>
        <sz val="11"/>
        <color rgb="FF000000"/>
        <rFont val="Arial"/>
        <family val="2"/>
        <charset val="1"/>
      </rPr>
      <t xml:space="preserve"> bearbeitet werden.</t>
    </r>
  </si>
  <si>
    <r>
      <rPr>
        <b val="true"/>
        <sz val="11"/>
        <color rgb="FF000000"/>
        <rFont val="Arial"/>
        <family val="2"/>
        <charset val="1"/>
      </rPr>
      <t xml:space="preserve">Semiquantitatives</t>
    </r>
    <r>
      <rPr>
        <sz val="11"/>
        <color rgb="FF000000"/>
        <rFont val="Arial"/>
        <family val="2"/>
        <charset val="1"/>
      </rPr>
      <t xml:space="preserve"> Diagramm: Verkehrsmittel zur Deckung des Mobilitätsbedarfs</t>
    </r>
  </si>
  <si>
    <t xml:space="preserve">Umformung der Anteile:</t>
  </si>
  <si>
    <t xml:space="preserve">Semiquantitativer Anteil</t>
  </si>
  <si>
    <t xml:space="preserve">Zahlenwert für die Darstellung</t>
  </si>
  <si>
    <t xml:space="preserve">Substitutionsmöglichkeit </t>
  </si>
  <si>
    <t xml:space="preserve">Umweltvorteil</t>
  </si>
  <si>
    <t xml:space="preserve">Mietwagen</t>
  </si>
  <si>
    <t xml:space="preserve">Car-Sharing</t>
  </si>
  <si>
    <t xml:space="preserve">Car-Pooling</t>
  </si>
  <si>
    <t xml:space="preserve">Fahrrad</t>
  </si>
  <si>
    <t xml:space="preserve">ÖPNV/Bahn/Fernbus</t>
  </si>
  <si>
    <t xml:space="preserve">Auswahllisten für Drop-Down-Menüs</t>
  </si>
  <si>
    <t xml:space="preserve">Reichweiten-Grenze für BEV [km]</t>
  </si>
  <si>
    <t xml:space="preserve">A_R1</t>
  </si>
  <si>
    <t xml:space="preserve">Ja/Nein-Fragen</t>
  </si>
  <si>
    <t xml:space="preserve">A_JN1</t>
  </si>
  <si>
    <t xml:space="preserve">A_JN2</t>
  </si>
  <si>
    <t xml:space="preserve">Wie oft werden übers Jahr Strecken über 150 km zurückgelegt?</t>
  </si>
  <si>
    <t xml:space="preserve">A_S1</t>
  </si>
  <si>
    <t xml:space="preserve">A_S2</t>
  </si>
  <si>
    <t xml:space="preserve">A_S3</t>
  </si>
  <si>
    <t xml:space="preserve">Standzeiten / Verkehrsmittel (für Prototyp_Flotte)</t>
  </si>
  <si>
    <t xml:space="preserve">A_SV1</t>
  </si>
  <si>
    <t xml:space="preserve">A_SV2</t>
  </si>
  <si>
    <t xml:space="preserve">A_SV3</t>
  </si>
  <si>
    <t xml:space="preserve">Wie häufig werden alle Sitzplätze benötigt?</t>
  </si>
  <si>
    <t xml:space="preserve">A_SP1</t>
  </si>
  <si>
    <t xml:space="preserve">A_SP2</t>
  </si>
  <si>
    <t xml:space="preserve">A_SP3</t>
  </si>
  <si>
    <t xml:space="preserve">Transportanforderungen</t>
  </si>
  <si>
    <t xml:space="preserve">A_T1</t>
  </si>
  <si>
    <t xml:space="preserve">A_T2</t>
  </si>
  <si>
    <t xml:space="preserve">A_T3</t>
  </si>
  <si>
    <t xml:space="preserve">Empfehlungslisten für Antwortkombinationen</t>
  </si>
  <si>
    <t xml:space="preserve">Empfehlung zur Antriebsart</t>
  </si>
  <si>
    <t xml:space="preserve">Anmerkung für Changelog</t>
  </si>
  <si>
    <t xml:space="preserve">E_A1</t>
  </si>
  <si>
    <r>
      <rPr>
        <sz val="11"/>
        <color rgb="FF000000"/>
        <rFont val="Calibri"/>
        <family val="0"/>
        <charset val="1"/>
      </rPr>
      <t xml:space="preserve">Wenn weder am Arbeitsplatz (bzw. im umliegenden öffentlichen Raum) noch am Wohnort der Nutzenden eine für mehrere Stunden nutzbare Lademöglichkeit besteht, ist die Beschaffung eines E-Autos nicht sinnvoll. In diesem Fall sollte ein möglichst sparsamer Verbrenner beschafft werden. 
</t>
    </r>
    <r>
      <rPr>
        <sz val="11"/>
        <color rgb="FFFF0000"/>
        <rFont val="Calibri"/>
        <family val="0"/>
        <charset val="1"/>
      </rPr>
      <t xml:space="preserve">Der Auf- und Ausbau</t>
    </r>
    <r>
      <rPr>
        <sz val="11"/>
        <color rgb="FF70AD47"/>
        <rFont val="Calibri"/>
        <family val="0"/>
        <charset val="1"/>
      </rPr>
      <t xml:space="preserve"> </t>
    </r>
    <r>
      <rPr>
        <sz val="11"/>
        <color rgb="FF000000"/>
        <rFont val="Calibri"/>
        <family val="0"/>
        <charset val="1"/>
      </rPr>
      <t xml:space="preserve">von Ladeinfrastruktur ist jedoch unbedingt zu empfehlen, um in Zukunft E-Autos beschaffen zu können.</t>
    </r>
  </si>
  <si>
    <t xml:space="preserve">siehe rote Markierungen</t>
  </si>
  <si>
    <t xml:space="preserve">E_A2</t>
  </si>
  <si>
    <r>
      <rPr>
        <sz val="11"/>
        <color rgb="FF000000"/>
        <rFont val="Calibri"/>
        <family val="0"/>
        <charset val="1"/>
      </rPr>
      <t xml:space="preserve">Ein E-Auto (BEV - rein batteriebetrieben) ist bevorzugt zu beschaffen, da Reichweiten bis 150 km</t>
    </r>
    <r>
      <rPr>
        <sz val="11"/>
        <color rgb="FF70AD47"/>
        <rFont val="Calibri"/>
        <family val="0"/>
        <charset val="1"/>
      </rPr>
      <t xml:space="preserve"> </t>
    </r>
    <r>
      <rPr>
        <sz val="11"/>
        <color rgb="FFFF0000"/>
        <rFont val="Calibri"/>
        <family val="0"/>
        <charset val="1"/>
      </rPr>
      <t xml:space="preserve">mit den heute üblichen E-Pkw in der Regel</t>
    </r>
    <r>
      <rPr>
        <sz val="11"/>
        <color rgb="FF70AD47"/>
        <rFont val="Calibri"/>
        <family val="0"/>
        <charset val="1"/>
      </rPr>
      <t xml:space="preserve"> </t>
    </r>
    <r>
      <rPr>
        <sz val="11"/>
        <color rgb="FF000000"/>
        <rFont val="Calibri"/>
        <family val="0"/>
        <charset val="1"/>
      </rPr>
      <t xml:space="preserve">erzielbar sind, sodass das Laden über Nacht ausreicht. 
Für einzelne Tagesstrecken über 150 km sollte idealerweise die Bahn oder der Fernbus genutzt werden. Bei schlechter Anbindung an den öffentlichen Verkehr oder mit viel Gepäck/Transportgut kann das E-Auto auch auf längeren Tagesstrecken zum Einsatz kommen, sofern unterwegs oder am Zielort (Schnell-)Lademöglichkeiten genutzt werden können. Besteht die Möglichkeit zum Laden nicht, kann in diesen Ausnahmefällen (falls vefügbar) ein anderes Fahrzeug mit entsprechender Reichweite aus dem Fuhrpark oder sonst ein Mietwagen genutzt werden.</t>
    </r>
  </si>
  <si>
    <t xml:space="preserve">E_A3</t>
  </si>
  <si>
    <r>
      <rPr>
        <sz val="11"/>
        <color rgb="FF000000"/>
        <rFont val="Calibri"/>
        <family val="0"/>
        <charset val="1"/>
      </rPr>
      <t xml:space="preserve">Ein E-Auto (BEV - rein batteriebetrieben) ist bevorzugt zu beschaffen, da Reichweiten bis 150 km </t>
    </r>
    <r>
      <rPr>
        <sz val="11"/>
        <color rgb="FFFF0000"/>
        <rFont val="Calibri"/>
        <family val="0"/>
        <charset val="1"/>
      </rPr>
      <t xml:space="preserve">mit den heute üblichen E-Pkw in der Regel </t>
    </r>
    <r>
      <rPr>
        <sz val="11"/>
        <color rgb="FF000000"/>
        <rFont val="Calibri"/>
        <family val="0"/>
        <charset val="1"/>
      </rPr>
      <t xml:space="preserve">erzielbar sind, sodass das Laden über Nacht ausreicht. 
Für einzelne Tagesstrecken über 150 km sollte idealerweise die Bahn oder der Fernbus genutzt werden. Bei schlechter Anbindung an den öffentlichen Verkehr oder mit viel Gepäck/Transportgut kann das E-Auto auch auf längeren Tagesstrecken zum Einsatz kommen, sofern unterwegs oder am Zielort (Schnell-)Lademöglichkeiten genutzt werden können. Besteht die Möglichkeit zum Laden nicht, kann in diesen Ausnahmefällen ein Mietwagen genutzt werden.</t>
    </r>
  </si>
  <si>
    <t xml:space="preserve">E_A4</t>
  </si>
  <si>
    <r>
      <rPr>
        <sz val="11"/>
        <color rgb="FF000000"/>
        <rFont val="Calibri"/>
        <family val="0"/>
        <charset val="1"/>
      </rPr>
      <t xml:space="preserve">Ein E-Auto (BEV - rein batteriebetrieben) ist bevorzugt zu beschaffen, da Reichweiten bis 150 km </t>
    </r>
    <r>
      <rPr>
        <sz val="11"/>
        <color rgb="FFFF0000"/>
        <rFont val="Calibri"/>
        <family val="0"/>
        <charset val="1"/>
      </rPr>
      <t xml:space="preserve">mit den heute üblichen E-Pkw in der Regel </t>
    </r>
    <r>
      <rPr>
        <sz val="11"/>
        <color rgb="FF000000"/>
        <rFont val="Calibri"/>
        <family val="0"/>
        <charset val="1"/>
      </rPr>
      <t xml:space="preserve">erzielbar sind, sodass das Laden über Nacht ausreicht. 
Wenn häufiger auch mal Tagesstrecken über 150 km zurückgelegt werden sollen und unterwegs oder am Zielort (Schnell-) Lademöglichkeiten genutzt werden können, kann das E-Auto auch auf diesen Strecken zum Einsatz kommen. Besteht die Möglichkeit zum Laden nicht, sollte geprüft werden, ob für die Einsatztage mit längeren Strecken regelmäßig ein anderes Fahrzeug mit entsprechender Reichweite aus dem Fuhrpark genutzt werden kann. Dieses Fahrzeug kann auch ein E-Auto mit größerer Batterie sein, da in höheren Preissegmenten reale 300 km Reichweite gängig sind. Zudem ist zu prüfen, ob die Tagesstrecken über 150 km tatsächlich zum Großteil mit dem Pkw zurückgelegt werden müssen (aufgrund schlechter Anbindung an den öffentlichen Verkehr oder viel Gepäck/Transportgut) oder ob mit Bahn oder Fernbus gereist werden kann.</t>
    </r>
  </si>
  <si>
    <t xml:space="preserve">E_A5</t>
  </si>
  <si>
    <r>
      <rPr>
        <sz val="11"/>
        <color rgb="FF000000"/>
        <rFont val="Calibri"/>
        <family val="0"/>
        <charset val="1"/>
      </rPr>
      <t xml:space="preserve">Ein E-Auto (BEV - rein batteriebetrieben) ist bevorzugt zu beschaffen, da Reichweiten bis 150 km </t>
    </r>
    <r>
      <rPr>
        <sz val="11"/>
        <color rgb="FFFF0000"/>
        <rFont val="Calibri"/>
        <family val="0"/>
        <charset val="1"/>
      </rPr>
      <t xml:space="preserve">mit den heute üblichen E-Pkw in der Regel </t>
    </r>
    <r>
      <rPr>
        <sz val="11"/>
        <color rgb="FF000000"/>
        <rFont val="Calibri"/>
        <family val="0"/>
        <charset val="1"/>
      </rPr>
      <t xml:space="preserve">erzielbar sind, sodass das Laden über Nacht ausreicht. 
Wenn häufiger auch mal Tagesstrecken über 150 km zurückgelegt werden sollen und unterwegs oder am Zielort (Schnell-) Lademöglichkeiten genutzt werden können, kann das E-Auto auch auf diesen Strecken zum Einsatz kommen. Zudem ist zu prüfen, ob die Tagesstrecken über 150 km tatsächlich zum Großteil mit dem Pkw zurückgelegt werden müssen (aufgrund schlechter Anbindung an den öffentlichen Verkehr oder viel Gepäck/Transportgut) oder ob mit Bahn oder Fernbus gereist werden kann.
Ist dies nicht der Fall und besteht keine Möglichkeit zum Laden während längerer Strecken, kann die Beschaffung eines Plug-in-Hybrids (PHEV) sinnvoll sein. In diesem Fall sollte jedoch darauf geachtet werden, dass bei den kürzeren Strecken, die im Regelfall gefahren werden, ein elektrischer Fahranteil von über 70 % erzielt wird. Dazu muss ein regelmäßiges Laden gewährleistet sein. Zudem sind PHEVs eher in größeren Fahrzeugsegmenten verfügbar. Je nach Anwendungsfall kann ein kleiner, sparsamer Verbrenner auch aus Umweltsicht vorteilhaft ggü. einem PHEV sein. </t>
    </r>
  </si>
  <si>
    <t xml:space="preserve">E_A6</t>
  </si>
  <si>
    <t xml:space="preserve">Inkonsistente Eingabe: Die Aussage zur Häufigkeit längerer Strecken passt nicht mit der angegeben Streckenlänge eines repräsentativen Tages zusammen. Bitte passen Sie die Streckenlänge so an, dass sie den Fahrten im Regelfall entspricht.</t>
  </si>
  <si>
    <t xml:space="preserve">E_A7</t>
  </si>
  <si>
    <r>
      <rPr>
        <sz val="11"/>
        <color rgb="FF000000"/>
        <rFont val="Calibri"/>
        <family val="0"/>
        <charset val="1"/>
      </rPr>
      <t xml:space="preserve">Erlaubt die Terminplanung Fahrtunterbrechungen von mind. 20-40 min </t>
    </r>
    <r>
      <rPr>
        <sz val="11"/>
        <color rgb="FFFF0000"/>
        <rFont val="Calibri"/>
        <family val="0"/>
        <charset val="1"/>
      </rPr>
      <t xml:space="preserve">an Standorten mit (Schnell-)Lademöglichkeiten</t>
    </r>
    <r>
      <rPr>
        <sz val="11"/>
        <color rgb="FF000000"/>
        <rFont val="Calibri"/>
        <family val="0"/>
        <charset val="1"/>
      </rPr>
      <t xml:space="preserve">, ist ein E-Auto (BEV - rein batteriebetrieben) trotz häufiger längerer Strecken bevorzugt zu beschaffen. </t>
    </r>
  </si>
  <si>
    <t xml:space="preserve">E_A8</t>
  </si>
  <si>
    <r>
      <rPr>
        <sz val="11"/>
        <color rgb="FF000000"/>
        <rFont val="Calibri"/>
        <family val="0"/>
        <charset val="1"/>
      </rPr>
      <t xml:space="preserve">Ein E-Auto (BEV - rein batteriebetrieben) mit großer Reichweite ist ggf. geeignet. In höheren Preissegmenten </t>
    </r>
    <r>
      <rPr>
        <sz val="11"/>
        <color rgb="FFFF0000"/>
        <rFont val="Calibri"/>
        <family val="0"/>
        <charset val="1"/>
      </rPr>
      <t xml:space="preserve">ist eine Reichweite von 300 km</t>
    </r>
    <r>
      <rPr>
        <sz val="11"/>
        <color rgb="FF70AD47"/>
        <rFont val="Calibri"/>
        <family val="0"/>
        <charset val="1"/>
      </rPr>
      <t xml:space="preserve"> </t>
    </r>
    <r>
      <rPr>
        <sz val="11"/>
        <color rgb="FF000000"/>
        <rFont val="Calibri"/>
        <family val="0"/>
        <charset val="1"/>
      </rPr>
      <t xml:space="preserve">gängig. Es sollte jedoch beachtet werden, dass dem Umweltvorteil eines BEV in der Nutzung die Herstellungsemissionen einer großen Batterie gegenüberstehen. Zudem sind große Batterien vor allem in größeren Fahrzeugen verbaut. Ein kleinerer, möglichst sparsamer Verbrenner kann in diesem Anwendungsfall aus Umweltsicht (und aus Kostensicht ohnehin) also durchaus vorteilhaft sein.</t>
    </r>
  </si>
  <si>
    <t xml:space="preserve">E_A9</t>
  </si>
  <si>
    <t xml:space="preserve">Erlaubt die Terminplanung auf langen Strecken keine bzw. nur sehr kurze Fahrtunterbrechungen unter 30 min, ist die Beschaffung eines E-Autos nicht sinnvoll. In diesem Fall sollte ein möglichst sparsamer Verbrenner beschafft werden.</t>
  </si>
  <si>
    <t xml:space="preserve">E_A10</t>
  </si>
  <si>
    <t xml:space="preserve">Bei vielen langen Strecken, auf denen keine Lademöglichkeit besteht, ist die Beschaffung eines E-Autos nicht sinnvoll. In diesem Fall sollte ein möglichst sparsamer Verbrenner beschafft werden.</t>
  </si>
  <si>
    <t xml:space="preserve">E_A11</t>
  </si>
  <si>
    <t xml:space="preserve">Bei vielen langen Strecken, auf denen keine Lademöglichkeit besteht, ist die Beschaffung eines E-Autos nicht sinnvoll. In diesem Fall sollte ein möglichst sparsamer Verbrenner beschafft werden. 
Das Fahrprofil mit regelmäßigen längeren Fahrtunterbrechungen eignet sich an sich allerdings für E-Autos. Der weitere Ausbau der öffentlichen Ladeinfrastruktur oder die Wahl von Alternativrouten mit verfügbaren Ladesäulen kann also (in Zukunft) eine E-Auto-Beschaffung durchaus ermöglichen. </t>
  </si>
  <si>
    <t xml:space="preserve">Empfehlung zum Fahrzeugsegment</t>
  </si>
  <si>
    <t xml:space="preserve">E_F1</t>
  </si>
  <si>
    <t xml:space="preserve">Bei regelmäßigen aufwändigen Transportanforderungen ist ein Van oder ein Fahrzeug der Rubrik Utilities (Hochdachkombis, Kleinbusse und Pick-ups, die als Pkw zugelassen sind) notwendig.</t>
  </si>
  <si>
    <t xml:space="preserve">E_F2</t>
  </si>
  <si>
    <r>
      <rPr>
        <sz val="11"/>
        <color rgb="FF000000"/>
        <rFont val="Calibri"/>
        <family val="0"/>
        <charset val="1"/>
      </rPr>
      <t xml:space="preserve">Für die Leitungsebene besteht ggf. Anspruch auf ein Fahrzeug aus einem</t>
    </r>
    <r>
      <rPr>
        <sz val="11"/>
        <color rgb="FFFF0000"/>
        <rFont val="Calibri"/>
        <family val="0"/>
        <charset val="1"/>
      </rPr>
      <t xml:space="preserve"> höheren</t>
    </r>
    <r>
      <rPr>
        <sz val="11"/>
        <color rgb="FF000000"/>
        <rFont val="Calibri"/>
        <family val="0"/>
        <charset val="1"/>
      </rPr>
      <t xml:space="preserve"> Fahrzeugsegment. Trotzdem sollte </t>
    </r>
    <r>
      <rPr>
        <sz val="11"/>
        <color rgb="FFFF0000"/>
        <rFont val="Calibri"/>
        <family val="0"/>
        <charset val="1"/>
      </rPr>
      <t xml:space="preserve">aus Umweltgründen</t>
    </r>
    <r>
      <rPr>
        <sz val="11"/>
        <color rgb="FF000000"/>
        <rFont val="Calibri"/>
        <family val="0"/>
        <charset val="1"/>
      </rPr>
      <t xml:space="preserve"> abgewogen werden, ob ein kleineres Fahrzeug geeignet ist und die Leitungsebene freiwillig auf diesen Anspruch verzichtet. </t>
    </r>
  </si>
  <si>
    <t xml:space="preserve">"bis zur Oberen Mittelklasse" gelöscht; siehe rote Markierungen</t>
  </si>
  <si>
    <t xml:space="preserve">E_F3</t>
  </si>
  <si>
    <r>
      <rPr>
        <sz val="11"/>
        <color rgb="FFFF0000"/>
        <rFont val="Calibri"/>
        <family val="0"/>
        <charset val="1"/>
      </rPr>
      <t xml:space="preserve">Aus Umweltsicht sollte</t>
    </r>
    <r>
      <rPr>
        <sz val="11"/>
        <color rgb="FF000000"/>
        <rFont val="Calibri"/>
        <family val="0"/>
        <charset val="1"/>
      </rPr>
      <t xml:space="preserve"> bei einer Nutzung des Fahrzeugs durch max. zwei Personen </t>
    </r>
    <r>
      <rPr>
        <sz val="11"/>
        <color rgb="FFFF0000"/>
        <rFont val="Calibri"/>
        <family val="0"/>
        <charset val="1"/>
      </rPr>
      <t xml:space="preserve">idealerweise</t>
    </r>
    <r>
      <rPr>
        <sz val="11"/>
        <color rgb="FF000000"/>
        <rFont val="Calibri"/>
        <family val="0"/>
        <charset val="1"/>
      </rPr>
      <t xml:space="preserve"> ein Kleinstwagen beschafft </t>
    </r>
    <r>
      <rPr>
        <sz val="11"/>
        <color rgb="FFFF0000"/>
        <rFont val="Calibri"/>
        <family val="0"/>
        <charset val="1"/>
      </rPr>
      <t xml:space="preserve">werden</t>
    </r>
    <r>
      <rPr>
        <sz val="11"/>
        <color rgb="FF000000"/>
        <rFont val="Calibri"/>
        <family val="0"/>
        <charset val="1"/>
      </rPr>
      <t xml:space="preserve">. </t>
    </r>
    <r>
      <rPr>
        <sz val="11"/>
        <color rgb="FFFF0000"/>
        <rFont val="Calibri"/>
        <family val="0"/>
        <charset val="1"/>
      </rPr>
      <t xml:space="preserve">Ist</t>
    </r>
    <r>
      <rPr>
        <sz val="11"/>
        <color rgb="FF000000"/>
        <rFont val="Calibri"/>
        <family val="0"/>
        <charset val="1"/>
      </rPr>
      <t xml:space="preserve"> mehr Komfort und/oder Stauraum nötig,</t>
    </r>
    <r>
      <rPr>
        <sz val="11"/>
        <color rgb="FF70AD47"/>
        <rFont val="Calibri"/>
        <family val="0"/>
        <charset val="1"/>
      </rPr>
      <t xml:space="preserve"> </t>
    </r>
    <r>
      <rPr>
        <sz val="11"/>
        <color rgb="FFFF0000"/>
        <rFont val="Calibri"/>
        <family val="0"/>
        <charset val="1"/>
      </rPr>
      <t xml:space="preserve">sollte genau abgewogen werden, welches Segment den Umweltansprüchen und der Vorbildfunktion der Institution entspricht.</t>
    </r>
  </si>
  <si>
    <t xml:space="preserve">E_F4</t>
  </si>
  <si>
    <r>
      <rPr>
        <sz val="11"/>
        <color rgb="FFFF0000"/>
        <rFont val="Calibri"/>
        <family val="0"/>
        <charset val="1"/>
      </rPr>
      <t xml:space="preserve">Aus Umweltsicht sollte</t>
    </r>
    <r>
      <rPr>
        <sz val="11"/>
        <color rgb="FF000000"/>
        <rFont val="Calibri"/>
        <family val="0"/>
        <charset val="1"/>
      </rPr>
      <t xml:space="preserve"> bei einer Nutzung des Fahrzeugs durch max. zwei Personen </t>
    </r>
    <r>
      <rPr>
        <sz val="11"/>
        <color rgb="FFFF0000"/>
        <rFont val="Calibri"/>
        <family val="0"/>
        <charset val="1"/>
      </rPr>
      <t xml:space="preserve">idealerweise</t>
    </r>
    <r>
      <rPr>
        <sz val="11"/>
        <color rgb="FF000000"/>
        <rFont val="Calibri"/>
        <family val="0"/>
        <charset val="1"/>
      </rPr>
      <t xml:space="preserve"> ein Kleinstwagen beschafft </t>
    </r>
    <r>
      <rPr>
        <sz val="11"/>
        <color rgb="FFFF0000"/>
        <rFont val="Calibri"/>
        <family val="0"/>
        <charset val="1"/>
      </rPr>
      <t xml:space="preserve">werden</t>
    </r>
    <r>
      <rPr>
        <sz val="11"/>
        <color rgb="FF000000"/>
        <rFont val="Calibri"/>
        <family val="0"/>
        <charset val="1"/>
      </rPr>
      <t xml:space="preserve">. </t>
    </r>
    <r>
      <rPr>
        <sz val="11"/>
        <color rgb="FFFF0000"/>
        <rFont val="Calibri"/>
        <family val="0"/>
        <charset val="1"/>
      </rPr>
      <t xml:space="preserve">Ist</t>
    </r>
    <r>
      <rPr>
        <sz val="11"/>
        <color rgb="FF000000"/>
        <rFont val="Calibri"/>
        <family val="0"/>
        <charset val="1"/>
      </rPr>
      <t xml:space="preserve"> (gerade bei vielen längeren Strecken) mehr Komfort und/oder Stauraum nötig, </t>
    </r>
    <r>
      <rPr>
        <sz val="11"/>
        <color rgb="FFFF0000"/>
        <rFont val="Calibri"/>
        <family val="0"/>
        <charset val="1"/>
      </rPr>
      <t xml:space="preserve">sollte genau abgewogen werden, welches Segment den Umweltansprüchen und der Vorbildfunktion der Institution entspricht.</t>
    </r>
  </si>
  <si>
    <t xml:space="preserve">E_F5</t>
  </si>
  <si>
    <r>
      <rPr>
        <sz val="11"/>
        <color rgb="FF000000"/>
        <rFont val="Calibri"/>
        <family val="0"/>
        <charset val="1"/>
      </rPr>
      <t xml:space="preserve">Werden nur selten mehr als zwei Sitzplätze benötigt, sollte </t>
    </r>
    <r>
      <rPr>
        <sz val="11"/>
        <color rgb="FFFF0000"/>
        <rFont val="Calibri"/>
        <family val="0"/>
        <charset val="1"/>
      </rPr>
      <t xml:space="preserve">aus Umweltsicht</t>
    </r>
    <r>
      <rPr>
        <sz val="11"/>
        <color rgb="FF000000"/>
        <rFont val="Calibri"/>
        <family val="0"/>
        <charset val="1"/>
      </rPr>
      <t xml:space="preserve"> bevorzugt ein Kleinwagen beschafft werden. </t>
    </r>
    <r>
      <rPr>
        <sz val="11"/>
        <color rgb="FFFF0000"/>
        <rFont val="Calibri"/>
        <family val="0"/>
        <charset val="1"/>
      </rPr>
      <t xml:space="preserve">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t>
    </r>
  </si>
  <si>
    <t xml:space="preserve">E_F6</t>
  </si>
  <si>
    <r>
      <rPr>
        <sz val="11"/>
        <color rgb="FF000000"/>
        <rFont val="Calibri"/>
        <family val="0"/>
        <charset val="1"/>
      </rPr>
      <t xml:space="preserve">Werden nur selten mehr als zwei Sitzplätze benötigt, sollte </t>
    </r>
    <r>
      <rPr>
        <sz val="11"/>
        <color rgb="FFFF0000"/>
        <rFont val="Calibri"/>
        <family val="0"/>
        <charset val="1"/>
      </rPr>
      <t xml:space="preserve">aus Umweltsicht</t>
    </r>
    <r>
      <rPr>
        <sz val="11"/>
        <color rgb="FF000000"/>
        <rFont val="Calibri"/>
        <family val="0"/>
        <charset val="1"/>
      </rPr>
      <t xml:space="preserve"> bevorzugt ein Kleinwagen beschafft werden. </t>
    </r>
    <r>
      <rPr>
        <sz val="11"/>
        <color rgb="FFFF0000"/>
        <rFont val="Calibri"/>
        <family val="0"/>
        <charset val="1"/>
      </rPr>
      <t xml:space="preserve">Ist</t>
    </r>
    <r>
      <rPr>
        <sz val="11"/>
        <color rgb="FF000000"/>
        <rFont val="Calibri"/>
        <family val="0"/>
        <charset val="1"/>
      </rPr>
      <t xml:space="preserve"> (gerade bei vielen längeren Strecken) mehr Komfort und/oder Stauraum nötig, </t>
    </r>
    <r>
      <rPr>
        <sz val="11"/>
        <color rgb="FFFF0000"/>
        <rFont val="Calibri"/>
        <family val="0"/>
        <charset val="1"/>
      </rPr>
      <t xml:space="preserve">sollte genau abgewogen werden, welches Segment den Umweltansprüchen und der Vorbildfunktion der Institution entspricht.</t>
    </r>
  </si>
  <si>
    <t xml:space="preserve">E_F7</t>
  </si>
  <si>
    <r>
      <rPr>
        <sz val="11"/>
        <color rgb="FF000000"/>
        <rFont val="Calibri"/>
        <family val="0"/>
        <charset val="1"/>
      </rPr>
      <t xml:space="preserve">Werden häufig mehr als zwei Sitzplätze benötigt, sollte</t>
    </r>
    <r>
      <rPr>
        <sz val="11"/>
        <color rgb="FFFF0000"/>
        <rFont val="Calibri"/>
        <family val="0"/>
        <charset val="1"/>
      </rPr>
      <t xml:space="preserve"> aus Umweltsicht </t>
    </r>
    <r>
      <rPr>
        <sz val="11"/>
        <color rgb="FF000000"/>
        <rFont val="Calibri"/>
        <family val="0"/>
        <charset val="1"/>
      </rPr>
      <t xml:space="preserve">bevorzugt ein Fahrzeug der Kompaktklasse beschafft werden. </t>
    </r>
    <r>
      <rPr>
        <sz val="11"/>
        <color rgb="FFFF0000"/>
        <rFont val="Calibri"/>
        <family val="0"/>
        <charset val="1"/>
      </rPr>
      <t xml:space="preserve">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t>
    </r>
  </si>
  <si>
    <t xml:space="preserve">E_F8</t>
  </si>
  <si>
    <r>
      <rPr>
        <sz val="11"/>
        <color rgb="FF000000"/>
        <rFont val="Calibri"/>
        <family val="0"/>
        <charset val="1"/>
      </rPr>
      <t xml:space="preserve">Auch wenn meistens bis zu vier Personen in dem Auto fahren, sollte </t>
    </r>
    <r>
      <rPr>
        <sz val="11"/>
        <color rgb="FFFF0000"/>
        <rFont val="Calibri"/>
        <family val="0"/>
        <charset val="1"/>
      </rPr>
      <t xml:space="preserve">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 </t>
    </r>
    <r>
      <rPr>
        <sz val="11"/>
        <color rgb="FFFF0000"/>
        <rFont val="Calibri"/>
        <family val="0"/>
        <charset val="1"/>
      </rPr>
      <t xml:space="preserve">Ist</t>
    </r>
    <r>
      <rPr>
        <sz val="11"/>
        <color rgb="FF000000"/>
        <rFont val="Calibri"/>
        <family val="0"/>
        <charset val="1"/>
      </rPr>
      <t xml:space="preserve"> mehr Komfort und/oder Stauraum nötig, </t>
    </r>
    <r>
      <rPr>
        <sz val="11"/>
        <color rgb="FFFF0000"/>
        <rFont val="Calibri"/>
        <family val="0"/>
        <charset val="1"/>
      </rPr>
      <t xml:space="preserve">sollte genau abgewogen werden, welches Segment den Umweltansprüchen und der Vorbildfunktion der Institution entspricht.</t>
    </r>
  </si>
  <si>
    <t xml:space="preserve">siehe rote Markierungen; Verlinkung (siehe Kommentar) über "Modelle"</t>
  </si>
  <si>
    <t xml:space="preserve">E_F9</t>
  </si>
  <si>
    <r>
      <rPr>
        <sz val="11"/>
        <color rgb="FF000000"/>
        <rFont val="Calibri"/>
        <family val="0"/>
        <charset val="1"/>
      </rPr>
      <t xml:space="preserve">Wenn selten alle fünf Sitzplätze benötigt werden, sollte </t>
    </r>
    <r>
      <rPr>
        <sz val="11"/>
        <color rgb="FFFF0000"/>
        <rFont val="Calibri"/>
        <family val="0"/>
        <charset val="1"/>
      </rPr>
      <t xml:space="preserve">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t>
    </r>
    <r>
      <rPr>
        <sz val="11"/>
        <color rgb="FFFF0000"/>
        <rFont val="Calibri"/>
        <family val="0"/>
        <charset val="1"/>
      </rPr>
      <t xml:space="preserve"> 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t>
    </r>
  </si>
  <si>
    <t xml:space="preserve">E_F10</t>
  </si>
  <si>
    <t xml:space="preserve">Werden oft alle fünf Sitzplätze benötigt, ist ein Fahrzeug der Mittelklasse zu empfehlen.</t>
  </si>
  <si>
    <t xml:space="preserve">E_F11</t>
  </si>
  <si>
    <r>
      <rPr>
        <sz val="11"/>
        <color rgb="FF000000"/>
        <rFont val="Calibri"/>
        <family val="0"/>
        <charset val="1"/>
      </rPr>
      <t xml:space="preserve">Im betrachteten Beschaffungsfall sollte bei bis zu vier Personen</t>
    </r>
    <r>
      <rPr>
        <sz val="11"/>
        <color rgb="FFFF0000"/>
        <rFont val="Calibri"/>
        <family val="0"/>
        <charset val="1"/>
      </rPr>
      <t xml:space="preserve"> 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t>
    </r>
    <r>
      <rPr>
        <sz val="11"/>
        <color rgb="FFFF0000"/>
        <rFont val="Calibri"/>
        <family val="0"/>
        <charset val="1"/>
      </rPr>
      <t xml:space="preserve">Für die Ausnahmefälle, in denen </t>
    </r>
    <r>
      <rPr>
        <sz val="11"/>
        <color rgb="FF000000"/>
        <rFont val="Calibri"/>
        <family val="0"/>
        <charset val="1"/>
      </rPr>
      <t xml:space="preserve">über fünf Sitzplätze benötigt werden, kann ein Hochdachkombi (falls verfügbar) aus dem Fuhrpark verwendet oder sonst gemietet werden.</t>
    </r>
  </si>
  <si>
    <t xml:space="preserve">E_F12</t>
  </si>
  <si>
    <r>
      <rPr>
        <sz val="11"/>
        <color rgb="FF000000"/>
        <rFont val="Calibri"/>
        <family val="0"/>
        <charset val="1"/>
      </rPr>
      <t xml:space="preserve">Im betrachteten Beschaffungsfall sollte bei bis zu vier Personen</t>
    </r>
    <r>
      <rPr>
        <sz val="11"/>
        <color rgb="FFFF0000"/>
        <rFont val="Calibri"/>
        <family val="0"/>
        <charset val="1"/>
      </rPr>
      <t xml:space="preserve"> 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t>
    </r>
    <r>
      <rPr>
        <sz val="11"/>
        <color rgb="FFFF0000"/>
        <rFont val="Calibri"/>
        <family val="0"/>
        <charset val="1"/>
      </rPr>
      <t xml:space="preserve">Für die Ausnahmefälle, in denen</t>
    </r>
    <r>
      <rPr>
        <sz val="11"/>
        <color rgb="FF000000"/>
        <rFont val="Calibri"/>
        <family val="0"/>
        <charset val="1"/>
      </rPr>
      <t xml:space="preserve"> über fünf Sitzplätze benötigt werden, kann ein Hochdachkombi gemietet werden.</t>
    </r>
  </si>
  <si>
    <t xml:space="preserve">E_F13</t>
  </si>
  <si>
    <r>
      <rPr>
        <sz val="11"/>
        <color rgb="FF000000"/>
        <rFont val="Calibri"/>
        <family val="0"/>
        <charset val="1"/>
      </rPr>
      <t xml:space="preserve">Wenn nur selten über fünf Sitzplätze benötigt werden, kann für diese Ausnahmefälle ein Hochdachkombi </t>
    </r>
    <r>
      <rPr>
        <sz val="11"/>
        <color rgb="FFFF0000"/>
        <rFont val="Calibri"/>
        <family val="0"/>
        <charset val="1"/>
      </rPr>
      <t xml:space="preserve">oder Kleinbus</t>
    </r>
    <r>
      <rPr>
        <b val="true"/>
        <sz val="11"/>
        <color rgb="FF70AD47"/>
        <rFont val="Calibri"/>
        <family val="0"/>
        <charset val="1"/>
      </rPr>
      <t xml:space="preserve"> </t>
    </r>
    <r>
      <rPr>
        <sz val="11"/>
        <color rgb="FF000000"/>
        <rFont val="Calibri"/>
        <family val="0"/>
        <charset val="1"/>
      </rPr>
      <t xml:space="preserve">(falls verfügbar) aus dem Fuhrpark verwendet oder sonst gemietet werden. Bei regelmäßigen aufwändigen Transportanforderungen ist allerdings ohnehin ein Van oder ein Fahrzeug der Rubrik Utilities (Hochdachkombis, Kleinbusse und Pick-ups, die als Pkw zugelassen sind) notwendig. Bei der Wahl der Fahrzeugart ist also abzuwägen, ob der Personentransport (-&gt; Hochdachkombi, Kleinbus) oder der Transport von Gegenständen (-&gt; Van, Hochdachkombi, Pick-up) überwiegt.</t>
    </r>
  </si>
  <si>
    <t xml:space="preserve">E_F14</t>
  </si>
  <si>
    <r>
      <rPr>
        <sz val="11"/>
        <color rgb="FF000000"/>
        <rFont val="Calibri"/>
        <family val="0"/>
        <charset val="1"/>
      </rPr>
      <t xml:space="preserve">Wenn nur selten über fünf Sitzplätze benötigt werden, kann für diese Ausnahmefälle ein Hochdachkombi </t>
    </r>
    <r>
      <rPr>
        <sz val="11"/>
        <color rgb="FFFF0000"/>
        <rFont val="Calibri"/>
        <family val="0"/>
        <charset val="1"/>
      </rPr>
      <t xml:space="preserve">oder Kleinbus</t>
    </r>
    <r>
      <rPr>
        <sz val="11"/>
        <color rgb="FF000000"/>
        <rFont val="Calibri"/>
        <family val="0"/>
        <charset val="1"/>
      </rPr>
      <t xml:space="preserve"> gemietet werden. Bei regelmäßigen aufwändigen Transportanforderungen ist allerdings ohnehin ein Van oder ein Fahrzeug der Rubrik Utilities (Hochdachkombis, Kleinbusse und Pick-ups, die als Pkw zugelassen sind) notwendig. Bei der Wahl der Fahrzeugart ist also abzuwägen, ob der Personentransport (-&gt; Hochdachkombi, Kleinbus) oder der Transport von Gegenständen (-&gt; Van, Hochdachkombi, Pick-up) überwiegt.</t>
    </r>
  </si>
  <si>
    <t xml:space="preserve">E_F15</t>
  </si>
  <si>
    <t xml:space="preserve">Werden oft mind. sechs Sitzplätze benötigt, sollte ein Hochdachkombi beschafft werden. Diese Fahrzeugart hat unter den 7-Sitzern in der Regel das beste Preis-Leistungs-Verhältnis und fährt sparsamer als z.B. ein SUV.</t>
  </si>
  <si>
    <t xml:space="preserve">E_F16</t>
  </si>
  <si>
    <r>
      <rPr>
        <sz val="11"/>
        <color rgb="FF000000"/>
        <rFont val="Calibri"/>
        <family val="0"/>
        <charset val="1"/>
      </rPr>
      <t xml:space="preserve">Im betrachteten Beschaffungsfall sollte bei bis zu vier Personen </t>
    </r>
    <r>
      <rPr>
        <sz val="11"/>
        <color rgb="FFFF0000"/>
        <rFont val="Calibri"/>
        <family val="0"/>
        <charset val="1"/>
      </rPr>
      <t xml:space="preserve">aus Umweltsicht</t>
    </r>
    <r>
      <rPr>
        <sz val="11"/>
        <color rgb="FF000000"/>
        <rFont val="Calibri"/>
        <family val="0"/>
        <charset val="1"/>
      </rPr>
      <t xml:space="preserve">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t>
    </r>
    <r>
      <rPr>
        <sz val="11"/>
        <color rgb="FFFF0000"/>
        <rFont val="Calibri"/>
        <family val="0"/>
        <charset val="1"/>
      </rPr>
      <t xml:space="preserve">Für die Ausnahmefälle, in denen </t>
    </r>
    <r>
      <rPr>
        <sz val="11"/>
        <color rgb="FF000000"/>
        <rFont val="Calibri"/>
        <family val="0"/>
        <charset val="1"/>
      </rPr>
      <t xml:space="preserve">über sieben Sitzplätze benötigt werden, kann ein Kleinbus (falls verfügbar) aus dem Fuhrpark verwendet oder sonst gemietet werden.</t>
    </r>
  </si>
  <si>
    <t xml:space="preserve">E_F17</t>
  </si>
  <si>
    <r>
      <rPr>
        <sz val="11"/>
        <color rgb="FF000000"/>
        <rFont val="Calibri"/>
        <family val="0"/>
        <charset val="1"/>
      </rPr>
      <t xml:space="preserve">Im betrachteten Beschaffungsfall sollte bei bis zu vier Personen </t>
    </r>
    <r>
      <rPr>
        <sz val="11"/>
        <color rgb="FFFF0000"/>
        <rFont val="Calibri"/>
        <family val="0"/>
        <charset val="1"/>
      </rPr>
      <t xml:space="preserve">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t>
    </r>
    <r>
      <rPr>
        <sz val="11"/>
        <color rgb="FFFF0000"/>
        <rFont val="Calibri"/>
        <family val="0"/>
        <charset val="1"/>
      </rPr>
      <t xml:space="preserve">Für die Ausnahmefälle, in denen</t>
    </r>
    <r>
      <rPr>
        <sz val="11"/>
        <color rgb="FF000000"/>
        <rFont val="Calibri"/>
        <family val="0"/>
        <charset val="1"/>
      </rPr>
      <t xml:space="preserve"> über sieben Sitzplätze benötigt werden, kann ein Kleinbus gemietet werden.</t>
    </r>
  </si>
  <si>
    <t xml:space="preserve">E_F18</t>
  </si>
  <si>
    <t xml:space="preserve">Wenn nur selten über sieben Sitzplätze benötigt werden, kann für diese Ausnahmefälle ein Kleinbus (falls verfügbar) aus dem Fuhrpark verwendet oder sonst gemietet werden. Bei regelmäßigen aufwändigen Transportanforderungen ist allerdings ohnehin ein Van oder ein Fahrzeug der Rubrik Utilities (Hochdachkombis, Kleinbusse und Pick-ups, die als Pkw zugelassen sind) notwendig. Bei der Wahl der Fahrzeugart ist also abzuwägen, ob der Personentransport (-&gt; Hochdachkombi, Kleinbus) oder der Transport von Gegenständen (-&gt; Van, Hochdachkombi, Pick-up) überwiegt.</t>
  </si>
  <si>
    <t xml:space="preserve">E_F19</t>
  </si>
  <si>
    <t xml:space="preserve">Wenn nur selten über sieben Sitzplätze benötigt werden, kann für diese Ausnahmefälle ein Kleinbus gemietet werden. Bei regelmäßigen aufwändigen Transportanforderungen ist allerdings ohnehin ein Van oder ein Fahrzeug der Rubrik Utilities (Hochdachkombis, Kleinbusse und Pick-ups, die als Pkw zugelassen sind) notwendig. Bei der Wahl der Fahrzeugart ist also abzuwägen, ob der Personentransport (-&gt; Hochdachkombi, Kleinbus) oder der Transport von Gegenständen (-&gt; Van, Hochdachkombi, Pick-up) überwiegt.</t>
  </si>
  <si>
    <t xml:space="preserve">E_F20</t>
  </si>
  <si>
    <t xml:space="preserve">Werden oft mind. acht Sitzplätze benötigt, sollte ein Kleinbus beschafft werden.</t>
  </si>
  <si>
    <t xml:space="preserve">E_F21</t>
  </si>
  <si>
    <r>
      <rPr>
        <sz val="11"/>
        <color rgb="FF000000"/>
        <rFont val="Calibri"/>
        <family val="0"/>
        <charset val="1"/>
      </rPr>
      <t xml:space="preserve">Für die Leitungsebene besteht ggf. Anspruch auf ein Fahrzeug aus einem </t>
    </r>
    <r>
      <rPr>
        <sz val="11"/>
        <color rgb="FFFF0000"/>
        <rFont val="Calibri"/>
        <family val="0"/>
        <charset val="1"/>
      </rPr>
      <t xml:space="preserve">höheren </t>
    </r>
    <r>
      <rPr>
        <sz val="11"/>
        <color rgb="FF000000"/>
        <rFont val="Calibri"/>
        <family val="0"/>
        <charset val="1"/>
      </rPr>
      <t xml:space="preserve">Fahrzeugsegment. Trotzdem sollte</t>
    </r>
    <r>
      <rPr>
        <sz val="11"/>
        <color rgb="FFFF0000"/>
        <rFont val="Calibri"/>
        <family val="0"/>
        <charset val="1"/>
      </rPr>
      <t xml:space="preserve"> aus Umweltgründen </t>
    </r>
    <r>
      <rPr>
        <sz val="11"/>
        <color rgb="FF000000"/>
        <rFont val="Calibri"/>
        <family val="0"/>
        <charset val="1"/>
      </rPr>
      <t xml:space="preserve">abgewogen werden, ob ein kleineres Fahrzeug geeignet ist und die Leitungsebene freiwillig auf diesen Anspruch verzichtet. 
Wenn nur gelegentlich aufwändige Transportanforderungen bestehen, die einen Van/ein Fahrzeug aus der Rubrik Utilities nötig machen, kann für diese Ausnahmefälle ein entsprechendes Fahrzeug (falls verfügbar) aus dem Fuhrpark verwendet oder sonst gemietet werden. </t>
    </r>
  </si>
  <si>
    <t xml:space="preserve">E_F22</t>
  </si>
  <si>
    <r>
      <rPr>
        <sz val="11"/>
        <color rgb="FF000000"/>
        <rFont val="Calibri"/>
        <family val="0"/>
        <charset val="1"/>
      </rPr>
      <t xml:space="preserve">Für die Leitungsebene besteht ggf. Anspruch auf ein Fahrzeug aus einem </t>
    </r>
    <r>
      <rPr>
        <sz val="11"/>
        <color rgb="FFFF0000"/>
        <rFont val="Calibri"/>
        <family val="0"/>
        <charset val="1"/>
      </rPr>
      <t xml:space="preserve">höheren </t>
    </r>
    <r>
      <rPr>
        <sz val="11"/>
        <color rgb="FF000000"/>
        <rFont val="Calibri"/>
        <family val="0"/>
        <charset val="1"/>
      </rPr>
      <t xml:space="preserve">Fahrzeugsegment. Trotzdem sollte </t>
    </r>
    <r>
      <rPr>
        <sz val="11"/>
        <color rgb="FFFF0000"/>
        <rFont val="Calibri"/>
        <family val="0"/>
        <charset val="1"/>
      </rPr>
      <t xml:space="preserve">aus Umweltgründen </t>
    </r>
    <r>
      <rPr>
        <sz val="11"/>
        <color rgb="FF000000"/>
        <rFont val="Calibri"/>
        <family val="0"/>
        <charset val="1"/>
      </rPr>
      <t xml:space="preserve">abgewogen werden, ob ein kleineres Fahrzeug geeignet ist und die Leitungsebene freiwillig auf diesen Anspruch verzichtet.
Wenn nur gelegentlich aufwändige Transportanforderungen bestehen, die einen Van/ein Fahrzeug aus der Rubrik Utilities nötig machen, kann für diese Ausnahmefälle ein entsprechendes Fahrzeug gemietet werden. </t>
    </r>
  </si>
  <si>
    <t xml:space="preserve">E_F23</t>
  </si>
  <si>
    <r>
      <rPr>
        <sz val="11"/>
        <color rgb="FFFF0000"/>
        <rFont val="Calibri"/>
        <family val="0"/>
        <charset val="1"/>
      </rPr>
      <t xml:space="preserve">Aus Umweltsicht sollte </t>
    </r>
    <r>
      <rPr>
        <sz val="11"/>
        <color rgb="FF000000"/>
        <rFont val="Calibri"/>
        <family val="0"/>
        <charset val="1"/>
      </rPr>
      <t xml:space="preserve">bei einer Nutzung des Fahrzeugs durch max. zwei Personen </t>
    </r>
    <r>
      <rPr>
        <sz val="11"/>
        <color rgb="FFFF0000"/>
        <rFont val="Calibri"/>
        <family val="0"/>
        <charset val="1"/>
      </rPr>
      <t xml:space="preserve">idealerweise</t>
    </r>
    <r>
      <rPr>
        <sz val="11"/>
        <color rgb="FF000000"/>
        <rFont val="Calibri"/>
        <family val="0"/>
        <charset val="1"/>
      </rPr>
      <t xml:space="preserve"> ein Kleinstwagen beschafft </t>
    </r>
    <r>
      <rPr>
        <sz val="11"/>
        <color rgb="FFFF0000"/>
        <rFont val="Calibri"/>
        <family val="0"/>
        <charset val="1"/>
      </rPr>
      <t xml:space="preserve">werden</t>
    </r>
    <r>
      <rPr>
        <sz val="11"/>
        <color rgb="FF000000"/>
        <rFont val="Calibri"/>
        <family val="0"/>
        <charset val="1"/>
      </rPr>
      <t xml:space="preserve">.</t>
    </r>
    <r>
      <rPr>
        <sz val="11"/>
        <color rgb="FFFF0000"/>
        <rFont val="Calibri"/>
        <family val="0"/>
        <charset val="1"/>
      </rPr>
      <t xml:space="preserve"> 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(falls verfügbar) aus dem Fuhrpark verwendet oder sonst gemietet werden. </t>
    </r>
  </si>
  <si>
    <t xml:space="preserve">E_F24</t>
  </si>
  <si>
    <r>
      <rPr>
        <sz val="11"/>
        <color rgb="FFFF0000"/>
        <rFont val="Calibri"/>
        <family val="0"/>
        <charset val="1"/>
      </rPr>
      <t xml:space="preserve">Aus Umweltsicht sollte</t>
    </r>
    <r>
      <rPr>
        <sz val="11"/>
        <color rgb="FF000000"/>
        <rFont val="Calibri"/>
        <family val="0"/>
        <charset val="1"/>
      </rPr>
      <t xml:space="preserve"> bei einer Nutzung des Fahrzeugs durch max. zwei Personen </t>
    </r>
    <r>
      <rPr>
        <sz val="11"/>
        <color rgb="FFFF0000"/>
        <rFont val="Calibri"/>
        <family val="0"/>
        <charset val="1"/>
      </rPr>
      <t xml:space="preserve">idealerweise </t>
    </r>
    <r>
      <rPr>
        <sz val="11"/>
        <color rgb="FF000000"/>
        <rFont val="Calibri"/>
        <family val="0"/>
        <charset val="1"/>
      </rPr>
      <t xml:space="preserve">ein Kleinstwagen beschafft </t>
    </r>
    <r>
      <rPr>
        <sz val="11"/>
        <color rgb="FFFF0000"/>
        <rFont val="Calibri"/>
        <family val="0"/>
        <charset val="1"/>
      </rPr>
      <t xml:space="preserve">werden</t>
    </r>
    <r>
      <rPr>
        <sz val="11"/>
        <color rgb="FF000000"/>
        <rFont val="Calibri"/>
        <family val="0"/>
        <charset val="1"/>
      </rPr>
      <t xml:space="preserve">. </t>
    </r>
    <r>
      <rPr>
        <sz val="11"/>
        <color rgb="FFFF0000"/>
        <rFont val="Calibri"/>
        <family val="0"/>
        <charset val="1"/>
      </rPr>
      <t xml:space="preserve">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Wenn nur gelegentlich aufwändige Transportanforderungen bestehen, die einen Van/ein Fahrzeug aus der Rubrik Utilities nötig machen, kann für diese Ausnahmefälle ein entsprechendes Fahrzeug gemietet werden. </t>
    </r>
  </si>
  <si>
    <t xml:space="preserve">E_F25</t>
  </si>
  <si>
    <r>
      <rPr>
        <sz val="11"/>
        <color rgb="FFFF0000"/>
        <rFont val="Calibri"/>
        <family val="0"/>
        <charset val="1"/>
      </rPr>
      <t xml:space="preserve">Aus Umweltsicht</t>
    </r>
    <r>
      <rPr>
        <sz val="11"/>
        <color rgb="FF000000"/>
        <rFont val="Calibri"/>
        <family val="0"/>
        <charset val="1"/>
      </rPr>
      <t xml:space="preserve"> </t>
    </r>
    <r>
      <rPr>
        <sz val="11"/>
        <color rgb="FFFF0000"/>
        <rFont val="Calibri"/>
        <family val="0"/>
        <charset val="1"/>
      </rPr>
      <t xml:space="preserve">sollte </t>
    </r>
    <r>
      <rPr>
        <sz val="11"/>
        <color rgb="FF000000"/>
        <rFont val="Calibri"/>
        <family val="0"/>
        <charset val="1"/>
      </rPr>
      <t xml:space="preserve">bei einer Nutzung des Fahrzeugs durch max. zwei Personen </t>
    </r>
    <r>
      <rPr>
        <sz val="11"/>
        <color rgb="FFFF0000"/>
        <rFont val="Calibri"/>
        <family val="0"/>
        <charset val="1"/>
      </rPr>
      <t xml:space="preserve">idealerweise </t>
    </r>
    <r>
      <rPr>
        <sz val="11"/>
        <color rgb="FF000000"/>
        <rFont val="Calibri"/>
        <family val="0"/>
        <charset val="1"/>
      </rPr>
      <t xml:space="preserve">ein Kleinstwagen beschafft </t>
    </r>
    <r>
      <rPr>
        <sz val="11"/>
        <color rgb="FFFF0000"/>
        <rFont val="Calibri"/>
        <family val="0"/>
        <charset val="1"/>
      </rPr>
      <t xml:space="preserve">werden</t>
    </r>
    <r>
      <rPr>
        <sz val="11"/>
        <color rgb="FF000000"/>
        <rFont val="Calibri"/>
        <family val="0"/>
        <charset val="1"/>
      </rPr>
      <t xml:space="preserve">. </t>
    </r>
    <r>
      <rPr>
        <sz val="11"/>
        <color rgb="FFFF0000"/>
        <rFont val="Calibri"/>
        <family val="0"/>
        <charset val="1"/>
      </rPr>
      <t xml:space="preserve">Ist </t>
    </r>
    <r>
      <rPr>
        <sz val="11"/>
        <color rgb="FF000000"/>
        <rFont val="Calibri"/>
        <family val="0"/>
        <charset val="1"/>
      </rPr>
      <t xml:space="preserve">(gerade bei vielen längeren Strecken) mehr Komfort und/oder Stauraum nötig sein,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(falls verfügbar) aus dem Fuhrpark verwendet oder sonst gemietet werden. </t>
    </r>
  </si>
  <si>
    <t xml:space="preserve">E_F26</t>
  </si>
  <si>
    <r>
      <rPr>
        <sz val="11"/>
        <color rgb="FFFF0000"/>
        <rFont val="Calibri"/>
        <family val="0"/>
        <charset val="1"/>
      </rPr>
      <t xml:space="preserve">Aus Umweltsicht sollte</t>
    </r>
    <r>
      <rPr>
        <sz val="11"/>
        <color rgb="FF000000"/>
        <rFont val="Calibri"/>
        <family val="0"/>
        <charset val="1"/>
      </rPr>
      <t xml:space="preserve"> bei einer Nutzung des Fahrzeugs durch max. zwei Personen </t>
    </r>
    <r>
      <rPr>
        <sz val="11"/>
        <color rgb="FFFF0000"/>
        <rFont val="Calibri"/>
        <family val="0"/>
        <charset val="1"/>
      </rPr>
      <t xml:space="preserve">idealerweise </t>
    </r>
    <r>
      <rPr>
        <sz val="11"/>
        <color rgb="FF000000"/>
        <rFont val="Calibri"/>
        <family val="0"/>
        <charset val="1"/>
      </rPr>
      <t xml:space="preserve">ein Kleinstwagen beschafft </t>
    </r>
    <r>
      <rPr>
        <sz val="11"/>
        <color rgb="FFFF0000"/>
        <rFont val="Calibri"/>
        <family val="0"/>
        <charset val="1"/>
      </rPr>
      <t xml:space="preserve">werden</t>
    </r>
    <r>
      <rPr>
        <sz val="11"/>
        <color rgb="FF000000"/>
        <rFont val="Calibri"/>
        <family val="0"/>
        <charset val="1"/>
      </rPr>
      <t xml:space="preserve">. </t>
    </r>
    <r>
      <rPr>
        <sz val="11"/>
        <color rgb="FFFF0000"/>
        <rFont val="Calibri"/>
        <family val="0"/>
        <charset val="1"/>
      </rPr>
      <t xml:space="preserve">Ist </t>
    </r>
    <r>
      <rPr>
        <sz val="11"/>
        <color rgb="FF000000"/>
        <rFont val="Calibri"/>
        <family val="0"/>
        <charset val="1"/>
      </rPr>
      <t xml:space="preserve">(gerade bei vielen längeren Strecken) mehr Komfort und/oder Stauraum nötig sein,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gemietet werden. </t>
    </r>
  </si>
  <si>
    <t xml:space="preserve">E_F27</t>
  </si>
  <si>
    <r>
      <rPr>
        <sz val="11"/>
        <color rgb="FF000000"/>
        <rFont val="Calibri"/>
        <family val="0"/>
        <charset val="1"/>
      </rPr>
      <t xml:space="preserve">Werden nur selten mehr als zwei Sitzplätze benötigt, sollte </t>
    </r>
    <r>
      <rPr>
        <sz val="11"/>
        <color rgb="FFFF0000"/>
        <rFont val="Calibri"/>
        <family val="0"/>
        <charset val="1"/>
      </rPr>
      <t xml:space="preserve">aus Umweltsicht</t>
    </r>
    <r>
      <rPr>
        <sz val="11"/>
        <color rgb="FF000000"/>
        <rFont val="Calibri"/>
        <family val="0"/>
        <charset val="1"/>
      </rPr>
      <t xml:space="preserve"> bevorzugt ein Kleinwagen beschafft werden. </t>
    </r>
    <r>
      <rPr>
        <sz val="11"/>
        <color rgb="FFFF0000"/>
        <rFont val="Calibri"/>
        <family val="0"/>
        <charset val="1"/>
      </rPr>
      <t xml:space="preserve">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(falls verfügbar) aus dem Fuhrpark verwendet oder sonst gemietet werden. </t>
    </r>
  </si>
  <si>
    <t xml:space="preserve">E_F28</t>
  </si>
  <si>
    <r>
      <rPr>
        <sz val="11"/>
        <color rgb="FF000000"/>
        <rFont val="Calibri"/>
        <family val="0"/>
        <charset val="1"/>
      </rPr>
      <t xml:space="preserve">Werden nur selten mehr als zwei Sitzplätze benötigt, sollte</t>
    </r>
    <r>
      <rPr>
        <sz val="11"/>
        <color rgb="FFFF0000"/>
        <rFont val="Calibri"/>
        <family val="0"/>
        <charset val="1"/>
      </rPr>
      <t xml:space="preserve"> aus Umweltsicht</t>
    </r>
    <r>
      <rPr>
        <sz val="11"/>
        <color rgb="FF000000"/>
        <rFont val="Calibri"/>
        <family val="0"/>
        <charset val="1"/>
      </rPr>
      <t xml:space="preserve"> bevorzugt ein Kleinwagen beschafft werden. </t>
    </r>
    <r>
      <rPr>
        <sz val="11"/>
        <color rgb="FFFF0000"/>
        <rFont val="Calibri"/>
        <family val="0"/>
        <charset val="1"/>
      </rPr>
      <t xml:space="preserve">Ist </t>
    </r>
    <r>
      <rPr>
        <sz val="11"/>
        <color rgb="FF000000"/>
        <rFont val="Calibri"/>
        <family val="0"/>
        <charset val="1"/>
      </rPr>
      <t xml:space="preserve">mehr Komfort und/oder Stauraum nötig,</t>
    </r>
    <r>
      <rPr>
        <sz val="11"/>
        <color rgb="FFFF0000"/>
        <rFont val="Calibri"/>
        <family val="0"/>
        <charset val="1"/>
      </rPr>
      <t xml:space="preserve"> 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gemietet werden. </t>
    </r>
  </si>
  <si>
    <t xml:space="preserve">E_F29</t>
  </si>
  <si>
    <r>
      <rPr>
        <sz val="11"/>
        <color rgb="FF000000"/>
        <rFont val="Calibri"/>
        <family val="0"/>
        <charset val="1"/>
      </rPr>
      <t xml:space="preserve">Werden nur selten mehr als zwei Sitzplätze benötigt, sollte </t>
    </r>
    <r>
      <rPr>
        <sz val="11"/>
        <color rgb="FFFF0000"/>
        <rFont val="Calibri"/>
        <family val="0"/>
        <charset val="1"/>
      </rPr>
      <t xml:space="preserve">aus Umweltsicht</t>
    </r>
    <r>
      <rPr>
        <sz val="11"/>
        <color rgb="FF000000"/>
        <rFont val="Calibri"/>
        <family val="0"/>
        <charset val="1"/>
      </rPr>
      <t xml:space="preserve"> bevorzugt ein Kleinwagen beschafft werden. </t>
    </r>
    <r>
      <rPr>
        <sz val="11"/>
        <color rgb="FFFF0000"/>
        <rFont val="Calibri"/>
        <family val="0"/>
        <charset val="1"/>
      </rPr>
      <t xml:space="preserve">Ist </t>
    </r>
    <r>
      <rPr>
        <sz val="11"/>
        <color rgb="FF000000"/>
        <rFont val="Calibri"/>
        <family val="0"/>
        <charset val="1"/>
      </rPr>
      <t xml:space="preserve">(gerade bei vielen längeren Strecken) 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(falls verfügbar) aus dem Fuhrpark verwendet oder sonst gemietet werden. </t>
    </r>
  </si>
  <si>
    <t xml:space="preserve">E_F30</t>
  </si>
  <si>
    <r>
      <rPr>
        <sz val="11"/>
        <color rgb="FF000000"/>
        <rFont val="Calibri"/>
        <family val="0"/>
        <charset val="1"/>
      </rPr>
      <t xml:space="preserve">Werden nur selten mehr als zwei Sitzplätze benötigt, sollte </t>
    </r>
    <r>
      <rPr>
        <sz val="11"/>
        <color rgb="FFFF0000"/>
        <rFont val="Calibri"/>
        <family val="0"/>
        <charset val="1"/>
      </rPr>
      <t xml:space="preserve">aus Umweltsicht </t>
    </r>
    <r>
      <rPr>
        <sz val="11"/>
        <color rgb="FF000000"/>
        <rFont val="Calibri"/>
        <family val="0"/>
        <charset val="1"/>
      </rPr>
      <t xml:space="preserve">bevorzugt ein Kleinwagen beschafft werden. </t>
    </r>
    <r>
      <rPr>
        <sz val="11"/>
        <color rgb="FFFF0000"/>
        <rFont val="Calibri"/>
        <family val="0"/>
        <charset val="1"/>
      </rPr>
      <t xml:space="preserve">Ist </t>
    </r>
    <r>
      <rPr>
        <sz val="11"/>
        <color rgb="FF000000"/>
        <rFont val="Calibri"/>
        <family val="0"/>
        <charset val="1"/>
      </rPr>
      <t xml:space="preserve">(gerade bei vielen längeren Strecken) 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gemietet werden. </t>
    </r>
  </si>
  <si>
    <t xml:space="preserve">E_F31</t>
  </si>
  <si>
    <r>
      <rPr>
        <sz val="11"/>
        <color rgb="FF000000"/>
        <rFont val="Calibri"/>
        <family val="0"/>
        <charset val="1"/>
      </rPr>
      <t xml:space="preserve">Werden häufig mehr als zwei Sitzplätze benötigt, sollte </t>
    </r>
    <r>
      <rPr>
        <sz val="11"/>
        <color rgb="FFFF0000"/>
        <rFont val="Calibri"/>
        <family val="0"/>
        <charset val="1"/>
      </rPr>
      <t xml:space="preserve">aus Umweltsicht </t>
    </r>
    <r>
      <rPr>
        <sz val="11"/>
        <color rgb="FF000000"/>
        <rFont val="Calibri"/>
        <family val="0"/>
        <charset val="1"/>
      </rPr>
      <t xml:space="preserve">bevorzugt ein Fahrzeug der Kompaktklasse beschafft werden. </t>
    </r>
    <r>
      <rPr>
        <sz val="11"/>
        <color rgb="FFFF0000"/>
        <rFont val="Calibri"/>
        <family val="0"/>
        <charset val="1"/>
      </rPr>
      <t xml:space="preserve">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Wenn nur gelegentlich aufwändige Transportanforderungen bestehen, die einen Van/ein Fahrzeug aus der Rubrik Utilities nötig machen, kann für diese Ausnahmefälle ein entsprechendes Fahrzeug (falls verfügbar) aus dem Fuhrpark verwendet oder sonst gemietet werden. </t>
    </r>
  </si>
  <si>
    <t xml:space="preserve">E_F32</t>
  </si>
  <si>
    <r>
      <rPr>
        <sz val="11"/>
        <color rgb="FF000000"/>
        <rFont val="Calibri"/>
        <family val="0"/>
        <charset val="1"/>
      </rPr>
      <t xml:space="preserve">Werden häufig mehr als zwei Sitzplätze benötigt, sollte </t>
    </r>
    <r>
      <rPr>
        <sz val="11"/>
        <color rgb="FFFF0000"/>
        <rFont val="Calibri"/>
        <family val="0"/>
        <charset val="1"/>
      </rPr>
      <t xml:space="preserve">aus Umweltsicht</t>
    </r>
    <r>
      <rPr>
        <sz val="11"/>
        <color rgb="FF000000"/>
        <rFont val="Calibri"/>
        <family val="0"/>
        <charset val="1"/>
      </rPr>
      <t xml:space="preserve"> bevorzugt ein Fahrzeug der Kompaktklasse beschafft werden. </t>
    </r>
    <r>
      <rPr>
        <sz val="11"/>
        <color rgb="FFFF0000"/>
        <rFont val="Calibri"/>
        <family val="0"/>
        <charset val="1"/>
      </rPr>
      <t xml:space="preserve">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gemietet werden. </t>
    </r>
  </si>
  <si>
    <t xml:space="preserve">E_F33</t>
  </si>
  <si>
    <r>
      <rPr>
        <sz val="11"/>
        <color rgb="FF000000"/>
        <rFont val="Calibri"/>
        <family val="0"/>
        <charset val="1"/>
      </rPr>
      <t xml:space="preserve">Auch wenn meistens bis zu vier Personen in dem Auto fahren, sollte</t>
    </r>
    <r>
      <rPr>
        <sz val="11"/>
        <color rgb="FFFF0000"/>
        <rFont val="Calibri"/>
        <family val="0"/>
        <charset val="1"/>
      </rPr>
      <t xml:space="preserve"> 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 </t>
    </r>
    <r>
      <rPr>
        <sz val="11"/>
        <color rgb="FFFF0000"/>
        <rFont val="Calibri"/>
        <family val="0"/>
        <charset val="1"/>
      </rPr>
      <t xml:space="preserve">Ist</t>
    </r>
    <r>
      <rPr>
        <sz val="11"/>
        <color rgb="FF000000"/>
        <rFont val="Calibri"/>
        <family val="0"/>
        <charset val="1"/>
      </rPr>
      <t xml:space="preserve"> 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(falls verfügbar) aus dem Fuhrpark verwendet oder sonst gemietet werden. </t>
    </r>
  </si>
  <si>
    <t xml:space="preserve">E_F34</t>
  </si>
  <si>
    <r>
      <rPr>
        <sz val="11"/>
        <color rgb="FF000000"/>
        <rFont val="Calibri"/>
        <family val="0"/>
        <charset val="1"/>
      </rPr>
      <t xml:space="preserve">Auch wenn meistens bis zu vier Personen in dem Auto fahren, sollte </t>
    </r>
    <r>
      <rPr>
        <sz val="11"/>
        <color rgb="FFFF0000"/>
        <rFont val="Calibri"/>
        <family val="0"/>
        <charset val="1"/>
      </rPr>
      <t xml:space="preserve">aus Umweltsicht</t>
    </r>
    <r>
      <rPr>
        <sz val="11"/>
        <color rgb="FF000000"/>
        <rFont val="Calibri"/>
        <family val="0"/>
        <charset val="1"/>
      </rPr>
      <t xml:space="preserve"> bevorzugt ein Fahrzeug der Kompaktklasse beschafft werden. Bereits in diesem Fahrzeugsegment gibt es viele Modelle mit ausreichend Platz für große Erwachsene auf der Rückbank. </t>
    </r>
    <r>
      <rPr>
        <sz val="11"/>
        <color rgb="FFFF0000"/>
        <rFont val="Calibri"/>
        <family val="0"/>
        <charset val="1"/>
      </rPr>
      <t xml:space="preserve">Ist </t>
    </r>
    <r>
      <rPr>
        <sz val="11"/>
        <color rgb="FF000000"/>
        <rFont val="Calibri"/>
        <family val="0"/>
        <charset val="1"/>
      </rPr>
      <t xml:space="preserve">mehr Komfort und/oder Stauraum nötig,</t>
    </r>
    <r>
      <rPr>
        <sz val="11"/>
        <color rgb="FFFF0000"/>
        <rFont val="Calibri"/>
        <family val="0"/>
        <charset val="1"/>
      </rPr>
      <t xml:space="preserve"> 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gemietet werden. </t>
    </r>
  </si>
  <si>
    <t xml:space="preserve">E_F35</t>
  </si>
  <si>
    <r>
      <rPr>
        <sz val="11"/>
        <color rgb="FF000000"/>
        <rFont val="Calibri"/>
        <family val="0"/>
        <charset val="1"/>
      </rPr>
      <t xml:space="preserve">Wenn selten alle fünf Sitzplätze benötigt werden, sollte </t>
    </r>
    <r>
      <rPr>
        <sz val="11"/>
        <color rgb="FFFF0000"/>
        <rFont val="Calibri"/>
        <family val="0"/>
        <charset val="1"/>
      </rPr>
      <t xml:space="preserve">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 </t>
    </r>
    <r>
      <rPr>
        <sz val="11"/>
        <color rgb="FFFF0000"/>
        <rFont val="Calibri"/>
        <family val="0"/>
        <charset val="1"/>
      </rPr>
      <t xml:space="preserve">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(falls verfügbar) aus dem Fuhrpark verwendet oder sonst gemietet werden. </t>
    </r>
  </si>
  <si>
    <t xml:space="preserve">E_F36</t>
  </si>
  <si>
    <r>
      <rPr>
        <sz val="11"/>
        <color rgb="FF000000"/>
        <rFont val="Calibri"/>
        <family val="0"/>
        <charset val="1"/>
      </rPr>
      <t xml:space="preserve">Wenn selten alle fünf Sitzplätze benötigt werden, sollte </t>
    </r>
    <r>
      <rPr>
        <sz val="11"/>
        <color rgb="FFFF0000"/>
        <rFont val="Calibri"/>
        <family val="0"/>
        <charset val="1"/>
      </rPr>
      <t xml:space="preserve">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 </t>
    </r>
    <r>
      <rPr>
        <sz val="11"/>
        <color rgb="FFFF0000"/>
        <rFont val="Calibri"/>
        <family val="0"/>
        <charset val="1"/>
      </rPr>
      <t xml:space="preserve">Ist </t>
    </r>
    <r>
      <rPr>
        <sz val="11"/>
        <color rgb="FF000000"/>
        <rFont val="Calibri"/>
        <family val="0"/>
        <charset val="1"/>
      </rPr>
      <t xml:space="preserve">mehr Komfort und/oder Stauraum nötig, </t>
    </r>
    <r>
      <rPr>
        <sz val="11"/>
        <color rgb="FFFF0000"/>
        <rFont val="Calibri"/>
        <family val="0"/>
        <charset val="1"/>
      </rPr>
      <t xml:space="preserve">sollte genau abgewogen werden, welches Segment den Umweltansprüchen und der Vorbildfunktion der Institution entspricht.
</t>
    </r>
    <r>
      <rPr>
        <sz val="11"/>
        <color rgb="FF000000"/>
        <rFont val="Calibri"/>
        <family val="0"/>
        <charset val="1"/>
      </rPr>
      <t xml:space="preserve">
Wenn nur gelegentlich aufwändige Transportanforderungen bestehen, die einen Van/ein Fahrzeug aus der Rubrik Utilities nötig machen, kann für diese Ausnahmefälle ein entsprechendes Fahrzeug gemietet werden. </t>
    </r>
  </si>
  <si>
    <t xml:space="preserve">E_F37</t>
  </si>
  <si>
    <t xml:space="preserve">Werden oft alle fünf Sitzplätze benötigt, ist ein Fahrzeug der Mittelklasse zu empfehlen.
Wenn nur gelegentlich aufwändige Transportanforderungen bestehen, die einen Van/ein Fahrzeug aus der Rubrik Utilities nötig machen, kann für diese Ausnahmefälle ein entsprechendes Fahrzeug (falls verfügbar) aus dem Fuhrpark verwendet oder sonst gemietet werden. </t>
  </si>
  <si>
    <t xml:space="preserve">E_F38</t>
  </si>
  <si>
    <t xml:space="preserve">Werden oft alle fünf Sitzplätze benötigt, ist ein Fahrzeug der Mittelklasse zu empfehlen.
Wenn nur gelegentlich aufwändige Transportanforderungen bestehen, die einen Van/ein Fahrzeug aus der Rubrik Utilities nötig machen, kann für diese Ausnahmefälle ein entsprechendes Fahrzeug gemietet werden. </t>
  </si>
  <si>
    <t xml:space="preserve">E_F39</t>
  </si>
  <si>
    <r>
      <rPr>
        <sz val="11"/>
        <color rgb="FF000000"/>
        <rFont val="Calibri"/>
        <family val="0"/>
        <charset val="1"/>
      </rPr>
      <t xml:space="preserve">Im betrachteten Beschaffungsfall sollte bei bis zu vier Personen</t>
    </r>
    <r>
      <rPr>
        <sz val="11"/>
        <color rgb="FFFF0000"/>
        <rFont val="Calibri"/>
        <family val="0"/>
        <charset val="1"/>
      </rPr>
      <t xml:space="preserve"> aus Umweltsicht</t>
    </r>
    <r>
      <rPr>
        <sz val="11"/>
        <color rgb="FF000000"/>
        <rFont val="Calibri"/>
        <family val="0"/>
        <charset val="1"/>
      </rPr>
      <t xml:space="preserve">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t>
    </r>
    <r>
      <rPr>
        <sz val="11"/>
        <color rgb="FFFF0000"/>
        <rFont val="Calibri"/>
        <family val="0"/>
        <charset val="1"/>
      </rPr>
      <t xml:space="preserve">Für die Ausnahmefälle, in denen</t>
    </r>
    <r>
      <rPr>
        <sz val="11"/>
        <color rgb="FF000000"/>
        <rFont val="Calibri"/>
        <family val="0"/>
        <charset val="1"/>
      </rPr>
      <t xml:space="preserve"> über fünf Sitzplätze benötigt werden/aufwändige Transportanforderungen bestehen, kann ein Hochdachkombi bzw. Van (falls verfügbar) aus dem Fuhrpark verwendet oder sonst gemietet werden.</t>
    </r>
  </si>
  <si>
    <t xml:space="preserve">E_F40</t>
  </si>
  <si>
    <r>
      <rPr>
        <sz val="11"/>
        <color rgb="FF000000"/>
        <rFont val="Calibri"/>
        <family val="0"/>
        <charset val="1"/>
      </rPr>
      <t xml:space="preserve">Im betrachteten Beschaffungsfall sollte bei bis zu vier Personen </t>
    </r>
    <r>
      <rPr>
        <sz val="11"/>
        <color rgb="FFFF0000"/>
        <rFont val="Calibri"/>
        <family val="0"/>
        <charset val="1"/>
      </rPr>
      <t xml:space="preserve">aus Umweltsicht</t>
    </r>
    <r>
      <rPr>
        <sz val="11"/>
        <color rgb="FF000000"/>
        <rFont val="Calibri"/>
        <family val="0"/>
        <charset val="1"/>
      </rPr>
      <t xml:space="preserve">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t>
    </r>
    <r>
      <rPr>
        <sz val="11"/>
        <color rgb="FFFF0000"/>
        <rFont val="Calibri"/>
        <family val="0"/>
        <charset val="1"/>
      </rPr>
      <t xml:space="preserve">Für die Ausnahmefälle, in denen</t>
    </r>
    <r>
      <rPr>
        <sz val="11"/>
        <color rgb="FF000000"/>
        <rFont val="Calibri"/>
        <family val="0"/>
        <charset val="1"/>
      </rPr>
      <t xml:space="preserve"> über fünf Sitzplätze benötigt werden/aufwändige Transportanforderungen bestehen, kann ein Hochdachkombi bzw. Van gemietet werden.</t>
    </r>
  </si>
  <si>
    <t xml:space="preserve">E_F41</t>
  </si>
  <si>
    <r>
      <rPr>
        <sz val="11"/>
        <color rgb="FF000000"/>
        <rFont val="Calibri"/>
        <family val="0"/>
        <charset val="1"/>
      </rPr>
      <t xml:space="preserve">Im betrachteten Beschaffungsfall sollte bei bis zu vier Personen </t>
    </r>
    <r>
      <rPr>
        <sz val="11"/>
        <color rgb="FFFF0000"/>
        <rFont val="Calibri"/>
        <family val="0"/>
        <charset val="1"/>
      </rPr>
      <t xml:space="preserve">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t>
    </r>
    <r>
      <rPr>
        <sz val="11"/>
        <color rgb="FFFF0000"/>
        <rFont val="Calibri"/>
        <family val="0"/>
        <charset val="1"/>
      </rPr>
      <t xml:space="preserve">Für die Ausnahmefälle, in denen </t>
    </r>
    <r>
      <rPr>
        <sz val="11"/>
        <color rgb="FF000000"/>
        <rFont val="Calibri"/>
        <family val="0"/>
        <charset val="1"/>
      </rPr>
      <t xml:space="preserve">über sieben Sitzplätze benötigt werden/aufwändige Transportanforderungen bestehen, kann ein Kleinbus bzw. Van (falls verfügbar) aus dem Fuhrpark verwendet oder sonst gemietet werden.</t>
    </r>
  </si>
  <si>
    <t xml:space="preserve">E_F42</t>
  </si>
  <si>
    <r>
      <rPr>
        <sz val="11"/>
        <color rgb="FF000000"/>
        <rFont val="Calibri"/>
        <family val="0"/>
        <charset val="1"/>
      </rPr>
      <t xml:space="preserve">Im betrachteten Beschaffungsfall sollte bei bis zu vier Personen </t>
    </r>
    <r>
      <rPr>
        <sz val="11"/>
        <color rgb="FFFF0000"/>
        <rFont val="Calibri"/>
        <family val="0"/>
        <charset val="1"/>
      </rPr>
      <t xml:space="preserve">aus Umweltsicht </t>
    </r>
    <r>
      <rPr>
        <sz val="11"/>
        <color rgb="FF000000"/>
        <rFont val="Calibri"/>
        <family val="0"/>
        <charset val="1"/>
      </rPr>
      <t xml:space="preserve">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t>
    </r>
    <r>
      <rPr>
        <sz val="11"/>
        <color rgb="FFFF0000"/>
        <rFont val="Calibri"/>
        <family val="0"/>
        <charset val="1"/>
      </rPr>
      <t xml:space="preserve">Für die Ausnahmefälle, in denen</t>
    </r>
    <r>
      <rPr>
        <sz val="11"/>
        <color rgb="FF000000"/>
        <rFont val="Calibri"/>
        <family val="0"/>
        <charset val="1"/>
      </rPr>
      <t xml:space="preserve"> über sieben Sitzplätze benötigt werden/aufwändige Transportanforderungen bestehen, kann ein Kleinbus bzw. Van gemietet werden.</t>
    </r>
  </si>
  <si>
    <t xml:space="preserve">Hinweislisten für Flotte</t>
  </si>
  <si>
    <t xml:space="preserve">Fuhrparkgröße</t>
  </si>
  <si>
    <t xml:space="preserve">H_F1</t>
  </si>
  <si>
    <t xml:space="preserve">verkleinern</t>
  </si>
  <si>
    <t xml:space="preserve">H_F2</t>
  </si>
  <si>
    <t xml:space="preserve">vergrößern</t>
  </si>
  <si>
    <t xml:space="preserve">Hinweis Fuhrparkgröße</t>
  </si>
  <si>
    <t xml:space="preserve">H_F3</t>
  </si>
  <si>
    <t xml:space="preserve">Bitte überlegen Sie mithilfe der nächsten Frage, ob der Fuhrpark verkleinert statt vergrößert werden kann. Damit würden Sie einen entscheidenden Beitrag zur umweltverträglichen Beschaffung leisten.</t>
  </si>
  <si>
    <t xml:space="preserve">H_F4</t>
  </si>
  <si>
    <t xml:space="preserve">Bitte überlegen Sie mithilfe der nächsten Frage, ob der Fuhrpark verkleinert werden kann. Damit würden Sie einen entscheidenden Beitrag zur umweltverträglichen Beschaffung leisten.</t>
  </si>
  <si>
    <t xml:space="preserve">H_F5</t>
  </si>
  <si>
    <t xml:space="preserve">Mit der Verkleinerung des Fuhrparks leisten Sie einen entscheidenden Beitrag zur umweltverträglichen Beschaffung. Bitte überlegen Sie mithilfe der nächsten Frage, ob der Fuhrpark noch weiter verkleinert werden kann. </t>
  </si>
  <si>
    <t xml:space="preserve">Hinweis Verzicht auf Pkw-Beschaffung</t>
  </si>
  <si>
    <t xml:space="preserve">H_V1</t>
  </si>
  <si>
    <t xml:space="preserve">Mit dem Verzicht auf zu beschaffende Pkw leisten Sie einen entscheidenden Beitrag zur umweltverträglichen Beschaffung.</t>
  </si>
  <si>
    <t xml:space="preserve">H_V2</t>
  </si>
  <si>
    <t xml:space="preserve">Sie haben den Fuhrpark bereits vor der Nutzung des Tools verkleinert. Damit leisten Sie einen entscheidenden Beitrag zur umweltverträglichen Beschaffung.</t>
  </si>
  <si>
    <t xml:space="preserve">H_V3</t>
  </si>
  <si>
    <t xml:space="preserve">Bei der nächsten Beschaffung sollten Sie bereits in der Bedarfsermittlung prüfen, ob der Fuhrpark verkleinert werden kann. </t>
  </si>
  <si>
    <t xml:space="preserve">H_V4</t>
  </si>
  <si>
    <t xml:space="preserve">Mit dem Verzicht auf zu beschaffende Pkw leisten Sie einen entscheidenden Beitrag zur umweltverträglichen Beschaffung. Insgesamt besteht jedoch nach wie vor eine Vergrößerung im Vergleich zum vorhandenen Fuhrpark. Bei der nächsten Beschaffung sollten Sie bereits in der Bedarfsermittlung prüfen, ob der Fuhrpark verkleinert werden kann. </t>
  </si>
  <si>
    <t xml:space="preserve">H_V5</t>
  </si>
  <si>
    <t xml:space="preserve">Mit dem Verzicht auf zu beschaffende Pkw leisten Sie einen entscheidenden Beitrag zur umweltverträglichen Beschaffung. Insgesamt besteht jedoch nach wie vor keine Verkleinerung im Vergleich zum vorhandenen Fuhrpark. Bei der nächsten Beschaffung sollten Sie bereits in der Bedarfsermittlung prüfen, ob der Fuhrpark verkleinert werden kann. </t>
  </si>
</sst>
</file>

<file path=xl/styles.xml><?xml version="1.0" encoding="utf-8"?>
<styleSheet xmlns="http://schemas.openxmlformats.org/spreadsheetml/2006/main">
  <numFmts count="5">
    <numFmt numFmtId="164" formatCode="General"/>
    <numFmt numFmtId="165" formatCode="dd/mm/yyyy"/>
    <numFmt numFmtId="166" formatCode="General"/>
    <numFmt numFmtId="167" formatCode="0\ %"/>
    <numFmt numFmtId="168" formatCode="0"/>
  </numFmts>
  <fonts count="37">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0"/>
      <charset val="1"/>
    </font>
    <font>
      <b val="true"/>
      <sz val="11"/>
      <name val="Calibri"/>
      <family val="2"/>
      <charset val="1"/>
    </font>
    <font>
      <sz val="11"/>
      <color rgb="FFA6A6A6"/>
      <name val="Calibri"/>
      <family val="2"/>
      <charset val="1"/>
    </font>
    <font>
      <sz val="11"/>
      <name val="Calibri"/>
      <family val="2"/>
      <charset val="1"/>
    </font>
    <font>
      <sz val="11"/>
      <color rgb="FF808080"/>
      <name val="Calibri"/>
      <family val="2"/>
      <charset val="1"/>
    </font>
    <font>
      <sz val="9"/>
      <color rgb="FF000000"/>
      <name val="Segoe UI"/>
      <family val="2"/>
      <charset val="1"/>
    </font>
    <font>
      <sz val="11"/>
      <color rgb="FF000000"/>
      <name val="Arial"/>
      <family val="2"/>
      <charset val="1"/>
    </font>
    <font>
      <b val="true"/>
      <sz val="11"/>
      <color rgb="FF000000"/>
      <name val="Arial"/>
      <family val="2"/>
      <charset val="1"/>
    </font>
    <font>
      <sz val="11"/>
      <color rgb="FFFFFFFF"/>
      <name val="Arial"/>
      <family val="2"/>
      <charset val="1"/>
    </font>
    <font>
      <b val="true"/>
      <i val="true"/>
      <sz val="11"/>
      <color rgb="FFFFFFFF"/>
      <name val="Arial"/>
      <family val="2"/>
      <charset val="1"/>
    </font>
    <font>
      <b val="true"/>
      <sz val="11"/>
      <color rgb="FFFFFFFF"/>
      <name val="Arial"/>
      <family val="2"/>
      <charset val="1"/>
    </font>
    <font>
      <sz val="11"/>
      <name val="Arial"/>
      <family val="2"/>
      <charset val="1"/>
    </font>
    <font>
      <i val="true"/>
      <sz val="11"/>
      <color rgb="FF000000"/>
      <name val="Arial"/>
      <family val="2"/>
      <charset val="1"/>
    </font>
    <font>
      <sz val="11"/>
      <color rgb="FFA6A6A6"/>
      <name val="Arial"/>
      <family val="2"/>
      <charset val="1"/>
    </font>
    <font>
      <sz val="11"/>
      <color rgb="FFFF0000"/>
      <name val="Arial"/>
      <family val="2"/>
      <charset val="1"/>
    </font>
    <font>
      <b val="true"/>
      <sz val="11"/>
      <color rgb="FFFFFFFF"/>
      <name val="Webdings"/>
      <family val="1"/>
      <charset val="2"/>
    </font>
    <font>
      <b val="true"/>
      <sz val="11"/>
      <name val="Arial"/>
      <family val="2"/>
      <charset val="1"/>
    </font>
    <font>
      <sz val="10"/>
      <name val="Arial"/>
      <family val="2"/>
      <charset val="1"/>
    </font>
    <font>
      <b val="true"/>
      <i val="true"/>
      <sz val="11"/>
      <color rgb="FF000000"/>
      <name val="Arial"/>
      <family val="2"/>
      <charset val="1"/>
    </font>
    <font>
      <sz val="11"/>
      <color rgb="FF6E9118"/>
      <name val="Arial"/>
      <family val="2"/>
    </font>
    <font>
      <b val="true"/>
      <sz val="11"/>
      <color rgb="FF6E9118"/>
      <name val="Arial"/>
      <family val="2"/>
    </font>
    <font>
      <sz val="12"/>
      <color rgb="FF6E9118"/>
      <name val="Arial"/>
      <family val="2"/>
    </font>
    <font>
      <sz val="11"/>
      <color rgb="FF000000"/>
      <name val="Calibri"/>
      <family val="2"/>
    </font>
    <font>
      <sz val="11"/>
      <color rgb="FF6E9118"/>
      <name val="Calibri"/>
      <family val="0"/>
    </font>
    <font>
      <b val="true"/>
      <sz val="11"/>
      <color rgb="FF6E9118"/>
      <name val="Calibri"/>
      <family val="0"/>
    </font>
    <font>
      <sz val="11"/>
      <color rgb="FF9E9D1F"/>
      <name val="Calibri"/>
      <family val="0"/>
    </font>
    <font>
      <b val="true"/>
      <sz val="11"/>
      <color rgb="FF9E9D1F"/>
      <name val="Calibri"/>
      <family val="0"/>
    </font>
    <font>
      <sz val="11"/>
      <color rgb="FF000000"/>
      <name val="Calibri"/>
      <family val="0"/>
    </font>
    <font>
      <b val="true"/>
      <sz val="11"/>
      <color rgb="FF000000"/>
      <name val="Calibri"/>
      <family val="0"/>
    </font>
    <font>
      <sz val="11"/>
      <color rgb="FFFF0000"/>
      <name val="Calibri"/>
      <family val="0"/>
      <charset val="1"/>
    </font>
    <font>
      <sz val="11"/>
      <color rgb="FF70AD47"/>
      <name val="Calibri"/>
      <family val="0"/>
      <charset val="1"/>
    </font>
    <font>
      <b val="true"/>
      <sz val="11"/>
      <color rgb="FF70AD47"/>
      <name val="Calibri"/>
      <family val="0"/>
      <charset val="1"/>
    </font>
  </fonts>
  <fills count="10">
    <fill>
      <patternFill patternType="none"/>
    </fill>
    <fill>
      <patternFill patternType="gray125"/>
    </fill>
    <fill>
      <patternFill patternType="solid">
        <fgColor rgb="FFD9D9D9"/>
        <bgColor rgb="FFC6EFCE"/>
      </patternFill>
    </fill>
    <fill>
      <patternFill patternType="solid">
        <fgColor rgb="FFF2F2F2"/>
        <bgColor rgb="FFFFFFFF"/>
      </patternFill>
    </fill>
    <fill>
      <patternFill patternType="solid">
        <fgColor rgb="FFFFEAC8"/>
        <bgColor rgb="FFFFEB9C"/>
      </patternFill>
    </fill>
    <fill>
      <patternFill patternType="solid">
        <fgColor rgb="FFFFFFFF"/>
        <bgColor rgb="FFF2F2F2"/>
      </patternFill>
    </fill>
    <fill>
      <patternFill patternType="solid">
        <fgColor rgb="FF808080"/>
        <bgColor rgb="FF8B8B8B"/>
      </patternFill>
    </fill>
    <fill>
      <patternFill patternType="solid">
        <fgColor rgb="FF93C120"/>
        <bgColor rgb="FF70AD47"/>
      </patternFill>
    </fill>
    <fill>
      <patternFill patternType="solid">
        <fgColor rgb="FFE5E57E"/>
        <bgColor rgb="FFFFEB9C"/>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0" fillId="4"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1" fillId="5"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4" fillId="6" borderId="0" xfId="0" applyFont="true" applyBorder="false" applyAlignment="true" applyProtection="false">
      <alignment horizontal="general" vertical="center" textRotation="0" wrapText="false" indent="0" shrinkToFit="false"/>
      <protection locked="true" hidden="false"/>
    </xf>
    <xf numFmtId="164" fontId="13" fillId="6" borderId="0" xfId="0" applyFont="true" applyBorder="false" applyAlignment="true" applyProtection="false">
      <alignment horizontal="general" vertical="center" textRotation="0" wrapText="false" indent="0" shrinkToFit="false"/>
      <protection locked="true" hidden="false"/>
    </xf>
    <xf numFmtId="164" fontId="13" fillId="5"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15" fillId="7"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false" applyAlignment="true" applyProtection="false">
      <alignment horizontal="general" vertical="center" textRotation="0" wrapText="false" indent="0" shrinkToFit="false"/>
      <protection locked="true" hidden="false"/>
    </xf>
    <xf numFmtId="164" fontId="16" fillId="5" borderId="0" xfId="0" applyFont="true" applyBorder="true" applyAlignment="true" applyProtection="false">
      <alignment horizontal="left" vertical="center" textRotation="0" wrapText="true" indent="0" shrinkToFit="false"/>
      <protection locked="true" hidden="false"/>
    </xf>
    <xf numFmtId="164" fontId="11" fillId="5" borderId="0" xfId="0" applyFont="true" applyBorder="true" applyAlignment="true" applyProtection="false">
      <alignment horizontal="left" vertical="center" textRotation="0" wrapText="true" indent="0" shrinkToFit="false"/>
      <protection locked="true" hidden="false"/>
    </xf>
    <xf numFmtId="164" fontId="11" fillId="5" borderId="0" xfId="0" applyFont="true" applyBorder="false" applyAlignment="true" applyProtection="false">
      <alignment horizontal="left" vertical="center" textRotation="0" wrapText="tru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11" fillId="5" borderId="0" xfId="0" applyFont="true" applyBorder="false" applyAlignment="true" applyProtection="false">
      <alignment horizontal="right" vertical="center" textRotation="0" wrapText="false" indent="0" shrinkToFit="false"/>
      <protection locked="true" hidden="false"/>
    </xf>
    <xf numFmtId="164" fontId="11" fillId="8" borderId="0" xfId="0" applyFont="true" applyBorder="false" applyAlignment="true" applyProtection="false">
      <alignment horizontal="general" vertical="center" textRotation="0" wrapText="false" indent="0" shrinkToFit="false"/>
      <protection locked="true" hidden="false"/>
    </xf>
    <xf numFmtId="164" fontId="18" fillId="5" borderId="0" xfId="0" applyFont="true" applyBorder="false" applyAlignment="true" applyProtection="false">
      <alignment horizontal="general" vertical="center" textRotation="0" wrapText="false" indent="0" shrinkToFit="false"/>
      <protection locked="true" hidden="false"/>
    </xf>
    <xf numFmtId="164" fontId="11" fillId="5" borderId="0" xfId="0" applyFont="true" applyBorder="false" applyAlignment="true" applyProtection="false">
      <alignment horizontal="general" vertical="top" textRotation="0" wrapText="false" indent="0" shrinkToFit="false"/>
      <protection locked="true" hidden="false"/>
    </xf>
    <xf numFmtId="166" fontId="11" fillId="3" borderId="0" xfId="0" applyFont="true" applyBorder="true" applyAlignment="true" applyProtection="false">
      <alignment horizontal="left" vertical="top" textRotation="0" wrapText="true" indent="0" shrinkToFit="false"/>
      <protection locked="true" hidden="false"/>
    </xf>
    <xf numFmtId="164" fontId="19" fillId="5" borderId="0" xfId="0" applyFont="true" applyBorder="false" applyAlignment="true" applyProtection="false">
      <alignment horizontal="general" vertical="center" textRotation="0" wrapText="false" indent="0" shrinkToFit="false"/>
      <protection locked="true" hidden="false"/>
    </xf>
    <xf numFmtId="164" fontId="20" fillId="7"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right" vertical="center" textRotation="0" wrapText="false" indent="0" shrinkToFit="false"/>
      <protection locked="true" hidden="false"/>
    </xf>
    <xf numFmtId="164" fontId="22" fillId="5" borderId="0" xfId="0" applyFont="true" applyBorder="false" applyAlignment="true" applyProtection="false">
      <alignment horizontal="general" vertical="center" textRotation="0" wrapText="false" indent="0" shrinkToFit="false"/>
      <protection locked="true" hidden="false"/>
    </xf>
    <xf numFmtId="166" fontId="11" fillId="3" borderId="0" xfId="0" applyFont="true" applyBorder="false" applyAlignment="true" applyProtection="false">
      <alignment horizontal="general" vertical="top" textRotation="0" wrapText="false" indent="0" shrinkToFit="false"/>
      <protection locked="true" hidden="false"/>
    </xf>
    <xf numFmtId="166" fontId="11" fillId="3" borderId="0" xfId="0" applyFont="true" applyBorder="false" applyAlignment="true" applyProtection="false">
      <alignment horizontal="left" vertical="top" textRotation="0" wrapText="false" indent="0" shrinkToFit="false"/>
      <protection locked="true" hidden="false"/>
    </xf>
    <xf numFmtId="167" fontId="11" fillId="3" borderId="0" xfId="0" applyFont="true" applyBorder="false" applyAlignment="true" applyProtection="false">
      <alignment horizontal="general" vertical="top" textRotation="0" wrapText="false" indent="0" shrinkToFit="false"/>
      <protection locked="true" hidden="false"/>
    </xf>
    <xf numFmtId="164" fontId="11" fillId="5" borderId="0" xfId="0" applyFont="true" applyBorder="false" applyAlignment="true" applyProtection="false">
      <alignment horizontal="general" vertical="top" textRotation="0" wrapText="true" indent="0" shrinkToFit="false"/>
      <protection locked="true" hidden="false"/>
    </xf>
    <xf numFmtId="164" fontId="17" fillId="5" borderId="0" xfId="0" applyFont="true" applyBorder="true" applyAlignment="true" applyProtection="false">
      <alignment horizontal="left" vertical="center" textRotation="0" wrapText="true" indent="0" shrinkToFit="false"/>
      <protection locked="true" hidden="false"/>
    </xf>
    <xf numFmtId="164" fontId="17" fillId="5" borderId="0" xfId="0" applyFont="true" applyBorder="false" applyAlignment="true" applyProtection="false">
      <alignment horizontal="general" vertical="top" textRotation="0" wrapText="false" indent="0" shrinkToFit="false"/>
      <protection locked="true" hidden="false"/>
    </xf>
    <xf numFmtId="164" fontId="17" fillId="5"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34" fillId="9"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D9D9D9"/>
        </patternFill>
      </fill>
    </dxf>
    <dxf>
      <fill>
        <patternFill patternType="solid">
          <fgColor rgb="00FFFFFF"/>
        </patternFill>
      </fill>
    </dxf>
    <dxf>
      <fill>
        <patternFill patternType="solid">
          <fgColor rgb="FFEFF0F1"/>
          <bgColor rgb="FF232629"/>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006100"/>
        </patternFill>
      </fill>
    </dxf>
    <dxf>
      <fill>
        <patternFill patternType="solid">
          <fgColor rgb="FF808080"/>
        </patternFill>
      </fill>
    </dxf>
    <dxf>
      <fill>
        <patternFill patternType="solid">
          <fgColor rgb="FF9C0006"/>
        </patternFill>
      </fill>
    </dxf>
    <dxf>
      <fill>
        <patternFill patternType="solid">
          <fgColor rgb="FF9C57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808080"/>
      </font>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6E9118"/>
      <rgbColor rgb="FF800080"/>
      <rgbColor rgb="FF008080"/>
      <rgbColor rgb="FFA6A6A6"/>
      <rgbColor rgb="FF808080"/>
      <rgbColor rgb="FF9999FF"/>
      <rgbColor rgb="FF993366"/>
      <rgbColor rgb="FFFFEAC8"/>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3C120"/>
      <rgbColor rgb="FFE5E57E"/>
      <rgbColor rgb="FF9E9D1F"/>
      <rgbColor rgb="FFFF6600"/>
      <rgbColor rgb="FF666699"/>
      <rgbColor rgb="FF8B8B8B"/>
      <rgbColor rgb="FF003366"/>
      <rgbColor rgb="FF70AD47"/>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Darstellung_Flotte!$B$11</c:f>
              <c:strCache>
                <c:ptCount val="1"/>
                <c:pt idx="0">
                  <c:v>Mietwagen</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108436282856243"/>
                  <c:y val="0.102296244733785"/>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Darstellung_Flotte!$D$11</c:f>
              <c:numCache>
                <c:formatCode>General</c:formatCode>
                <c:ptCount val="1"/>
                <c:pt idx="0">
                  <c:v>4</c:v>
                </c:pt>
              </c:numCache>
            </c:numRef>
          </c:xVal>
          <c:yVal>
            <c:numRef>
              <c:f>Darstellung_Flotte!$E$11</c:f>
              <c:numCache>
                <c:formatCode>General</c:formatCode>
                <c:ptCount val="1"/>
                <c:pt idx="0">
                  <c:v>1</c:v>
                </c:pt>
              </c:numCache>
            </c:numRef>
          </c:yVal>
          <c:smooth val="0"/>
        </c:ser>
        <c:ser>
          <c:idx val="1"/>
          <c:order val="1"/>
          <c:tx>
            <c:strRef>
              <c:f>Darstellung_Flotte!$B$12</c:f>
              <c:strCache>
                <c:ptCount val="1"/>
                <c:pt idx="0">
                  <c:v>Car-Sharing</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183544865473678"/>
                  <c:y val="-0.0899341792923058"/>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Darstellung_Flotte!$D$12</c:f>
              <c:numCache>
                <c:formatCode>General</c:formatCode>
                <c:ptCount val="1"/>
                <c:pt idx="0">
                  <c:v>4</c:v>
                </c:pt>
              </c:numCache>
            </c:numRef>
          </c:xVal>
          <c:yVal>
            <c:numRef>
              <c:f>Darstellung_Flotte!$E$12</c:f>
              <c:numCache>
                <c:formatCode>General</c:formatCode>
                <c:ptCount val="1"/>
                <c:pt idx="0">
                  <c:v>1</c:v>
                </c:pt>
              </c:numCache>
            </c:numRef>
          </c:yVal>
          <c:smooth val="0"/>
        </c:ser>
        <c:ser>
          <c:idx val="2"/>
          <c:order val="2"/>
          <c:tx>
            <c:strRef>
              <c:f>Darstellung_Flotte!$B$13</c:f>
              <c:strCache>
                <c:ptCount val="1"/>
                <c:pt idx="0">
                  <c:v>Car-Pooling</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0405988766224847"/>
                  <c:y val="-0.158760960054447"/>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Darstellung_Flotte!$D$13</c:f>
              <c:numCache>
                <c:formatCode>General</c:formatCode>
                <c:ptCount val="1"/>
                <c:pt idx="0">
                  <c:v>6</c:v>
                </c:pt>
              </c:numCache>
            </c:numRef>
          </c:xVal>
          <c:yVal>
            <c:numRef>
              <c:f>Darstellung_Flotte!$E$13</c:f>
              <c:numCache>
                <c:formatCode>General</c:formatCode>
                <c:ptCount val="1"/>
                <c:pt idx="0">
                  <c:v>1</c:v>
                </c:pt>
              </c:numCache>
            </c:numRef>
          </c:yVal>
          <c:smooth val="0"/>
        </c:ser>
        <c:ser>
          <c:idx val="3"/>
          <c:order val="3"/>
          <c:tx>
            <c:strRef>
              <c:f>Darstellung_Flotte!$B$14</c:f>
              <c:strCache>
                <c:ptCount val="1"/>
                <c:pt idx="0">
                  <c:v>Fahrrad</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0872203652416668"/>
                  <c:y val="-0.122135822304637"/>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Darstellung_Flotte!$D$14</c:f>
              <c:numCache>
                <c:formatCode>General</c:formatCode>
                <c:ptCount val="1"/>
                <c:pt idx="0">
                  <c:v>2</c:v>
                </c:pt>
              </c:numCache>
            </c:numRef>
          </c:xVal>
          <c:yVal>
            <c:numRef>
              <c:f>Darstellung_Flotte!$E$14</c:f>
              <c:numCache>
                <c:formatCode>General</c:formatCode>
                <c:ptCount val="1"/>
                <c:pt idx="0">
                  <c:v>2</c:v>
                </c:pt>
              </c:numCache>
            </c:numRef>
          </c:yVal>
          <c:smooth val="0"/>
        </c:ser>
        <c:ser>
          <c:idx val="4"/>
          <c:order val="4"/>
          <c:tx>
            <c:strRef>
              <c:f>Darstellung_Flotte!$B$15</c:f>
              <c:strCache>
                <c:ptCount val="1"/>
                <c:pt idx="0">
                  <c:v>ÖPNV/Bahn/Fernbus</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180448591010431"/>
                  <c:y val="0.104234204778499"/>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Darstellung_Flotte!$D$15</c:f>
              <c:numCache>
                <c:formatCode>General</c:formatCode>
                <c:ptCount val="1"/>
                <c:pt idx="0">
                  <c:v>4</c:v>
                </c:pt>
              </c:numCache>
            </c:numRef>
          </c:xVal>
          <c:yVal>
            <c:numRef>
              <c:f>Darstellung_Flotte!$E$15</c:f>
              <c:numCache>
                <c:formatCode>General</c:formatCode>
                <c:ptCount val="1"/>
                <c:pt idx="0">
                  <c:v>2</c:v>
                </c:pt>
              </c:numCache>
            </c:numRef>
          </c:yVal>
          <c:smooth val="0"/>
        </c:ser>
        <c:axId val="36858891"/>
        <c:axId val="61093396"/>
      </c:scatterChart>
      <c:valAx>
        <c:axId val="36858891"/>
        <c:scaling>
          <c:orientation val="minMax"/>
          <c:max val="7"/>
          <c:min val="1"/>
        </c:scaling>
        <c:delete val="1"/>
        <c:axPos val="b"/>
        <c:majorGridlines>
          <c:spPr>
            <a:ln w="9360">
              <a:solidFill>
                <a:srgbClr val="d9d9d9"/>
              </a:solidFill>
              <a:round/>
            </a:ln>
          </c:spPr>
        </c:majorGridlines>
        <c:numFmt formatCode="0" sourceLinked="1"/>
        <c:majorTickMark val="out"/>
        <c:minorTickMark val="none"/>
        <c:tickLblPos val="nextTo"/>
        <c:spPr>
          <a:ln w="6480">
            <a:solidFill>
              <a:srgbClr val="8b8b8b"/>
            </a:solidFill>
            <a:round/>
          </a:ln>
        </c:spPr>
        <c:txPr>
          <a:bodyPr/>
          <a:lstStyle/>
          <a:p>
            <a:pPr>
              <a:defRPr b="0" sz="1100" spc="-1" strike="noStrike">
                <a:solidFill>
                  <a:srgbClr val="000000"/>
                </a:solidFill>
                <a:latin typeface="Calibri"/>
              </a:defRPr>
            </a:pPr>
          </a:p>
        </c:txPr>
        <c:crossAx val="61093396"/>
        <c:crossBetween val="midCat"/>
        <c:majorUnit val="2"/>
      </c:valAx>
      <c:valAx>
        <c:axId val="61093396"/>
        <c:scaling>
          <c:orientation val="minMax"/>
          <c:max val="2.5"/>
          <c:min val="0.5"/>
        </c:scaling>
        <c:delete val="1"/>
        <c:axPos val="l"/>
        <c:majorGridlines>
          <c:spPr>
            <a:ln w="9360">
              <a:solidFill>
                <a:srgbClr val="d9d9d9"/>
              </a:solidFill>
              <a:round/>
            </a:ln>
          </c:spPr>
        </c:majorGridlines>
        <c:numFmt formatCode="0" sourceLinked="1"/>
        <c:majorTickMark val="out"/>
        <c:minorTickMark val="none"/>
        <c:tickLblPos val="nextTo"/>
        <c:spPr>
          <a:ln w="6480">
            <a:solidFill>
              <a:srgbClr val="8b8b8b"/>
            </a:solidFill>
            <a:round/>
          </a:ln>
        </c:spPr>
        <c:txPr>
          <a:bodyPr/>
          <a:lstStyle/>
          <a:p>
            <a:pPr>
              <a:defRPr b="0" sz="1100" spc="-1" strike="noStrike">
                <a:solidFill>
                  <a:srgbClr val="000000"/>
                </a:solidFill>
                <a:latin typeface="Calibri"/>
              </a:defRPr>
            </a:pPr>
          </a:p>
        </c:txPr>
        <c:crossAx val="36858891"/>
        <c:crossBetween val="midCat"/>
        <c:majorUnit val="1"/>
      </c:valAx>
      <c:spPr>
        <a:noFill/>
        <a:ln w="0">
          <a:noFill/>
        </a:ln>
      </c:spPr>
    </c:plotArea>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Darstellung_Flotte!$B$11</c:f>
              <c:strCache>
                <c:ptCount val="1"/>
                <c:pt idx="0">
                  <c:v>Mietwagen</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108436282856243"/>
                  <c:y val="0.102296244733785"/>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Darstellung_Flotte!$D$11</c:f>
              <c:numCache>
                <c:formatCode>General</c:formatCode>
                <c:ptCount val="1"/>
                <c:pt idx="0">
                  <c:v>4</c:v>
                </c:pt>
              </c:numCache>
            </c:numRef>
          </c:xVal>
          <c:yVal>
            <c:numRef>
              <c:f>Darstellung_Flotte!$E$11</c:f>
              <c:numCache>
                <c:formatCode>General</c:formatCode>
                <c:ptCount val="1"/>
                <c:pt idx="0">
                  <c:v>1</c:v>
                </c:pt>
              </c:numCache>
            </c:numRef>
          </c:yVal>
          <c:smooth val="0"/>
        </c:ser>
        <c:ser>
          <c:idx val="1"/>
          <c:order val="1"/>
          <c:tx>
            <c:strRef>
              <c:f>Darstellung_Flotte!$B$12</c:f>
              <c:strCache>
                <c:ptCount val="1"/>
                <c:pt idx="0">
                  <c:v>Car-Sharing</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183544865473678"/>
                  <c:y val="-0.0899341792923058"/>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Darstellung_Flotte!$D$12</c:f>
              <c:numCache>
                <c:formatCode>General</c:formatCode>
                <c:ptCount val="1"/>
                <c:pt idx="0">
                  <c:v>4</c:v>
                </c:pt>
              </c:numCache>
            </c:numRef>
          </c:xVal>
          <c:yVal>
            <c:numRef>
              <c:f>Darstellung_Flotte!$E$12</c:f>
              <c:numCache>
                <c:formatCode>General</c:formatCode>
                <c:ptCount val="1"/>
                <c:pt idx="0">
                  <c:v>1</c:v>
                </c:pt>
              </c:numCache>
            </c:numRef>
          </c:yVal>
          <c:smooth val="0"/>
        </c:ser>
        <c:ser>
          <c:idx val="2"/>
          <c:order val="2"/>
          <c:tx>
            <c:strRef>
              <c:f>Darstellung_Flotte!$B$13</c:f>
              <c:strCache>
                <c:ptCount val="1"/>
                <c:pt idx="0">
                  <c:v>Car-Pooling</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0405988766224847"/>
                  <c:y val="-0.158760960054447"/>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Darstellung_Flotte!$D$13</c:f>
              <c:numCache>
                <c:formatCode>General</c:formatCode>
                <c:ptCount val="1"/>
                <c:pt idx="0">
                  <c:v>6</c:v>
                </c:pt>
              </c:numCache>
            </c:numRef>
          </c:xVal>
          <c:yVal>
            <c:numRef>
              <c:f>Darstellung_Flotte!$E$13</c:f>
              <c:numCache>
                <c:formatCode>General</c:formatCode>
                <c:ptCount val="1"/>
                <c:pt idx="0">
                  <c:v>1</c:v>
                </c:pt>
              </c:numCache>
            </c:numRef>
          </c:yVal>
          <c:smooth val="0"/>
        </c:ser>
        <c:ser>
          <c:idx val="3"/>
          <c:order val="3"/>
          <c:tx>
            <c:strRef>
              <c:f>Darstellung_Flotte!$B$14</c:f>
              <c:strCache>
                <c:ptCount val="1"/>
                <c:pt idx="0">
                  <c:v>Fahrrad</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0872203652416668"/>
                  <c:y val="-0.122135822304637"/>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Darstellung_Flotte!$D$14</c:f>
              <c:numCache>
                <c:formatCode>General</c:formatCode>
                <c:ptCount val="1"/>
                <c:pt idx="0">
                  <c:v>2</c:v>
                </c:pt>
              </c:numCache>
            </c:numRef>
          </c:xVal>
          <c:yVal>
            <c:numRef>
              <c:f>Darstellung_Flotte!$E$14</c:f>
              <c:numCache>
                <c:formatCode>General</c:formatCode>
                <c:ptCount val="1"/>
                <c:pt idx="0">
                  <c:v>2</c:v>
                </c:pt>
              </c:numCache>
            </c:numRef>
          </c:yVal>
          <c:smooth val="0"/>
        </c:ser>
        <c:ser>
          <c:idx val="4"/>
          <c:order val="4"/>
          <c:tx>
            <c:strRef>
              <c:f>Darstellung_Flotte!$B$15</c:f>
              <c:strCache>
                <c:ptCount val="1"/>
                <c:pt idx="0">
                  <c:v>ÖPNV/Bahn/Fernbus</c:v>
                </c:pt>
              </c:strCache>
            </c:strRef>
          </c:tx>
          <c:spPr>
            <a:solidFill>
              <a:srgbClr val="000000"/>
            </a:solidFill>
            <a:ln w="25560">
              <a:noFill/>
            </a:ln>
          </c:spPr>
          <c:marker>
            <c:symbol val="circle"/>
            <c:size val="10"/>
            <c:spPr>
              <a:solidFill>
                <a:srgbClr val="000000"/>
              </a:solidFill>
            </c:spPr>
          </c:marker>
          <c:dPt>
            <c:idx val="0"/>
            <c:marker>
              <c:symbol val="circle"/>
              <c:size val="10"/>
              <c:spPr>
                <a:solidFill>
                  <a:srgbClr val="000000"/>
                </a:solidFill>
              </c:spPr>
            </c:marker>
          </c:dPt>
          <c:dLbls>
            <c:dLbl>
              <c:idx val="0"/>
              <c:layout>
                <c:manualLayout>
                  <c:x val="-0.180448591010431"/>
                  <c:y val="0.104234204778499"/>
                </c:manualLayout>
              </c:layout>
              <c:txPr>
                <a:bodyPr wrap="square"/>
                <a:lstStyle/>
                <a:p>
                  <a:pPr>
                    <a:defRPr b="0" sz="1100" spc="-1" strike="noStrike">
                      <a:solidFill>
                        <a:srgbClr val="000000"/>
                      </a:solidFill>
                      <a:latin typeface="Calibri"/>
                    </a:defRPr>
                  </a:pPr>
                </a:p>
              </c:txPr>
              <c:dLblPos val="r"/>
              <c:showLegendKey val="0"/>
              <c:showVal val="0"/>
              <c:showCatName val="0"/>
              <c:showSerName val="1"/>
              <c:showPercent val="0"/>
              <c:separator>; </c:separator>
            </c:dLbl>
            <c:txPr>
              <a:bodyPr wrap="square"/>
              <a:lstStyle/>
              <a:p>
                <a:pPr>
                  <a:defRPr b="0" sz="1100" spc="-1" strike="noStrike">
                    <a:solidFill>
                      <a:srgbClr val="000000"/>
                    </a:solidFill>
                    <a:latin typeface="Calibri"/>
                  </a:defRPr>
                </a:pPr>
              </a:p>
            </c:txPr>
            <c:dLblPos val="t"/>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Darstellung_Flotte!$D$15</c:f>
              <c:numCache>
                <c:formatCode>General</c:formatCode>
                <c:ptCount val="1"/>
                <c:pt idx="0">
                  <c:v>4</c:v>
                </c:pt>
              </c:numCache>
            </c:numRef>
          </c:xVal>
          <c:yVal>
            <c:numRef>
              <c:f>Darstellung_Flotte!$E$15</c:f>
              <c:numCache>
                <c:formatCode>General</c:formatCode>
                <c:ptCount val="1"/>
                <c:pt idx="0">
                  <c:v>2</c:v>
                </c:pt>
              </c:numCache>
            </c:numRef>
          </c:yVal>
          <c:smooth val="0"/>
        </c:ser>
        <c:axId val="87910046"/>
        <c:axId val="95549092"/>
      </c:scatterChart>
      <c:valAx>
        <c:axId val="87910046"/>
        <c:scaling>
          <c:orientation val="minMax"/>
          <c:max val="7"/>
          <c:min val="1"/>
        </c:scaling>
        <c:delete val="1"/>
        <c:axPos val="b"/>
        <c:majorGridlines>
          <c:spPr>
            <a:ln w="9360">
              <a:solidFill>
                <a:srgbClr val="d9d9d9"/>
              </a:solidFill>
              <a:round/>
            </a:ln>
          </c:spPr>
        </c:majorGridlines>
        <c:numFmt formatCode="0" sourceLinked="1"/>
        <c:majorTickMark val="out"/>
        <c:minorTickMark val="none"/>
        <c:tickLblPos val="nextTo"/>
        <c:spPr>
          <a:ln w="6480">
            <a:solidFill>
              <a:srgbClr val="8b8b8b"/>
            </a:solidFill>
            <a:round/>
          </a:ln>
        </c:spPr>
        <c:txPr>
          <a:bodyPr/>
          <a:lstStyle/>
          <a:p>
            <a:pPr>
              <a:defRPr b="0" sz="1100" spc="-1" strike="noStrike">
                <a:solidFill>
                  <a:srgbClr val="000000"/>
                </a:solidFill>
                <a:latin typeface="Calibri"/>
              </a:defRPr>
            </a:pPr>
          </a:p>
        </c:txPr>
        <c:crossAx val="95549092"/>
        <c:crossBetween val="midCat"/>
        <c:majorUnit val="2"/>
      </c:valAx>
      <c:valAx>
        <c:axId val="95549092"/>
        <c:scaling>
          <c:orientation val="minMax"/>
          <c:max val="2.5"/>
          <c:min val="0.5"/>
        </c:scaling>
        <c:delete val="1"/>
        <c:axPos val="l"/>
        <c:majorGridlines>
          <c:spPr>
            <a:ln w="9360">
              <a:solidFill>
                <a:srgbClr val="d9d9d9"/>
              </a:solidFill>
              <a:round/>
            </a:ln>
          </c:spPr>
        </c:majorGridlines>
        <c:numFmt formatCode="0" sourceLinked="1"/>
        <c:majorTickMark val="out"/>
        <c:minorTickMark val="none"/>
        <c:tickLblPos val="nextTo"/>
        <c:spPr>
          <a:ln w="6480">
            <a:solidFill>
              <a:srgbClr val="8b8b8b"/>
            </a:solidFill>
            <a:round/>
          </a:ln>
        </c:spPr>
        <c:txPr>
          <a:bodyPr/>
          <a:lstStyle/>
          <a:p>
            <a:pPr>
              <a:defRPr b="0" sz="1100" spc="-1" strike="noStrike">
                <a:solidFill>
                  <a:srgbClr val="000000"/>
                </a:solidFill>
                <a:latin typeface="Calibri"/>
              </a:defRPr>
            </a:pPr>
          </a:p>
        </c:txPr>
        <c:crossAx val="87910046"/>
        <c:crossBetween val="midCat"/>
        <c:majorUnit val="1"/>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833400</xdr:colOff>
      <xdr:row>21</xdr:row>
      <xdr:rowOff>18360</xdr:rowOff>
    </xdr:from>
    <xdr:to>
      <xdr:col>9</xdr:col>
      <xdr:colOff>21600</xdr:colOff>
      <xdr:row>29</xdr:row>
      <xdr:rowOff>171000</xdr:rowOff>
    </xdr:to>
    <xdr:sp>
      <xdr:nvSpPr>
        <xdr:cNvPr id="0" name="Rechteck: abgerundete Ecken 1"/>
        <xdr:cNvSpPr/>
      </xdr:nvSpPr>
      <xdr:spPr>
        <a:xfrm>
          <a:off x="6392880" y="4942800"/>
          <a:ext cx="5319000" cy="1143360"/>
        </a:xfrm>
        <a:prstGeom prst="roundRect">
          <a:avLst>
            <a:gd name="adj" fmla="val 8039"/>
          </a:avLst>
        </a:prstGeom>
        <a:solidFill>
          <a:schemeClr val="tx2">
            <a:lumMod val="20000"/>
            <a:lumOff val="80000"/>
          </a:schemeClr>
        </a:solidFill>
        <a:ln>
          <a:solidFill>
            <a:srgbClr val="93c120">
              <a:lumMod val="75000"/>
            </a:srgbClr>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0" lang="de-DE" sz="1100" spc="-1" strike="noStrike">
              <a:solidFill>
                <a:srgbClr val="6e9118"/>
              </a:solidFill>
              <a:latin typeface="Arial"/>
            </a:rPr>
            <a:t>Um zu klären, ob ein sogenanntes </a:t>
          </a:r>
          <a:r>
            <a:rPr b="1" lang="de-DE" sz="1100" spc="-1" strike="noStrike">
              <a:solidFill>
                <a:srgbClr val="6e9118"/>
              </a:solidFill>
              <a:latin typeface="Arial"/>
            </a:rPr>
            <a:t>Car-Pooling</a:t>
          </a:r>
          <a:r>
            <a:rPr b="0" lang="de-DE" sz="1100" spc="-1" strike="noStrike">
              <a:solidFill>
                <a:srgbClr val="6e9118"/>
              </a:solidFill>
              <a:latin typeface="Arial"/>
            </a:rPr>
            <a:t> möglich ist, können Sie das </a:t>
          </a:r>
          <a:r>
            <a:rPr b="1" lang="de-DE" sz="1100" spc="-1" strike="noStrike">
              <a:solidFill>
                <a:srgbClr val="6e9118"/>
              </a:solidFill>
              <a:latin typeface="Arial"/>
            </a:rPr>
            <a:t>Fuhrparkmanagement</a:t>
          </a:r>
          <a:r>
            <a:rPr b="0" lang="de-DE" sz="1100" spc="-1" strike="noStrike">
              <a:solidFill>
                <a:srgbClr val="6e9118"/>
              </a:solidFill>
              <a:latin typeface="Arial"/>
            </a:rPr>
            <a:t> mit folgenden Fragen kontaktieren:</a:t>
          </a:r>
          <a:endParaRPr b="0" lang="de-DE" sz="1100" spc="-1" strike="noStrike">
            <a:latin typeface="Times New Roman"/>
          </a:endParaRPr>
        </a:p>
        <a:p>
          <a:pPr>
            <a:lnSpc>
              <a:spcPct val="100000"/>
            </a:lnSpc>
          </a:pPr>
          <a:endParaRPr b="0" lang="de-DE" sz="1100" spc="-1" strike="noStrike">
            <a:latin typeface="Times New Roman"/>
          </a:endParaRPr>
        </a:p>
        <a:p>
          <a:pPr>
            <a:lnSpc>
              <a:spcPct val="100000"/>
            </a:lnSpc>
          </a:pPr>
          <a:r>
            <a:rPr b="0" lang="de-DE" sz="1200" spc="-1" strike="noStrike">
              <a:solidFill>
                <a:srgbClr val="6e9118"/>
              </a:solidFill>
              <a:latin typeface="Arial"/>
            </a:rPr>
            <a:t>- Welche Fahrzeuge stehen aktuell zur Verfügung?</a:t>
          </a:r>
          <a:endParaRPr b="0" lang="de-DE" sz="1200" spc="-1" strike="noStrike">
            <a:latin typeface="Times New Roman"/>
          </a:endParaRPr>
        </a:p>
        <a:p>
          <a:pPr>
            <a:lnSpc>
              <a:spcPct val="100000"/>
            </a:lnSpc>
          </a:pPr>
          <a:r>
            <a:rPr b="0" lang="de-DE" sz="1200" spc="-1" strike="noStrike">
              <a:solidFill>
                <a:srgbClr val="6e9118"/>
              </a:solidFill>
              <a:latin typeface="Arial"/>
            </a:rPr>
            <a:t>- Für welche Fahrzwecke werden die Fahrzeuge derzeit verwendet?</a:t>
          </a:r>
          <a:endParaRPr b="0" lang="de-DE" sz="1200" spc="-1" strike="noStrike">
            <a:latin typeface="Times New Roman"/>
          </a:endParaRPr>
        </a:p>
        <a:p>
          <a:pPr>
            <a:lnSpc>
              <a:spcPct val="100000"/>
            </a:lnSpc>
          </a:pPr>
          <a:r>
            <a:rPr b="0" lang="de-DE" sz="1200" spc="-1" strike="noStrike">
              <a:solidFill>
                <a:srgbClr val="6e9118"/>
              </a:solidFill>
              <a:latin typeface="Arial"/>
            </a:rPr>
            <a:t>- Wie ist der Fuhrpark ausgelastet?</a:t>
          </a:r>
          <a:endParaRPr b="0" lang="de-DE" sz="1200" spc="-1" strike="noStrike">
            <a:latin typeface="Times New Roman"/>
          </a:endParaRPr>
        </a:p>
        <a:p>
          <a:pPr>
            <a:lnSpc>
              <a:spcPct val="100000"/>
            </a:lnSpc>
          </a:pPr>
          <a:endParaRPr b="0" lang="de-DE" sz="1100" spc="-1" strike="noStrike">
            <a:latin typeface="Times New Roman"/>
          </a:endParaRPr>
        </a:p>
      </xdr:txBody>
    </xdr:sp>
    <xdr:clientData/>
  </xdr:twoCellAnchor>
  <xdr:twoCellAnchor editAs="twoCell">
    <xdr:from>
      <xdr:col>7</xdr:col>
      <xdr:colOff>482400</xdr:colOff>
      <xdr:row>25</xdr:row>
      <xdr:rowOff>91080</xdr:rowOff>
    </xdr:from>
    <xdr:to>
      <xdr:col>7</xdr:col>
      <xdr:colOff>829440</xdr:colOff>
      <xdr:row>25</xdr:row>
      <xdr:rowOff>91440</xdr:rowOff>
    </xdr:to>
    <xdr:sp>
      <xdr:nvSpPr>
        <xdr:cNvPr id="1" name="Gerade Verbindung mit Pfeil 3"/>
        <xdr:cNvSpPr/>
      </xdr:nvSpPr>
      <xdr:spPr>
        <a:xfrm flipH="1" flipV="1">
          <a:off x="6041880" y="5510520"/>
          <a:ext cx="347040" cy="360"/>
        </a:xfrm>
        <a:custGeom>
          <a:avLst/>
          <a:gdLst/>
          <a:ahLst/>
          <a:rect l="l" t="t" r="r" b="b"/>
          <a:pathLst>
            <a:path w="21600" h="21600">
              <a:moveTo>
                <a:pt x="0" y="0"/>
              </a:moveTo>
              <a:lnTo>
                <a:pt x="21600" y="21600"/>
              </a:lnTo>
            </a:path>
          </a:pathLst>
        </a:custGeom>
        <a:noFill/>
        <a:ln w="19050">
          <a:solidFill>
            <a:srgbClr val="93c120">
              <a:lumMod val="75000"/>
            </a:srgbClr>
          </a:solidFill>
          <a:tailEnd len="med" type="triangle" w="lg"/>
        </a:ln>
      </xdr:spPr>
      <xdr:style>
        <a:lnRef idx="1">
          <a:schemeClr val="accent1"/>
        </a:lnRef>
        <a:fillRef idx="0">
          <a:schemeClr val="accent1"/>
        </a:fillRef>
        <a:effectRef idx="0">
          <a:schemeClr val="accent1"/>
        </a:effectRef>
        <a:fontRef idx="minor"/>
      </xdr:style>
    </xdr:sp>
    <xdr:clientData/>
  </xdr:twoCellAnchor>
  <xdr:twoCellAnchor editAs="oneCell">
    <xdr:from>
      <xdr:col>3</xdr:col>
      <xdr:colOff>597960</xdr:colOff>
      <xdr:row>33</xdr:row>
      <xdr:rowOff>88560</xdr:rowOff>
    </xdr:from>
    <xdr:to>
      <xdr:col>7</xdr:col>
      <xdr:colOff>1595880</xdr:colOff>
      <xdr:row>49</xdr:row>
      <xdr:rowOff>145800</xdr:rowOff>
    </xdr:to>
    <xdr:graphicFrame>
      <xdr:nvGraphicFramePr>
        <xdr:cNvPr id="2" name="Diagramm 41"/>
        <xdr:cNvGraphicFramePr/>
      </xdr:nvGraphicFramePr>
      <xdr:xfrm>
        <a:off x="2390040" y="6689520"/>
        <a:ext cx="4765320" cy="280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141840</xdr:colOff>
      <xdr:row>34</xdr:row>
      <xdr:rowOff>56520</xdr:rowOff>
    </xdr:from>
    <xdr:to>
      <xdr:col>7</xdr:col>
      <xdr:colOff>1427400</xdr:colOff>
      <xdr:row>41</xdr:row>
      <xdr:rowOff>112680</xdr:rowOff>
    </xdr:to>
    <xdr:sp>
      <xdr:nvSpPr>
        <xdr:cNvPr id="3" name="Rechteck 42"/>
        <xdr:cNvSpPr/>
      </xdr:nvSpPr>
      <xdr:spPr>
        <a:xfrm>
          <a:off x="2550240" y="6828840"/>
          <a:ext cx="4436640" cy="1256400"/>
        </a:xfrm>
        <a:prstGeom prst="rect">
          <a:avLst/>
        </a:prstGeom>
        <a:solidFill>
          <a:srgbClr val="93c120">
            <a:alpha val="30000"/>
          </a:srgbClr>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4</xdr:col>
      <xdr:colOff>156960</xdr:colOff>
      <xdr:row>41</xdr:row>
      <xdr:rowOff>118080</xdr:rowOff>
    </xdr:from>
    <xdr:to>
      <xdr:col>7</xdr:col>
      <xdr:colOff>1427040</xdr:colOff>
      <xdr:row>48</xdr:row>
      <xdr:rowOff>165960</xdr:rowOff>
    </xdr:to>
    <xdr:sp>
      <xdr:nvSpPr>
        <xdr:cNvPr id="4" name="Rechteck 43"/>
        <xdr:cNvSpPr/>
      </xdr:nvSpPr>
      <xdr:spPr>
        <a:xfrm>
          <a:off x="2565360" y="8090640"/>
          <a:ext cx="4421160" cy="1247760"/>
        </a:xfrm>
        <a:prstGeom prst="rect">
          <a:avLst/>
        </a:prstGeom>
        <a:solidFill>
          <a:srgbClr val="dedc00">
            <a:alpha val="30000"/>
          </a:srgbClr>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xdr:col>
      <xdr:colOff>325080</xdr:colOff>
      <xdr:row>49</xdr:row>
      <xdr:rowOff>27000</xdr:rowOff>
    </xdr:from>
    <xdr:to>
      <xdr:col>7</xdr:col>
      <xdr:colOff>1590480</xdr:colOff>
      <xdr:row>52</xdr:row>
      <xdr:rowOff>105120</xdr:rowOff>
    </xdr:to>
    <xdr:sp>
      <xdr:nvSpPr>
        <xdr:cNvPr id="5" name="Rechteck 44"/>
        <xdr:cNvSpPr/>
      </xdr:nvSpPr>
      <xdr:spPr>
        <a:xfrm>
          <a:off x="952920" y="9371160"/>
          <a:ext cx="6197040" cy="5922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xdr:col>
      <xdr:colOff>324720</xdr:colOff>
      <xdr:row>33</xdr:row>
      <xdr:rowOff>87480</xdr:rowOff>
    </xdr:from>
    <xdr:to>
      <xdr:col>4</xdr:col>
      <xdr:colOff>23400</xdr:colOff>
      <xdr:row>51</xdr:row>
      <xdr:rowOff>88200</xdr:rowOff>
    </xdr:to>
    <xdr:sp>
      <xdr:nvSpPr>
        <xdr:cNvPr id="6" name="Rechteck 45"/>
        <xdr:cNvSpPr/>
      </xdr:nvSpPr>
      <xdr:spPr>
        <a:xfrm>
          <a:off x="952560" y="6688440"/>
          <a:ext cx="1479240" cy="30866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xdr:col>
      <xdr:colOff>412560</xdr:colOff>
      <xdr:row>36</xdr:row>
      <xdr:rowOff>67320</xdr:rowOff>
    </xdr:from>
    <xdr:to>
      <xdr:col>3</xdr:col>
      <xdr:colOff>615960</xdr:colOff>
      <xdr:row>40</xdr:row>
      <xdr:rowOff>88560</xdr:rowOff>
    </xdr:to>
    <xdr:sp>
      <xdr:nvSpPr>
        <xdr:cNvPr id="7" name="Textfeld 46"/>
        <xdr:cNvSpPr/>
      </xdr:nvSpPr>
      <xdr:spPr>
        <a:xfrm>
          <a:off x="1040400" y="7182360"/>
          <a:ext cx="1367640" cy="70704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gn="ctr">
            <a:lnSpc>
              <a:spcPct val="100000"/>
            </a:lnSpc>
          </a:pPr>
          <a:r>
            <a:rPr b="0" lang="de-DE" sz="1100" spc="-1" strike="noStrike">
              <a:solidFill>
                <a:srgbClr val="6e9118"/>
              </a:solidFill>
              <a:latin typeface="Calibri"/>
            </a:rPr>
            <a:t>Aus Umweltsicht </a:t>
          </a:r>
          <a:r>
            <a:rPr b="1" lang="de-DE" sz="1100" spc="-1" strike="noStrike">
              <a:solidFill>
                <a:srgbClr val="6e9118"/>
              </a:solidFill>
              <a:latin typeface="Calibri"/>
            </a:rPr>
            <a:t>vor Pkw-Nutzung </a:t>
          </a:r>
          <a:r>
            <a:rPr b="0" lang="de-DE" sz="1100" spc="-1" strike="noStrike">
              <a:solidFill>
                <a:srgbClr val="6e9118"/>
              </a:solidFill>
              <a:latin typeface="Calibri"/>
            </a:rPr>
            <a:t>zu bevorzugen</a:t>
          </a:r>
          <a:endParaRPr b="0" lang="de-DE" sz="1100" spc="-1" strike="noStrike">
            <a:latin typeface="Times New Roman"/>
          </a:endParaRPr>
        </a:p>
      </xdr:txBody>
    </xdr:sp>
    <xdr:clientData/>
  </xdr:twoCellAnchor>
  <xdr:twoCellAnchor editAs="absolute">
    <xdr:from>
      <xdr:col>1</xdr:col>
      <xdr:colOff>414720</xdr:colOff>
      <xdr:row>43</xdr:row>
      <xdr:rowOff>124560</xdr:rowOff>
    </xdr:from>
    <xdr:to>
      <xdr:col>4</xdr:col>
      <xdr:colOff>5400</xdr:colOff>
      <xdr:row>48</xdr:row>
      <xdr:rowOff>54360</xdr:rowOff>
    </xdr:to>
    <xdr:sp>
      <xdr:nvSpPr>
        <xdr:cNvPr id="8" name="Textfeld 47"/>
        <xdr:cNvSpPr/>
      </xdr:nvSpPr>
      <xdr:spPr>
        <a:xfrm>
          <a:off x="1042560" y="8439840"/>
          <a:ext cx="1371240" cy="78696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gn="ctr">
            <a:lnSpc>
              <a:spcPct val="100000"/>
            </a:lnSpc>
          </a:pPr>
          <a:r>
            <a:rPr b="0" lang="de-DE" sz="1100" spc="-1" strike="noStrike">
              <a:solidFill>
                <a:srgbClr val="9e9d1f"/>
              </a:solidFill>
              <a:latin typeface="Calibri"/>
            </a:rPr>
            <a:t>Aus Umweltsicht </a:t>
          </a:r>
          <a:r>
            <a:rPr b="1" lang="de-DE" sz="1100" spc="-1" strike="noStrike">
              <a:solidFill>
                <a:srgbClr val="9e9d1f"/>
              </a:solidFill>
              <a:latin typeface="Calibri"/>
            </a:rPr>
            <a:t>vor Pkw-Kauf </a:t>
          </a:r>
          <a:endParaRPr b="0" lang="de-DE" sz="1100" spc="-1" strike="noStrike">
            <a:latin typeface="Times New Roman"/>
          </a:endParaRPr>
        </a:p>
        <a:p>
          <a:pPr algn="ctr">
            <a:lnSpc>
              <a:spcPct val="100000"/>
            </a:lnSpc>
          </a:pPr>
          <a:r>
            <a:rPr b="0" lang="de-DE" sz="1100" spc="-1" strike="noStrike">
              <a:solidFill>
                <a:srgbClr val="9e9d1f"/>
              </a:solidFill>
              <a:latin typeface="Calibri"/>
            </a:rPr>
            <a:t>zu bevorzugen</a:t>
          </a:r>
          <a:endParaRPr b="0" lang="de-DE" sz="1100" spc="-1" strike="noStrike">
            <a:latin typeface="Times New Roman"/>
          </a:endParaRPr>
        </a:p>
      </xdr:txBody>
    </xdr:sp>
    <xdr:clientData/>
  </xdr:twoCellAnchor>
  <xdr:twoCellAnchor editAs="absolute">
    <xdr:from>
      <xdr:col>4</xdr:col>
      <xdr:colOff>488520</xdr:colOff>
      <xdr:row>49</xdr:row>
      <xdr:rowOff>79560</xdr:rowOff>
    </xdr:from>
    <xdr:to>
      <xdr:col>5</xdr:col>
      <xdr:colOff>768240</xdr:colOff>
      <xdr:row>50</xdr:row>
      <xdr:rowOff>137520</xdr:rowOff>
    </xdr:to>
    <xdr:sp>
      <xdr:nvSpPr>
        <xdr:cNvPr id="9" name="Textfeld 48"/>
        <xdr:cNvSpPr/>
      </xdr:nvSpPr>
      <xdr:spPr>
        <a:xfrm>
          <a:off x="2896920" y="9423720"/>
          <a:ext cx="1158840" cy="22932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de-DE" sz="1100" spc="-1" strike="noStrike">
              <a:solidFill>
                <a:srgbClr val="000000"/>
              </a:solidFill>
              <a:latin typeface="Calibri"/>
            </a:rPr>
            <a:t>Fast nie</a:t>
          </a:r>
          <a:endParaRPr b="0" lang="de-DE" sz="1100" spc="-1" strike="noStrike">
            <a:latin typeface="Times New Roman"/>
          </a:endParaRPr>
        </a:p>
      </xdr:txBody>
    </xdr:sp>
    <xdr:clientData/>
  </xdr:twoCellAnchor>
  <xdr:twoCellAnchor editAs="absolute">
    <xdr:from>
      <xdr:col>5</xdr:col>
      <xdr:colOff>1065960</xdr:colOff>
      <xdr:row>49</xdr:row>
      <xdr:rowOff>77760</xdr:rowOff>
    </xdr:from>
    <xdr:to>
      <xdr:col>6</xdr:col>
      <xdr:colOff>466560</xdr:colOff>
      <xdr:row>50</xdr:row>
      <xdr:rowOff>135720</xdr:rowOff>
    </xdr:to>
    <xdr:sp>
      <xdr:nvSpPr>
        <xdr:cNvPr id="10" name="Textfeld 49"/>
        <xdr:cNvSpPr/>
      </xdr:nvSpPr>
      <xdr:spPr>
        <a:xfrm>
          <a:off x="4353480" y="9421920"/>
          <a:ext cx="1158840" cy="22932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de-DE" sz="1100" spc="-1" strike="noStrike">
              <a:solidFill>
                <a:srgbClr val="000000"/>
              </a:solidFill>
              <a:latin typeface="Calibri"/>
            </a:rPr>
            <a:t>Ab und zu</a:t>
          </a:r>
          <a:endParaRPr b="0" lang="de-DE" sz="1100" spc="-1" strike="noStrike">
            <a:latin typeface="Times New Roman"/>
          </a:endParaRPr>
        </a:p>
      </xdr:txBody>
    </xdr:sp>
    <xdr:clientData/>
  </xdr:twoCellAnchor>
  <xdr:twoCellAnchor editAs="absolute">
    <xdr:from>
      <xdr:col>7</xdr:col>
      <xdr:colOff>254880</xdr:colOff>
      <xdr:row>49</xdr:row>
      <xdr:rowOff>77760</xdr:rowOff>
    </xdr:from>
    <xdr:to>
      <xdr:col>7</xdr:col>
      <xdr:colOff>1413720</xdr:colOff>
      <xdr:row>50</xdr:row>
      <xdr:rowOff>135720</xdr:rowOff>
    </xdr:to>
    <xdr:sp>
      <xdr:nvSpPr>
        <xdr:cNvPr id="11" name="Textfeld 50"/>
        <xdr:cNvSpPr/>
      </xdr:nvSpPr>
      <xdr:spPr>
        <a:xfrm>
          <a:off x="5814360" y="9421920"/>
          <a:ext cx="1158840" cy="22932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de-DE" sz="1100" spc="-1" strike="noStrike">
              <a:solidFill>
                <a:srgbClr val="000000"/>
              </a:solidFill>
              <a:latin typeface="Calibri"/>
            </a:rPr>
            <a:t>Regelmäßig</a:t>
          </a:r>
          <a:endParaRPr b="0" lang="de-DE" sz="1100" spc="-1" strike="noStrike">
            <a:latin typeface="Times New Roman"/>
          </a:endParaRPr>
        </a:p>
      </xdr:txBody>
    </xdr:sp>
    <xdr:clientData/>
  </xdr:twoCellAnchor>
  <xdr:twoCellAnchor editAs="absolute">
    <xdr:from>
      <xdr:col>1</xdr:col>
      <xdr:colOff>532800</xdr:colOff>
      <xdr:row>33</xdr:row>
      <xdr:rowOff>133920</xdr:rowOff>
    </xdr:from>
    <xdr:to>
      <xdr:col>3</xdr:col>
      <xdr:colOff>576000</xdr:colOff>
      <xdr:row>35</xdr:row>
      <xdr:rowOff>46440</xdr:rowOff>
    </xdr:to>
    <xdr:sp>
      <xdr:nvSpPr>
        <xdr:cNvPr id="12" name="Textfeld 39"/>
        <xdr:cNvSpPr/>
      </xdr:nvSpPr>
      <xdr:spPr>
        <a:xfrm>
          <a:off x="1160640" y="6734880"/>
          <a:ext cx="1207440" cy="25524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nSpc>
              <a:spcPct val="100000"/>
            </a:lnSpc>
          </a:pPr>
          <a:r>
            <a:rPr b="1" lang="de-DE" sz="1100" spc="-1" strike="noStrike">
              <a:solidFill>
                <a:srgbClr val="000000"/>
              </a:solidFill>
              <a:latin typeface="Calibri"/>
            </a:rPr>
            <a:t>Umweltvorteil</a:t>
          </a:r>
          <a:endParaRPr b="0" lang="de-DE" sz="1100" spc="-1" strike="noStrike">
            <a:latin typeface="Times New Roman"/>
          </a:endParaRPr>
        </a:p>
      </xdr:txBody>
    </xdr:sp>
    <xdr:clientData/>
  </xdr:twoCellAnchor>
  <xdr:twoCellAnchor editAs="absolute">
    <xdr:from>
      <xdr:col>5</xdr:col>
      <xdr:colOff>643680</xdr:colOff>
      <xdr:row>51</xdr:row>
      <xdr:rowOff>9000</xdr:rowOff>
    </xdr:from>
    <xdr:to>
      <xdr:col>7</xdr:col>
      <xdr:colOff>304920</xdr:colOff>
      <xdr:row>52</xdr:row>
      <xdr:rowOff>92880</xdr:rowOff>
    </xdr:to>
    <xdr:sp>
      <xdr:nvSpPr>
        <xdr:cNvPr id="13" name="Textfeld 40"/>
        <xdr:cNvSpPr/>
      </xdr:nvSpPr>
      <xdr:spPr>
        <a:xfrm>
          <a:off x="3931200" y="9695880"/>
          <a:ext cx="1933200" cy="25524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nSpc>
              <a:spcPct val="100000"/>
            </a:lnSpc>
          </a:pPr>
          <a:r>
            <a:rPr b="1" lang="de-DE" sz="1100" spc="-1" strike="noStrike">
              <a:solidFill>
                <a:srgbClr val="000000"/>
              </a:solidFill>
              <a:latin typeface="Calibri"/>
            </a:rPr>
            <a:t>Substitutionsmöglichkeit</a:t>
          </a:r>
          <a:endParaRPr b="0" lang="de-DE" sz="11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1625760</xdr:colOff>
      <xdr:row>16</xdr:row>
      <xdr:rowOff>26640</xdr:rowOff>
    </xdr:from>
    <xdr:to>
      <xdr:col>3</xdr:col>
      <xdr:colOff>2192760</xdr:colOff>
      <xdr:row>32</xdr:row>
      <xdr:rowOff>59760</xdr:rowOff>
    </xdr:to>
    <xdr:graphicFrame>
      <xdr:nvGraphicFramePr>
        <xdr:cNvPr id="14" name="Diagramm 29"/>
        <xdr:cNvGraphicFramePr/>
      </xdr:nvGraphicFramePr>
      <xdr:xfrm>
        <a:off x="1876680" y="2779200"/>
        <a:ext cx="4676760" cy="2776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1780920</xdr:colOff>
      <xdr:row>16</xdr:row>
      <xdr:rowOff>168480</xdr:rowOff>
    </xdr:from>
    <xdr:to>
      <xdr:col>3</xdr:col>
      <xdr:colOff>2031120</xdr:colOff>
      <xdr:row>24</xdr:row>
      <xdr:rowOff>44280</xdr:rowOff>
    </xdr:to>
    <xdr:sp>
      <xdr:nvSpPr>
        <xdr:cNvPr id="15" name="Rechteck 33"/>
        <xdr:cNvSpPr/>
      </xdr:nvSpPr>
      <xdr:spPr>
        <a:xfrm>
          <a:off x="2031840" y="2921040"/>
          <a:ext cx="4359960" cy="1247400"/>
        </a:xfrm>
        <a:prstGeom prst="rect">
          <a:avLst/>
        </a:prstGeom>
        <a:solidFill>
          <a:srgbClr val="93c120">
            <a:alpha val="30000"/>
          </a:srgbClr>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xdr:col>
      <xdr:colOff>1796040</xdr:colOff>
      <xdr:row>24</xdr:row>
      <xdr:rowOff>49680</xdr:rowOff>
    </xdr:from>
    <xdr:to>
      <xdr:col>3</xdr:col>
      <xdr:colOff>2031120</xdr:colOff>
      <xdr:row>31</xdr:row>
      <xdr:rowOff>88200</xdr:rowOff>
    </xdr:to>
    <xdr:sp>
      <xdr:nvSpPr>
        <xdr:cNvPr id="16" name="Rechteck 34"/>
        <xdr:cNvSpPr/>
      </xdr:nvSpPr>
      <xdr:spPr>
        <a:xfrm>
          <a:off x="2046960" y="4173840"/>
          <a:ext cx="4344840" cy="1238760"/>
        </a:xfrm>
        <a:prstGeom prst="rect">
          <a:avLst/>
        </a:prstGeom>
        <a:solidFill>
          <a:srgbClr val="dedc00">
            <a:alpha val="30000"/>
          </a:srgbClr>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xdr:col>
      <xdr:colOff>211320</xdr:colOff>
      <xdr:row>31</xdr:row>
      <xdr:rowOff>120240</xdr:rowOff>
    </xdr:from>
    <xdr:to>
      <xdr:col>3</xdr:col>
      <xdr:colOff>2191680</xdr:colOff>
      <xdr:row>35</xdr:row>
      <xdr:rowOff>22320</xdr:rowOff>
    </xdr:to>
    <xdr:sp>
      <xdr:nvSpPr>
        <xdr:cNvPr id="17" name="Rechteck 30"/>
        <xdr:cNvSpPr/>
      </xdr:nvSpPr>
      <xdr:spPr>
        <a:xfrm>
          <a:off x="462240" y="5444640"/>
          <a:ext cx="6090120" cy="5878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xdr:col>
      <xdr:colOff>210960</xdr:colOff>
      <xdr:row>16</xdr:row>
      <xdr:rowOff>29160</xdr:rowOff>
    </xdr:from>
    <xdr:to>
      <xdr:col>1</xdr:col>
      <xdr:colOff>1664640</xdr:colOff>
      <xdr:row>34</xdr:row>
      <xdr:rowOff>6480</xdr:rowOff>
    </xdr:to>
    <xdr:sp>
      <xdr:nvSpPr>
        <xdr:cNvPr id="18" name="Rechteck 31"/>
        <xdr:cNvSpPr/>
      </xdr:nvSpPr>
      <xdr:spPr>
        <a:xfrm>
          <a:off x="461880" y="2781720"/>
          <a:ext cx="1453680" cy="3063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xdr:col>
      <xdr:colOff>297360</xdr:colOff>
      <xdr:row>19</xdr:row>
      <xdr:rowOff>5040</xdr:rowOff>
    </xdr:from>
    <xdr:to>
      <xdr:col>1</xdr:col>
      <xdr:colOff>1626840</xdr:colOff>
      <xdr:row>22</xdr:row>
      <xdr:rowOff>154440</xdr:rowOff>
    </xdr:to>
    <xdr:sp>
      <xdr:nvSpPr>
        <xdr:cNvPr id="19" name="Textfeld 5"/>
        <xdr:cNvSpPr/>
      </xdr:nvSpPr>
      <xdr:spPr>
        <a:xfrm>
          <a:off x="548280" y="3272040"/>
          <a:ext cx="1329480" cy="66384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gn="ctr">
            <a:lnSpc>
              <a:spcPct val="100000"/>
            </a:lnSpc>
          </a:pPr>
          <a:r>
            <a:rPr b="0" lang="de-DE" sz="1100" spc="-1" strike="noStrike">
              <a:solidFill>
                <a:srgbClr val="6e9118"/>
              </a:solidFill>
              <a:latin typeface="Calibri"/>
            </a:rPr>
            <a:t>Aus Umweltsicht </a:t>
          </a:r>
          <a:r>
            <a:rPr b="1" lang="de-DE" sz="1100" spc="-1" strike="noStrike">
              <a:solidFill>
                <a:srgbClr val="6e9118"/>
              </a:solidFill>
              <a:latin typeface="Calibri"/>
            </a:rPr>
            <a:t>vor Pkw-Nutzung </a:t>
          </a:r>
          <a:r>
            <a:rPr b="0" lang="de-DE" sz="1100" spc="-1" strike="noStrike">
              <a:solidFill>
                <a:srgbClr val="6e9118"/>
              </a:solidFill>
              <a:latin typeface="Calibri"/>
            </a:rPr>
            <a:t>zu bevorzugen</a:t>
          </a:r>
          <a:endParaRPr b="0" lang="de-DE" sz="1100" spc="-1" strike="noStrike">
            <a:latin typeface="Times New Roman"/>
          </a:endParaRPr>
        </a:p>
      </xdr:txBody>
    </xdr:sp>
    <xdr:clientData/>
  </xdr:twoCellAnchor>
  <xdr:twoCellAnchor editAs="absolute">
    <xdr:from>
      <xdr:col>1</xdr:col>
      <xdr:colOff>299160</xdr:colOff>
      <xdr:row>26</xdr:row>
      <xdr:rowOff>52920</xdr:rowOff>
    </xdr:from>
    <xdr:to>
      <xdr:col>1</xdr:col>
      <xdr:colOff>1636920</xdr:colOff>
      <xdr:row>30</xdr:row>
      <xdr:rowOff>80280</xdr:rowOff>
    </xdr:to>
    <xdr:sp>
      <xdr:nvSpPr>
        <xdr:cNvPr id="20" name="Textfeld 32"/>
        <xdr:cNvSpPr/>
      </xdr:nvSpPr>
      <xdr:spPr>
        <a:xfrm>
          <a:off x="550080" y="4520160"/>
          <a:ext cx="1337760" cy="71316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gn="ctr">
            <a:lnSpc>
              <a:spcPct val="100000"/>
            </a:lnSpc>
          </a:pPr>
          <a:r>
            <a:rPr b="0" lang="de-DE" sz="1100" spc="-1" strike="noStrike">
              <a:solidFill>
                <a:srgbClr val="9e9d1f"/>
              </a:solidFill>
              <a:latin typeface="Calibri"/>
            </a:rPr>
            <a:t>Aus Umweltsicht </a:t>
          </a:r>
          <a:r>
            <a:rPr b="1" lang="de-DE" sz="1100" spc="-1" strike="noStrike">
              <a:solidFill>
                <a:srgbClr val="9e9d1f"/>
              </a:solidFill>
              <a:latin typeface="Calibri"/>
            </a:rPr>
            <a:t>vor Pkw-Kauf </a:t>
          </a:r>
          <a:r>
            <a:rPr b="0" lang="de-DE" sz="1100" spc="-1" strike="noStrike">
              <a:solidFill>
                <a:srgbClr val="9e9d1f"/>
              </a:solidFill>
              <a:latin typeface="Calibri"/>
            </a:rPr>
            <a:t>zu bevorzugen</a:t>
          </a:r>
          <a:endParaRPr b="0" lang="de-DE" sz="1100" spc="-1" strike="noStrike">
            <a:latin typeface="Times New Roman"/>
          </a:endParaRPr>
        </a:p>
      </xdr:txBody>
    </xdr:sp>
    <xdr:clientData/>
  </xdr:twoCellAnchor>
  <xdr:twoCellAnchor editAs="absolute">
    <xdr:from>
      <xdr:col>2</xdr:col>
      <xdr:colOff>227160</xdr:colOff>
      <xdr:row>32</xdr:row>
      <xdr:rowOff>1080</xdr:rowOff>
    </xdr:from>
    <xdr:to>
      <xdr:col>2</xdr:col>
      <xdr:colOff>1365840</xdr:colOff>
      <xdr:row>33</xdr:row>
      <xdr:rowOff>58680</xdr:rowOff>
    </xdr:to>
    <xdr:sp>
      <xdr:nvSpPr>
        <xdr:cNvPr id="21" name="Textfeld 36"/>
        <xdr:cNvSpPr/>
      </xdr:nvSpPr>
      <xdr:spPr>
        <a:xfrm>
          <a:off x="2372760" y="5496840"/>
          <a:ext cx="1138680" cy="22932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de-DE" sz="1100" spc="-1" strike="noStrike">
              <a:solidFill>
                <a:srgbClr val="000000"/>
              </a:solidFill>
              <a:latin typeface="Calibri"/>
            </a:rPr>
            <a:t>Fast nie</a:t>
          </a:r>
          <a:endParaRPr b="0" lang="de-DE" sz="1100" spc="-1" strike="noStrike">
            <a:latin typeface="Times New Roman"/>
          </a:endParaRPr>
        </a:p>
      </xdr:txBody>
    </xdr:sp>
    <xdr:clientData/>
  </xdr:twoCellAnchor>
  <xdr:twoCellAnchor editAs="absolute">
    <xdr:from>
      <xdr:col>2</xdr:col>
      <xdr:colOff>1658520</xdr:colOff>
      <xdr:row>32</xdr:row>
      <xdr:rowOff>-720</xdr:rowOff>
    </xdr:from>
    <xdr:to>
      <xdr:col>3</xdr:col>
      <xdr:colOff>582120</xdr:colOff>
      <xdr:row>33</xdr:row>
      <xdr:rowOff>56880</xdr:rowOff>
    </xdr:to>
    <xdr:sp>
      <xdr:nvSpPr>
        <xdr:cNvPr id="22" name="Textfeld 37"/>
        <xdr:cNvSpPr/>
      </xdr:nvSpPr>
      <xdr:spPr>
        <a:xfrm>
          <a:off x="3804120" y="5495040"/>
          <a:ext cx="1138680" cy="22932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de-DE" sz="1100" spc="-1" strike="noStrike">
              <a:solidFill>
                <a:srgbClr val="000000"/>
              </a:solidFill>
              <a:latin typeface="Calibri"/>
            </a:rPr>
            <a:t>Ab und zu</a:t>
          </a:r>
          <a:endParaRPr b="0" lang="de-DE" sz="1100" spc="-1" strike="noStrike">
            <a:latin typeface="Times New Roman"/>
          </a:endParaRPr>
        </a:p>
      </xdr:txBody>
    </xdr:sp>
    <xdr:clientData/>
  </xdr:twoCellAnchor>
  <xdr:twoCellAnchor editAs="absolute">
    <xdr:from>
      <xdr:col>3</xdr:col>
      <xdr:colOff>878760</xdr:colOff>
      <xdr:row>32</xdr:row>
      <xdr:rowOff>-720</xdr:rowOff>
    </xdr:from>
    <xdr:to>
      <xdr:col>3</xdr:col>
      <xdr:colOff>2017440</xdr:colOff>
      <xdr:row>33</xdr:row>
      <xdr:rowOff>56880</xdr:rowOff>
    </xdr:to>
    <xdr:sp>
      <xdr:nvSpPr>
        <xdr:cNvPr id="23" name="Textfeld 38"/>
        <xdr:cNvSpPr/>
      </xdr:nvSpPr>
      <xdr:spPr>
        <a:xfrm>
          <a:off x="5239440" y="5495040"/>
          <a:ext cx="1138680" cy="22932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de-DE" sz="1100" spc="-1" strike="noStrike">
              <a:solidFill>
                <a:srgbClr val="000000"/>
              </a:solidFill>
              <a:latin typeface="Calibri"/>
            </a:rPr>
            <a:t>Regelmäßig</a:t>
          </a:r>
          <a:endParaRPr b="0" lang="de-DE" sz="1100" spc="-1" strike="noStrike">
            <a:latin typeface="Times New Roman"/>
          </a:endParaRPr>
        </a:p>
      </xdr:txBody>
    </xdr:sp>
    <xdr:clientData/>
  </xdr:twoCellAnchor>
  <xdr:twoCellAnchor editAs="absolute">
    <xdr:from>
      <xdr:col>1</xdr:col>
      <xdr:colOff>415080</xdr:colOff>
      <xdr:row>16</xdr:row>
      <xdr:rowOff>75240</xdr:rowOff>
    </xdr:from>
    <xdr:to>
      <xdr:col>1</xdr:col>
      <xdr:colOff>1601640</xdr:colOff>
      <xdr:row>17</xdr:row>
      <xdr:rowOff>156600</xdr:rowOff>
    </xdr:to>
    <xdr:sp>
      <xdr:nvSpPr>
        <xdr:cNvPr id="24" name="Textfeld 39"/>
        <xdr:cNvSpPr/>
      </xdr:nvSpPr>
      <xdr:spPr>
        <a:xfrm>
          <a:off x="666000" y="2827800"/>
          <a:ext cx="1186560" cy="25308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nSpc>
              <a:spcPct val="100000"/>
            </a:lnSpc>
          </a:pPr>
          <a:r>
            <a:rPr b="1" lang="de-DE" sz="1100" spc="-1" strike="noStrike">
              <a:solidFill>
                <a:srgbClr val="000000"/>
              </a:solidFill>
              <a:latin typeface="Calibri"/>
            </a:rPr>
            <a:t>Umweltvorteil</a:t>
          </a:r>
          <a:endParaRPr b="0" lang="de-DE" sz="1100" spc="-1" strike="noStrike">
            <a:latin typeface="Times New Roman"/>
          </a:endParaRPr>
        </a:p>
      </xdr:txBody>
    </xdr:sp>
    <xdr:clientData/>
  </xdr:twoCellAnchor>
  <xdr:twoCellAnchor editAs="absolute">
    <xdr:from>
      <xdr:col>2</xdr:col>
      <xdr:colOff>1243440</xdr:colOff>
      <xdr:row>33</xdr:row>
      <xdr:rowOff>99720</xdr:rowOff>
    </xdr:from>
    <xdr:to>
      <xdr:col>3</xdr:col>
      <xdr:colOff>966240</xdr:colOff>
      <xdr:row>35</xdr:row>
      <xdr:rowOff>10080</xdr:rowOff>
    </xdr:to>
    <xdr:sp>
      <xdr:nvSpPr>
        <xdr:cNvPr id="25" name="Textfeld 40"/>
        <xdr:cNvSpPr/>
      </xdr:nvSpPr>
      <xdr:spPr>
        <a:xfrm>
          <a:off x="3389040" y="5767200"/>
          <a:ext cx="1937880" cy="25308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nSpc>
              <a:spcPct val="100000"/>
            </a:lnSpc>
          </a:pPr>
          <a:r>
            <a:rPr b="1" lang="de-DE" sz="1100" spc="-1" strike="noStrike">
              <a:solidFill>
                <a:srgbClr val="000000"/>
              </a:solidFill>
              <a:latin typeface="Calibri"/>
            </a:rPr>
            <a:t>Substitutionsmöglichkeit</a:t>
          </a:r>
          <a:endParaRPr b="0" lang="de-DE" sz="1100" spc="-1" strike="noStrike">
            <a:latin typeface="Times New Roman"/>
          </a:endParaRPr>
        </a:p>
      </xdr:txBody>
    </xdr:sp>
    <xdr:clientData/>
  </xdr:twoCellAnchor>
</xdr:wsDr>
</file>

<file path=xl/tables/table1.xml><?xml version="1.0" encoding="utf-8"?>
<table xmlns="http://schemas.openxmlformats.org/spreadsheetml/2006/main" id="1" name="Changelog" displayName="Changelog" ref="A1:J103" headerRowCount="1" totalsRowCount="0" totalsRowShown="0">
  <autoFilter ref="A1:J103"/>
  <tableColumns count="10">
    <tableColumn id="1" name="Änderungsdatum"/>
    <tableColumn id="2" name="Bearbeitet durch:"/>
    <tableColumn id="3" name="Blatt/Unterseite Website"/>
    <tableColumn id="4" name="Zelle/Position auf Website"/>
    <tableColumn id="5" name="Alter Code/ Änderung auf Website"/>
    <tableColumn id="6" name="Neuer Code"/>
    <tableColumn id="7" name="Priorität"/>
    <tableColumn id="8" name="Im Online-Tool angepasst?"/>
    <tableColumn id="9" name="Webumsetzung geprüft am:"/>
    <tableColumn id="10" name="Anmerkung"/>
  </tableColumns>
</tabl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55"/>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1" topLeftCell="C48" activePane="bottomLeft" state="frozen"/>
      <selection pane="topLeft" activeCell="A1" activeCellId="0" sqref="A1"/>
      <selection pane="bottomLeft" activeCell="H39" activeCellId="0" sqref="H39"/>
    </sheetView>
  </sheetViews>
  <sheetFormatPr defaultColWidth="11.4140625" defaultRowHeight="14.25" zeroHeight="false" outlineLevelRow="0" outlineLevelCol="0"/>
  <cols>
    <col collapsed="false" customWidth="true" hidden="false" outlineLevel="0" max="1" min="1" style="1" width="12.86"/>
    <col collapsed="false" customWidth="true" hidden="false" outlineLevel="0" max="2" min="2" style="0" width="13.43"/>
    <col collapsed="false" customWidth="true" hidden="false" outlineLevel="0" max="3" min="3" style="0" width="26.71"/>
    <col collapsed="false" customWidth="true" hidden="false" outlineLevel="0" max="4" min="4" style="0" width="27.71"/>
    <col collapsed="false" customWidth="true" hidden="false" outlineLevel="0" max="5" min="5" style="0" width="37.43"/>
    <col collapsed="false" customWidth="true" hidden="false" outlineLevel="0" max="6" min="6" style="0" width="44.85"/>
    <col collapsed="false" customWidth="true" hidden="false" outlineLevel="0" max="7" min="7" style="0" width="21.43"/>
    <col collapsed="false" customWidth="true" hidden="false" outlineLevel="0" max="8" min="8" style="1" width="14"/>
    <col collapsed="false" customWidth="true" hidden="false" outlineLevel="0" max="9" min="9" style="1" width="27.71"/>
    <col collapsed="false" customWidth="true" hidden="false" outlineLevel="0" max="10" min="10" style="0" width="74"/>
  </cols>
  <sheetData>
    <row r="1" s="3" customFormat="true" ht="14.25" hidden="false" customHeight="false" outlineLevel="0" collapsed="false">
      <c r="A1" s="2" t="s">
        <v>0</v>
      </c>
      <c r="B1" s="2" t="s">
        <v>1</v>
      </c>
      <c r="C1" s="2" t="s">
        <v>2</v>
      </c>
      <c r="D1" s="2" t="s">
        <v>3</v>
      </c>
      <c r="E1" s="2" t="s">
        <v>4</v>
      </c>
      <c r="F1" s="2" t="s">
        <v>5</v>
      </c>
      <c r="G1" s="2" t="s">
        <v>6</v>
      </c>
      <c r="H1" s="2" t="s">
        <v>7</v>
      </c>
      <c r="I1" s="2" t="s">
        <v>8</v>
      </c>
      <c r="J1" s="2" t="s">
        <v>9</v>
      </c>
    </row>
    <row r="2" customFormat="false" ht="14.25" hidden="false" customHeight="false" outlineLevel="0" collapsed="false">
      <c r="A2" s="1" t="n">
        <v>45030</v>
      </c>
      <c r="B2" s="0" t="s">
        <v>10</v>
      </c>
      <c r="C2" s="0" t="s">
        <v>11</v>
      </c>
      <c r="E2" s="0" t="s">
        <v>12</v>
      </c>
      <c r="F2" s="0" t="s">
        <v>13</v>
      </c>
      <c r="G2" s="0" t="s">
        <v>14</v>
      </c>
    </row>
    <row r="3" customFormat="false" ht="14.25" hidden="false" customHeight="false" outlineLevel="0" collapsed="false">
      <c r="A3" s="1" t="n">
        <v>45070</v>
      </c>
      <c r="B3" s="0" t="s">
        <v>10</v>
      </c>
      <c r="C3" s="0" t="s">
        <v>15</v>
      </c>
      <c r="D3" s="0" t="s">
        <v>16</v>
      </c>
      <c r="E3" s="0" t="s">
        <v>17</v>
      </c>
      <c r="G3" s="4" t="s">
        <v>14</v>
      </c>
      <c r="I3" s="1" t="n">
        <v>45085</v>
      </c>
    </row>
    <row r="4" customFormat="false" ht="14.25" hidden="false" customHeight="false" outlineLevel="0" collapsed="false">
      <c r="A4" s="1" t="n">
        <v>45070</v>
      </c>
      <c r="B4" s="0" t="s">
        <v>10</v>
      </c>
      <c r="C4" s="0" t="s">
        <v>15</v>
      </c>
      <c r="D4" s="0" t="s">
        <v>18</v>
      </c>
      <c r="E4" s="0" t="s">
        <v>19</v>
      </c>
      <c r="G4" s="4" t="s">
        <v>14</v>
      </c>
      <c r="I4" s="1" t="n">
        <v>45077</v>
      </c>
    </row>
    <row r="5" customFormat="false" ht="14.25" hidden="false" customHeight="false" outlineLevel="0" collapsed="false">
      <c r="A5" s="1" t="n">
        <v>45070</v>
      </c>
      <c r="B5" s="0" t="s">
        <v>10</v>
      </c>
      <c r="C5" s="0" t="s">
        <v>20</v>
      </c>
      <c r="D5" s="0" t="s">
        <v>16</v>
      </c>
      <c r="E5" s="0" t="s">
        <v>21</v>
      </c>
      <c r="G5" s="4" t="s">
        <v>14</v>
      </c>
      <c r="I5" s="1" t="n">
        <v>45078</v>
      </c>
    </row>
    <row r="6" customFormat="false" ht="14.25" hidden="false" customHeight="false" outlineLevel="0" collapsed="false">
      <c r="A6" s="1" t="n">
        <v>45070</v>
      </c>
      <c r="B6" s="0" t="s">
        <v>10</v>
      </c>
      <c r="C6" s="0" t="s">
        <v>20</v>
      </c>
      <c r="D6" s="0" t="s">
        <v>18</v>
      </c>
      <c r="E6" s="0" t="s">
        <v>22</v>
      </c>
      <c r="G6" s="4" t="s">
        <v>14</v>
      </c>
      <c r="I6" s="1" t="n">
        <v>45077</v>
      </c>
    </row>
    <row r="7" customFormat="false" ht="14.25" hidden="false" customHeight="false" outlineLevel="0" collapsed="false">
      <c r="A7" s="1" t="n">
        <v>45070</v>
      </c>
      <c r="B7" s="0" t="s">
        <v>10</v>
      </c>
      <c r="C7" s="0" t="s">
        <v>20</v>
      </c>
      <c r="D7" s="0" t="s">
        <v>18</v>
      </c>
      <c r="E7" s="0" t="s">
        <v>23</v>
      </c>
      <c r="G7" s="4" t="s">
        <v>14</v>
      </c>
      <c r="I7" s="1" t="n">
        <v>45076</v>
      </c>
    </row>
    <row r="8" customFormat="false" ht="14.25" hidden="false" customHeight="false" outlineLevel="0" collapsed="false">
      <c r="A8" s="1" t="n">
        <v>45070</v>
      </c>
      <c r="B8" s="0" t="s">
        <v>10</v>
      </c>
      <c r="C8" s="0" t="s">
        <v>20</v>
      </c>
      <c r="D8" s="0" t="s">
        <v>18</v>
      </c>
      <c r="E8" s="0" t="s">
        <v>24</v>
      </c>
      <c r="G8" s="4" t="s">
        <v>14</v>
      </c>
      <c r="I8" s="1" t="n">
        <v>45076</v>
      </c>
    </row>
    <row r="9" customFormat="false" ht="15" hidden="false" customHeight="false" outlineLevel="0" collapsed="false">
      <c r="A9" s="1" t="n">
        <v>45070</v>
      </c>
      <c r="B9" s="0" t="s">
        <v>10</v>
      </c>
      <c r="C9" s="0" t="s">
        <v>20</v>
      </c>
      <c r="D9" s="0" t="s">
        <v>18</v>
      </c>
      <c r="E9" s="0" t="s">
        <v>25</v>
      </c>
      <c r="G9" s="4" t="s">
        <v>14</v>
      </c>
      <c r="I9" s="1" t="n">
        <v>45078</v>
      </c>
    </row>
    <row r="10" customFormat="false" ht="15" hidden="false" customHeight="false" outlineLevel="0" collapsed="false">
      <c r="A10" s="1" t="n">
        <v>45070</v>
      </c>
      <c r="B10" s="0" t="s">
        <v>10</v>
      </c>
      <c r="C10" s="0" t="s">
        <v>20</v>
      </c>
      <c r="D10" s="0" t="s">
        <v>16</v>
      </c>
      <c r="E10" s="0" t="s">
        <v>26</v>
      </c>
      <c r="G10" s="4" t="s">
        <v>14</v>
      </c>
      <c r="I10" s="1" t="n">
        <v>45085</v>
      </c>
    </row>
    <row r="11" customFormat="false" ht="15" hidden="false" customHeight="false" outlineLevel="0" collapsed="false">
      <c r="A11" s="1" t="n">
        <v>45070</v>
      </c>
      <c r="B11" s="0" t="s">
        <v>10</v>
      </c>
      <c r="C11" s="0" t="s">
        <v>20</v>
      </c>
      <c r="D11" s="0" t="s">
        <v>16</v>
      </c>
      <c r="E11" s="0" t="s">
        <v>27</v>
      </c>
      <c r="G11" s="4" t="s">
        <v>14</v>
      </c>
      <c r="I11" s="1" t="n">
        <v>45077</v>
      </c>
    </row>
    <row r="12" customFormat="false" ht="14.25" hidden="false" customHeight="false" outlineLevel="0" collapsed="false">
      <c r="A12" s="1" t="n">
        <v>45070</v>
      </c>
      <c r="B12" s="0" t="s">
        <v>10</v>
      </c>
      <c r="C12" s="0" t="s">
        <v>28</v>
      </c>
      <c r="D12" s="0" t="s">
        <v>16</v>
      </c>
      <c r="E12" s="0" t="s">
        <v>29</v>
      </c>
      <c r="F12" s="0" t="s">
        <v>30</v>
      </c>
      <c r="G12" s="4" t="s">
        <v>14</v>
      </c>
      <c r="I12" s="1" t="n">
        <v>45085</v>
      </c>
    </row>
    <row r="13" customFormat="false" ht="14.25" hidden="false" customHeight="false" outlineLevel="0" collapsed="false">
      <c r="A13" s="1" t="n">
        <v>45070</v>
      </c>
      <c r="B13" s="0" t="s">
        <v>10</v>
      </c>
      <c r="C13" s="0" t="s">
        <v>28</v>
      </c>
      <c r="D13" s="0" t="s">
        <v>16</v>
      </c>
      <c r="E13" s="0" t="s">
        <v>31</v>
      </c>
      <c r="G13" s="4" t="s">
        <v>14</v>
      </c>
      <c r="I13" s="1" t="n">
        <v>45086</v>
      </c>
    </row>
    <row r="14" customFormat="false" ht="14.25" hidden="false" customHeight="false" outlineLevel="0" collapsed="false">
      <c r="A14" s="1" t="n">
        <v>45070</v>
      </c>
      <c r="B14" s="0" t="s">
        <v>10</v>
      </c>
      <c r="C14" s="0" t="s">
        <v>28</v>
      </c>
      <c r="D14" s="0" t="s">
        <v>16</v>
      </c>
      <c r="E14" s="0" t="s">
        <v>32</v>
      </c>
      <c r="G14" s="4" t="s">
        <v>14</v>
      </c>
      <c r="I14" s="1" t="n">
        <v>45085</v>
      </c>
    </row>
    <row r="15" customFormat="false" ht="14.25" hidden="false" customHeight="false" outlineLevel="0" collapsed="false">
      <c r="A15" s="1" t="n">
        <v>45070</v>
      </c>
      <c r="B15" s="0" t="s">
        <v>10</v>
      </c>
      <c r="C15" s="0" t="s">
        <v>33</v>
      </c>
      <c r="D15" s="0" t="s">
        <v>18</v>
      </c>
      <c r="E15" s="0" t="s">
        <v>34</v>
      </c>
      <c r="G15" s="4" t="s">
        <v>14</v>
      </c>
      <c r="I15" s="1" t="n">
        <v>45077</v>
      </c>
    </row>
    <row r="16" customFormat="false" ht="14.25" hidden="false" customHeight="false" outlineLevel="0" collapsed="false">
      <c r="A16" s="1" t="n">
        <v>45070</v>
      </c>
      <c r="B16" s="0" t="s">
        <v>10</v>
      </c>
      <c r="C16" s="0" t="s">
        <v>35</v>
      </c>
      <c r="D16" s="0" t="s">
        <v>36</v>
      </c>
      <c r="E16" s="0" t="s">
        <v>37</v>
      </c>
      <c r="G16" s="4" t="s">
        <v>14</v>
      </c>
      <c r="I16" s="1" t="n">
        <v>45078</v>
      </c>
    </row>
    <row r="17" customFormat="false" ht="14.25" hidden="false" customHeight="false" outlineLevel="0" collapsed="false">
      <c r="A17" s="1" t="n">
        <v>45070</v>
      </c>
      <c r="B17" s="0" t="s">
        <v>10</v>
      </c>
      <c r="C17" s="0" t="s">
        <v>35</v>
      </c>
      <c r="D17" s="0" t="s">
        <v>38</v>
      </c>
      <c r="E17" s="0" t="s">
        <v>39</v>
      </c>
      <c r="G17" s="4" t="s">
        <v>14</v>
      </c>
      <c r="I17" s="1" t="n">
        <v>45076</v>
      </c>
    </row>
    <row r="18" customFormat="false" ht="14.25" hidden="false" customHeight="false" outlineLevel="0" collapsed="false">
      <c r="A18" s="1" t="n">
        <v>45070</v>
      </c>
      <c r="B18" s="0" t="s">
        <v>10</v>
      </c>
      <c r="C18" s="0" t="s">
        <v>35</v>
      </c>
      <c r="D18" s="0" t="s">
        <v>40</v>
      </c>
      <c r="E18" s="0" t="s">
        <v>41</v>
      </c>
      <c r="G18" s="4" t="s">
        <v>14</v>
      </c>
      <c r="I18" s="1" t="n">
        <v>45078</v>
      </c>
    </row>
    <row r="19" customFormat="false" ht="14.25" hidden="false" customHeight="false" outlineLevel="0" collapsed="false">
      <c r="A19" s="1" t="n">
        <v>45070</v>
      </c>
      <c r="B19" s="0" t="s">
        <v>10</v>
      </c>
      <c r="C19" s="0" t="s">
        <v>35</v>
      </c>
      <c r="D19" s="0" t="s">
        <v>40</v>
      </c>
      <c r="E19" s="0" t="s">
        <v>42</v>
      </c>
      <c r="G19" s="4" t="s">
        <v>14</v>
      </c>
      <c r="I19" s="1" t="n">
        <v>45076</v>
      </c>
    </row>
    <row r="20" customFormat="false" ht="14.25" hidden="false" customHeight="false" outlineLevel="0" collapsed="false">
      <c r="A20" s="1" t="n">
        <v>45070</v>
      </c>
      <c r="B20" s="0" t="s">
        <v>10</v>
      </c>
      <c r="C20" s="0" t="s">
        <v>35</v>
      </c>
      <c r="D20" s="0" t="s">
        <v>43</v>
      </c>
      <c r="E20" s="0" t="s">
        <v>44</v>
      </c>
      <c r="G20" s="4" t="s">
        <v>14</v>
      </c>
      <c r="I20" s="1" t="n">
        <v>45086</v>
      </c>
    </row>
    <row r="21" customFormat="false" ht="14.25" hidden="false" customHeight="false" outlineLevel="0" collapsed="false">
      <c r="A21" s="1" t="n">
        <v>45070</v>
      </c>
      <c r="B21" s="0" t="s">
        <v>10</v>
      </c>
      <c r="C21" s="0" t="s">
        <v>35</v>
      </c>
      <c r="D21" s="0" t="s">
        <v>40</v>
      </c>
      <c r="E21" s="0" t="s">
        <v>45</v>
      </c>
      <c r="G21" s="4" t="s">
        <v>14</v>
      </c>
      <c r="I21" s="1" t="n">
        <v>45077</v>
      </c>
    </row>
    <row r="22" customFormat="false" ht="14.25" hidden="false" customHeight="false" outlineLevel="0" collapsed="false">
      <c r="A22" s="1" t="n">
        <v>45070</v>
      </c>
      <c r="B22" s="0" t="s">
        <v>10</v>
      </c>
      <c r="C22" s="0" t="s">
        <v>46</v>
      </c>
      <c r="E22" s="0" t="s">
        <v>47</v>
      </c>
      <c r="G22" s="4" t="s">
        <v>14</v>
      </c>
      <c r="I22" s="1" t="n">
        <v>45085</v>
      </c>
    </row>
    <row r="23" customFormat="false" ht="15" hidden="false" customHeight="false" outlineLevel="0" collapsed="false">
      <c r="A23" s="1" t="n">
        <v>45070</v>
      </c>
      <c r="B23" s="0" t="s">
        <v>10</v>
      </c>
      <c r="C23" s="0" t="s">
        <v>48</v>
      </c>
      <c r="D23" s="0" t="s">
        <v>16</v>
      </c>
      <c r="E23" s="0" t="s">
        <v>49</v>
      </c>
      <c r="G23" s="4" t="s">
        <v>14</v>
      </c>
      <c r="I23" s="1" t="n">
        <v>45085</v>
      </c>
    </row>
    <row r="24" customFormat="false" ht="15" hidden="false" customHeight="false" outlineLevel="0" collapsed="false">
      <c r="A24" s="1" t="n">
        <v>45070</v>
      </c>
      <c r="B24" s="0" t="s">
        <v>10</v>
      </c>
      <c r="C24" s="0" t="s">
        <v>48</v>
      </c>
      <c r="D24" s="0" t="s">
        <v>16</v>
      </c>
      <c r="E24" s="0" t="s">
        <v>50</v>
      </c>
      <c r="G24" s="4" t="s">
        <v>14</v>
      </c>
      <c r="I24" s="1" t="n">
        <v>45085</v>
      </c>
    </row>
    <row r="25" customFormat="false" ht="15" hidden="false" customHeight="false" outlineLevel="0" collapsed="false">
      <c r="A25" s="1" t="n">
        <v>45070</v>
      </c>
      <c r="B25" s="0" t="s">
        <v>10</v>
      </c>
      <c r="C25" s="0" t="s">
        <v>51</v>
      </c>
      <c r="D25" s="0" t="s">
        <v>16</v>
      </c>
      <c r="E25" s="0" t="s">
        <v>52</v>
      </c>
      <c r="G25" s="4" t="s">
        <v>14</v>
      </c>
      <c r="I25" s="1" t="n">
        <v>45076</v>
      </c>
    </row>
    <row r="26" customFormat="false" ht="15" hidden="false" customHeight="false" outlineLevel="0" collapsed="false">
      <c r="A26" s="1" t="n">
        <v>45070</v>
      </c>
      <c r="B26" s="0" t="s">
        <v>10</v>
      </c>
      <c r="C26" s="0" t="s">
        <v>53</v>
      </c>
      <c r="D26" s="0" t="s">
        <v>16</v>
      </c>
      <c r="E26" s="0" t="s">
        <v>54</v>
      </c>
      <c r="G26" s="4" t="s">
        <v>14</v>
      </c>
      <c r="I26" s="1" t="n">
        <v>45076</v>
      </c>
    </row>
    <row r="27" customFormat="false" ht="15" hidden="false" customHeight="false" outlineLevel="0" collapsed="false">
      <c r="A27" s="1" t="n">
        <v>45070</v>
      </c>
      <c r="B27" s="0" t="s">
        <v>10</v>
      </c>
      <c r="C27" s="0" t="s">
        <v>55</v>
      </c>
      <c r="D27" s="0" t="s">
        <v>16</v>
      </c>
      <c r="E27" s="0" t="s">
        <v>56</v>
      </c>
      <c r="G27" s="4" t="s">
        <v>14</v>
      </c>
      <c r="I27" s="1" t="n">
        <v>45078</v>
      </c>
    </row>
    <row r="28" customFormat="false" ht="15" hidden="false" customHeight="false" outlineLevel="0" collapsed="false">
      <c r="A28" s="1" t="n">
        <v>45070</v>
      </c>
      <c r="B28" s="0" t="s">
        <v>10</v>
      </c>
      <c r="C28" s="0" t="s">
        <v>55</v>
      </c>
      <c r="D28" s="0" t="s">
        <v>16</v>
      </c>
      <c r="E28" s="0" t="s">
        <v>57</v>
      </c>
      <c r="G28" s="4" t="s">
        <v>14</v>
      </c>
      <c r="I28" s="1" t="n">
        <v>45078</v>
      </c>
    </row>
    <row r="29" customFormat="false" ht="15" hidden="false" customHeight="false" outlineLevel="0" collapsed="false">
      <c r="A29" s="1" t="n">
        <v>45070</v>
      </c>
      <c r="B29" s="0" t="s">
        <v>10</v>
      </c>
      <c r="C29" s="0" t="s">
        <v>55</v>
      </c>
      <c r="D29" s="0" t="s">
        <v>58</v>
      </c>
      <c r="E29" s="0" t="s">
        <v>59</v>
      </c>
      <c r="G29" s="4" t="s">
        <v>14</v>
      </c>
      <c r="I29" s="1" t="n">
        <v>45090</v>
      </c>
    </row>
    <row r="30" customFormat="false" ht="15" hidden="false" customHeight="false" outlineLevel="0" collapsed="false">
      <c r="A30" s="1" t="n">
        <v>45071</v>
      </c>
      <c r="B30" s="0" t="s">
        <v>10</v>
      </c>
      <c r="C30" s="0" t="s">
        <v>28</v>
      </c>
      <c r="D30" s="0" t="s">
        <v>18</v>
      </c>
      <c r="E30" s="0" t="s">
        <v>60</v>
      </c>
      <c r="G30" s="4" t="s">
        <v>61</v>
      </c>
      <c r="H30" s="1" t="s">
        <v>62</v>
      </c>
      <c r="I30" s="1" t="s">
        <v>63</v>
      </c>
      <c r="J30" s="4" t="s">
        <v>64</v>
      </c>
    </row>
    <row r="31" customFormat="false" ht="15" hidden="false" customHeight="false" outlineLevel="0" collapsed="false">
      <c r="A31" s="1" t="n">
        <v>45071</v>
      </c>
      <c r="B31" s="0" t="s">
        <v>10</v>
      </c>
      <c r="C31" s="0" t="s">
        <v>28</v>
      </c>
      <c r="D31" s="0" t="s">
        <v>18</v>
      </c>
      <c r="E31" s="0" t="s">
        <v>65</v>
      </c>
      <c r="G31" s="4" t="s">
        <v>14</v>
      </c>
      <c r="I31" s="1" t="n">
        <v>45078</v>
      </c>
    </row>
    <row r="32" customFormat="false" ht="15" hidden="false" customHeight="false" outlineLevel="0" collapsed="false">
      <c r="A32" s="1" t="n">
        <v>45076</v>
      </c>
      <c r="B32" s="0" t="s">
        <v>10</v>
      </c>
      <c r="C32" s="0" t="s">
        <v>66</v>
      </c>
      <c r="E32" s="0" t="s">
        <v>67</v>
      </c>
      <c r="G32" s="4" t="s">
        <v>14</v>
      </c>
      <c r="I32" s="1" t="n">
        <v>45078</v>
      </c>
    </row>
    <row r="33" customFormat="false" ht="15" hidden="false" customHeight="false" outlineLevel="0" collapsed="false">
      <c r="A33" s="1" t="n">
        <v>45076</v>
      </c>
      <c r="B33" s="0" t="s">
        <v>10</v>
      </c>
      <c r="C33" s="0" t="s">
        <v>68</v>
      </c>
      <c r="D33" s="0" t="s">
        <v>69</v>
      </c>
      <c r="E33" s="0" t="s">
        <v>70</v>
      </c>
      <c r="G33" s="4" t="s">
        <v>14</v>
      </c>
      <c r="I33" s="1" t="n">
        <v>45085</v>
      </c>
    </row>
    <row r="34" customFormat="false" ht="15" hidden="false" customHeight="false" outlineLevel="0" collapsed="false">
      <c r="A34" s="1" t="n">
        <v>45076</v>
      </c>
      <c r="B34" s="0" t="s">
        <v>10</v>
      </c>
      <c r="C34" s="0" t="s">
        <v>68</v>
      </c>
      <c r="D34" s="0" t="s">
        <v>71</v>
      </c>
      <c r="E34" s="0" t="s">
        <v>72</v>
      </c>
      <c r="G34" s="4" t="s">
        <v>14</v>
      </c>
      <c r="I34" s="1" t="n">
        <v>45078</v>
      </c>
    </row>
    <row r="35" customFormat="false" ht="15" hidden="false" customHeight="false" outlineLevel="0" collapsed="false">
      <c r="A35" s="1" t="n">
        <v>45076</v>
      </c>
      <c r="B35" s="0" t="s">
        <v>10</v>
      </c>
      <c r="C35" s="0" t="s">
        <v>68</v>
      </c>
      <c r="D35" s="0" t="s">
        <v>69</v>
      </c>
      <c r="E35" s="0" t="s">
        <v>73</v>
      </c>
      <c r="G35" s="4" t="s">
        <v>14</v>
      </c>
      <c r="I35" s="1" t="n">
        <v>45086</v>
      </c>
    </row>
    <row r="36" customFormat="false" ht="15" hidden="false" customHeight="false" outlineLevel="0" collapsed="false">
      <c r="A36" s="1" t="n">
        <v>45076</v>
      </c>
      <c r="B36" s="0" t="s">
        <v>10</v>
      </c>
      <c r="C36" s="0" t="s">
        <v>74</v>
      </c>
      <c r="E36" s="0" t="s">
        <v>75</v>
      </c>
      <c r="G36" s="4" t="s">
        <v>14</v>
      </c>
      <c r="I36" s="1" t="n">
        <v>45077</v>
      </c>
    </row>
    <row r="37" customFormat="false" ht="15" hidden="false" customHeight="false" outlineLevel="0" collapsed="false">
      <c r="A37" s="1" t="n">
        <v>45076</v>
      </c>
      <c r="B37" s="0" t="s">
        <v>10</v>
      </c>
      <c r="C37" s="0" t="s">
        <v>68</v>
      </c>
      <c r="D37" s="0" t="s">
        <v>76</v>
      </c>
      <c r="E37" s="0" t="s">
        <v>77</v>
      </c>
      <c r="G37" s="4" t="s">
        <v>14</v>
      </c>
      <c r="I37" s="1" t="n">
        <v>45076</v>
      </c>
    </row>
    <row r="38" customFormat="false" ht="15" hidden="false" customHeight="false" outlineLevel="0" collapsed="false">
      <c r="A38" s="1" t="n">
        <v>45076</v>
      </c>
      <c r="B38" s="0" t="s">
        <v>10</v>
      </c>
      <c r="C38" s="0" t="s">
        <v>68</v>
      </c>
      <c r="D38" s="0" t="s">
        <v>78</v>
      </c>
      <c r="E38" s="0" t="s">
        <v>79</v>
      </c>
      <c r="G38" s="4" t="s">
        <v>80</v>
      </c>
      <c r="H38" s="1" t="s">
        <v>62</v>
      </c>
      <c r="I38" s="1" t="s">
        <v>63</v>
      </c>
      <c r="J38" s="4" t="s">
        <v>64</v>
      </c>
    </row>
    <row r="39" customFormat="false" ht="15" hidden="false" customHeight="false" outlineLevel="0" collapsed="false">
      <c r="A39" s="1" t="n">
        <v>45076</v>
      </c>
      <c r="B39" s="0" t="s">
        <v>10</v>
      </c>
      <c r="C39" s="0" t="s">
        <v>68</v>
      </c>
      <c r="D39" s="0" t="s">
        <v>81</v>
      </c>
      <c r="E39" s="0" t="s">
        <v>82</v>
      </c>
      <c r="G39" s="4" t="s">
        <v>14</v>
      </c>
      <c r="I39" s="1" t="n">
        <v>45085</v>
      </c>
    </row>
    <row r="40" customFormat="false" ht="15" hidden="false" customHeight="false" outlineLevel="0" collapsed="false">
      <c r="A40" s="1" t="n">
        <v>45076</v>
      </c>
      <c r="B40" s="0" t="s">
        <v>10</v>
      </c>
      <c r="C40" s="0" t="s">
        <v>68</v>
      </c>
      <c r="D40" s="0" t="s">
        <v>81</v>
      </c>
      <c r="E40" s="0" t="s">
        <v>83</v>
      </c>
      <c r="G40" s="4" t="s">
        <v>14</v>
      </c>
      <c r="I40" s="1" t="n">
        <v>45086</v>
      </c>
    </row>
    <row r="41" customFormat="false" ht="15" hidden="false" customHeight="false" outlineLevel="0" collapsed="false">
      <c r="A41" s="1" t="n">
        <v>45076</v>
      </c>
      <c r="B41" s="0" t="s">
        <v>10</v>
      </c>
      <c r="C41" s="0" t="s">
        <v>68</v>
      </c>
      <c r="D41" s="0" t="s">
        <v>84</v>
      </c>
      <c r="E41" s="0" t="s">
        <v>85</v>
      </c>
      <c r="G41" s="4" t="s">
        <v>14</v>
      </c>
      <c r="I41" s="1" t="n">
        <v>45078</v>
      </c>
    </row>
    <row r="42" customFormat="false" ht="15" hidden="false" customHeight="false" outlineLevel="0" collapsed="false">
      <c r="A42" s="1" t="n">
        <v>45076</v>
      </c>
      <c r="B42" s="0" t="s">
        <v>10</v>
      </c>
      <c r="C42" s="0" t="s">
        <v>68</v>
      </c>
      <c r="D42" s="0" t="s">
        <v>30</v>
      </c>
      <c r="E42" s="0" t="s">
        <v>86</v>
      </c>
      <c r="G42" s="4" t="s">
        <v>14</v>
      </c>
      <c r="I42" s="1" t="n">
        <v>45085</v>
      </c>
    </row>
    <row r="43" customFormat="false" ht="15" hidden="false" customHeight="false" outlineLevel="0" collapsed="false">
      <c r="A43" s="1" t="n">
        <v>45076</v>
      </c>
      <c r="B43" s="0" t="s">
        <v>10</v>
      </c>
      <c r="C43" s="0" t="s">
        <v>74</v>
      </c>
      <c r="E43" s="0" t="s">
        <v>87</v>
      </c>
      <c r="G43" s="4" t="s">
        <v>14</v>
      </c>
      <c r="I43" s="1" t="n">
        <v>45078</v>
      </c>
    </row>
    <row r="44" customFormat="false" ht="15" hidden="false" customHeight="false" outlineLevel="0" collapsed="false">
      <c r="A44" s="1" t="n">
        <v>45076</v>
      </c>
      <c r="B44" s="0" t="s">
        <v>10</v>
      </c>
      <c r="C44" s="0" t="s">
        <v>74</v>
      </c>
      <c r="E44" s="0" t="s">
        <v>88</v>
      </c>
      <c r="G44" s="4" t="s">
        <v>14</v>
      </c>
      <c r="I44" s="1" t="n">
        <v>45078</v>
      </c>
    </row>
    <row r="45" customFormat="false" ht="15" hidden="false" customHeight="false" outlineLevel="0" collapsed="false">
      <c r="A45" s="1" t="n">
        <v>45076</v>
      </c>
      <c r="B45" s="0" t="s">
        <v>10</v>
      </c>
      <c r="C45" s="0" t="s">
        <v>68</v>
      </c>
      <c r="D45" s="0" t="s">
        <v>89</v>
      </c>
      <c r="E45" s="0" t="s">
        <v>90</v>
      </c>
      <c r="G45" s="4" t="s">
        <v>14</v>
      </c>
      <c r="I45" s="1" t="n">
        <v>45078</v>
      </c>
    </row>
    <row r="46" customFormat="false" ht="15" hidden="false" customHeight="false" outlineLevel="0" collapsed="false">
      <c r="A46" s="1" t="n">
        <v>45076</v>
      </c>
      <c r="B46" s="0" t="s">
        <v>10</v>
      </c>
      <c r="C46" s="0" t="s">
        <v>68</v>
      </c>
      <c r="D46" s="0" t="s">
        <v>91</v>
      </c>
      <c r="E46" s="0" t="s">
        <v>92</v>
      </c>
      <c r="G46" s="4" t="s">
        <v>14</v>
      </c>
      <c r="I46" s="1" t="n">
        <v>45078</v>
      </c>
    </row>
    <row r="47" customFormat="false" ht="15" hidden="false" customHeight="false" outlineLevel="0" collapsed="false">
      <c r="A47" s="1" t="n">
        <v>45076</v>
      </c>
      <c r="B47" s="0" t="s">
        <v>10</v>
      </c>
      <c r="C47" s="0" t="s">
        <v>35</v>
      </c>
      <c r="D47" s="0" t="s">
        <v>93</v>
      </c>
      <c r="E47" s="0" t="s">
        <v>94</v>
      </c>
      <c r="G47" s="4" t="s">
        <v>14</v>
      </c>
      <c r="I47" s="1" t="n">
        <v>45078</v>
      </c>
    </row>
    <row r="48" customFormat="false" ht="15" hidden="false" customHeight="false" outlineLevel="0" collapsed="false">
      <c r="A48" s="1" t="n">
        <v>45076</v>
      </c>
      <c r="B48" s="0" t="s">
        <v>10</v>
      </c>
      <c r="C48" s="0" t="s">
        <v>35</v>
      </c>
      <c r="D48" s="0" t="s">
        <v>95</v>
      </c>
      <c r="E48" s="0" t="s">
        <v>96</v>
      </c>
      <c r="G48" s="4" t="s">
        <v>14</v>
      </c>
      <c r="I48" s="1" t="n">
        <v>45076</v>
      </c>
    </row>
    <row r="49" customFormat="false" ht="15" hidden="false" customHeight="false" outlineLevel="0" collapsed="false">
      <c r="A49" s="1" t="n">
        <v>45076</v>
      </c>
      <c r="B49" s="0" t="s">
        <v>10</v>
      </c>
      <c r="C49" s="0" t="s">
        <v>35</v>
      </c>
      <c r="D49" s="0" t="s">
        <v>95</v>
      </c>
      <c r="E49" s="0" t="s">
        <v>97</v>
      </c>
      <c r="G49" s="4" t="s">
        <v>14</v>
      </c>
      <c r="I49" s="1" t="n">
        <v>45086</v>
      </c>
    </row>
    <row r="50" customFormat="false" ht="15" hidden="false" customHeight="false" outlineLevel="0" collapsed="false">
      <c r="A50" s="1" t="n">
        <v>45076</v>
      </c>
      <c r="B50" s="0" t="s">
        <v>10</v>
      </c>
      <c r="C50" s="0" t="s">
        <v>55</v>
      </c>
      <c r="D50" s="0" t="s">
        <v>18</v>
      </c>
      <c r="E50" s="0" t="s">
        <v>98</v>
      </c>
      <c r="G50" s="4" t="s">
        <v>14</v>
      </c>
      <c r="I50" s="1" t="n">
        <v>45078</v>
      </c>
    </row>
    <row r="51" customFormat="false" ht="15" hidden="false" customHeight="false" outlineLevel="0" collapsed="false">
      <c r="A51" s="1" t="n">
        <v>45076</v>
      </c>
      <c r="B51" s="0" t="s">
        <v>10</v>
      </c>
      <c r="C51" s="0" t="s">
        <v>35</v>
      </c>
      <c r="D51" s="0" t="s">
        <v>99</v>
      </c>
      <c r="E51" s="0" t="s">
        <v>100</v>
      </c>
      <c r="G51" s="4" t="s">
        <v>14</v>
      </c>
      <c r="I51" s="1" t="n">
        <v>45076</v>
      </c>
    </row>
    <row r="52" customFormat="false" ht="15" hidden="false" customHeight="false" outlineLevel="0" collapsed="false">
      <c r="A52" s="1" t="n">
        <v>45077</v>
      </c>
      <c r="B52" s="0" t="s">
        <v>10</v>
      </c>
      <c r="C52" s="0" t="s">
        <v>35</v>
      </c>
      <c r="D52" s="0" t="s">
        <v>101</v>
      </c>
      <c r="E52" s="0" t="s">
        <v>102</v>
      </c>
      <c r="G52" s="4" t="s">
        <v>14</v>
      </c>
      <c r="I52" s="1" t="n">
        <v>45078</v>
      </c>
    </row>
    <row r="53" customFormat="false" ht="15" hidden="false" customHeight="false" outlineLevel="0" collapsed="false">
      <c r="A53" s="1" t="n">
        <v>45077</v>
      </c>
      <c r="B53" s="0" t="s">
        <v>10</v>
      </c>
      <c r="C53" s="0" t="s">
        <v>53</v>
      </c>
      <c r="D53" s="0" t="s">
        <v>16</v>
      </c>
      <c r="E53" s="0" t="s">
        <v>103</v>
      </c>
      <c r="G53" s="4" t="s">
        <v>14</v>
      </c>
      <c r="I53" s="1" t="n">
        <v>45078</v>
      </c>
    </row>
    <row r="54" customFormat="false" ht="15" hidden="false" customHeight="false" outlineLevel="0" collapsed="false">
      <c r="A54" s="1" t="n">
        <v>45077</v>
      </c>
      <c r="B54" s="0" t="s">
        <v>10</v>
      </c>
      <c r="C54" s="0" t="s">
        <v>104</v>
      </c>
      <c r="D54" s="0" t="s">
        <v>16</v>
      </c>
      <c r="E54" s="0" t="s">
        <v>105</v>
      </c>
      <c r="G54" s="4" t="s">
        <v>14</v>
      </c>
      <c r="I54" s="1" t="n">
        <v>45078</v>
      </c>
    </row>
    <row r="55" customFormat="false" ht="15" hidden="false" customHeight="false" outlineLevel="0" collapsed="false">
      <c r="A55" s="1" t="n">
        <v>45077</v>
      </c>
      <c r="B55" s="0" t="s">
        <v>10</v>
      </c>
      <c r="C55" s="0" t="s">
        <v>106</v>
      </c>
      <c r="E55" s="0" t="s">
        <v>107</v>
      </c>
      <c r="G55" s="4" t="s">
        <v>14</v>
      </c>
      <c r="I55" s="1" t="n">
        <v>45078</v>
      </c>
    </row>
    <row r="56" customFormat="false" ht="15" hidden="false" customHeight="false" outlineLevel="0" collapsed="false">
      <c r="A56" s="1" t="n">
        <v>45078</v>
      </c>
      <c r="B56" s="0" t="s">
        <v>10</v>
      </c>
      <c r="C56" s="0" t="s">
        <v>35</v>
      </c>
      <c r="D56" s="0" t="s">
        <v>99</v>
      </c>
      <c r="E56" s="0" t="s">
        <v>108</v>
      </c>
      <c r="G56" s="4" t="s">
        <v>14</v>
      </c>
      <c r="I56" s="1" t="n">
        <v>45078</v>
      </c>
    </row>
    <row r="57" customFormat="false" ht="15" hidden="false" customHeight="false" outlineLevel="0" collapsed="false">
      <c r="A57" s="1" t="n">
        <v>45078</v>
      </c>
      <c r="B57" s="0" t="s">
        <v>10</v>
      </c>
      <c r="C57" s="0" t="s">
        <v>109</v>
      </c>
      <c r="D57" s="0" t="s">
        <v>110</v>
      </c>
      <c r="E57" s="0" t="s">
        <v>111</v>
      </c>
      <c r="G57" s="4" t="s">
        <v>14</v>
      </c>
      <c r="I57" s="1" t="n">
        <v>45086</v>
      </c>
    </row>
    <row r="58" customFormat="false" ht="15" hidden="false" customHeight="false" outlineLevel="0" collapsed="false">
      <c r="A58" s="1" t="n">
        <v>45078</v>
      </c>
      <c r="B58" s="0" t="s">
        <v>10</v>
      </c>
      <c r="C58" s="0" t="s">
        <v>112</v>
      </c>
      <c r="E58" s="0" t="s">
        <v>113</v>
      </c>
      <c r="G58" s="4" t="s">
        <v>14</v>
      </c>
      <c r="I58" s="1" t="n">
        <v>45097</v>
      </c>
    </row>
    <row r="59" customFormat="false" ht="15" hidden="false" customHeight="false" outlineLevel="0" collapsed="false">
      <c r="A59" s="1" t="n">
        <v>45085</v>
      </c>
      <c r="B59" s="0" t="s">
        <v>10</v>
      </c>
      <c r="C59" s="0" t="s">
        <v>114</v>
      </c>
      <c r="E59" s="0" t="s">
        <v>115</v>
      </c>
      <c r="G59" s="4" t="s">
        <v>14</v>
      </c>
      <c r="I59" s="1" t="n">
        <v>45086</v>
      </c>
    </row>
    <row r="60" customFormat="false" ht="15" hidden="false" customHeight="false" outlineLevel="0" collapsed="false">
      <c r="A60" s="1" t="n">
        <v>45085</v>
      </c>
      <c r="B60" s="0" t="s">
        <v>10</v>
      </c>
      <c r="C60" s="0" t="s">
        <v>116</v>
      </c>
      <c r="D60" s="0" t="s">
        <v>117</v>
      </c>
      <c r="E60" s="0" t="s">
        <v>118</v>
      </c>
      <c r="G60" s="4" t="s">
        <v>14</v>
      </c>
      <c r="I60" s="1" t="n">
        <v>45097</v>
      </c>
    </row>
    <row r="61" customFormat="false" ht="15" hidden="false" customHeight="false" outlineLevel="0" collapsed="false">
      <c r="A61" s="1" t="n">
        <v>45085</v>
      </c>
      <c r="B61" s="0" t="s">
        <v>10</v>
      </c>
      <c r="C61" s="0" t="s">
        <v>35</v>
      </c>
      <c r="D61" s="0" t="s">
        <v>119</v>
      </c>
      <c r="E61" s="0" t="s">
        <v>120</v>
      </c>
      <c r="G61" s="4" t="s">
        <v>14</v>
      </c>
      <c r="I61" s="1" t="n">
        <v>45096</v>
      </c>
      <c r="J61" s="4"/>
    </row>
    <row r="62" customFormat="false" ht="15" hidden="false" customHeight="false" outlineLevel="0" collapsed="false">
      <c r="A62" s="1" t="n">
        <v>45085</v>
      </c>
      <c r="B62" s="0" t="s">
        <v>10</v>
      </c>
      <c r="C62" s="0" t="s">
        <v>35</v>
      </c>
      <c r="D62" s="0" t="s">
        <v>119</v>
      </c>
      <c r="E62" s="0" t="s">
        <v>121</v>
      </c>
      <c r="F62" s="0" t="s">
        <v>122</v>
      </c>
      <c r="G62" s="4" t="s">
        <v>14</v>
      </c>
      <c r="I62" s="1" t="n">
        <v>45086</v>
      </c>
    </row>
    <row r="63" customFormat="false" ht="15" hidden="false" customHeight="false" outlineLevel="0" collapsed="false">
      <c r="A63" s="1" t="n">
        <v>45085</v>
      </c>
      <c r="B63" s="0" t="s">
        <v>10</v>
      </c>
      <c r="C63" s="0" t="s">
        <v>35</v>
      </c>
      <c r="D63" s="0" t="s">
        <v>123</v>
      </c>
      <c r="E63" s="0" t="s">
        <v>124</v>
      </c>
      <c r="G63" s="4" t="s">
        <v>14</v>
      </c>
      <c r="I63" s="1" t="n">
        <v>45086</v>
      </c>
    </row>
    <row r="64" customFormat="false" ht="15" hidden="false" customHeight="false" outlineLevel="0" collapsed="false">
      <c r="A64" s="1" t="n">
        <v>45085</v>
      </c>
      <c r="B64" s="0" t="s">
        <v>10</v>
      </c>
      <c r="C64" s="0" t="s">
        <v>35</v>
      </c>
      <c r="D64" s="0" t="s">
        <v>99</v>
      </c>
      <c r="E64" s="0" t="s">
        <v>125</v>
      </c>
      <c r="F64" s="0" t="s">
        <v>126</v>
      </c>
      <c r="G64" s="4" t="s">
        <v>14</v>
      </c>
      <c r="I64" s="1" t="n">
        <v>45086</v>
      </c>
    </row>
    <row r="65" customFormat="false" ht="15" hidden="false" customHeight="false" outlineLevel="0" collapsed="false">
      <c r="A65" s="1" t="n">
        <v>45085</v>
      </c>
      <c r="B65" s="0" t="s">
        <v>10</v>
      </c>
      <c r="C65" s="0" t="s">
        <v>35</v>
      </c>
      <c r="D65" s="0" t="s">
        <v>99</v>
      </c>
      <c r="E65" s="0" t="s">
        <v>127</v>
      </c>
      <c r="G65" s="4" t="s">
        <v>14</v>
      </c>
      <c r="I65" s="1" t="n">
        <v>45086</v>
      </c>
    </row>
    <row r="66" customFormat="false" ht="15" hidden="false" customHeight="false" outlineLevel="0" collapsed="false">
      <c r="A66" s="1" t="n">
        <v>45085</v>
      </c>
      <c r="B66" s="0" t="s">
        <v>10</v>
      </c>
      <c r="C66" s="0" t="s">
        <v>35</v>
      </c>
      <c r="D66" s="0" t="s">
        <v>95</v>
      </c>
      <c r="E66" s="0" t="s">
        <v>128</v>
      </c>
      <c r="G66" s="4" t="s">
        <v>14</v>
      </c>
      <c r="I66" s="1" t="n">
        <v>45086</v>
      </c>
    </row>
    <row r="67" customFormat="false" ht="15" hidden="false" customHeight="false" outlineLevel="0" collapsed="false">
      <c r="A67" s="1" t="n">
        <v>45085</v>
      </c>
      <c r="B67" s="0" t="s">
        <v>10</v>
      </c>
      <c r="C67" s="0" t="s">
        <v>35</v>
      </c>
      <c r="D67" s="0" t="s">
        <v>95</v>
      </c>
      <c r="E67" s="0" t="s">
        <v>129</v>
      </c>
      <c r="G67" s="4" t="s">
        <v>14</v>
      </c>
      <c r="I67" s="1" t="n">
        <v>45086</v>
      </c>
    </row>
    <row r="68" customFormat="false" ht="15" hidden="false" customHeight="false" outlineLevel="0" collapsed="false">
      <c r="A68" s="1" t="n">
        <v>45085</v>
      </c>
      <c r="B68" s="0" t="s">
        <v>10</v>
      </c>
      <c r="C68" s="0" t="s">
        <v>35</v>
      </c>
      <c r="D68" s="0" t="s">
        <v>95</v>
      </c>
      <c r="E68" s="0" t="s">
        <v>130</v>
      </c>
      <c r="G68" s="4" t="s">
        <v>14</v>
      </c>
      <c r="I68" s="1" t="n">
        <v>45086</v>
      </c>
    </row>
    <row r="69" customFormat="false" ht="15" hidden="false" customHeight="false" outlineLevel="0" collapsed="false">
      <c r="A69" s="1" t="n">
        <v>45085</v>
      </c>
      <c r="B69" s="0" t="s">
        <v>10</v>
      </c>
      <c r="C69" s="0" t="s">
        <v>35</v>
      </c>
      <c r="D69" s="0" t="s">
        <v>101</v>
      </c>
      <c r="E69" s="0" t="s">
        <v>131</v>
      </c>
      <c r="G69" s="4" t="s">
        <v>14</v>
      </c>
      <c r="I69" s="1" t="n">
        <v>45086</v>
      </c>
    </row>
    <row r="70" customFormat="false" ht="15" hidden="false" customHeight="false" outlineLevel="0" collapsed="false">
      <c r="A70" s="1" t="n">
        <v>45085</v>
      </c>
      <c r="B70" s="0" t="s">
        <v>10</v>
      </c>
      <c r="C70" s="0" t="s">
        <v>35</v>
      </c>
      <c r="D70" s="0" t="s">
        <v>40</v>
      </c>
      <c r="E70" s="0" t="s">
        <v>132</v>
      </c>
      <c r="G70" s="4" t="s">
        <v>14</v>
      </c>
      <c r="I70" s="1" t="n">
        <v>45086</v>
      </c>
    </row>
    <row r="71" customFormat="false" ht="15" hidden="false" customHeight="false" outlineLevel="0" collapsed="false">
      <c r="A71" s="1" t="n">
        <v>45085</v>
      </c>
      <c r="B71" s="0" t="s">
        <v>10</v>
      </c>
      <c r="C71" s="0" t="s">
        <v>35</v>
      </c>
      <c r="D71" s="0" t="s">
        <v>40</v>
      </c>
      <c r="E71" s="0" t="s">
        <v>133</v>
      </c>
      <c r="G71" s="4" t="s">
        <v>14</v>
      </c>
      <c r="I71" s="1" t="n">
        <v>45086</v>
      </c>
    </row>
    <row r="72" customFormat="false" ht="15" hidden="false" customHeight="false" outlineLevel="0" collapsed="false">
      <c r="A72" s="1" t="n">
        <v>45086</v>
      </c>
      <c r="B72" s="0" t="s">
        <v>10</v>
      </c>
      <c r="C72" s="0" t="s">
        <v>35</v>
      </c>
      <c r="D72" s="0" t="s">
        <v>93</v>
      </c>
      <c r="E72" s="0" t="s">
        <v>134</v>
      </c>
      <c r="G72" s="4" t="s">
        <v>14</v>
      </c>
      <c r="I72" s="1" t="n">
        <v>45086</v>
      </c>
    </row>
    <row r="73" customFormat="false" ht="15" hidden="false" customHeight="false" outlineLevel="0" collapsed="false">
      <c r="A73" s="1" t="n">
        <v>45086</v>
      </c>
      <c r="B73" s="0" t="s">
        <v>10</v>
      </c>
      <c r="C73" s="0" t="s">
        <v>35</v>
      </c>
      <c r="D73" s="0" t="s">
        <v>95</v>
      </c>
      <c r="E73" s="0" t="s">
        <v>135</v>
      </c>
      <c r="G73" s="4" t="s">
        <v>14</v>
      </c>
      <c r="I73" s="1" t="n">
        <v>45086</v>
      </c>
    </row>
    <row r="74" customFormat="false" ht="15" hidden="false" customHeight="false" outlineLevel="0" collapsed="false">
      <c r="A74" s="1" t="n">
        <v>45086</v>
      </c>
      <c r="B74" s="0" t="s">
        <v>10</v>
      </c>
      <c r="C74" s="0" t="s">
        <v>35</v>
      </c>
      <c r="D74" s="0" t="s">
        <v>101</v>
      </c>
      <c r="E74" s="0" t="s">
        <v>136</v>
      </c>
      <c r="G74" s="4" t="s">
        <v>14</v>
      </c>
      <c r="I74" s="1" t="n">
        <v>45086</v>
      </c>
    </row>
    <row r="75" customFormat="false" ht="15" hidden="false" customHeight="false" outlineLevel="0" collapsed="false">
      <c r="A75" s="1" t="n">
        <v>45086</v>
      </c>
      <c r="B75" s="0" t="s">
        <v>10</v>
      </c>
      <c r="C75" s="0" t="s">
        <v>137</v>
      </c>
      <c r="D75" s="0" t="s">
        <v>138</v>
      </c>
      <c r="E75" s="0" t="s">
        <v>139</v>
      </c>
      <c r="F75" s="0" t="s">
        <v>140</v>
      </c>
      <c r="G75" s="4" t="s">
        <v>14</v>
      </c>
      <c r="I75" s="1" t="n">
        <v>45086</v>
      </c>
    </row>
    <row r="76" customFormat="false" ht="15" hidden="false" customHeight="false" outlineLevel="0" collapsed="false">
      <c r="A76" s="1" t="n">
        <v>45086</v>
      </c>
      <c r="B76" s="0" t="s">
        <v>10</v>
      </c>
      <c r="C76" s="0" t="s">
        <v>141</v>
      </c>
      <c r="D76" s="0" t="s">
        <v>91</v>
      </c>
      <c r="E76" s="0" t="s">
        <v>142</v>
      </c>
      <c r="G76" s="4" t="s">
        <v>14</v>
      </c>
      <c r="I76" s="1" t="n">
        <v>45086</v>
      </c>
    </row>
    <row r="77" customFormat="false" ht="15" hidden="false" customHeight="false" outlineLevel="0" collapsed="false">
      <c r="A77" s="1" t="n">
        <v>45086</v>
      </c>
      <c r="B77" s="0" t="s">
        <v>10</v>
      </c>
      <c r="C77" s="0" t="s">
        <v>143</v>
      </c>
      <c r="D77" s="0" t="s">
        <v>18</v>
      </c>
      <c r="E77" s="0" t="s">
        <v>144</v>
      </c>
      <c r="G77" s="4" t="s">
        <v>14</v>
      </c>
      <c r="I77" s="1" t="n">
        <v>45086</v>
      </c>
    </row>
    <row r="78" customFormat="false" ht="15" hidden="false" customHeight="false" outlineLevel="0" collapsed="false">
      <c r="A78" s="1" t="n">
        <v>45086</v>
      </c>
      <c r="B78" s="0" t="s">
        <v>10</v>
      </c>
      <c r="C78" s="0" t="s">
        <v>145</v>
      </c>
      <c r="E78" s="0" t="s">
        <v>146</v>
      </c>
      <c r="G78" s="4" t="s">
        <v>14</v>
      </c>
      <c r="I78" s="1" t="n">
        <v>45091</v>
      </c>
    </row>
    <row r="79" customFormat="false" ht="15" hidden="false" customHeight="false" outlineLevel="0" collapsed="false">
      <c r="A79" s="1" t="n">
        <v>45090</v>
      </c>
      <c r="B79" s="0" t="s">
        <v>10</v>
      </c>
      <c r="C79" s="0" t="s">
        <v>147</v>
      </c>
      <c r="E79" s="0" t="s">
        <v>148</v>
      </c>
      <c r="G79" s="4" t="s">
        <v>14</v>
      </c>
      <c r="I79" s="1" t="n">
        <v>45096</v>
      </c>
    </row>
    <row r="80" customFormat="false" ht="15" hidden="false" customHeight="false" outlineLevel="0" collapsed="false">
      <c r="A80" s="1" t="n">
        <v>45090</v>
      </c>
      <c r="B80" s="0" t="s">
        <v>10</v>
      </c>
      <c r="C80" s="0" t="s">
        <v>141</v>
      </c>
      <c r="D80" s="0" t="s">
        <v>91</v>
      </c>
      <c r="E80" s="0" t="s">
        <v>149</v>
      </c>
      <c r="G80" s="4" t="s">
        <v>14</v>
      </c>
      <c r="I80" s="1" t="n">
        <v>45096</v>
      </c>
    </row>
    <row r="81" customFormat="false" ht="15" hidden="false" customHeight="false" outlineLevel="0" collapsed="false">
      <c r="A81" s="1" t="n">
        <v>45090</v>
      </c>
      <c r="B81" s="0" t="s">
        <v>10</v>
      </c>
      <c r="C81" s="0" t="s">
        <v>141</v>
      </c>
      <c r="D81" s="0" t="s">
        <v>91</v>
      </c>
      <c r="E81" s="0" t="s">
        <v>150</v>
      </c>
      <c r="G81" s="4" t="s">
        <v>14</v>
      </c>
      <c r="I81" s="1" t="n">
        <v>45096</v>
      </c>
    </row>
    <row r="82" customFormat="false" ht="15" hidden="false" customHeight="false" outlineLevel="0" collapsed="false">
      <c r="A82" s="1" t="n">
        <v>45090</v>
      </c>
      <c r="B82" s="0" t="s">
        <v>10</v>
      </c>
      <c r="C82" s="0" t="s">
        <v>141</v>
      </c>
      <c r="D82" s="0" t="s">
        <v>91</v>
      </c>
      <c r="E82" s="5" t="s">
        <v>151</v>
      </c>
      <c r="G82" s="4" t="s">
        <v>14</v>
      </c>
      <c r="I82" s="1" t="n">
        <v>45096</v>
      </c>
    </row>
    <row r="83" customFormat="false" ht="15" hidden="false" customHeight="false" outlineLevel="0" collapsed="false">
      <c r="A83" s="1" t="n">
        <v>45090</v>
      </c>
      <c r="B83" s="0" t="s">
        <v>10</v>
      </c>
      <c r="C83" s="0" t="s">
        <v>141</v>
      </c>
      <c r="D83" s="0" t="s">
        <v>81</v>
      </c>
      <c r="E83" s="0" t="s">
        <v>152</v>
      </c>
      <c r="G83" s="4" t="s">
        <v>61</v>
      </c>
    </row>
    <row r="84" customFormat="false" ht="15" hidden="false" customHeight="false" outlineLevel="0" collapsed="false">
      <c r="A84" s="1" t="n">
        <v>45090</v>
      </c>
      <c r="B84" s="0" t="s">
        <v>10</v>
      </c>
      <c r="C84" s="0" t="s">
        <v>153</v>
      </c>
      <c r="E84" s="0" t="s">
        <v>154</v>
      </c>
      <c r="G84" s="4" t="s">
        <v>14</v>
      </c>
      <c r="I84" s="1" t="n">
        <v>45096</v>
      </c>
    </row>
    <row r="85" customFormat="false" ht="15" hidden="false" customHeight="false" outlineLevel="0" collapsed="false">
      <c r="A85" s="1" t="n">
        <v>45090</v>
      </c>
      <c r="B85" s="0" t="s">
        <v>10</v>
      </c>
      <c r="C85" s="0" t="s">
        <v>35</v>
      </c>
      <c r="D85" s="0" t="s">
        <v>43</v>
      </c>
      <c r="E85" s="0" t="s">
        <v>155</v>
      </c>
      <c r="G85" s="4" t="s">
        <v>80</v>
      </c>
      <c r="H85" s="1" t="s">
        <v>156</v>
      </c>
      <c r="I85" s="1" t="s">
        <v>63</v>
      </c>
    </row>
    <row r="86" customFormat="false" ht="15" hidden="false" customHeight="false" outlineLevel="0" collapsed="false">
      <c r="A86" s="1" t="n">
        <v>45090</v>
      </c>
      <c r="B86" s="0" t="s">
        <v>10</v>
      </c>
      <c r="C86" s="0" t="s">
        <v>35</v>
      </c>
      <c r="D86" s="0" t="s">
        <v>43</v>
      </c>
      <c r="E86" s="0" t="s">
        <v>157</v>
      </c>
      <c r="G86" s="4" t="s">
        <v>14</v>
      </c>
      <c r="I86" s="1" t="n">
        <v>45097</v>
      </c>
    </row>
    <row r="87" customFormat="false" ht="15" hidden="false" customHeight="false" outlineLevel="0" collapsed="false">
      <c r="A87" s="1" t="n">
        <v>45090</v>
      </c>
      <c r="B87" s="0" t="s">
        <v>10</v>
      </c>
      <c r="C87" s="0" t="s">
        <v>35</v>
      </c>
      <c r="D87" s="0" t="s">
        <v>158</v>
      </c>
      <c r="E87" s="0" t="s">
        <v>159</v>
      </c>
      <c r="G87" s="4" t="s">
        <v>14</v>
      </c>
      <c r="I87" s="1" t="n">
        <v>45096</v>
      </c>
    </row>
    <row r="88" customFormat="false" ht="15" hidden="false" customHeight="false" outlineLevel="0" collapsed="false">
      <c r="A88" s="1" t="n">
        <v>45090</v>
      </c>
      <c r="B88" s="0" t="s">
        <v>10</v>
      </c>
      <c r="C88" s="0" t="s">
        <v>160</v>
      </c>
      <c r="E88" s="0" t="s">
        <v>161</v>
      </c>
      <c r="G88" s="4" t="s">
        <v>61</v>
      </c>
    </row>
    <row r="89" customFormat="false" ht="15" hidden="false" customHeight="false" outlineLevel="0" collapsed="false">
      <c r="A89" s="1" t="n">
        <v>45091</v>
      </c>
      <c r="B89" s="0" t="s">
        <v>10</v>
      </c>
      <c r="C89" s="0" t="s">
        <v>51</v>
      </c>
      <c r="D89" s="0" t="s">
        <v>162</v>
      </c>
      <c r="E89" s="0" t="s">
        <v>163</v>
      </c>
      <c r="G89" s="4" t="s">
        <v>14</v>
      </c>
      <c r="I89" s="1" t="n">
        <v>45097</v>
      </c>
    </row>
    <row r="90" customFormat="false" ht="15" hidden="false" customHeight="false" outlineLevel="0" collapsed="false">
      <c r="A90" s="1" t="n">
        <v>45091</v>
      </c>
      <c r="B90" s="0" t="s">
        <v>10</v>
      </c>
      <c r="C90" s="0" t="s">
        <v>55</v>
      </c>
      <c r="D90" s="0" t="s">
        <v>164</v>
      </c>
      <c r="E90" s="0" t="s">
        <v>165</v>
      </c>
      <c r="G90" s="4" t="s">
        <v>14</v>
      </c>
      <c r="I90" s="1" t="n">
        <v>45096</v>
      </c>
    </row>
    <row r="91" customFormat="false" ht="15" hidden="false" customHeight="false" outlineLevel="0" collapsed="false">
      <c r="A91" s="1" t="n">
        <v>45091</v>
      </c>
      <c r="B91" s="0" t="s">
        <v>166</v>
      </c>
      <c r="C91" s="0" t="s">
        <v>68</v>
      </c>
      <c r="D91" s="0" t="s">
        <v>167</v>
      </c>
      <c r="E91" s="0" t="s">
        <v>168</v>
      </c>
      <c r="G91" s="4" t="s">
        <v>14</v>
      </c>
      <c r="I91" s="1" t="n">
        <v>45097</v>
      </c>
    </row>
    <row r="92" customFormat="false" ht="15" hidden="false" customHeight="false" outlineLevel="0" collapsed="false">
      <c r="A92" s="1" t="n">
        <v>45091</v>
      </c>
      <c r="B92" s="0" t="s">
        <v>166</v>
      </c>
      <c r="C92" s="0" t="s">
        <v>169</v>
      </c>
      <c r="E92" s="0" t="s">
        <v>170</v>
      </c>
      <c r="G92" s="4" t="s">
        <v>80</v>
      </c>
      <c r="J92" s="0" t="s">
        <v>171</v>
      </c>
    </row>
    <row r="93" customFormat="false" ht="15" hidden="false" customHeight="false" outlineLevel="0" collapsed="false">
      <c r="A93" s="1" t="n">
        <v>45091</v>
      </c>
      <c r="B93" s="0" t="s">
        <v>166</v>
      </c>
      <c r="C93" s="0" t="s">
        <v>169</v>
      </c>
      <c r="E93" s="0" t="s">
        <v>172</v>
      </c>
      <c r="G93" s="4" t="s">
        <v>80</v>
      </c>
    </row>
    <row r="94" customFormat="false" ht="14.25" hidden="false" customHeight="false" outlineLevel="0" collapsed="false">
      <c r="A94" s="1" t="n">
        <v>45091</v>
      </c>
      <c r="B94" s="0" t="s">
        <v>166</v>
      </c>
      <c r="C94" s="0" t="s">
        <v>68</v>
      </c>
      <c r="D94" s="0" t="s">
        <v>173</v>
      </c>
      <c r="E94" s="0" t="s">
        <v>174</v>
      </c>
      <c r="G94" s="4" t="s">
        <v>80</v>
      </c>
    </row>
    <row r="95" customFormat="false" ht="14.25" hidden="false" customHeight="false" outlineLevel="0" collapsed="false">
      <c r="A95" s="1" t="n">
        <v>45091</v>
      </c>
      <c r="B95" s="0" t="s">
        <v>166</v>
      </c>
      <c r="C95" s="0" t="s">
        <v>68</v>
      </c>
      <c r="D95" s="0" t="s">
        <v>175</v>
      </c>
      <c r="E95" s="0" t="s">
        <v>176</v>
      </c>
      <c r="G95" s="4" t="s">
        <v>80</v>
      </c>
    </row>
    <row r="96" customFormat="false" ht="14.25" hidden="false" customHeight="false" outlineLevel="0" collapsed="false">
      <c r="A96" s="1" t="n">
        <v>45091</v>
      </c>
      <c r="B96" s="0" t="s">
        <v>166</v>
      </c>
      <c r="C96" s="0" t="s">
        <v>116</v>
      </c>
      <c r="D96" s="0" t="s">
        <v>177</v>
      </c>
      <c r="E96" s="0" t="s">
        <v>178</v>
      </c>
      <c r="G96" s="4" t="s">
        <v>80</v>
      </c>
    </row>
    <row r="97" customFormat="false" ht="14.25" hidden="false" customHeight="false" outlineLevel="0" collapsed="false">
      <c r="A97" s="1" t="n">
        <v>45091</v>
      </c>
      <c r="B97" s="0" t="s">
        <v>10</v>
      </c>
      <c r="C97" s="0" t="s">
        <v>179</v>
      </c>
      <c r="E97" s="0" t="s">
        <v>180</v>
      </c>
      <c r="G97" s="4" t="s">
        <v>61</v>
      </c>
    </row>
    <row r="98" customFormat="false" ht="15" hidden="false" customHeight="false" outlineLevel="0" collapsed="false">
      <c r="A98" s="1" t="n">
        <v>45091</v>
      </c>
      <c r="B98" s="0" t="s">
        <v>10</v>
      </c>
      <c r="C98" s="0" t="s">
        <v>181</v>
      </c>
      <c r="E98" s="0" t="s">
        <v>182</v>
      </c>
      <c r="G98" s="4" t="s">
        <v>61</v>
      </c>
    </row>
    <row r="99" customFormat="false" ht="14.25" hidden="false" customHeight="false" outlineLevel="0" collapsed="false">
      <c r="A99" s="1" t="n">
        <v>45097</v>
      </c>
      <c r="B99" s="0" t="s">
        <v>10</v>
      </c>
      <c r="C99" s="0" t="s">
        <v>181</v>
      </c>
      <c r="E99" s="0" t="s">
        <v>183</v>
      </c>
      <c r="G99" s="4" t="s">
        <v>61</v>
      </c>
    </row>
    <row r="100" customFormat="false" ht="15" hidden="false" customHeight="false" outlineLevel="0" collapsed="false">
      <c r="A100" s="1" t="n">
        <v>45097</v>
      </c>
      <c r="B100" s="0" t="s">
        <v>10</v>
      </c>
      <c r="C100" s="0" t="s">
        <v>181</v>
      </c>
      <c r="D100" s="0" t="s">
        <v>184</v>
      </c>
      <c r="E100" s="0" t="s">
        <v>185</v>
      </c>
      <c r="G100" s="4" t="s">
        <v>61</v>
      </c>
    </row>
    <row r="101" customFormat="false" ht="14.25" hidden="false" customHeight="false" outlineLevel="0" collapsed="false">
      <c r="A101" s="1" t="n">
        <v>45097</v>
      </c>
      <c r="B101" s="0" t="s">
        <v>10</v>
      </c>
      <c r="C101" s="0" t="s">
        <v>186</v>
      </c>
      <c r="E101" s="0" t="s">
        <v>187</v>
      </c>
      <c r="G101" s="4" t="s">
        <v>80</v>
      </c>
    </row>
    <row r="102" customFormat="false" ht="14.25" hidden="false" customHeight="false" outlineLevel="0" collapsed="false">
      <c r="A102" s="1" t="n">
        <v>45098</v>
      </c>
      <c r="B102" s="0" t="s">
        <v>10</v>
      </c>
      <c r="C102" s="0" t="s">
        <v>137</v>
      </c>
      <c r="D102" s="0" t="s">
        <v>188</v>
      </c>
      <c r="E102" s="0" t="s">
        <v>189</v>
      </c>
      <c r="G102" s="4" t="s">
        <v>190</v>
      </c>
    </row>
    <row r="103" customFormat="false" ht="14.25" hidden="false" customHeight="false" outlineLevel="0" collapsed="false">
      <c r="A103" s="1" t="n">
        <v>45098</v>
      </c>
      <c r="B103" s="0" t="s">
        <v>10</v>
      </c>
      <c r="C103" s="0" t="s">
        <v>109</v>
      </c>
      <c r="E103" s="0" t="s">
        <v>191</v>
      </c>
      <c r="G103" s="4" t="s">
        <v>190</v>
      </c>
    </row>
    <row r="104" customFormat="false" ht="14.25" hidden="false" customHeight="false" outlineLevel="0" collapsed="false">
      <c r="G104" s="4"/>
    </row>
    <row r="105" customFormat="false" ht="14.25" hidden="false" customHeight="false" outlineLevel="0" collapsed="false">
      <c r="G105" s="4"/>
    </row>
    <row r="106" customFormat="false" ht="14.25" hidden="false" customHeight="false" outlineLevel="0" collapsed="false">
      <c r="G106" s="4"/>
    </row>
    <row r="107" customFormat="false" ht="14.25" hidden="false" customHeight="false" outlineLevel="0" collapsed="false">
      <c r="G107" s="4"/>
    </row>
    <row r="108" customFormat="false" ht="14.25" hidden="false" customHeight="false" outlineLevel="0" collapsed="false">
      <c r="G108" s="4"/>
    </row>
    <row r="109" customFormat="false" ht="14.25" hidden="false" customHeight="false" outlineLevel="0" collapsed="false">
      <c r="G109" s="4"/>
    </row>
    <row r="110" customFormat="false" ht="14.25" hidden="false" customHeight="false" outlineLevel="0" collapsed="false">
      <c r="G110" s="4"/>
    </row>
    <row r="111" customFormat="false" ht="14.25" hidden="false" customHeight="false" outlineLevel="0" collapsed="false">
      <c r="G111" s="4"/>
    </row>
    <row r="112" customFormat="false" ht="14.25" hidden="false" customHeight="false" outlineLevel="0" collapsed="false">
      <c r="G112" s="4"/>
    </row>
    <row r="113" customFormat="false" ht="14.25" hidden="false" customHeight="false" outlineLevel="0" collapsed="false">
      <c r="G113" s="4"/>
    </row>
    <row r="114" customFormat="false" ht="14.25" hidden="false" customHeight="false" outlineLevel="0" collapsed="false">
      <c r="G114" s="4"/>
    </row>
    <row r="115" customFormat="false" ht="14.25" hidden="false" customHeight="false" outlineLevel="0" collapsed="false">
      <c r="G115" s="4"/>
    </row>
    <row r="116" customFormat="false" ht="14.25" hidden="false" customHeight="false" outlineLevel="0" collapsed="false">
      <c r="G116" s="4"/>
    </row>
    <row r="117" customFormat="false" ht="14.25" hidden="false" customHeight="false" outlineLevel="0" collapsed="false">
      <c r="G117" s="4"/>
    </row>
    <row r="118" customFormat="false" ht="14.25" hidden="false" customHeight="false" outlineLevel="0" collapsed="false">
      <c r="G118" s="4"/>
    </row>
    <row r="119" customFormat="false" ht="14.25" hidden="false" customHeight="false" outlineLevel="0" collapsed="false">
      <c r="G119" s="4"/>
    </row>
    <row r="120" customFormat="false" ht="14.25" hidden="false" customHeight="false" outlineLevel="0" collapsed="false">
      <c r="G120" s="4"/>
    </row>
    <row r="121" customFormat="false" ht="14.25" hidden="false" customHeight="false" outlineLevel="0" collapsed="false">
      <c r="G121" s="4"/>
    </row>
    <row r="122" customFormat="false" ht="14.25" hidden="false" customHeight="false" outlineLevel="0" collapsed="false">
      <c r="G122" s="4"/>
    </row>
    <row r="123" customFormat="false" ht="14.25" hidden="false" customHeight="false" outlineLevel="0" collapsed="false">
      <c r="G123" s="4"/>
    </row>
    <row r="124" customFormat="false" ht="14.25" hidden="false" customHeight="false" outlineLevel="0" collapsed="false">
      <c r="G124" s="4"/>
    </row>
    <row r="125" customFormat="false" ht="14.25" hidden="false" customHeight="false" outlineLevel="0" collapsed="false">
      <c r="G125" s="4"/>
    </row>
    <row r="126" customFormat="false" ht="14.25" hidden="false" customHeight="false" outlineLevel="0" collapsed="false">
      <c r="G126" s="4"/>
    </row>
    <row r="127" customFormat="false" ht="14.25" hidden="false" customHeight="false" outlineLevel="0" collapsed="false">
      <c r="G127" s="4"/>
    </row>
    <row r="128" customFormat="false" ht="14.25" hidden="false" customHeight="false" outlineLevel="0" collapsed="false">
      <c r="G128" s="4"/>
    </row>
    <row r="129" customFormat="false" ht="14.25" hidden="false" customHeight="false" outlineLevel="0" collapsed="false">
      <c r="G129" s="4"/>
    </row>
    <row r="130" customFormat="false" ht="14.25" hidden="false" customHeight="false" outlineLevel="0" collapsed="false">
      <c r="G130" s="4"/>
    </row>
    <row r="131" customFormat="false" ht="14.25" hidden="false" customHeight="false" outlineLevel="0" collapsed="false">
      <c r="G131" s="4"/>
    </row>
    <row r="132" customFormat="false" ht="14.25" hidden="false" customHeight="false" outlineLevel="0" collapsed="false">
      <c r="G132" s="4"/>
    </row>
    <row r="133" customFormat="false" ht="14.25" hidden="false" customHeight="false" outlineLevel="0" collapsed="false">
      <c r="G133" s="4"/>
    </row>
    <row r="134" customFormat="false" ht="14.25" hidden="false" customHeight="false" outlineLevel="0" collapsed="false">
      <c r="G134" s="4"/>
    </row>
    <row r="135" customFormat="false" ht="14.25" hidden="false" customHeight="false" outlineLevel="0" collapsed="false">
      <c r="G135" s="4"/>
    </row>
    <row r="136" customFormat="false" ht="14.25" hidden="false" customHeight="false" outlineLevel="0" collapsed="false">
      <c r="G136" s="4"/>
    </row>
    <row r="137" customFormat="false" ht="14.25" hidden="false" customHeight="false" outlineLevel="0" collapsed="false">
      <c r="G137" s="4"/>
    </row>
    <row r="138" customFormat="false" ht="14.25" hidden="false" customHeight="false" outlineLevel="0" collapsed="false">
      <c r="G138" s="4"/>
    </row>
    <row r="139" customFormat="false" ht="14.25" hidden="false" customHeight="false" outlineLevel="0" collapsed="false">
      <c r="G139" s="4"/>
    </row>
    <row r="140" customFormat="false" ht="14.25" hidden="false" customHeight="false" outlineLevel="0" collapsed="false">
      <c r="G140" s="4"/>
    </row>
    <row r="141" customFormat="false" ht="14.25" hidden="false" customHeight="false" outlineLevel="0" collapsed="false">
      <c r="G141" s="4"/>
    </row>
    <row r="142" customFormat="false" ht="14.25" hidden="false" customHeight="false" outlineLevel="0" collapsed="false">
      <c r="G142" s="4"/>
    </row>
    <row r="143" customFormat="false" ht="14.25" hidden="false" customHeight="false" outlineLevel="0" collapsed="false">
      <c r="G143" s="4"/>
    </row>
    <row r="144" customFormat="false" ht="14.25" hidden="false" customHeight="false" outlineLevel="0" collapsed="false">
      <c r="G144" s="4"/>
    </row>
    <row r="145" customFormat="false" ht="14.25" hidden="false" customHeight="false" outlineLevel="0" collapsed="false">
      <c r="G145" s="4"/>
    </row>
    <row r="146" customFormat="false" ht="14.25" hidden="false" customHeight="false" outlineLevel="0" collapsed="false">
      <c r="G146" s="4"/>
    </row>
    <row r="147" customFormat="false" ht="14.25" hidden="false" customHeight="false" outlineLevel="0" collapsed="false">
      <c r="G147" s="4"/>
    </row>
    <row r="148" customFormat="false" ht="14.25" hidden="false" customHeight="false" outlineLevel="0" collapsed="false">
      <c r="G148" s="4"/>
    </row>
    <row r="149" customFormat="false" ht="14.25" hidden="false" customHeight="false" outlineLevel="0" collapsed="false">
      <c r="G149" s="4"/>
    </row>
    <row r="150" customFormat="false" ht="14.25" hidden="false" customHeight="false" outlineLevel="0" collapsed="false">
      <c r="G150" s="4"/>
    </row>
    <row r="151" customFormat="false" ht="14.25" hidden="false" customHeight="false" outlineLevel="0" collapsed="false">
      <c r="G151" s="4"/>
    </row>
    <row r="152" customFormat="false" ht="14.25" hidden="false" customHeight="false" outlineLevel="0" collapsed="false">
      <c r="G152" s="4"/>
    </row>
    <row r="153" customFormat="false" ht="14.25" hidden="false" customHeight="false" outlineLevel="0" collapsed="false">
      <c r="G153" s="4"/>
    </row>
    <row r="154" customFormat="false" ht="14.25" hidden="false" customHeight="false" outlineLevel="0" collapsed="false">
      <c r="G154" s="4"/>
    </row>
    <row r="155" customFormat="false" ht="14.25" hidden="false" customHeight="false" outlineLevel="0" collapsed="false">
      <c r="G155" s="4"/>
    </row>
  </sheetData>
  <conditionalFormatting sqref="G3:G155">
    <cfRule type="containsText" priority="2" operator="containsText" aboveAverage="0" equalAverage="0" bottom="0" percent="0" rank="0" text="Gering" dxfId="10">
      <formula>NOT(ISERROR(SEARCH("Gering",G3)))</formula>
    </cfRule>
  </conditionalFormatting>
  <conditionalFormatting sqref="G3:G155">
    <cfRule type="containsText" priority="3" operator="containsText" aboveAverage="0" equalAverage="0" bottom="0" percent="0" rank="0" text="Mittel" dxfId="11">
      <formula>NOT(ISERROR(SEARCH("Mittel",G3)))</formula>
    </cfRule>
  </conditionalFormatting>
  <conditionalFormatting sqref="G3:G155">
    <cfRule type="containsText" priority="4" operator="containsText" aboveAverage="0" equalAverage="0" bottom="0" percent="0" rank="0" text="Hoch" dxfId="12">
      <formula>NOT(ISERROR(SEARCH("Hoch",G3)))</formula>
    </cfRule>
  </conditionalFormatting>
  <conditionalFormatting sqref="G2:G1048576">
    <cfRule type="cellIs" priority="5" operator="equal" aboveAverage="0" equalAverage="0" bottom="0" percent="0" rank="0" text="" dxfId="13">
      <formula>"Erledigt"</formula>
    </cfRule>
  </conditionalFormatting>
  <conditionalFormatting sqref="I2:I1048576">
    <cfRule type="cellIs" priority="6" operator="equal" aboveAverage="0" equalAverage="0" bottom="0" percent="0" rank="0" text="" dxfId="14">
      <formula>"siehe Kommentar"</formula>
    </cfRule>
  </conditionalFormatting>
  <dataValidations count="1">
    <dataValidation allowBlank="true" errorStyle="stop" operator="between" showDropDown="false" showErrorMessage="true" showInputMessage="true" sqref="G2:G1103" type="list">
      <formula1>"Gering,Mittel,Hoch,Erledigt"</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6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3" topLeftCell="A11" activePane="bottomLeft" state="frozen"/>
      <selection pane="topLeft" activeCell="A1" activeCellId="0" sqref="A1"/>
      <selection pane="bottomLeft" activeCell="N29" activeCellId="0" sqref="N29"/>
    </sheetView>
  </sheetViews>
  <sheetFormatPr defaultColWidth="11.55859375" defaultRowHeight="14.25" zeroHeight="false" outlineLevelRow="0" outlineLevelCol="0"/>
  <cols>
    <col collapsed="false" customWidth="true" hidden="false" outlineLevel="0" max="1" min="1" style="6" width="16.57"/>
    <col collapsed="false" customWidth="true" hidden="false" outlineLevel="0" max="2" min="2" style="6" width="19.57"/>
    <col collapsed="false" customWidth="true" hidden="false" outlineLevel="0" max="3" min="3" style="6" width="23.85"/>
    <col collapsed="false" customWidth="true" hidden="false" outlineLevel="0" max="4" min="4" style="6" width="20.43"/>
    <col collapsed="false" customWidth="true" hidden="false" outlineLevel="0" max="5" min="5" style="6" width="15.29"/>
    <col collapsed="false" customWidth="true" hidden="false" outlineLevel="0" max="6" min="6" style="6" width="15.71"/>
    <col collapsed="false" customWidth="true" hidden="false" outlineLevel="0" max="7" min="7" style="6" width="16.57"/>
    <col collapsed="false" customWidth="true" hidden="false" outlineLevel="0" max="8" min="8" style="6" width="22.43"/>
    <col collapsed="false" customWidth="true" hidden="false" outlineLevel="0" max="11" min="9" style="6" width="15.29"/>
    <col collapsed="false" customWidth="true" hidden="false" outlineLevel="0" max="12" min="12" style="6" width="19.14"/>
    <col collapsed="false" customWidth="true" hidden="false" outlineLevel="0" max="13" min="13" style="6" width="15.29"/>
    <col collapsed="false" customWidth="true" hidden="false" outlineLevel="0" max="14" min="14" style="6" width="68.57"/>
    <col collapsed="false" customWidth="false" hidden="false" outlineLevel="0" max="1024" min="15" style="6" width="11.57"/>
  </cols>
  <sheetData>
    <row r="1" customFormat="false" ht="14.25" hidden="false" customHeight="false" outlineLevel="0" collapsed="false">
      <c r="A1" s="7" t="s">
        <v>192</v>
      </c>
    </row>
    <row r="2" customFormat="false" ht="14.25" hidden="false" customHeight="false" outlineLevel="0" collapsed="false">
      <c r="F2" s="8"/>
      <c r="G2" s="8"/>
      <c r="H2" s="9"/>
      <c r="I2" s="9"/>
      <c r="J2" s="9"/>
      <c r="K2" s="9"/>
      <c r="L2" s="9"/>
      <c r="M2" s="9"/>
    </row>
    <row r="3" customFormat="false" ht="14.25" hidden="false" customHeight="false" outlineLevel="0" collapsed="false">
      <c r="A3" s="10" t="s">
        <v>193</v>
      </c>
      <c r="B3" s="11" t="s">
        <v>194</v>
      </c>
      <c r="C3" s="12" t="s">
        <v>195</v>
      </c>
      <c r="D3" s="11" t="s">
        <v>196</v>
      </c>
      <c r="E3" s="12" t="s">
        <v>197</v>
      </c>
      <c r="F3" s="11" t="s">
        <v>198</v>
      </c>
      <c r="G3" s="12" t="s">
        <v>199</v>
      </c>
      <c r="H3" s="11" t="s">
        <v>200</v>
      </c>
      <c r="I3" s="12" t="s">
        <v>201</v>
      </c>
      <c r="J3" s="11" t="s">
        <v>202</v>
      </c>
      <c r="K3" s="12" t="s">
        <v>203</v>
      </c>
      <c r="L3" s="11" t="s">
        <v>204</v>
      </c>
      <c r="M3" s="12" t="s">
        <v>205</v>
      </c>
      <c r="N3" s="11" t="s">
        <v>206</v>
      </c>
    </row>
    <row r="4" customFormat="false" ht="14.25" hidden="false" customHeight="false" outlineLevel="0" collapsed="false">
      <c r="A4" s="6" t="s">
        <v>89</v>
      </c>
      <c r="B4" s="13" t="s">
        <v>207</v>
      </c>
      <c r="C4" s="13" t="s">
        <v>207</v>
      </c>
      <c r="D4" s="13" t="s">
        <v>207</v>
      </c>
      <c r="E4" s="13" t="s">
        <v>207</v>
      </c>
      <c r="F4" s="13" t="s">
        <v>207</v>
      </c>
      <c r="G4" s="13" t="s">
        <v>207</v>
      </c>
      <c r="H4" s="14" t="s">
        <v>208</v>
      </c>
      <c r="I4" s="14" t="s">
        <v>209</v>
      </c>
      <c r="J4" s="13" t="s">
        <v>207</v>
      </c>
      <c r="K4" s="13" t="s">
        <v>207</v>
      </c>
      <c r="L4" s="13" t="s">
        <v>210</v>
      </c>
      <c r="M4" s="13" t="s">
        <v>210</v>
      </c>
      <c r="N4" s="14" t="str">
        <f aca="false">E_A1</f>
        <v>Wenn weder am Arbeitsplatz (bzw. im umliegenden öffentlichen Raum) noch am Wohnort der Nutzenden eine für mehrere Stunden nutzbare Lademöglichkeit besteht, ist die Beschaffung eines E-Autos nicht sinnvoll. In diesem Fall sollte ein möglichst sparsamer Verbrenner beschafft werden. 
Der Auf- und Ausbau von Ladeinfrastruktur ist jedoch unbedingt zu empfehlen, um in Zukunft E-Autos beschaffen zu können.</v>
      </c>
    </row>
    <row r="5" customFormat="false" ht="14.25" hidden="false" customHeight="false" outlineLevel="0" collapsed="false">
      <c r="A5" s="6" t="s">
        <v>89</v>
      </c>
      <c r="B5" s="6" t="s">
        <v>211</v>
      </c>
      <c r="C5" s="6" t="s">
        <v>212</v>
      </c>
      <c r="D5" s="6" t="s">
        <v>213</v>
      </c>
      <c r="E5" s="6" t="s">
        <v>214</v>
      </c>
      <c r="F5" s="13" t="s">
        <v>207</v>
      </c>
      <c r="G5" s="13" t="s">
        <v>207</v>
      </c>
      <c r="H5" s="13" t="s">
        <v>207</v>
      </c>
      <c r="I5" s="13" t="s">
        <v>207</v>
      </c>
      <c r="J5" s="14" t="s">
        <v>215</v>
      </c>
      <c r="K5" s="6" t="s">
        <v>156</v>
      </c>
      <c r="L5" s="13" t="s">
        <v>210</v>
      </c>
      <c r="M5" s="13" t="s">
        <v>210</v>
      </c>
      <c r="N5" s="6" t="str">
        <f aca="false">E_A2</f>
        <v>Ein E-Auto (BEV - rein batteriebetrieben) ist bevorzugt zu beschaffen, da Reichweiten bis 150 km mit den heute üblichen E-Pkw in der Regel erzielbar sind, sodass das Laden über Nacht ausreicht. 
Für einzelne Tagesstrecken über 150 km sollte idealerweise die Bahn oder der Fernbus genutzt werden. Bei schlechter Anbindung an den öffentlichen Verkehr oder mit viel Gepäck/Transportgut kann das E-Auto auch auf längeren Tagesstrecken zum Einsatz kommen, sofern unterwegs oder am Zielort (Schnell-)Lademöglichkeiten genutzt werden können. Besteht die Möglichkeit zum Laden nicht, kann in diesen Ausnahmefällen (falls vefügbar) ein anderes Fahrzeug mit entsprechender Reichweite aus dem Fuhrpark oder sonst ein Mietwagen genutzt werden.</v>
      </c>
    </row>
    <row r="6" customFormat="false" ht="14.25" hidden="false" customHeight="false" outlineLevel="0" collapsed="false">
      <c r="A6" s="6" t="s">
        <v>89</v>
      </c>
      <c r="B6" s="6" t="s">
        <v>211</v>
      </c>
      <c r="C6" s="6" t="s">
        <v>212</v>
      </c>
      <c r="D6" s="6" t="s">
        <v>213</v>
      </c>
      <c r="E6" s="6" t="s">
        <v>214</v>
      </c>
      <c r="F6" s="13" t="s">
        <v>207</v>
      </c>
      <c r="G6" s="13" t="s">
        <v>207</v>
      </c>
      <c r="H6" s="13" t="s">
        <v>207</v>
      </c>
      <c r="I6" s="13" t="s">
        <v>207</v>
      </c>
      <c r="J6" s="14" t="s">
        <v>215</v>
      </c>
      <c r="K6" s="6" t="s">
        <v>209</v>
      </c>
      <c r="L6" s="13" t="s">
        <v>210</v>
      </c>
      <c r="M6" s="13" t="s">
        <v>210</v>
      </c>
      <c r="N6" s="6" t="str">
        <f aca="false">E_A3</f>
        <v>Ein E-Auto (BEV - rein batteriebetrieben) ist bevorzugt zu beschaffen, da Reichweiten bis 150 km mit den heute üblichen E-Pkw in der Regel erzielbar sind, sodass das Laden über Nacht ausreicht. 
Für einzelne Tagesstrecken über 150 km sollte idealerweise die Bahn oder der Fernbus genutzt werden. Bei schlechter Anbindung an den öffentlichen Verkehr oder mit viel Gepäck/Transportgut kann das E-Auto auch auf längeren Tagesstrecken zum Einsatz kommen, sofern unterwegs oder am Zielort (Schnell-)Lademöglichkeiten genutzt werden können. Besteht die Möglichkeit zum Laden nicht, kann in diesen Ausnahmefällen ein Mietwagen genutzt werden.</v>
      </c>
    </row>
    <row r="7" customFormat="false" ht="14.25" hidden="false" customHeight="false" outlineLevel="0" collapsed="false">
      <c r="A7" s="6" t="s">
        <v>89</v>
      </c>
      <c r="B7" s="6" t="s">
        <v>211</v>
      </c>
      <c r="C7" s="6" t="s">
        <v>212</v>
      </c>
      <c r="D7" s="6" t="s">
        <v>213</v>
      </c>
      <c r="E7" s="6" t="s">
        <v>216</v>
      </c>
      <c r="F7" s="13" t="s">
        <v>207</v>
      </c>
      <c r="G7" s="13" t="s">
        <v>207</v>
      </c>
      <c r="H7" s="13" t="s">
        <v>207</v>
      </c>
      <c r="I7" s="13" t="s">
        <v>207</v>
      </c>
      <c r="J7" s="14" t="s">
        <v>215</v>
      </c>
      <c r="K7" s="6" t="s">
        <v>156</v>
      </c>
      <c r="L7" s="13" t="s">
        <v>210</v>
      </c>
      <c r="M7" s="13" t="s">
        <v>210</v>
      </c>
      <c r="N7" s="6" t="str">
        <f aca="false">E_A4</f>
        <v>Ein E-Auto (BEV - rein batteriebetrieben) ist bevorzugt zu beschaffen, da Reichweiten bis 150 km mit den heute üblichen E-Pkw in der Regel erzielbar sind, sodass das Laden über Nacht ausreicht. 
Wenn häufiger auch mal Tagesstrecken über 150 km zurückgelegt werden sollen und unterwegs oder am Zielort (Schnell-) Lademöglichkeiten genutzt werden können, kann das E-Auto auch auf diesen Strecken zum Einsatz kommen. Besteht die Möglichkeit zum Laden nicht, sollte geprüft werden, ob für die Einsatztage mit längeren Strecken regelmäßig ein anderes Fahrzeug mit entsprechender Reichweite aus dem Fuhrpark genutzt werden kann. Dieses Fahrzeug kann auch ein E-Auto mit größerer Batterie sein, da in höheren Preissegmenten reale 300 km Reichweite gängig sind. Zudem ist zu prüfen, ob die Tagesstrecken über 150 km tatsächlich zum Großteil mit dem Pkw zurückgelegt werden müssen (aufgrund schlechter Anbindung an den öffentlichen Verkehr oder viel Gepäck/Transportgut) oder ob mit Bahn oder Fernbus gereist werden kann.</v>
      </c>
    </row>
    <row r="8" customFormat="false" ht="14.25" hidden="false" customHeight="false" outlineLevel="0" collapsed="false">
      <c r="A8" s="6" t="s">
        <v>89</v>
      </c>
      <c r="B8" s="6" t="s">
        <v>211</v>
      </c>
      <c r="C8" s="6" t="s">
        <v>212</v>
      </c>
      <c r="D8" s="6" t="s">
        <v>213</v>
      </c>
      <c r="E8" s="6" t="s">
        <v>216</v>
      </c>
      <c r="F8" s="13" t="s">
        <v>207</v>
      </c>
      <c r="G8" s="13" t="s">
        <v>207</v>
      </c>
      <c r="H8" s="13" t="s">
        <v>207</v>
      </c>
      <c r="I8" s="13" t="s">
        <v>207</v>
      </c>
      <c r="J8" s="14" t="s">
        <v>215</v>
      </c>
      <c r="K8" s="6" t="s">
        <v>209</v>
      </c>
      <c r="L8" s="13" t="s">
        <v>210</v>
      </c>
      <c r="M8" s="13" t="s">
        <v>210</v>
      </c>
      <c r="N8" s="6" t="str">
        <f aca="false">E_A5</f>
        <v>Ein E-Auto (BEV - rein batteriebetrieben) ist bevorzugt zu beschaffen, da Reichweiten bis 150 km mit den heute üblichen E-Pkw in der Regel erzielbar sind, sodass das Laden über Nacht ausreicht. 
Wenn häufiger auch mal Tagesstrecken über 150 km zurückgelegt werden sollen und unterwegs oder am Zielort (Schnell-) Lademöglichkeiten genutzt werden können, kann das E-Auto auch auf diesen Strecken zum Einsatz kommen. Zudem ist zu prüfen, ob die Tagesstrecken über 150 km tatsächlich zum Großteil mit dem Pkw zurückgelegt werden müssen (aufgrund schlechter Anbindung an den öffentlichen Verkehr oder viel Gepäck/Transportgut) oder ob mit Bahn oder Fernbus gereist werden kann.
Ist dies nicht der Fall und besteht keine Möglichkeit zum Laden während längerer Strecken, kann die Beschaffung eines Plug-in-Hybrids (PHEV) sinnvoll sein. In diesem Fall sollte jedoch darauf geachtet werden, dass bei den kürzeren Strecken, die im Regelfall gefahren werden, ein elektrischer Fahranteil von über 70 % erzielt wird. Dazu muss ein regelmäßiges Laden gewährleistet sein. Zudem sind PHEVs eher in größeren Fahrzeugsegmenten verfügbar. Je nach Anwendungsfall kann ein kleiner, sparsamer Verbrenner auch aus Umweltsicht vorteilhaft ggü. einem PHEV sein. </v>
      </c>
    </row>
    <row r="9" customFormat="false" ht="14.25" hidden="false" customHeight="false" outlineLevel="0" collapsed="false">
      <c r="A9" s="6" t="s">
        <v>89</v>
      </c>
      <c r="B9" s="6" t="s">
        <v>211</v>
      </c>
      <c r="C9" s="15" t="s">
        <v>212</v>
      </c>
      <c r="D9" s="6" t="s">
        <v>213</v>
      </c>
      <c r="E9" s="15" t="s">
        <v>217</v>
      </c>
      <c r="F9" s="13" t="s">
        <v>207</v>
      </c>
      <c r="G9" s="13" t="s">
        <v>207</v>
      </c>
      <c r="H9" s="13" t="s">
        <v>207</v>
      </c>
      <c r="I9" s="13" t="s">
        <v>207</v>
      </c>
      <c r="J9" s="13" t="s">
        <v>207</v>
      </c>
      <c r="K9" s="13" t="s">
        <v>207</v>
      </c>
      <c r="L9" s="13" t="s">
        <v>210</v>
      </c>
      <c r="M9" s="13" t="s">
        <v>210</v>
      </c>
      <c r="N9" s="15" t="str">
        <f aca="false">E_A6</f>
        <v>Inkonsistente Eingabe: Die Aussage zur Häufigkeit längerer Strecken passt nicht mit der angegeben Streckenlänge eines repräsentativen Tages zusammen. Bitte passen Sie die Streckenlänge so an, dass sie den Fahrten im Regelfall entspricht.</v>
      </c>
    </row>
    <row r="10" customFormat="false" ht="14.25" hidden="false" customHeight="false" outlineLevel="0" collapsed="false">
      <c r="A10" s="6" t="s">
        <v>89</v>
      </c>
      <c r="B10" s="6" t="s">
        <v>211</v>
      </c>
      <c r="C10" s="15" t="s">
        <v>218</v>
      </c>
      <c r="D10" s="6" t="s">
        <v>213</v>
      </c>
      <c r="E10" s="15" t="s">
        <v>214</v>
      </c>
      <c r="F10" s="13" t="s">
        <v>207</v>
      </c>
      <c r="G10" s="13" t="s">
        <v>207</v>
      </c>
      <c r="H10" s="13" t="s">
        <v>207</v>
      </c>
      <c r="I10" s="13" t="s">
        <v>207</v>
      </c>
      <c r="J10" s="13" t="s">
        <v>207</v>
      </c>
      <c r="K10" s="13" t="s">
        <v>207</v>
      </c>
      <c r="L10" s="13" t="s">
        <v>210</v>
      </c>
      <c r="M10" s="13" t="s">
        <v>210</v>
      </c>
      <c r="N10" s="15" t="str">
        <f aca="false">E_A6</f>
        <v>Inkonsistente Eingabe: Die Aussage zur Häufigkeit längerer Strecken passt nicht mit der angegeben Streckenlänge eines repräsentativen Tages zusammen. Bitte passen Sie die Streckenlänge so an, dass sie den Fahrten im Regelfall entspricht.</v>
      </c>
    </row>
    <row r="11" customFormat="false" ht="14.25" hidden="false" customHeight="false" outlineLevel="0" collapsed="false">
      <c r="A11" s="6" t="s">
        <v>89</v>
      </c>
      <c r="B11" s="6" t="s">
        <v>211</v>
      </c>
      <c r="C11" s="6" t="s">
        <v>218</v>
      </c>
      <c r="D11" s="13" t="s">
        <v>207</v>
      </c>
      <c r="E11" s="13" t="s">
        <v>207</v>
      </c>
      <c r="F11" s="6" t="s">
        <v>219</v>
      </c>
      <c r="G11" s="6" t="s">
        <v>220</v>
      </c>
      <c r="H11" s="13" t="s">
        <v>207</v>
      </c>
      <c r="I11" s="13" t="s">
        <v>207</v>
      </c>
      <c r="J11" s="13" t="s">
        <v>207</v>
      </c>
      <c r="K11" s="13" t="s">
        <v>207</v>
      </c>
      <c r="L11" s="13" t="s">
        <v>210</v>
      </c>
      <c r="M11" s="13" t="s">
        <v>210</v>
      </c>
      <c r="N11" s="6" t="str">
        <f aca="false">E_A9</f>
        <v>Erlaubt die Terminplanung auf langen Strecken keine bzw. nur sehr kurze Fahrtunterbrechungen unter 30 min, ist die Beschaffung eines E-Autos nicht sinnvoll. In diesem Fall sollte ein möglichst sparsamer Verbrenner beschafft werden.</v>
      </c>
    </row>
    <row r="12" customFormat="false" ht="14.25" hidden="false" customHeight="false" outlineLevel="0" collapsed="false">
      <c r="A12" s="6" t="s">
        <v>89</v>
      </c>
      <c r="B12" s="6" t="s">
        <v>211</v>
      </c>
      <c r="C12" s="6" t="s">
        <v>218</v>
      </c>
      <c r="D12" s="6" t="s">
        <v>213</v>
      </c>
      <c r="E12" s="6" t="s">
        <v>216</v>
      </c>
      <c r="F12" s="6" t="s">
        <v>219</v>
      </c>
      <c r="G12" s="6" t="s">
        <v>221</v>
      </c>
      <c r="H12" s="6" t="s">
        <v>222</v>
      </c>
      <c r="I12" s="6" t="s">
        <v>156</v>
      </c>
      <c r="J12" s="13" t="s">
        <v>207</v>
      </c>
      <c r="K12" s="13" t="s">
        <v>207</v>
      </c>
      <c r="L12" s="13" t="s">
        <v>210</v>
      </c>
      <c r="M12" s="13" t="s">
        <v>210</v>
      </c>
      <c r="N12" s="6" t="str">
        <f aca="false">E_A8</f>
        <v>Ein E-Auto (BEV - rein batteriebetrieben) mit großer Reichweite ist ggf. geeignet. In höheren Preissegmenten ist eine Reichweite von 300 km gängig. Es sollte jedoch beachtet werden, dass dem Umweltvorteil eines BEV in der Nutzung die Herstellungsemissionen einer großen Batterie gegenüberstehen. Zudem sind große Batterien vor allem in größeren Fahrzeugen verbaut. Ein kleinerer, möglichst sparsamer Verbrenner kann in diesem Anwendungsfall aus Umweltsicht (und aus Kostensicht ohnehin) also durchaus vorteilhaft sein.</v>
      </c>
    </row>
    <row r="13" customFormat="false" ht="14.25" hidden="false" customHeight="false" outlineLevel="0" collapsed="false">
      <c r="A13" s="6" t="s">
        <v>89</v>
      </c>
      <c r="B13" s="6" t="s">
        <v>211</v>
      </c>
      <c r="C13" s="6" t="s">
        <v>218</v>
      </c>
      <c r="D13" s="13" t="s">
        <v>207</v>
      </c>
      <c r="E13" s="13" t="s">
        <v>207</v>
      </c>
      <c r="F13" s="6" t="s">
        <v>219</v>
      </c>
      <c r="G13" s="6" t="s">
        <v>221</v>
      </c>
      <c r="H13" s="6" t="s">
        <v>222</v>
      </c>
      <c r="I13" s="6" t="s">
        <v>209</v>
      </c>
      <c r="J13" s="13" t="s">
        <v>207</v>
      </c>
      <c r="K13" s="13" t="s">
        <v>207</v>
      </c>
      <c r="L13" s="13" t="s">
        <v>210</v>
      </c>
      <c r="M13" s="13" t="s">
        <v>210</v>
      </c>
      <c r="N13" s="6" t="str">
        <f aca="false">E_A10</f>
        <v>Bei vielen langen Strecken, auf denen keine Lademöglichkeit besteht, ist die Beschaffung eines E-Autos nicht sinnvoll. In diesem Fall sollte ein möglichst sparsamer Verbrenner beschafft werden.</v>
      </c>
    </row>
    <row r="14" customFormat="false" ht="14.25" hidden="false" customHeight="false" outlineLevel="0" collapsed="false">
      <c r="A14" s="6" t="s">
        <v>89</v>
      </c>
      <c r="B14" s="6" t="s">
        <v>211</v>
      </c>
      <c r="C14" s="6" t="s">
        <v>218</v>
      </c>
      <c r="D14" s="6" t="s">
        <v>213</v>
      </c>
      <c r="E14" s="6" t="s">
        <v>216</v>
      </c>
      <c r="F14" s="6" t="s">
        <v>219</v>
      </c>
      <c r="G14" s="6" t="s">
        <v>223</v>
      </c>
      <c r="H14" s="6" t="s">
        <v>222</v>
      </c>
      <c r="I14" s="6" t="s">
        <v>156</v>
      </c>
      <c r="J14" s="13" t="s">
        <v>207</v>
      </c>
      <c r="K14" s="13" t="s">
        <v>207</v>
      </c>
      <c r="L14" s="13" t="s">
        <v>210</v>
      </c>
      <c r="M14" s="13" t="s">
        <v>210</v>
      </c>
      <c r="N14" s="6" t="str">
        <f aca="false">E_A7</f>
        <v>Erlaubt die Terminplanung Fahrtunterbrechungen von mind. 20-40 min an Standorten mit (Schnell-)Lademöglichkeiten, ist ein E-Auto (BEV - rein batteriebetrieben) trotz häufiger längerer Strecken bevorzugt zu beschaffen. </v>
      </c>
    </row>
    <row r="15" customFormat="false" ht="14.25" hidden="false" customHeight="false" outlineLevel="0" collapsed="false">
      <c r="A15" s="6" t="s">
        <v>89</v>
      </c>
      <c r="B15" s="6" t="s">
        <v>211</v>
      </c>
      <c r="C15" s="6" t="s">
        <v>218</v>
      </c>
      <c r="D15" s="6" t="s">
        <v>213</v>
      </c>
      <c r="E15" s="6" t="s">
        <v>216</v>
      </c>
      <c r="F15" s="6" t="s">
        <v>219</v>
      </c>
      <c r="G15" s="6" t="s">
        <v>223</v>
      </c>
      <c r="H15" s="6" t="s">
        <v>222</v>
      </c>
      <c r="I15" s="6" t="s">
        <v>209</v>
      </c>
      <c r="J15" s="13" t="s">
        <v>207</v>
      </c>
      <c r="K15" s="13" t="s">
        <v>207</v>
      </c>
      <c r="L15" s="13" t="s">
        <v>210</v>
      </c>
      <c r="M15" s="13" t="s">
        <v>210</v>
      </c>
      <c r="N15" s="6" t="str">
        <f aca="false">E_A11</f>
        <v>Bei vielen langen Strecken, auf denen keine Lademöglichkeit besteht, ist die Beschaffung eines E-Autos nicht sinnvoll. In diesem Fall sollte ein möglichst sparsamer Verbrenner beschafft werden. 
Das Fahrprofil mit regelmäßigen längeren Fahrtunterbrechungen eignet sich an sich allerdings für E-Autos. Der weitere Ausbau der öffentlichen Ladeinfrastruktur oder die Wahl von Alternativrouten mit verfügbaren Ladesäulen kann also (in Zukunft) eine E-Auto-Beschaffung durchaus ermöglichen. </v>
      </c>
    </row>
    <row r="16" customFormat="false" ht="14.25" hidden="false" customHeight="false" outlineLevel="0" collapsed="false">
      <c r="A16" s="6" t="s">
        <v>89</v>
      </c>
      <c r="B16" s="6" t="s">
        <v>211</v>
      </c>
      <c r="C16" s="6" t="s">
        <v>218</v>
      </c>
      <c r="D16" s="6" t="s">
        <v>213</v>
      </c>
      <c r="E16" s="6" t="s">
        <v>217</v>
      </c>
      <c r="F16" s="6" t="s">
        <v>219</v>
      </c>
      <c r="G16" s="6" t="s">
        <v>221</v>
      </c>
      <c r="H16" s="6" t="s">
        <v>222</v>
      </c>
      <c r="I16" s="6" t="s">
        <v>156</v>
      </c>
      <c r="J16" s="13" t="s">
        <v>207</v>
      </c>
      <c r="K16" s="13" t="s">
        <v>207</v>
      </c>
      <c r="L16" s="13" t="s">
        <v>210</v>
      </c>
      <c r="M16" s="13" t="s">
        <v>210</v>
      </c>
      <c r="N16" s="6" t="str">
        <f aca="false">E_A8</f>
        <v>Ein E-Auto (BEV - rein batteriebetrieben) mit großer Reichweite ist ggf. geeignet. In höheren Preissegmenten ist eine Reichweite von 300 km gängig. Es sollte jedoch beachtet werden, dass dem Umweltvorteil eines BEV in der Nutzung die Herstellungsemissionen einer großen Batterie gegenüberstehen. Zudem sind große Batterien vor allem in größeren Fahrzeugen verbaut. Ein kleinerer, möglichst sparsamer Verbrenner kann in diesem Anwendungsfall aus Umweltsicht (und aus Kostensicht ohnehin) also durchaus vorteilhaft sein.</v>
      </c>
    </row>
    <row r="17" customFormat="false" ht="14.25" hidden="false" customHeight="false" outlineLevel="0" collapsed="false">
      <c r="A17" s="6" t="s">
        <v>89</v>
      </c>
      <c r="B17" s="6" t="s">
        <v>211</v>
      </c>
      <c r="C17" s="6" t="s">
        <v>218</v>
      </c>
      <c r="D17" s="6" t="s">
        <v>213</v>
      </c>
      <c r="E17" s="6" t="s">
        <v>217</v>
      </c>
      <c r="F17" s="6" t="s">
        <v>219</v>
      </c>
      <c r="G17" s="6" t="s">
        <v>223</v>
      </c>
      <c r="H17" s="6" t="s">
        <v>222</v>
      </c>
      <c r="I17" s="6" t="s">
        <v>156</v>
      </c>
      <c r="J17" s="13" t="s">
        <v>207</v>
      </c>
      <c r="K17" s="13" t="s">
        <v>207</v>
      </c>
      <c r="L17" s="13" t="s">
        <v>210</v>
      </c>
      <c r="M17" s="13" t="s">
        <v>210</v>
      </c>
      <c r="N17" s="6" t="str">
        <f aca="false">E_A8</f>
        <v>Ein E-Auto (BEV - rein batteriebetrieben) mit großer Reichweite ist ggf. geeignet. In höheren Preissegmenten ist eine Reichweite von 300 km gängig. Es sollte jedoch beachtet werden, dass dem Umweltvorteil eines BEV in der Nutzung die Herstellungsemissionen einer großen Batterie gegenüberstehen. Zudem sind große Batterien vor allem in größeren Fahrzeugen verbaut. Ein kleinerer, möglichst sparsamer Verbrenner kann in diesem Anwendungsfall aus Umweltsicht (und aus Kostensicht ohnehin) also durchaus vorteilhaft sein.</v>
      </c>
    </row>
    <row r="18" customFormat="false" ht="14.25" hidden="false" customHeight="false" outlineLevel="0" collapsed="false">
      <c r="A18" s="6" t="s">
        <v>89</v>
      </c>
      <c r="B18" s="6" t="s">
        <v>211</v>
      </c>
      <c r="C18" s="6" t="s">
        <v>218</v>
      </c>
      <c r="D18" s="6" t="s">
        <v>213</v>
      </c>
      <c r="E18" s="6" t="s">
        <v>217</v>
      </c>
      <c r="F18" s="6" t="s">
        <v>219</v>
      </c>
      <c r="G18" s="6" t="s">
        <v>223</v>
      </c>
      <c r="H18" s="6" t="s">
        <v>222</v>
      </c>
      <c r="I18" s="6" t="s">
        <v>209</v>
      </c>
      <c r="J18" s="13" t="s">
        <v>207</v>
      </c>
      <c r="K18" s="13" t="s">
        <v>207</v>
      </c>
      <c r="L18" s="13" t="s">
        <v>210</v>
      </c>
      <c r="M18" s="13" t="s">
        <v>210</v>
      </c>
      <c r="N18" s="6" t="str">
        <f aca="false">E_A11</f>
        <v>Bei vielen langen Strecken, auf denen keine Lademöglichkeit besteht, ist die Beschaffung eines E-Autos nicht sinnvoll. In diesem Fall sollte ein möglichst sparsamer Verbrenner beschafft werden. 
Das Fahrprofil mit regelmäßigen längeren Fahrtunterbrechungen eignet sich an sich allerdings für E-Autos. Der weitere Ausbau der öffentlichen Ladeinfrastruktur oder die Wahl von Alternativrouten mit verfügbaren Ladesäulen kann also (in Zukunft) eine E-Auto-Beschaffung durchaus ermöglichen. </v>
      </c>
    </row>
    <row r="19" customFormat="false" ht="14.25" hidden="false" customHeight="false" outlineLevel="0" collapsed="false">
      <c r="A19" s="6" t="s">
        <v>91</v>
      </c>
      <c r="B19" s="6" t="s">
        <v>224</v>
      </c>
      <c r="C19" s="14" t="s">
        <v>225</v>
      </c>
      <c r="D19" s="13" t="s">
        <v>207</v>
      </c>
      <c r="E19" s="13" t="s">
        <v>207</v>
      </c>
      <c r="F19" s="6" t="s">
        <v>226</v>
      </c>
      <c r="G19" s="6" t="s">
        <v>223</v>
      </c>
      <c r="H19" s="13" t="s">
        <v>207</v>
      </c>
      <c r="I19" s="13" t="s">
        <v>207</v>
      </c>
      <c r="J19" s="13" t="s">
        <v>207</v>
      </c>
      <c r="K19" s="13" t="s">
        <v>207</v>
      </c>
      <c r="L19" s="13" t="s">
        <v>207</v>
      </c>
      <c r="M19" s="13" t="s">
        <v>207</v>
      </c>
      <c r="N19" s="6" t="str">
        <f aca="false">E_F1</f>
        <v>Bei regelmäßigen aufwändigen Transportanforderungen ist ein Van oder ein Fahrzeug der Rubrik Utilities (Hochdachkombis, Kleinbusse und Pick-ups, die als Pkw zugelassen sind) notwendig.</v>
      </c>
    </row>
    <row r="20" customFormat="false" ht="14.25" hidden="false" customHeight="false" outlineLevel="0" collapsed="false">
      <c r="A20" s="6" t="s">
        <v>91</v>
      </c>
      <c r="B20" s="6" t="s">
        <v>224</v>
      </c>
      <c r="C20" s="14" t="s">
        <v>225</v>
      </c>
      <c r="D20" s="13" t="s">
        <v>207</v>
      </c>
      <c r="E20" s="13" t="s">
        <v>207</v>
      </c>
      <c r="F20" s="6" t="s">
        <v>226</v>
      </c>
      <c r="G20" s="6" t="s">
        <v>227</v>
      </c>
      <c r="H20" s="6" t="s">
        <v>228</v>
      </c>
      <c r="I20" s="6" t="s">
        <v>156</v>
      </c>
      <c r="J20" s="13" t="s">
        <v>207</v>
      </c>
      <c r="K20" s="13" t="s">
        <v>207</v>
      </c>
      <c r="L20" s="13" t="s">
        <v>207</v>
      </c>
      <c r="M20" s="13" t="s">
        <v>207</v>
      </c>
      <c r="N20" s="6" t="str">
        <f aca="false">E_F2</f>
        <v>Für die Leitungsebene besteht ggf. Anspruch auf ein Fahrzeug aus einem höheren Fahrzeugsegment. Trotzdem sollte aus Umweltgründen abgewogen werden, ob ein kleineres Fahrzeug geeignet ist und die Leitungsebene freiwillig auf diesen Anspruch verzichtet. </v>
      </c>
    </row>
    <row r="21" customFormat="false" ht="14.25" hidden="false" customHeight="false" outlineLevel="0" collapsed="false">
      <c r="A21" s="6" t="s">
        <v>91</v>
      </c>
      <c r="B21" s="6" t="s">
        <v>224</v>
      </c>
      <c r="C21" s="6" t="s">
        <v>229</v>
      </c>
      <c r="D21" s="13" t="s">
        <v>207</v>
      </c>
      <c r="E21" s="13" t="s">
        <v>207</v>
      </c>
      <c r="F21" s="6" t="s">
        <v>226</v>
      </c>
      <c r="G21" s="6" t="s">
        <v>230</v>
      </c>
      <c r="H21" s="6" t="s">
        <v>228</v>
      </c>
      <c r="I21" s="6" t="s">
        <v>209</v>
      </c>
      <c r="J21" s="13" t="s">
        <v>207</v>
      </c>
      <c r="K21" s="13" t="s">
        <v>207</v>
      </c>
      <c r="L21" s="14" t="s">
        <v>213</v>
      </c>
      <c r="M21" s="14" t="s">
        <v>214</v>
      </c>
      <c r="N21" s="6" t="str">
        <f aca="false">E_F3</f>
        <v>Aus Umweltsicht sollte bei einer Nutzung des Fahrzeugs durch max. zwei Personen idealerweise ein Kleinstwagen beschafft werden. Ist mehr Komfort und/oder Stauraum nötig, sollte genau abgewogen werden, welches Segment den Umweltansprüchen und der Vorbildfunktion der Institution entspricht.</v>
      </c>
    </row>
    <row r="22" customFormat="false" ht="14.25" hidden="false" customHeight="false" outlineLevel="0" collapsed="false">
      <c r="A22" s="6" t="s">
        <v>91</v>
      </c>
      <c r="B22" s="6" t="s">
        <v>224</v>
      </c>
      <c r="C22" s="6" t="s">
        <v>229</v>
      </c>
      <c r="D22" s="13" t="s">
        <v>207</v>
      </c>
      <c r="E22" s="13" t="s">
        <v>207</v>
      </c>
      <c r="F22" s="6" t="s">
        <v>226</v>
      </c>
      <c r="G22" s="6" t="s">
        <v>230</v>
      </c>
      <c r="H22" s="6" t="s">
        <v>228</v>
      </c>
      <c r="I22" s="6" t="s">
        <v>209</v>
      </c>
      <c r="J22" s="13" t="s">
        <v>207</v>
      </c>
      <c r="K22" s="13" t="s">
        <v>207</v>
      </c>
      <c r="L22" s="14" t="s">
        <v>213</v>
      </c>
      <c r="M22" s="14" t="s">
        <v>231</v>
      </c>
      <c r="N22" s="6" t="str">
        <f aca="false">E_F4</f>
        <v>Aus Umweltsicht sollte bei einer Nutzung des Fahrzeugs durch max. zwei Personen idealerweise ein Kleinstwagen beschafft werden. Ist (gerade bei vielen längeren Strecken) mehr Komfort und/oder Stauraum nötig, sollte genau abgewogen werden, welches Segment den Umweltansprüchen und der Vorbildfunktion der Institution entspricht.</v>
      </c>
    </row>
    <row r="23" customFormat="false" ht="14.25" hidden="false" customHeight="false" outlineLevel="0" collapsed="false">
      <c r="A23" s="6" t="s">
        <v>91</v>
      </c>
      <c r="B23" s="6" t="s">
        <v>224</v>
      </c>
      <c r="C23" s="6" t="s">
        <v>232</v>
      </c>
      <c r="D23" s="6" t="s">
        <v>233</v>
      </c>
      <c r="E23" s="6" t="s">
        <v>214</v>
      </c>
      <c r="F23" s="6" t="s">
        <v>226</v>
      </c>
      <c r="G23" s="6" t="s">
        <v>230</v>
      </c>
      <c r="H23" s="6" t="s">
        <v>228</v>
      </c>
      <c r="I23" s="6" t="s">
        <v>209</v>
      </c>
      <c r="J23" s="13" t="s">
        <v>207</v>
      </c>
      <c r="K23" s="13" t="s">
        <v>207</v>
      </c>
      <c r="L23" s="14" t="s">
        <v>213</v>
      </c>
      <c r="M23" s="14" t="s">
        <v>214</v>
      </c>
      <c r="N23" s="6" t="str">
        <f aca="false">E_F5</f>
        <v>Werden nur selten mehr als zwei Sitzplätze benötigt, sollte aus Umweltsicht bevorzugt ein Kleinwagen beschafft werden. Ist mehr Komfort und/oder Stauraum nötig, sollte genau abgewogen werden, welches Segment den Umweltansprüchen und der Vorbildfunktion der Institution entspricht.</v>
      </c>
    </row>
    <row r="24" customFormat="false" ht="14.25" hidden="false" customHeight="false" outlineLevel="0" collapsed="false">
      <c r="A24" s="6" t="s">
        <v>91</v>
      </c>
      <c r="B24" s="6" t="s">
        <v>224</v>
      </c>
      <c r="C24" s="6" t="s">
        <v>232</v>
      </c>
      <c r="D24" s="6" t="s">
        <v>233</v>
      </c>
      <c r="E24" s="6" t="s">
        <v>214</v>
      </c>
      <c r="F24" s="6" t="s">
        <v>226</v>
      </c>
      <c r="G24" s="6" t="s">
        <v>230</v>
      </c>
      <c r="H24" s="6" t="s">
        <v>228</v>
      </c>
      <c r="I24" s="6" t="s">
        <v>209</v>
      </c>
      <c r="J24" s="13" t="s">
        <v>207</v>
      </c>
      <c r="K24" s="13" t="s">
        <v>207</v>
      </c>
      <c r="L24" s="14" t="s">
        <v>213</v>
      </c>
      <c r="M24" s="14" t="s">
        <v>231</v>
      </c>
      <c r="N24" s="6" t="str">
        <f aca="false">E_F6</f>
        <v>Werden nur selten mehr als zwei Sitzplätze benötigt, sollte aus Umweltsicht bevorzugt ein Kleinwagen beschafft werden. Ist (gerade bei vielen längeren Strecken) mehr Komfort und/oder Stauraum nötig, sollte genau abgewogen werden, welches Segment den Umweltansprüchen und der Vorbildfunktion der Institution entspricht.</v>
      </c>
    </row>
    <row r="25" customFormat="false" ht="14.25" hidden="false" customHeight="false" outlineLevel="0" collapsed="false">
      <c r="A25" s="6" t="s">
        <v>91</v>
      </c>
      <c r="B25" s="6" t="s">
        <v>224</v>
      </c>
      <c r="C25" s="6" t="s">
        <v>232</v>
      </c>
      <c r="D25" s="6" t="s">
        <v>233</v>
      </c>
      <c r="E25" s="6" t="s">
        <v>216</v>
      </c>
      <c r="F25" s="6" t="s">
        <v>226</v>
      </c>
      <c r="G25" s="6" t="s">
        <v>230</v>
      </c>
      <c r="H25" s="6" t="s">
        <v>228</v>
      </c>
      <c r="I25" s="6" t="s">
        <v>209</v>
      </c>
      <c r="J25" s="13" t="s">
        <v>207</v>
      </c>
      <c r="K25" s="13" t="s">
        <v>207</v>
      </c>
      <c r="L25" s="13" t="s">
        <v>207</v>
      </c>
      <c r="M25" s="13" t="s">
        <v>207</v>
      </c>
      <c r="N25" s="6" t="str">
        <f aca="false">E_F7</f>
        <v>Werden häufig mehr als zwei Sitzplätze benötigt, sollte aus Umweltsicht bevorzugt ein Fahrzeug der Kompaktklasse beschafft werden. Ist mehr Komfort und/oder Stauraum nötig, sollte genau abgewogen werden, welches Segment den Umweltansprüchen und der Vorbildfunktion der Institution entspricht.</v>
      </c>
    </row>
    <row r="26" customFormat="false" ht="14.25" hidden="false" customHeight="false" outlineLevel="0" collapsed="false">
      <c r="A26" s="6" t="s">
        <v>91</v>
      </c>
      <c r="B26" s="6" t="s">
        <v>224</v>
      </c>
      <c r="C26" s="6" t="s">
        <v>232</v>
      </c>
      <c r="D26" s="6" t="s">
        <v>233</v>
      </c>
      <c r="E26" s="6" t="s">
        <v>217</v>
      </c>
      <c r="F26" s="6" t="s">
        <v>226</v>
      </c>
      <c r="G26" s="6" t="s">
        <v>230</v>
      </c>
      <c r="H26" s="6" t="s">
        <v>228</v>
      </c>
      <c r="I26" s="6" t="s">
        <v>209</v>
      </c>
      <c r="J26" s="13" t="s">
        <v>207</v>
      </c>
      <c r="K26" s="13" t="s">
        <v>207</v>
      </c>
      <c r="L26" s="13" t="s">
        <v>207</v>
      </c>
      <c r="M26" s="13" t="s">
        <v>207</v>
      </c>
      <c r="N26" s="6" t="str">
        <f aca="false">E_F8</f>
        <v>Auch wenn meistens bis zu vier Personen in dem Auto fahren, sollte aus Umweltsicht bevorzugt ein Fahrzeug der Kompaktklasse beschafft werden. Bereits in diesem Fahrzeugsegment gibt es viele Modelle mit ausreichend Platz für große Erwachsene auf der Rückbank. Ist mehr Komfort und/oder Stauraum nötig, sollte genau abgewogen werden, welches Segment den Umweltansprüchen und der Vorbildfunktion der Institution entspricht.</v>
      </c>
    </row>
    <row r="27" customFormat="false" ht="14.25" hidden="false" customHeight="false" outlineLevel="0" collapsed="false">
      <c r="A27" s="6" t="s">
        <v>91</v>
      </c>
      <c r="B27" s="6" t="s">
        <v>224</v>
      </c>
      <c r="C27" s="16" t="n">
        <v>5</v>
      </c>
      <c r="D27" s="6" t="s">
        <v>233</v>
      </c>
      <c r="E27" s="6" t="s">
        <v>214</v>
      </c>
      <c r="F27" s="6" t="s">
        <v>226</v>
      </c>
      <c r="G27" s="6" t="s">
        <v>230</v>
      </c>
      <c r="H27" s="6" t="s">
        <v>228</v>
      </c>
      <c r="I27" s="6" t="s">
        <v>209</v>
      </c>
      <c r="J27" s="13" t="s">
        <v>207</v>
      </c>
      <c r="K27" s="13" t="s">
        <v>207</v>
      </c>
      <c r="L27" s="13" t="s">
        <v>207</v>
      </c>
      <c r="M27" s="13" t="s">
        <v>207</v>
      </c>
      <c r="N27" s="6" t="str">
        <f aca="false">E_F9</f>
        <v>Wenn selten alle fünf Sitzplätze benötigt werden, sollte aus Umweltsicht bevorzugt ein Fahrzeug der Kompaktklasse beschafft werden. Bereits in diesem Fahrzeugsegment gibt es viele Modelle mit ausreichend Platz für große Erwachsene auf der Rückbank. Ist mehr Komfort und/oder Stauraum nötig, sollte genau abgewogen werden, welches Segment den Umweltansprüchen und der Vorbildfunktion der Institution entspricht.</v>
      </c>
    </row>
    <row r="28" customFormat="false" ht="14.25" hidden="false" customHeight="false" outlineLevel="0" collapsed="false">
      <c r="A28" s="6" t="s">
        <v>91</v>
      </c>
      <c r="B28" s="6" t="s">
        <v>224</v>
      </c>
      <c r="C28" s="16" t="n">
        <v>5</v>
      </c>
      <c r="D28" s="6" t="s">
        <v>233</v>
      </c>
      <c r="E28" s="6" t="s">
        <v>231</v>
      </c>
      <c r="F28" s="6" t="s">
        <v>226</v>
      </c>
      <c r="G28" s="6" t="s">
        <v>230</v>
      </c>
      <c r="H28" s="6" t="s">
        <v>228</v>
      </c>
      <c r="I28" s="6" t="s">
        <v>209</v>
      </c>
      <c r="J28" s="13" t="s">
        <v>207</v>
      </c>
      <c r="K28" s="13" t="s">
        <v>207</v>
      </c>
      <c r="L28" s="13" t="s">
        <v>207</v>
      </c>
      <c r="M28" s="13" t="s">
        <v>207</v>
      </c>
      <c r="N28" s="6" t="str">
        <f aca="false">E_F10</f>
        <v>Werden oft alle fünf Sitzplätze benötigt, ist ein Fahrzeug der Mittelklasse zu empfehlen.</v>
      </c>
    </row>
    <row r="29" customFormat="false" ht="14.25" hidden="false" customHeight="false" outlineLevel="0" collapsed="false">
      <c r="A29" s="6" t="s">
        <v>91</v>
      </c>
      <c r="B29" s="6" t="s">
        <v>224</v>
      </c>
      <c r="C29" s="6" t="s">
        <v>234</v>
      </c>
      <c r="D29" s="6" t="s">
        <v>233</v>
      </c>
      <c r="E29" s="6" t="s">
        <v>214</v>
      </c>
      <c r="F29" s="6" t="s">
        <v>226</v>
      </c>
      <c r="G29" s="6" t="s">
        <v>230</v>
      </c>
      <c r="H29" s="13" t="s">
        <v>207</v>
      </c>
      <c r="I29" s="13" t="s">
        <v>207</v>
      </c>
      <c r="J29" s="14" t="s">
        <v>215</v>
      </c>
      <c r="K29" s="6" t="s">
        <v>156</v>
      </c>
      <c r="L29" s="13" t="s">
        <v>207</v>
      </c>
      <c r="M29" s="13" t="s">
        <v>207</v>
      </c>
      <c r="N29" s="14" t="str">
        <f aca="false">E_F11</f>
        <v>Im betrachteten Beschaffungsfall sollte bei bis zu vier Personen aus Umweltsicht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Für die Ausnahmefälle, in denen über fünf Sitzplätze benötigt werden, kann ein Hochdachkombi (falls verfügbar) aus dem Fuhrpark verwendet oder sonst gemietet werden.</v>
      </c>
    </row>
    <row r="30" customFormat="false" ht="14.25" hidden="false" customHeight="false" outlineLevel="0" collapsed="false">
      <c r="A30" s="6" t="s">
        <v>91</v>
      </c>
      <c r="B30" s="6" t="s">
        <v>224</v>
      </c>
      <c r="C30" s="6" t="s">
        <v>234</v>
      </c>
      <c r="D30" s="6" t="s">
        <v>233</v>
      </c>
      <c r="E30" s="6" t="s">
        <v>214</v>
      </c>
      <c r="F30" s="6" t="s">
        <v>226</v>
      </c>
      <c r="G30" s="6" t="s">
        <v>230</v>
      </c>
      <c r="H30" s="13" t="s">
        <v>207</v>
      </c>
      <c r="I30" s="13" t="s">
        <v>207</v>
      </c>
      <c r="J30" s="14" t="s">
        <v>215</v>
      </c>
      <c r="K30" s="6" t="s">
        <v>209</v>
      </c>
      <c r="L30" s="13" t="s">
        <v>207</v>
      </c>
      <c r="M30" s="13" t="s">
        <v>207</v>
      </c>
      <c r="N30" s="14" t="str">
        <f aca="false">E_F12</f>
        <v>Im betrachteten Beschaffungsfall sollte bei bis zu vier Personen aus Umweltsicht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Für die Ausnahmefälle, in denen über fünf Sitzplätze benötigt werden, kann ein Hochdachkombi gemietet werden.</v>
      </c>
    </row>
    <row r="31" customFormat="false" ht="14.25" hidden="false" customHeight="false" outlineLevel="0" collapsed="false">
      <c r="A31" s="6" t="s">
        <v>91</v>
      </c>
      <c r="B31" s="6" t="s">
        <v>224</v>
      </c>
      <c r="C31" s="6" t="s">
        <v>234</v>
      </c>
      <c r="D31" s="6" t="s">
        <v>233</v>
      </c>
      <c r="E31" s="6" t="s">
        <v>214</v>
      </c>
      <c r="F31" s="6" t="s">
        <v>226</v>
      </c>
      <c r="G31" s="6" t="s">
        <v>223</v>
      </c>
      <c r="H31" s="13" t="s">
        <v>207</v>
      </c>
      <c r="I31" s="13" t="s">
        <v>207</v>
      </c>
      <c r="J31" s="14" t="s">
        <v>215</v>
      </c>
      <c r="K31" s="6" t="s">
        <v>156</v>
      </c>
      <c r="L31" s="13" t="s">
        <v>207</v>
      </c>
      <c r="M31" s="13" t="s">
        <v>207</v>
      </c>
      <c r="N31" s="14" t="str">
        <f aca="false">E_F13</f>
        <v>Wenn nur selten über fünf Sitzplätze benötigt werden, kann für diese Ausnahmefälle ein Hochdachkombi oder Kleinbus (falls verfügbar) aus dem Fuhrpark verwendet oder sonst gemietet werden. Bei regelmäßigen aufwändigen Transportanforderungen ist allerdings ohnehin ein Van oder ein Fahrzeug der Rubrik Utilities (Hochdachkombis, Kleinbusse und Pick-ups, die als Pkw zugelassen sind) notwendig. Bei der Wahl der Fahrzeugart ist also abzuwägen, ob der Personentransport (-&gt; Hochdachkombi, Kleinbus) oder der Transport von Gegenständen (-&gt; Van, Hochdachkombi, Pick-up) überwiegt.</v>
      </c>
    </row>
    <row r="32" customFormat="false" ht="14.25" hidden="false" customHeight="false" outlineLevel="0" collapsed="false">
      <c r="A32" s="6" t="s">
        <v>91</v>
      </c>
      <c r="B32" s="6" t="s">
        <v>224</v>
      </c>
      <c r="C32" s="6" t="s">
        <v>234</v>
      </c>
      <c r="D32" s="6" t="s">
        <v>233</v>
      </c>
      <c r="E32" s="6" t="s">
        <v>214</v>
      </c>
      <c r="F32" s="6" t="s">
        <v>226</v>
      </c>
      <c r="G32" s="6" t="s">
        <v>223</v>
      </c>
      <c r="H32" s="13" t="s">
        <v>207</v>
      </c>
      <c r="I32" s="13" t="s">
        <v>207</v>
      </c>
      <c r="J32" s="14" t="s">
        <v>215</v>
      </c>
      <c r="K32" s="6" t="s">
        <v>209</v>
      </c>
      <c r="L32" s="13" t="s">
        <v>207</v>
      </c>
      <c r="M32" s="13" t="s">
        <v>207</v>
      </c>
      <c r="N32" s="14" t="str">
        <f aca="false">E_F14</f>
        <v>Wenn nur selten über fünf Sitzplätze benötigt werden, kann für diese Ausnahmefälle ein Hochdachkombi oder Kleinbus gemietet werden. Bei regelmäßigen aufwändigen Transportanforderungen ist allerdings ohnehin ein Van oder ein Fahrzeug der Rubrik Utilities (Hochdachkombis, Kleinbusse und Pick-ups, die als Pkw zugelassen sind) notwendig. Bei der Wahl der Fahrzeugart ist also abzuwägen, ob der Personentransport (-&gt; Hochdachkombi, Kleinbus) oder der Transport von Gegenständen (-&gt; Van, Hochdachkombi, Pick-up) überwiegt.</v>
      </c>
    </row>
    <row r="33" customFormat="false" ht="14.25" hidden="false" customHeight="false" outlineLevel="0" collapsed="false">
      <c r="A33" s="6" t="s">
        <v>91</v>
      </c>
      <c r="B33" s="6" t="s">
        <v>224</v>
      </c>
      <c r="C33" s="6" t="s">
        <v>234</v>
      </c>
      <c r="D33" s="6" t="s">
        <v>233</v>
      </c>
      <c r="E33" s="6" t="s">
        <v>231</v>
      </c>
      <c r="F33" s="13" t="s">
        <v>207</v>
      </c>
      <c r="G33" s="13" t="s">
        <v>207</v>
      </c>
      <c r="H33" s="13" t="s">
        <v>207</v>
      </c>
      <c r="I33" s="13" t="s">
        <v>207</v>
      </c>
      <c r="J33" s="13" t="s">
        <v>207</v>
      </c>
      <c r="K33" s="13" t="s">
        <v>207</v>
      </c>
      <c r="L33" s="13" t="s">
        <v>207</v>
      </c>
      <c r="M33" s="13" t="s">
        <v>207</v>
      </c>
      <c r="N33" s="6" t="str">
        <f aca="false">E_F15</f>
        <v>Werden oft mind. sechs Sitzplätze benötigt, sollte ein Hochdachkombi beschafft werden. Diese Fahrzeugart hat unter den 7-Sitzern in der Regel das beste Preis-Leistungs-Verhältnis und fährt sparsamer als z.B. ein SUV.</v>
      </c>
    </row>
    <row r="34" customFormat="false" ht="14.25" hidden="false" customHeight="false" outlineLevel="0" collapsed="false">
      <c r="A34" s="6" t="s">
        <v>91</v>
      </c>
      <c r="B34" s="6" t="s">
        <v>224</v>
      </c>
      <c r="C34" s="6" t="s">
        <v>235</v>
      </c>
      <c r="D34" s="6" t="s">
        <v>233</v>
      </c>
      <c r="E34" s="6" t="s">
        <v>214</v>
      </c>
      <c r="F34" s="6" t="s">
        <v>226</v>
      </c>
      <c r="G34" s="6" t="s">
        <v>230</v>
      </c>
      <c r="H34" s="13" t="s">
        <v>207</v>
      </c>
      <c r="I34" s="13" t="s">
        <v>207</v>
      </c>
      <c r="J34" s="14" t="s">
        <v>215</v>
      </c>
      <c r="K34" s="6" t="s">
        <v>156</v>
      </c>
      <c r="L34" s="13" t="s">
        <v>207</v>
      </c>
      <c r="M34" s="13" t="s">
        <v>207</v>
      </c>
      <c r="N34" s="6" t="str">
        <f aca="false">E_F16</f>
        <v>Im betrachteten Beschaffungsfall sollte bei bis zu vier Personen aus Umweltsicht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Für die Ausnahmefälle, in denen über sieben Sitzplätze benötigt werden, kann ein Kleinbus (falls verfügbar) aus dem Fuhrpark verwendet oder sonst gemietet werden.</v>
      </c>
    </row>
    <row r="35" customFormat="false" ht="14.25" hidden="false" customHeight="false" outlineLevel="0" collapsed="false">
      <c r="A35" s="6" t="s">
        <v>91</v>
      </c>
      <c r="B35" s="6" t="s">
        <v>224</v>
      </c>
      <c r="C35" s="6" t="s">
        <v>235</v>
      </c>
      <c r="D35" s="6" t="s">
        <v>233</v>
      </c>
      <c r="E35" s="6" t="s">
        <v>214</v>
      </c>
      <c r="F35" s="6" t="s">
        <v>226</v>
      </c>
      <c r="G35" s="6" t="s">
        <v>230</v>
      </c>
      <c r="H35" s="13" t="s">
        <v>207</v>
      </c>
      <c r="I35" s="13" t="s">
        <v>207</v>
      </c>
      <c r="J35" s="14" t="s">
        <v>215</v>
      </c>
      <c r="K35" s="6" t="s">
        <v>209</v>
      </c>
      <c r="L35" s="13" t="s">
        <v>207</v>
      </c>
      <c r="M35" s="13" t="s">
        <v>207</v>
      </c>
      <c r="N35" s="6" t="str">
        <f aca="false">E_F17</f>
        <v>Im betrachteten Beschaffungsfall sollte bei bis zu vier Personen aus Umweltsicht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Für die Ausnahmefälle, in denen über sieben Sitzplätze benötigt werden, kann ein Kleinbus gemietet werden.</v>
      </c>
    </row>
    <row r="36" customFormat="false" ht="14.25" hidden="false" customHeight="false" outlineLevel="0" collapsed="false">
      <c r="A36" s="6" t="s">
        <v>91</v>
      </c>
      <c r="B36" s="6" t="s">
        <v>224</v>
      </c>
      <c r="C36" s="6" t="s">
        <v>235</v>
      </c>
      <c r="D36" s="6" t="s">
        <v>233</v>
      </c>
      <c r="E36" s="6" t="s">
        <v>214</v>
      </c>
      <c r="F36" s="6" t="s">
        <v>226</v>
      </c>
      <c r="G36" s="6" t="s">
        <v>223</v>
      </c>
      <c r="H36" s="13" t="s">
        <v>207</v>
      </c>
      <c r="I36" s="13" t="s">
        <v>207</v>
      </c>
      <c r="J36" s="14" t="s">
        <v>215</v>
      </c>
      <c r="K36" s="6" t="s">
        <v>156</v>
      </c>
      <c r="L36" s="13" t="s">
        <v>207</v>
      </c>
      <c r="M36" s="13" t="s">
        <v>207</v>
      </c>
      <c r="N36" s="6" t="str">
        <f aca="false">E_F18</f>
        <v>Wenn nur selten über sieben Sitzplätze benötigt werden, kann für diese Ausnahmefälle ein Kleinbus (falls verfügbar) aus dem Fuhrpark verwendet oder sonst gemietet werden. Bei regelmäßigen aufwändigen Transportanforderungen ist allerdings ohnehin ein Van oder ein Fahrzeug der Rubrik Utilities (Hochdachkombis, Kleinbusse und Pick-ups, die als Pkw zugelassen sind) notwendig. Bei der Wahl der Fahrzeugart ist also abzuwägen, ob der Personentransport (-&gt; Hochdachkombi, Kleinbus) oder der Transport von Gegenständen (-&gt; Van, Hochdachkombi, Pick-up) überwiegt.</v>
      </c>
    </row>
    <row r="37" customFormat="false" ht="14.25" hidden="false" customHeight="false" outlineLevel="0" collapsed="false">
      <c r="A37" s="6" t="s">
        <v>91</v>
      </c>
      <c r="B37" s="6" t="s">
        <v>224</v>
      </c>
      <c r="C37" s="6" t="s">
        <v>235</v>
      </c>
      <c r="D37" s="6" t="s">
        <v>233</v>
      </c>
      <c r="E37" s="6" t="s">
        <v>214</v>
      </c>
      <c r="F37" s="6" t="s">
        <v>226</v>
      </c>
      <c r="G37" s="6" t="s">
        <v>223</v>
      </c>
      <c r="H37" s="13" t="s">
        <v>207</v>
      </c>
      <c r="I37" s="13" t="s">
        <v>207</v>
      </c>
      <c r="J37" s="14" t="s">
        <v>215</v>
      </c>
      <c r="K37" s="6" t="s">
        <v>209</v>
      </c>
      <c r="L37" s="13" t="s">
        <v>207</v>
      </c>
      <c r="M37" s="13" t="s">
        <v>207</v>
      </c>
      <c r="N37" s="6" t="str">
        <f aca="false">E_F19</f>
        <v>Wenn nur selten über sieben Sitzplätze benötigt werden, kann für diese Ausnahmefälle ein Kleinbus gemietet werden. Bei regelmäßigen aufwändigen Transportanforderungen ist allerdings ohnehin ein Van oder ein Fahrzeug der Rubrik Utilities (Hochdachkombis, Kleinbusse und Pick-ups, die als Pkw zugelassen sind) notwendig. Bei der Wahl der Fahrzeugart ist also abzuwägen, ob der Personentransport (-&gt; Hochdachkombi, Kleinbus) oder der Transport von Gegenständen (-&gt; Van, Hochdachkombi, Pick-up) überwiegt.</v>
      </c>
    </row>
    <row r="38" customFormat="false" ht="14.25" hidden="false" customHeight="false" outlineLevel="0" collapsed="false">
      <c r="A38" s="6" t="s">
        <v>91</v>
      </c>
      <c r="B38" s="6" t="s">
        <v>224</v>
      </c>
      <c r="C38" s="6" t="s">
        <v>235</v>
      </c>
      <c r="D38" s="6" t="s">
        <v>233</v>
      </c>
      <c r="E38" s="6" t="s">
        <v>231</v>
      </c>
      <c r="F38" s="13" t="s">
        <v>207</v>
      </c>
      <c r="G38" s="13" t="s">
        <v>207</v>
      </c>
      <c r="H38" s="13" t="s">
        <v>207</v>
      </c>
      <c r="I38" s="13" t="s">
        <v>207</v>
      </c>
      <c r="J38" s="13" t="s">
        <v>207</v>
      </c>
      <c r="K38" s="13" t="s">
        <v>207</v>
      </c>
      <c r="L38" s="13" t="s">
        <v>207</v>
      </c>
      <c r="M38" s="13" t="s">
        <v>207</v>
      </c>
      <c r="N38" s="6" t="str">
        <f aca="false">E_F20</f>
        <v>Werden oft mind. acht Sitzplätze benötigt, sollte ein Kleinbus beschafft werden.</v>
      </c>
    </row>
    <row r="39" customFormat="false" ht="14.25" hidden="false" customHeight="false" outlineLevel="0" collapsed="false">
      <c r="A39" s="6" t="s">
        <v>91</v>
      </c>
      <c r="B39" s="6" t="s">
        <v>224</v>
      </c>
      <c r="C39" s="14" t="s">
        <v>225</v>
      </c>
      <c r="D39" s="13" t="s">
        <v>207</v>
      </c>
      <c r="E39" s="13" t="s">
        <v>207</v>
      </c>
      <c r="F39" s="6" t="s">
        <v>226</v>
      </c>
      <c r="G39" s="14" t="s">
        <v>236</v>
      </c>
      <c r="H39" s="14" t="s">
        <v>228</v>
      </c>
      <c r="I39" s="14" t="s">
        <v>156</v>
      </c>
      <c r="J39" s="14" t="s">
        <v>215</v>
      </c>
      <c r="K39" s="14" t="s">
        <v>156</v>
      </c>
      <c r="L39" s="13" t="s">
        <v>207</v>
      </c>
      <c r="M39" s="13" t="s">
        <v>207</v>
      </c>
      <c r="N39" s="6" t="str">
        <f aca="false">E_F21</f>
        <v>Für die Leitungsebene besteht ggf. Anspruch auf ein Fahrzeug aus einem höheren Fahrzeugsegment. Trotzdem sollte aus Umweltgründen abgewogen werden, ob ein kleineres Fahrzeug geeignet ist und die Leitungsebene freiwillig auf diesen Anspruch verzichtet. 
Wenn nur gelegentlich aufwändige Transportanforderungen bestehen, die einen Van/ein Fahrzeug aus der Rubrik Utilities nötig machen, kann für diese Ausnahmefälle ein entsprechendes Fahrzeug (falls verfügbar) aus dem Fuhrpark verwendet oder sonst gemietet werden. </v>
      </c>
    </row>
    <row r="40" customFormat="false" ht="14.25" hidden="false" customHeight="false" outlineLevel="0" collapsed="false">
      <c r="A40" s="6" t="s">
        <v>91</v>
      </c>
      <c r="B40" s="6" t="s">
        <v>224</v>
      </c>
      <c r="C40" s="14" t="s">
        <v>225</v>
      </c>
      <c r="D40" s="13" t="s">
        <v>207</v>
      </c>
      <c r="E40" s="13" t="s">
        <v>207</v>
      </c>
      <c r="F40" s="6" t="s">
        <v>226</v>
      </c>
      <c r="G40" s="14" t="s">
        <v>236</v>
      </c>
      <c r="H40" s="14" t="s">
        <v>228</v>
      </c>
      <c r="I40" s="14" t="s">
        <v>156</v>
      </c>
      <c r="J40" s="14" t="s">
        <v>215</v>
      </c>
      <c r="K40" s="14" t="s">
        <v>209</v>
      </c>
      <c r="L40" s="13" t="s">
        <v>207</v>
      </c>
      <c r="M40" s="13" t="s">
        <v>207</v>
      </c>
      <c r="N40" s="6" t="str">
        <f aca="false">E_F22</f>
        <v>Für die Leitungsebene besteht ggf. Anspruch auf ein Fahrzeug aus einem höheren Fahrzeugsegment. Trotzdem sollte aus Umweltgründen abgewogen werden, ob ein kleineres Fahrzeug geeignet ist und die Leitungsebene freiwillig auf diesen Anspruch verzichtet.
Wenn nur gelegentlich aufwändige Transportanforderungen bestehen, die einen Van/ein Fahrzeug aus der Rubrik Utilities nötig machen, kann für diese Ausnahmefälle ein entsprechendes Fahrzeug gemietet werden. </v>
      </c>
    </row>
    <row r="41" customFormat="false" ht="14.25" hidden="false" customHeight="false" outlineLevel="0" collapsed="false">
      <c r="A41" s="6" t="s">
        <v>91</v>
      </c>
      <c r="B41" s="6" t="s">
        <v>224</v>
      </c>
      <c r="C41" s="6" t="s">
        <v>229</v>
      </c>
      <c r="D41" s="13" t="s">
        <v>207</v>
      </c>
      <c r="E41" s="13" t="s">
        <v>207</v>
      </c>
      <c r="F41" s="6" t="s">
        <v>226</v>
      </c>
      <c r="G41" s="14" t="s">
        <v>236</v>
      </c>
      <c r="H41" s="14" t="s">
        <v>228</v>
      </c>
      <c r="I41" s="14" t="s">
        <v>209</v>
      </c>
      <c r="J41" s="14" t="s">
        <v>215</v>
      </c>
      <c r="K41" s="14" t="s">
        <v>156</v>
      </c>
      <c r="L41" s="14" t="s">
        <v>213</v>
      </c>
      <c r="M41" s="14" t="s">
        <v>214</v>
      </c>
      <c r="N41" s="6" t="str">
        <f aca="false">E_F23</f>
        <v>Aus Umweltsicht sollte bei einer Nutzung des Fahrzeugs durch max. zwei Personen idealerweise ein Kleinstwagen beschafft werden.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(falls verfügbar) aus dem Fuhrpark verwendet oder sonst gemietet werden. </v>
      </c>
    </row>
    <row r="42" customFormat="false" ht="14.25" hidden="false" customHeight="false" outlineLevel="0" collapsed="false">
      <c r="A42" s="6" t="s">
        <v>91</v>
      </c>
      <c r="B42" s="6" t="s">
        <v>224</v>
      </c>
      <c r="C42" s="6" t="s">
        <v>229</v>
      </c>
      <c r="D42" s="13" t="s">
        <v>207</v>
      </c>
      <c r="E42" s="13" t="s">
        <v>207</v>
      </c>
      <c r="F42" s="6" t="s">
        <v>226</v>
      </c>
      <c r="G42" s="14" t="s">
        <v>236</v>
      </c>
      <c r="H42" s="14" t="s">
        <v>228</v>
      </c>
      <c r="I42" s="14" t="s">
        <v>209</v>
      </c>
      <c r="J42" s="14" t="s">
        <v>215</v>
      </c>
      <c r="K42" s="14" t="s">
        <v>209</v>
      </c>
      <c r="L42" s="14" t="s">
        <v>213</v>
      </c>
      <c r="M42" s="14" t="s">
        <v>214</v>
      </c>
      <c r="N42" s="6" t="str">
        <f aca="false">E_F24</f>
        <v>Aus Umweltsicht sollte bei einer Nutzung des Fahrzeugs durch max. zwei Personen idealerweise ein Kleinstwagen beschafft werden.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gemietet werden. </v>
      </c>
    </row>
    <row r="43" customFormat="false" ht="14.25" hidden="false" customHeight="false" outlineLevel="0" collapsed="false">
      <c r="A43" s="6" t="s">
        <v>91</v>
      </c>
      <c r="B43" s="6" t="s">
        <v>224</v>
      </c>
      <c r="C43" s="6" t="s">
        <v>229</v>
      </c>
      <c r="D43" s="13" t="s">
        <v>207</v>
      </c>
      <c r="E43" s="13" t="s">
        <v>207</v>
      </c>
      <c r="F43" s="6" t="s">
        <v>226</v>
      </c>
      <c r="G43" s="14" t="s">
        <v>236</v>
      </c>
      <c r="H43" s="14" t="s">
        <v>228</v>
      </c>
      <c r="I43" s="14" t="s">
        <v>209</v>
      </c>
      <c r="J43" s="14" t="s">
        <v>215</v>
      </c>
      <c r="K43" s="14" t="s">
        <v>156</v>
      </c>
      <c r="L43" s="14" t="s">
        <v>213</v>
      </c>
      <c r="M43" s="14" t="s">
        <v>231</v>
      </c>
      <c r="N43" s="6" t="str">
        <f aca="false">E_F25</f>
        <v>Aus Umweltsicht sollte bei einer Nutzung des Fahrzeugs durch max. zwei Personen idealerweise ein Kleinstwagen beschafft werden. Ist (gerade bei vielen längeren Strecken) mehr Komfort und/oder Stauraum nötig sein,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(falls verfügbar) aus dem Fuhrpark verwendet oder sonst gemietet werden. </v>
      </c>
    </row>
    <row r="44" customFormat="false" ht="14.25" hidden="false" customHeight="false" outlineLevel="0" collapsed="false">
      <c r="A44" s="6" t="s">
        <v>91</v>
      </c>
      <c r="B44" s="6" t="s">
        <v>224</v>
      </c>
      <c r="C44" s="6" t="s">
        <v>229</v>
      </c>
      <c r="D44" s="13" t="s">
        <v>207</v>
      </c>
      <c r="E44" s="13" t="s">
        <v>207</v>
      </c>
      <c r="F44" s="6" t="s">
        <v>226</v>
      </c>
      <c r="G44" s="14" t="s">
        <v>236</v>
      </c>
      <c r="H44" s="14" t="s">
        <v>228</v>
      </c>
      <c r="I44" s="14" t="s">
        <v>209</v>
      </c>
      <c r="J44" s="14" t="s">
        <v>215</v>
      </c>
      <c r="K44" s="14" t="s">
        <v>209</v>
      </c>
      <c r="L44" s="14" t="s">
        <v>213</v>
      </c>
      <c r="M44" s="14" t="s">
        <v>231</v>
      </c>
      <c r="N44" s="6" t="str">
        <f aca="false">E_F26</f>
        <v>Aus Umweltsicht sollte bei einer Nutzung des Fahrzeugs durch max. zwei Personen idealerweise ein Kleinstwagen beschafft werden. Ist (gerade bei vielen längeren Strecken) mehr Komfort und/oder Stauraum nötig sein,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gemietet werden. </v>
      </c>
    </row>
    <row r="45" customFormat="false" ht="14.25" hidden="false" customHeight="false" outlineLevel="0" collapsed="false">
      <c r="A45" s="6" t="s">
        <v>91</v>
      </c>
      <c r="B45" s="6" t="s">
        <v>224</v>
      </c>
      <c r="C45" s="6" t="s">
        <v>232</v>
      </c>
      <c r="D45" s="6" t="s">
        <v>233</v>
      </c>
      <c r="E45" s="6" t="s">
        <v>214</v>
      </c>
      <c r="F45" s="6" t="s">
        <v>226</v>
      </c>
      <c r="G45" s="14" t="s">
        <v>236</v>
      </c>
      <c r="H45" s="14" t="s">
        <v>228</v>
      </c>
      <c r="I45" s="14" t="s">
        <v>209</v>
      </c>
      <c r="J45" s="14" t="s">
        <v>215</v>
      </c>
      <c r="K45" s="14" t="s">
        <v>156</v>
      </c>
      <c r="L45" s="14" t="s">
        <v>213</v>
      </c>
      <c r="M45" s="14" t="s">
        <v>214</v>
      </c>
      <c r="N45" s="6" t="str">
        <f aca="false">E_F27</f>
        <v>Werden nur selten mehr als zwei Sitzplätze benötigt, sollte aus Umweltsicht bevorzugt ein Kleinwagen beschafft werden.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(falls verfügbar) aus dem Fuhrpark verwendet oder sonst gemietet werden. </v>
      </c>
    </row>
    <row r="46" customFormat="false" ht="14.25" hidden="false" customHeight="false" outlineLevel="0" collapsed="false">
      <c r="A46" s="6" t="s">
        <v>91</v>
      </c>
      <c r="B46" s="6" t="s">
        <v>224</v>
      </c>
      <c r="C46" s="6" t="s">
        <v>232</v>
      </c>
      <c r="D46" s="6" t="s">
        <v>233</v>
      </c>
      <c r="E46" s="6" t="s">
        <v>214</v>
      </c>
      <c r="F46" s="6" t="s">
        <v>226</v>
      </c>
      <c r="G46" s="14" t="s">
        <v>236</v>
      </c>
      <c r="H46" s="14" t="s">
        <v>228</v>
      </c>
      <c r="I46" s="14" t="s">
        <v>209</v>
      </c>
      <c r="J46" s="14" t="s">
        <v>215</v>
      </c>
      <c r="K46" s="14" t="s">
        <v>209</v>
      </c>
      <c r="L46" s="14" t="s">
        <v>213</v>
      </c>
      <c r="M46" s="14" t="s">
        <v>214</v>
      </c>
      <c r="N46" s="6" t="str">
        <f aca="false">E_F28</f>
        <v>Werden nur selten mehr als zwei Sitzplätze benötigt, sollte aus Umweltsicht bevorzugt ein Kleinwagen beschafft werden.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gemietet werden. </v>
      </c>
    </row>
    <row r="47" customFormat="false" ht="14.25" hidden="false" customHeight="false" outlineLevel="0" collapsed="false">
      <c r="A47" s="6" t="s">
        <v>91</v>
      </c>
      <c r="B47" s="6" t="s">
        <v>224</v>
      </c>
      <c r="C47" s="6" t="s">
        <v>232</v>
      </c>
      <c r="D47" s="6" t="s">
        <v>233</v>
      </c>
      <c r="E47" s="6" t="s">
        <v>214</v>
      </c>
      <c r="F47" s="6" t="s">
        <v>226</v>
      </c>
      <c r="G47" s="14" t="s">
        <v>236</v>
      </c>
      <c r="H47" s="14" t="s">
        <v>228</v>
      </c>
      <c r="I47" s="14" t="s">
        <v>209</v>
      </c>
      <c r="J47" s="14" t="s">
        <v>215</v>
      </c>
      <c r="K47" s="14" t="s">
        <v>156</v>
      </c>
      <c r="L47" s="14" t="s">
        <v>213</v>
      </c>
      <c r="M47" s="14" t="s">
        <v>231</v>
      </c>
      <c r="N47" s="6" t="str">
        <f aca="false">E_F29</f>
        <v>Werden nur selten mehr als zwei Sitzplätze benötigt, sollte aus Umweltsicht bevorzugt ein Kleinwagen beschafft werden. Ist (gerade bei vielen längeren Strecken)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(falls verfügbar) aus dem Fuhrpark verwendet oder sonst gemietet werden. </v>
      </c>
    </row>
    <row r="48" customFormat="false" ht="14.25" hidden="false" customHeight="false" outlineLevel="0" collapsed="false">
      <c r="A48" s="6" t="s">
        <v>91</v>
      </c>
      <c r="B48" s="6" t="s">
        <v>224</v>
      </c>
      <c r="C48" s="6" t="s">
        <v>232</v>
      </c>
      <c r="D48" s="6" t="s">
        <v>233</v>
      </c>
      <c r="E48" s="6" t="s">
        <v>214</v>
      </c>
      <c r="F48" s="6" t="s">
        <v>226</v>
      </c>
      <c r="G48" s="14" t="s">
        <v>236</v>
      </c>
      <c r="H48" s="14" t="s">
        <v>228</v>
      </c>
      <c r="I48" s="14" t="s">
        <v>209</v>
      </c>
      <c r="J48" s="14" t="s">
        <v>215</v>
      </c>
      <c r="K48" s="14" t="s">
        <v>209</v>
      </c>
      <c r="L48" s="14" t="s">
        <v>213</v>
      </c>
      <c r="M48" s="14" t="s">
        <v>231</v>
      </c>
      <c r="N48" s="6" t="str">
        <f aca="false">E_F30</f>
        <v>Werden nur selten mehr als zwei Sitzplätze benötigt, sollte aus Umweltsicht bevorzugt ein Kleinwagen beschafft werden. Ist (gerade bei vielen längeren Strecken)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gemietet werden. </v>
      </c>
    </row>
    <row r="49" customFormat="false" ht="14.25" hidden="false" customHeight="false" outlineLevel="0" collapsed="false">
      <c r="A49" s="6" t="s">
        <v>91</v>
      </c>
      <c r="B49" s="6" t="s">
        <v>224</v>
      </c>
      <c r="C49" s="6" t="s">
        <v>232</v>
      </c>
      <c r="D49" s="6" t="s">
        <v>233</v>
      </c>
      <c r="E49" s="6" t="s">
        <v>216</v>
      </c>
      <c r="F49" s="6" t="s">
        <v>226</v>
      </c>
      <c r="G49" s="14" t="s">
        <v>236</v>
      </c>
      <c r="H49" s="14" t="s">
        <v>228</v>
      </c>
      <c r="I49" s="14" t="s">
        <v>209</v>
      </c>
      <c r="J49" s="14" t="s">
        <v>215</v>
      </c>
      <c r="K49" s="14" t="s">
        <v>156</v>
      </c>
      <c r="L49" s="13" t="s">
        <v>207</v>
      </c>
      <c r="M49" s="13" t="s">
        <v>207</v>
      </c>
      <c r="N49" s="6" t="str">
        <f aca="false">E_F31</f>
        <v>Werden häufig mehr als zwei Sitzplätze benötigt, sollte aus Umweltsicht bevorzugt ein Fahrzeug der Kompaktklasse beschafft werden.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(falls verfügbar) aus dem Fuhrpark verwendet oder sonst gemietet werden. </v>
      </c>
    </row>
    <row r="50" customFormat="false" ht="14.25" hidden="false" customHeight="false" outlineLevel="0" collapsed="false">
      <c r="A50" s="6" t="s">
        <v>91</v>
      </c>
      <c r="B50" s="6" t="s">
        <v>224</v>
      </c>
      <c r="C50" s="6" t="s">
        <v>232</v>
      </c>
      <c r="D50" s="6" t="s">
        <v>233</v>
      </c>
      <c r="E50" s="6" t="s">
        <v>216</v>
      </c>
      <c r="F50" s="6" t="s">
        <v>226</v>
      </c>
      <c r="G50" s="14" t="s">
        <v>236</v>
      </c>
      <c r="H50" s="14" t="s">
        <v>228</v>
      </c>
      <c r="I50" s="14" t="s">
        <v>209</v>
      </c>
      <c r="J50" s="14" t="s">
        <v>215</v>
      </c>
      <c r="K50" s="14" t="s">
        <v>209</v>
      </c>
      <c r="L50" s="13" t="s">
        <v>207</v>
      </c>
      <c r="M50" s="13" t="s">
        <v>207</v>
      </c>
      <c r="N50" s="6" t="str">
        <f aca="false">E_F32</f>
        <v>Werden häufig mehr als zwei Sitzplätze benötigt, sollte aus Umweltsicht bevorzugt ein Fahrzeug der Kompaktklasse beschafft werden.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gemietet werden. </v>
      </c>
    </row>
    <row r="51" customFormat="false" ht="14.25" hidden="false" customHeight="false" outlineLevel="0" collapsed="false">
      <c r="A51" s="6" t="s">
        <v>91</v>
      </c>
      <c r="B51" s="6" t="s">
        <v>224</v>
      </c>
      <c r="C51" s="6" t="s">
        <v>232</v>
      </c>
      <c r="D51" s="6" t="s">
        <v>233</v>
      </c>
      <c r="E51" s="6" t="s">
        <v>217</v>
      </c>
      <c r="F51" s="6" t="s">
        <v>226</v>
      </c>
      <c r="G51" s="14" t="s">
        <v>236</v>
      </c>
      <c r="H51" s="14" t="s">
        <v>228</v>
      </c>
      <c r="I51" s="14" t="s">
        <v>209</v>
      </c>
      <c r="J51" s="14" t="s">
        <v>215</v>
      </c>
      <c r="K51" s="14" t="s">
        <v>156</v>
      </c>
      <c r="L51" s="13" t="s">
        <v>207</v>
      </c>
      <c r="M51" s="13" t="s">
        <v>207</v>
      </c>
      <c r="N51" s="6" t="str">
        <f aca="false">E_F33</f>
        <v>Auch wenn meistens bis zu vier Personen in dem Auto fahren, sollte aus Umweltsicht bevorzugt ein Fahrzeug der Kompaktklasse beschafft werden. Bereits in diesem Fahrzeugsegment gibt es viele Modelle mit ausreichend Platz für große Erwachsene auf der Rückbank.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(falls verfügbar) aus dem Fuhrpark verwendet oder sonst gemietet werden. </v>
      </c>
    </row>
    <row r="52" customFormat="false" ht="14.25" hidden="false" customHeight="false" outlineLevel="0" collapsed="false">
      <c r="A52" s="6" t="s">
        <v>91</v>
      </c>
      <c r="B52" s="6" t="s">
        <v>224</v>
      </c>
      <c r="C52" s="6" t="s">
        <v>232</v>
      </c>
      <c r="D52" s="6" t="s">
        <v>233</v>
      </c>
      <c r="E52" s="6" t="s">
        <v>217</v>
      </c>
      <c r="F52" s="6" t="s">
        <v>226</v>
      </c>
      <c r="G52" s="14" t="s">
        <v>236</v>
      </c>
      <c r="H52" s="14" t="s">
        <v>228</v>
      </c>
      <c r="I52" s="14" t="s">
        <v>209</v>
      </c>
      <c r="J52" s="14" t="s">
        <v>215</v>
      </c>
      <c r="K52" s="14" t="s">
        <v>209</v>
      </c>
      <c r="L52" s="13" t="s">
        <v>207</v>
      </c>
      <c r="M52" s="13" t="s">
        <v>207</v>
      </c>
      <c r="N52" s="6" t="str">
        <f aca="false">E_F34</f>
        <v>Auch wenn meistens bis zu vier Personen in dem Auto fahren, sollte aus Umweltsicht bevorzugt ein Fahrzeug der Kompaktklasse beschafft werden. Bereits in diesem Fahrzeugsegment gibt es viele Modelle mit ausreichend Platz für große Erwachsene auf der Rückbank.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gemietet werden. </v>
      </c>
    </row>
    <row r="53" customFormat="false" ht="14.25" hidden="false" customHeight="false" outlineLevel="0" collapsed="false">
      <c r="A53" s="6" t="s">
        <v>91</v>
      </c>
      <c r="B53" s="6" t="s">
        <v>224</v>
      </c>
      <c r="C53" s="16" t="n">
        <v>5</v>
      </c>
      <c r="D53" s="6" t="s">
        <v>233</v>
      </c>
      <c r="E53" s="6" t="s">
        <v>214</v>
      </c>
      <c r="F53" s="6" t="s">
        <v>226</v>
      </c>
      <c r="G53" s="14" t="s">
        <v>236</v>
      </c>
      <c r="H53" s="14" t="s">
        <v>228</v>
      </c>
      <c r="I53" s="14" t="s">
        <v>209</v>
      </c>
      <c r="J53" s="14" t="s">
        <v>215</v>
      </c>
      <c r="K53" s="14" t="s">
        <v>156</v>
      </c>
      <c r="L53" s="13" t="s">
        <v>207</v>
      </c>
      <c r="M53" s="13" t="s">
        <v>207</v>
      </c>
      <c r="N53" s="6" t="str">
        <f aca="false">E_F35</f>
        <v>Wenn selten alle fünf Sitzplätze benötigt werden, sollte aus Umweltsicht bevorzugt ein Fahrzeug der Kompaktklasse beschafft werden. Bereits in diesem Fahrzeugsegment gibt es viele Modelle mit ausreichend Platz für große Erwachsene auf der Rückbank.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(falls verfügbar) aus dem Fuhrpark verwendet oder sonst gemietet werden. </v>
      </c>
    </row>
    <row r="54" customFormat="false" ht="14.25" hidden="false" customHeight="false" outlineLevel="0" collapsed="false">
      <c r="A54" s="6" t="s">
        <v>91</v>
      </c>
      <c r="B54" s="6" t="s">
        <v>224</v>
      </c>
      <c r="C54" s="16" t="n">
        <v>5</v>
      </c>
      <c r="D54" s="6" t="s">
        <v>233</v>
      </c>
      <c r="E54" s="6" t="s">
        <v>214</v>
      </c>
      <c r="F54" s="6" t="s">
        <v>226</v>
      </c>
      <c r="G54" s="14" t="s">
        <v>236</v>
      </c>
      <c r="H54" s="14" t="s">
        <v>228</v>
      </c>
      <c r="I54" s="14" t="s">
        <v>209</v>
      </c>
      <c r="J54" s="14" t="s">
        <v>215</v>
      </c>
      <c r="K54" s="14" t="s">
        <v>209</v>
      </c>
      <c r="L54" s="13" t="s">
        <v>207</v>
      </c>
      <c r="M54" s="13" t="s">
        <v>207</v>
      </c>
      <c r="N54" s="6" t="str">
        <f aca="false">E_F36</f>
        <v>Wenn selten alle fünf Sitzplätze benötigt werden, sollte aus Umweltsicht bevorzugt ein Fahrzeug der Kompaktklasse beschafft werden. Bereits in diesem Fahrzeugsegment gibt es viele Modelle mit ausreichend Platz für große Erwachsene auf der Rückbank.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gemietet werden. </v>
      </c>
    </row>
    <row r="55" customFormat="false" ht="14.25" hidden="false" customHeight="false" outlineLevel="0" collapsed="false">
      <c r="A55" s="6" t="s">
        <v>91</v>
      </c>
      <c r="B55" s="6" t="s">
        <v>224</v>
      </c>
      <c r="C55" s="16" t="n">
        <v>5</v>
      </c>
      <c r="D55" s="6" t="s">
        <v>233</v>
      </c>
      <c r="E55" s="6" t="s">
        <v>231</v>
      </c>
      <c r="F55" s="6" t="s">
        <v>226</v>
      </c>
      <c r="G55" s="14" t="s">
        <v>236</v>
      </c>
      <c r="H55" s="14" t="s">
        <v>228</v>
      </c>
      <c r="I55" s="14" t="s">
        <v>209</v>
      </c>
      <c r="J55" s="14" t="s">
        <v>215</v>
      </c>
      <c r="K55" s="14" t="s">
        <v>156</v>
      </c>
      <c r="L55" s="13" t="s">
        <v>207</v>
      </c>
      <c r="M55" s="13" t="s">
        <v>207</v>
      </c>
      <c r="N55" s="6" t="str">
        <f aca="false">E_F37</f>
        <v>Werden oft alle fünf Sitzplätze benötigt, ist ein Fahrzeug der Mittelklasse zu empfehlen.
Wenn nur gelegentlich aufwändige Transportanforderungen bestehen, die einen Van/ein Fahrzeug aus der Rubrik Utilities nötig machen, kann für diese Ausnahmefälle ein entsprechendes Fahrzeug (falls verfügbar) aus dem Fuhrpark verwendet oder sonst gemietet werden. </v>
      </c>
    </row>
    <row r="56" customFormat="false" ht="14.25" hidden="false" customHeight="false" outlineLevel="0" collapsed="false">
      <c r="A56" s="6" t="s">
        <v>91</v>
      </c>
      <c r="B56" s="6" t="s">
        <v>224</v>
      </c>
      <c r="C56" s="16" t="n">
        <v>5</v>
      </c>
      <c r="D56" s="6" t="s">
        <v>233</v>
      </c>
      <c r="E56" s="6" t="s">
        <v>231</v>
      </c>
      <c r="F56" s="6" t="s">
        <v>226</v>
      </c>
      <c r="G56" s="14" t="s">
        <v>236</v>
      </c>
      <c r="H56" s="14" t="s">
        <v>228</v>
      </c>
      <c r="I56" s="14" t="s">
        <v>209</v>
      </c>
      <c r="J56" s="14" t="s">
        <v>215</v>
      </c>
      <c r="K56" s="14" t="s">
        <v>209</v>
      </c>
      <c r="L56" s="13" t="s">
        <v>207</v>
      </c>
      <c r="M56" s="13" t="s">
        <v>207</v>
      </c>
      <c r="N56" s="6" t="str">
        <f aca="false">E_F38</f>
        <v>Werden oft alle fünf Sitzplätze benötigt, ist ein Fahrzeug der Mittelklasse zu empfehlen.
Wenn nur gelegentlich aufwändige Transportanforderungen bestehen, die einen Van/ein Fahrzeug aus der Rubrik Utilities nötig machen, kann für diese Ausnahmefälle ein entsprechendes Fahrzeug gemietet werden. </v>
      </c>
    </row>
    <row r="57" customFormat="false" ht="14.25" hidden="false" customHeight="false" outlineLevel="0" collapsed="false">
      <c r="A57" s="6" t="s">
        <v>91</v>
      </c>
      <c r="B57" s="6" t="s">
        <v>224</v>
      </c>
      <c r="C57" s="6" t="s">
        <v>234</v>
      </c>
      <c r="D57" s="6" t="s">
        <v>233</v>
      </c>
      <c r="E57" s="6" t="s">
        <v>214</v>
      </c>
      <c r="F57" s="6" t="s">
        <v>226</v>
      </c>
      <c r="G57" s="14" t="s">
        <v>236</v>
      </c>
      <c r="H57" s="17" t="s">
        <v>207</v>
      </c>
      <c r="I57" s="17" t="s">
        <v>207</v>
      </c>
      <c r="J57" s="14" t="s">
        <v>215</v>
      </c>
      <c r="K57" s="14" t="s">
        <v>156</v>
      </c>
      <c r="L57" s="13" t="s">
        <v>207</v>
      </c>
      <c r="M57" s="13" t="s">
        <v>207</v>
      </c>
      <c r="N57" s="14" t="str">
        <f aca="false">E_F39</f>
        <v>Im betrachteten Beschaffungsfall sollte bei bis zu vier Personen aus Umweltsicht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Für die Ausnahmefälle, in denen über fünf Sitzplätze benötigt werden/aufwändige Transportanforderungen bestehen, kann ein Hochdachkombi bzw. Van (falls verfügbar) aus dem Fuhrpark verwendet oder sonst gemietet werden.</v>
      </c>
    </row>
    <row r="58" customFormat="false" ht="14.25" hidden="false" customHeight="false" outlineLevel="0" collapsed="false">
      <c r="A58" s="6" t="s">
        <v>91</v>
      </c>
      <c r="B58" s="6" t="s">
        <v>224</v>
      </c>
      <c r="C58" s="6" t="s">
        <v>234</v>
      </c>
      <c r="D58" s="6" t="s">
        <v>233</v>
      </c>
      <c r="E58" s="6" t="s">
        <v>214</v>
      </c>
      <c r="F58" s="6" t="s">
        <v>226</v>
      </c>
      <c r="G58" s="14" t="s">
        <v>236</v>
      </c>
      <c r="H58" s="17" t="s">
        <v>207</v>
      </c>
      <c r="I58" s="17" t="s">
        <v>207</v>
      </c>
      <c r="J58" s="14" t="s">
        <v>215</v>
      </c>
      <c r="K58" s="14" t="s">
        <v>209</v>
      </c>
      <c r="L58" s="13" t="s">
        <v>207</v>
      </c>
      <c r="M58" s="13" t="s">
        <v>207</v>
      </c>
      <c r="N58" s="14" t="str">
        <f aca="false">E_F40</f>
        <v>Im betrachteten Beschaffungsfall sollte bei bis zu vier Personen aus Umweltsicht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Für die Ausnahmefälle, in denen über fünf Sitzplätze benötigt werden/aufwändige Transportanforderungen bestehen, kann ein Hochdachkombi bzw. Van gemietet werden.</v>
      </c>
    </row>
    <row r="59" customFormat="false" ht="14.25" hidden="false" customHeight="false" outlineLevel="0" collapsed="false">
      <c r="A59" s="6" t="s">
        <v>91</v>
      </c>
      <c r="B59" s="6" t="s">
        <v>224</v>
      </c>
      <c r="C59" s="6" t="s">
        <v>235</v>
      </c>
      <c r="D59" s="6" t="s">
        <v>233</v>
      </c>
      <c r="E59" s="6" t="s">
        <v>214</v>
      </c>
      <c r="F59" s="6" t="s">
        <v>226</v>
      </c>
      <c r="G59" s="14" t="s">
        <v>236</v>
      </c>
      <c r="H59" s="17" t="s">
        <v>207</v>
      </c>
      <c r="I59" s="17" t="s">
        <v>207</v>
      </c>
      <c r="J59" s="14" t="s">
        <v>215</v>
      </c>
      <c r="K59" s="14" t="s">
        <v>156</v>
      </c>
      <c r="L59" s="13" t="s">
        <v>207</v>
      </c>
      <c r="M59" s="13" t="s">
        <v>207</v>
      </c>
      <c r="N59" s="14" t="str">
        <f aca="false">E_F41</f>
        <v>Im betrachteten Beschaffungsfall sollte bei bis zu vier Personen aus Umweltsicht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Für die Ausnahmefälle, in denen über sieben Sitzplätze benötigt werden/aufwändige Transportanforderungen bestehen, kann ein Kleinbus bzw. Van (falls verfügbar) aus dem Fuhrpark verwendet oder sonst gemietet werden.</v>
      </c>
    </row>
    <row r="60" customFormat="false" ht="14.25" hidden="false" customHeight="false" outlineLevel="0" collapsed="false">
      <c r="A60" s="6" t="s">
        <v>91</v>
      </c>
      <c r="B60" s="6" t="s">
        <v>224</v>
      </c>
      <c r="C60" s="6" t="s">
        <v>235</v>
      </c>
      <c r="D60" s="6" t="s">
        <v>233</v>
      </c>
      <c r="E60" s="6" t="s">
        <v>214</v>
      </c>
      <c r="F60" s="6" t="s">
        <v>226</v>
      </c>
      <c r="G60" s="14" t="s">
        <v>236</v>
      </c>
      <c r="H60" s="17" t="s">
        <v>207</v>
      </c>
      <c r="I60" s="17" t="s">
        <v>207</v>
      </c>
      <c r="J60" s="14" t="s">
        <v>215</v>
      </c>
      <c r="K60" s="14" t="s">
        <v>209</v>
      </c>
      <c r="L60" s="13" t="s">
        <v>207</v>
      </c>
      <c r="M60" s="13" t="s">
        <v>207</v>
      </c>
      <c r="N60" s="14" t="str">
        <f aca="false">E_F42</f>
        <v>Im betrachteten Beschaffungsfall sollte bei bis zu vier Personen aus Umweltsicht bevorzugt ein Fahrzeug der Kompaktklasse beschafft werden. Bereits in diesem Fahrzeugsegment gibt es viele Modelle mit ausreichend Platz für große Erwachsene auf der Rückbank. Werden oft fünf Sitzplätze oder mehr Komfort/Stauraum benötigt, ist ein Fahrzeug der Mittelklasse zu empfehlen.
Für die Ausnahmefälle, in denen über sieben Sitzplätze benötigt werden/aufwändige Transportanforderungen bestehen, kann ein Kleinbus bzw. Van gemietet werden.</v>
      </c>
    </row>
  </sheetData>
  <mergeCells count="1">
    <mergeCell ref="F2:G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44"/>
  <sheetViews>
    <sheetView showFormulas="false" showGridLines="true" showRowColHeaders="true" showZeros="true" rightToLeft="false" tabSelected="false" showOutlineSymbols="true" defaultGridColor="true" view="normal" topLeftCell="A13" colorId="64" zoomScale="80" zoomScaleNormal="80" zoomScalePageLayoutView="100" workbookViewId="0">
      <selection pane="topLeft" activeCell="H20" activeCellId="0" sqref="H20"/>
    </sheetView>
  </sheetViews>
  <sheetFormatPr defaultColWidth="11.55859375" defaultRowHeight="13.5" zeroHeight="false" outlineLevelRow="0" outlineLevelCol="0"/>
  <cols>
    <col collapsed="false" customWidth="true" hidden="false" outlineLevel="0" max="1" min="1" style="18" width="7.86"/>
    <col collapsed="false" customWidth="true" hidden="false" outlineLevel="0" max="2" min="2" style="19" width="16.57"/>
    <col collapsed="false" customWidth="true" hidden="false" outlineLevel="0" max="3" min="3" style="19" width="25.71"/>
    <col collapsed="false" customWidth="true" hidden="false" outlineLevel="0" max="4" min="4" style="19" width="11.86"/>
    <col collapsed="false" customWidth="true" hidden="false" outlineLevel="0" max="5" min="5" style="19" width="40.43"/>
    <col collapsed="false" customWidth="true" hidden="false" outlineLevel="0" max="6" min="6" style="19" width="17.71"/>
    <col collapsed="false" customWidth="true" hidden="false" outlineLevel="0" max="8" min="7" style="19" width="25.71"/>
    <col collapsed="false" customWidth="true" hidden="false" outlineLevel="0" max="9" min="9" style="19" width="54.14"/>
    <col collapsed="false" customWidth="false" hidden="false" outlineLevel="0" max="1024" min="10" style="19" width="11.57"/>
  </cols>
  <sheetData>
    <row r="1" s="18" customFormat="true" ht="12" hidden="false" customHeight="true" outlineLevel="0" collapsed="false"/>
    <row r="2" s="18" customFormat="true" ht="13.5" hidden="false" customHeight="false" outlineLevel="0" collapsed="false">
      <c r="B2" s="20" t="s">
        <v>237</v>
      </c>
    </row>
    <row r="3" s="18" customFormat="true" ht="13.5" hidden="false" customHeight="false" outlineLevel="0" collapsed="false"/>
    <row r="4" s="24" customFormat="true" ht="13.5" hidden="false" customHeight="false" outlineLevel="0" collapsed="false">
      <c r="A4" s="21"/>
      <c r="B4" s="22" t="s">
        <v>238</v>
      </c>
      <c r="C4" s="23"/>
      <c r="D4" s="23"/>
      <c r="E4" s="23"/>
      <c r="F4" s="23"/>
    </row>
    <row r="5" s="18" customFormat="true" ht="13.5" hidden="false" customHeight="false" outlineLevel="0" collapsed="false"/>
    <row r="6" s="20" customFormat="true" ht="14.25" hidden="false" customHeight="false" outlineLevel="0" collapsed="false">
      <c r="A6" s="25" t="s">
        <v>239</v>
      </c>
      <c r="B6" s="26" t="s">
        <v>89</v>
      </c>
      <c r="C6" s="27"/>
      <c r="D6" s="27"/>
      <c r="E6" s="27"/>
      <c r="F6" s="27"/>
    </row>
    <row r="7" s="18" customFormat="true" ht="13.5" hidden="false" customHeight="false" outlineLevel="0" collapsed="false"/>
    <row r="8" s="18" customFormat="true" ht="33.75" hidden="false" customHeight="true" outlineLevel="0" collapsed="false">
      <c r="B8" s="28" t="s">
        <v>240</v>
      </c>
      <c r="C8" s="28"/>
      <c r="D8" s="28"/>
      <c r="E8" s="28"/>
      <c r="F8" s="28"/>
    </row>
    <row r="9" s="18" customFormat="true" ht="13.5" hidden="false" customHeight="false" outlineLevel="0" collapsed="false"/>
    <row r="10" s="18" customFormat="true" ht="45" hidden="false" customHeight="true" outlineLevel="0" collapsed="false">
      <c r="B10" s="29" t="s">
        <v>241</v>
      </c>
      <c r="C10" s="29"/>
      <c r="E10" s="30" t="s">
        <v>242</v>
      </c>
    </row>
    <row r="11" s="18" customFormat="true" ht="13.5" hidden="false" customHeight="false" outlineLevel="0" collapsed="false">
      <c r="A11" s="18" t="s">
        <v>243</v>
      </c>
      <c r="B11" s="31" t="n">
        <v>200</v>
      </c>
      <c r="C11" s="18" t="s">
        <v>244</v>
      </c>
      <c r="D11" s="32" t="s">
        <v>245</v>
      </c>
      <c r="E11" s="33" t="s">
        <v>216</v>
      </c>
      <c r="F11" s="34" t="s">
        <v>246</v>
      </c>
    </row>
    <row r="12" s="18" customFormat="true" ht="13.5" hidden="false" customHeight="false" outlineLevel="0" collapsed="false"/>
    <row r="13" s="18" customFormat="true" ht="14.25" hidden="false" customHeight="false" outlineLevel="0" collapsed="false">
      <c r="B13" s="18" t="s">
        <v>247</v>
      </c>
    </row>
    <row r="14" s="18" customFormat="true" ht="13.5" hidden="false" customHeight="false" outlineLevel="0" collapsed="false">
      <c r="A14" s="18" t="s">
        <v>248</v>
      </c>
      <c r="B14" s="33" t="s">
        <v>223</v>
      </c>
      <c r="C14" s="34" t="s">
        <v>246</v>
      </c>
    </row>
    <row r="15" s="18" customFormat="true" ht="13.5" hidden="false" customHeight="false" outlineLevel="0" collapsed="false"/>
    <row r="16" s="18" customFormat="true" ht="13.5" hidden="false" customHeight="false" outlineLevel="0" collapsed="false">
      <c r="B16" s="18" t="s">
        <v>249</v>
      </c>
    </row>
    <row r="17" s="18" customFormat="true" ht="13.5" hidden="false" customHeight="false" outlineLevel="0" collapsed="false">
      <c r="A17" s="18" t="s">
        <v>250</v>
      </c>
      <c r="B17" s="33" t="s">
        <v>156</v>
      </c>
      <c r="C17" s="34" t="s">
        <v>246</v>
      </c>
    </row>
    <row r="18" s="18" customFormat="true" ht="13.5" hidden="false" customHeight="false" outlineLevel="0" collapsed="false"/>
    <row r="19" s="18" customFormat="true" ht="13.5" hidden="false" customHeight="false" outlineLevel="0" collapsed="false">
      <c r="B19" s="18" t="s">
        <v>251</v>
      </c>
    </row>
    <row r="20" s="18" customFormat="true" ht="13.5" hidden="false" customHeight="false" outlineLevel="0" collapsed="false">
      <c r="A20" s="18" t="s">
        <v>252</v>
      </c>
      <c r="B20" s="33" t="s">
        <v>156</v>
      </c>
      <c r="C20" s="34" t="s">
        <v>246</v>
      </c>
    </row>
    <row r="21" s="18" customFormat="true" ht="13.5" hidden="false" customHeight="false" outlineLevel="0" collapsed="false"/>
    <row r="22" s="18" customFormat="true" ht="13.5" hidden="false" customHeight="false" outlineLevel="0" collapsed="false">
      <c r="B22" s="18" t="s">
        <v>253</v>
      </c>
    </row>
    <row r="23" s="18" customFormat="true" ht="13.5" hidden="false" customHeight="false" outlineLevel="0" collapsed="false">
      <c r="A23" s="18" t="s">
        <v>254</v>
      </c>
      <c r="B23" s="33" t="s">
        <v>209</v>
      </c>
      <c r="C23" s="34" t="s">
        <v>246</v>
      </c>
    </row>
    <row r="24" s="18" customFormat="true" ht="13.5" hidden="false" customHeight="false" outlineLevel="0" collapsed="false"/>
    <row r="25" s="18" customFormat="true" ht="13.5" hidden="false" customHeight="false" outlineLevel="0" collapsed="false">
      <c r="B25" s="20" t="s">
        <v>255</v>
      </c>
    </row>
    <row r="26" s="18" customFormat="true" ht="193.5" hidden="false" customHeight="true" outlineLevel="0" collapsed="false">
      <c r="A26" s="35" t="s">
        <v>256</v>
      </c>
      <c r="B26" s="36" t="str">
        <f aca="false">_xlfn.IFS(F_L1=A_JN2, E_A1, AND(F_R1&lt;=A_R1, F_S1=A_S1, F_F1=A_JN1), E_A2, AND(F_R1&lt;=A_R1, F_S1=A_S1, F_F1=A_JN2), E_A3, AND(F_R1&lt;=A_R1, F_S1=A_S2, F_F1=A_JN1), E_A4, AND(F_R1&lt;=A_R1, F_S1=A_S2, F_F1=A_JN2), E_A5, AND(F_R1&lt;=A_R1, F_S1=A_S3), E_A6, AND(F_R1&gt;A_R1, F_S1=A_S1), E_A6, AND(F_R1&gt;A_R1, F_SZ1=A_SV1), E_A9, AND(F_R1&gt;A_R1, F_S1=A_S2, F_SZ1=A_SV2, F_L2=A_JN1), E_A8, AND(F_R1&gt;A_R1, F_SZ1=A_SV2, F_L2=A_JN2), E_A10, AND(F_R1&gt;A_R1, F_S1=A_S2, F_SZ1=A_SV3, F_L2=A_JN1), E_A7, AND(F_R1&gt;A_R1, F_S1=A_S2, F_SZ1=A_SV3, F_L2=A_JN2), E_A11, AND(F_R1&gt;A_R1, F_S1=A_S3, F_SZ1=A_SV2, F_L2=A_JN1), E_A8, AND(F_R1&gt;A_R1, F_S1=A_S3, F_SZ1=A_SV3, F_L2=A_JN1), E_A8, AND(F_R1&gt;A_R1, F_S1=A_S3, F_SZ1=A_SV3, F_L2=A_JN2), E_A11, TRUE(), " ")</f>
        <v>Erlaubt die Terminplanung Fahrtunterbrechungen von mind. 20-40 min an Standorten mit (Schnell-)Lademöglichkeiten, ist ein E-Auto (BEV - rein batteriebetrieben) trotz häufiger längerer Strecken bevorzugt zu beschaffen. </v>
      </c>
      <c r="C26" s="36"/>
      <c r="D26" s="36"/>
      <c r="E26" s="36"/>
      <c r="F26" s="36"/>
    </row>
    <row r="27" s="18" customFormat="true" ht="13.5" hidden="false" customHeight="false" outlineLevel="0" collapsed="false"/>
    <row r="28" s="19" customFormat="true" ht="13.5" hidden="false" customHeight="false" outlineLevel="0" collapsed="false">
      <c r="B28" s="26" t="s">
        <v>91</v>
      </c>
      <c r="C28" s="27"/>
      <c r="D28" s="27"/>
      <c r="E28" s="27"/>
      <c r="F28" s="27"/>
    </row>
    <row r="29" s="18" customFormat="true" ht="13.5" hidden="false" customHeight="false" outlineLevel="0" collapsed="false"/>
    <row r="30" s="18" customFormat="true" ht="40.5" hidden="false" customHeight="true" outlineLevel="0" collapsed="false">
      <c r="B30" s="28" t="s">
        <v>257</v>
      </c>
      <c r="C30" s="28"/>
      <c r="D30" s="28"/>
      <c r="E30" s="28"/>
      <c r="F30" s="28"/>
    </row>
    <row r="31" s="18" customFormat="true" ht="13.5" hidden="false" customHeight="false" outlineLevel="0" collapsed="false"/>
    <row r="32" s="18" customFormat="true" ht="27" hidden="false" customHeight="true" outlineLevel="0" collapsed="false">
      <c r="B32" s="29" t="s">
        <v>258</v>
      </c>
      <c r="C32" s="29"/>
      <c r="E32" s="20" t="s">
        <v>259</v>
      </c>
    </row>
    <row r="33" s="18" customFormat="true" ht="13.5" hidden="false" customHeight="false" outlineLevel="0" collapsed="false">
      <c r="A33" s="18" t="s">
        <v>260</v>
      </c>
      <c r="B33" s="31" t="n">
        <v>3</v>
      </c>
      <c r="C33" s="18" t="s">
        <v>261</v>
      </c>
      <c r="D33" s="32" t="s">
        <v>262</v>
      </c>
      <c r="E33" s="33" t="s">
        <v>216</v>
      </c>
      <c r="F33" s="34" t="s">
        <v>246</v>
      </c>
    </row>
    <row r="34" s="18" customFormat="true" ht="13.5" hidden="false" customHeight="false" outlineLevel="0" collapsed="false">
      <c r="B34" s="37"/>
    </row>
    <row r="35" s="18" customFormat="true" ht="30" hidden="false" customHeight="true" outlineLevel="0" collapsed="false">
      <c r="A35" s="38" t="s">
        <v>263</v>
      </c>
      <c r="B35" s="29" t="s">
        <v>264</v>
      </c>
      <c r="C35" s="29"/>
      <c r="D35" s="29"/>
      <c r="E35" s="29"/>
    </row>
    <row r="36" s="18" customFormat="true" ht="13.5" hidden="false" customHeight="false" outlineLevel="0" collapsed="false">
      <c r="A36" s="18" t="s">
        <v>265</v>
      </c>
      <c r="B36" s="33" t="s">
        <v>236</v>
      </c>
      <c r="C36" s="34" t="s">
        <v>246</v>
      </c>
      <c r="E36" s="34"/>
      <c r="F36" s="34"/>
    </row>
    <row r="37" s="18" customFormat="true" ht="13.5" hidden="false" customHeight="false" outlineLevel="0" collapsed="false"/>
    <row r="38" s="18" customFormat="true" ht="13.5" hidden="false" customHeight="false" outlineLevel="0" collapsed="false">
      <c r="B38" s="18" t="s">
        <v>266</v>
      </c>
    </row>
    <row r="39" s="18" customFormat="true" ht="13.5" hidden="false" customHeight="false" outlineLevel="0" collapsed="false">
      <c r="A39" s="18" t="s">
        <v>267</v>
      </c>
      <c r="B39" s="33" t="s">
        <v>209</v>
      </c>
      <c r="C39" s="34" t="s">
        <v>246</v>
      </c>
    </row>
    <row r="40" s="18" customFormat="true" ht="13.5" hidden="false" customHeight="false" outlineLevel="0" collapsed="false"/>
    <row r="41" s="18" customFormat="true" ht="13.5" hidden="false" customHeight="false" outlineLevel="0" collapsed="false">
      <c r="B41" s="20" t="s">
        <v>268</v>
      </c>
    </row>
    <row r="42" s="18" customFormat="true" ht="102" hidden="false" customHeight="true" outlineLevel="0" collapsed="false">
      <c r="A42" s="35" t="s">
        <v>269</v>
      </c>
      <c r="B42" s="36" t="str">
        <f aca="false">_xlfn.IFS(AND(F_P1&lt;6, F_T1=A_T3), E_F1, AND(F_P1&lt;6, OR(F_T1=A_T1, ISBLANK(F_T1)), F_LE1=A_JN1), E_F2, AND(F_P1&gt;=1, F_P1&lt;=2, F_T1=A_T1, F_LE1=A_JN2, F_S1=A_S1), E_F3, AND(F_P1&gt;=1, F_P1&lt;=2, F_T1=A_T1, F_LE1=A_JN2, OR(F_S1=A_S2, F_S1=A_S3)), E_F4, AND(F_P1&gt;=3, F_P1&lt;=4, F_SP1=A_SP1, F_T1=A_T1, F_LE1=A_JN2, F_S1=A_S1), E_F5, AND(F_P1&gt;=3, F_P1&lt;=4, F_SP1=A_SP1, F_T1=A_T1, F_LE1=A_JN2, OR(F_S1=A_S2, F_S1=A_S3)), E_F6, AND(F_P1&gt;=3, F_P1&lt;=4, F_SP1=A_SP2, F_T1=A_T1, F_LE1=A_JN2), E_F7, AND(F_P1&gt;=3, F_P1&lt;=4, F_SP1=A_SP3, F_T1=A_T1, F_LE1=A_JN2), E_F8, AND(F_P1=5, F_SP1=A_SP1, F_T1=A_T1, F_LE1=A_JN2), E_F9, AND(F_P1=5, OR(F_SP1=A_SP2, F_SP1=A_SP3), F_T1=A_T1, F_LE1=A_JN2), E_F10, AND(F_P1&gt;=6, F_P1&lt;=7, F_SP1=A_SP1, F_T1=A_T1, F_F1=A_JN1), E_F11, AND(F_P1&gt;=6, F_P1&lt;=7, F_SP1=A_SP1, F_T1=A_T1, F_F1=A_JN2), E_F12, AND(F_P1&gt;=6, F_P1&lt;=7, F_SP1=A_SP1, F_T1=A_T3, F_F1=A_JN1), E_F13, AND(F_P1&gt;=6, F_P1&lt;=7, F_SP1=A_SP1, F_T1=A_T3, F_F1=A_JN2), E_F14, AND(F_P1&gt;=6, F_P1&lt;=7, OR(F_SP1=A_SP2, F_SP1=A_SP3)), E_F15, AND(F_P1&gt;=8, F_P1&lt;=9, F_SP1=A_SP1, F_T1=A_T1, F_F1=A_JN1), E_F16, AND(F_P1&gt;=8, F_P1&lt;=9, F_SP1=A_SP1, F_T1=A_T1, F_F1=A_JN2), E_F17, AND(F_P1&gt;=8, F_P1&lt;=9, F_SP1=A_SP1, F_T1=A_T3, F_F1=A_JN1), E_F18, AND(F_P1&gt;=8, F_P1&lt;=9, F_SP1=A_SP1, F_T1=A_T3, F_F1=A_JN2), E_F19, AND(F_P1&gt;=8, F_P1&lt;=9, OR(F_SP1=A_SP2, F_SP1=A_SP3)), E_F20, AND(F_P1&lt;6, F_T1=A_T2, F_LE1=A_JN1, F_F1=A_JN1), E_F21, AND(F_P1&lt;6, F_T1=A_T2, F_LE1=A_JN1, F_F1=A_JN2), E_F22, AND(F_P1&gt;=1, F_P1&lt;=2, F_T1=A_T2, F_LE1=A_JN2, F_F1=A_JN1, F_S1=A_S1), E_F23, AND(F_P1&gt;=1, F_P1&lt;=2, F_T1=A_T2, F_LE1=A_JN2, F_F1=A_JN2, F_S1=A_S1), E_F24, AND(F_P1&gt;=1, F_P1&lt;=2, F_T1=A_T2, F_LE1=A_JN2, F_F1=A_JN1, OR(F_S1=A_S2, F_S1=A_S3)), E_F25, AND(F_P1&gt;=1, F_P1&lt;=2, F_T1=A_T2, F_LE1=A_JN2, F_F1=A_JN2, OR(F_S1=A_S2, F_S1=A_S3)), E_F26, AND(F_P1&gt;=3, F_P1&lt;=4, F_SP1=A_SP1, F_T1=A_T2, F_LE1=A_JN2, F_F1=A_JN1, F_S1=A_S1), E_F27, AND(F_P1&gt;=3, F_P1&lt;=4, F_SP1=A_SP1, F_T1=A_T2, F_LE1=A_JN2, F_F1=A_JN2, F_S1=A_S1), E_F28, AND(F_P1&gt;=3, F_P1&lt;=4, F_SP1=A_SP1, F_T1=A_T2, F_LE1=A_JN2, F_F1=A_JN1, OR(F_S1=A_S2, F_S1=A_S3)), E_F29, AND(F_P1&gt;=3, F_P1&lt;=4, F_SP1=A_SP1, F_T1=A_T2, F_LE1=A_JN2, F_F1=A_JN2, OR(F_S1=A_S2, F_S1=A_S3)), E_F30, AND(F_P1&gt;=3, F_P1&lt;=4, F_SP1=A_SP2, F_T1=A_T2, F_LE1=A_JN2, F_F1=A_JN1), E_F31, AND(F_P1&gt;=3, F_P1&lt;=4, F_SP1=A_SP2, F_T1=A_T2, F_LE1=A_JN2, F_F1=A_JN2), E_F32, AND(F_P1&gt;=3, F_P1&lt;=4, F_SP1=A_SP3, F_T1=A_T2, F_LE1=A_JN2, F_F1=A_JN1), E_F33, AND(F_P1&gt;=3, F_P1&lt;=4, F_SP1=A_SP3, F_T1=A_T2, F_LE1=A_JN2, F_F1=A_JN2), E_F34, AND(F_P1=5, F_SP1=A_SP1, F_T1=A_T2, F_LE1=A_JN2, F_F1=A_JN1), E_F35, AND(F_P1=5, F_SP1=A_SP1, F_T1=A_T2, F_LE1=A_JN2, F_F1=A_JN2), E_F36, AND(F_P1=5, OR(F_SP1=A_SP2, F_SP1=A_SP3), F_T1=A_T2, F_LE1=A_JN2, F_F1=A_JN1), E_F37, AND(F_P1=5, OR(F_SP1=A_SP2, F_SP1=A_SP3), F_T1=A_T2, F_LE1=A_JN2, F_F1=A_JN2), E_F38, AND(F_P1&gt;=6, F_P1&lt;=7, F_SP1=A_SP1, F_T1=A_T2, F_F1=A_JN1), E_F39, AND(F_P1&gt;=6, F_P1&lt;=7, F_SP1=A_SP1, F_T1=A_T2, F_F1=A_JN2), E_F40, AND(F_P1&gt;=8, F_P1&lt;=9, F_SP1=A_SP1, F_T1=A_T2, F_F1=A_JN1), E_F41, AND(F_P1&gt;=8, F_P1&lt;=9, F_SP1=A_SP1, F_T1=A_T2, F_F1=A_JN2), E_F42, TRUE(), " ")</f>
        <v>Werden häufig mehr als zwei Sitzplätze benötigt, sollte aus Umweltsicht bevorzugt ein Fahrzeug der Kompaktklasse beschafft werden. Ist mehr Komfort und/oder Stauraum nötig, sollte genau abgewogen werden, welches Segment den Umweltansprüchen und der Vorbildfunktion der Institution entspricht.
Wenn nur gelegentlich aufwändige Transportanforderungen bestehen, die einen Van/ein Fahrzeug aus der Rubrik Utilities nötig machen, kann für diese Ausnahmefälle ein entsprechendes Fahrzeug gemietet werden. </v>
      </c>
      <c r="C42" s="36"/>
      <c r="D42" s="36"/>
      <c r="E42" s="36"/>
      <c r="F42" s="36"/>
    </row>
    <row r="43" s="18" customFormat="true" ht="13.5" hidden="false" customHeight="false" outlineLevel="0" collapsed="false"/>
    <row r="44" s="18" customFormat="true" ht="13.5" hidden="false" customHeight="false" outlineLevel="0" collapsed="false"/>
    <row r="45" s="18" customFormat="true" ht="13.5" hidden="false" customHeight="false" outlineLevel="0" collapsed="false"/>
    <row r="46" s="18" customFormat="true" ht="13.5" hidden="false" customHeight="false" outlineLevel="0" collapsed="false"/>
    <row r="47" s="18" customFormat="true" ht="13.5" hidden="false" customHeight="false" outlineLevel="0" collapsed="false"/>
    <row r="48" s="18" customFormat="true" ht="13.5" hidden="false" customHeight="false" outlineLevel="0" collapsed="false"/>
    <row r="49" s="18" customFormat="true" ht="13.5" hidden="false" customHeight="false" outlineLevel="0" collapsed="false"/>
    <row r="50" s="18" customFormat="true" ht="13.5" hidden="false" customHeight="false" outlineLevel="0" collapsed="false"/>
    <row r="51" s="18" customFormat="true" ht="13.5" hidden="false" customHeight="false" outlineLevel="0" collapsed="false"/>
    <row r="52" s="18" customFormat="true" ht="13.5" hidden="false" customHeight="false" outlineLevel="0" collapsed="false"/>
    <row r="53" s="18" customFormat="true" ht="13.5" hidden="false" customHeight="false" outlineLevel="0" collapsed="false"/>
    <row r="54" s="18" customFormat="true" ht="13.5" hidden="false" customHeight="false" outlineLevel="0" collapsed="false"/>
    <row r="55" s="18" customFormat="true" ht="13.5" hidden="false" customHeight="false" outlineLevel="0" collapsed="false"/>
    <row r="56" s="18" customFormat="true" ht="13.5" hidden="false" customHeight="false" outlineLevel="0" collapsed="false"/>
    <row r="57" s="18" customFormat="true" ht="13.5" hidden="false" customHeight="false" outlineLevel="0" collapsed="false"/>
    <row r="58" s="18" customFormat="true" ht="13.5" hidden="false" customHeight="false" outlineLevel="0" collapsed="false"/>
    <row r="59" s="18" customFormat="true" ht="13.5" hidden="false" customHeight="false" outlineLevel="0" collapsed="false"/>
    <row r="60" s="18" customFormat="true" ht="13.5" hidden="false" customHeight="false" outlineLevel="0" collapsed="false"/>
    <row r="61" s="18" customFormat="true" ht="13.5" hidden="false" customHeight="false" outlineLevel="0" collapsed="false"/>
    <row r="62" s="18" customFormat="true" ht="13.5" hidden="false" customHeight="false" outlineLevel="0" collapsed="false"/>
    <row r="63" s="18" customFormat="true" ht="13.5" hidden="false" customHeight="false" outlineLevel="0" collapsed="false"/>
    <row r="64" s="18" customFormat="true" ht="13.5" hidden="false" customHeight="false" outlineLevel="0" collapsed="false"/>
    <row r="65" s="18" customFormat="true" ht="13.5" hidden="false" customHeight="false" outlineLevel="0" collapsed="false"/>
    <row r="66" s="18" customFormat="true" ht="13.5" hidden="false" customHeight="false" outlineLevel="0" collapsed="false"/>
    <row r="67" s="18" customFormat="true" ht="13.5" hidden="false" customHeight="false" outlineLevel="0" collapsed="false"/>
    <row r="68" s="18" customFormat="true" ht="13.5" hidden="false" customHeight="false" outlineLevel="0" collapsed="false"/>
    <row r="69" s="18" customFormat="true" ht="13.5" hidden="false" customHeight="false" outlineLevel="0" collapsed="false"/>
    <row r="70" s="18" customFormat="true" ht="13.5" hidden="false" customHeight="false" outlineLevel="0" collapsed="false"/>
    <row r="71" s="18" customFormat="true" ht="13.5" hidden="false" customHeight="false" outlineLevel="0" collapsed="false"/>
    <row r="72" s="18" customFormat="true" ht="13.5" hidden="false" customHeight="false" outlineLevel="0" collapsed="false"/>
    <row r="73" s="18" customFormat="true" ht="13.5" hidden="false" customHeight="false" outlineLevel="0" collapsed="false"/>
    <row r="74" s="18" customFormat="true" ht="13.5" hidden="false" customHeight="false" outlineLevel="0" collapsed="false"/>
    <row r="75" s="18" customFormat="true" ht="13.5" hidden="false" customHeight="false" outlineLevel="0" collapsed="false"/>
    <row r="76" s="18" customFormat="true" ht="13.5" hidden="false" customHeight="false" outlineLevel="0" collapsed="false"/>
    <row r="77" s="18" customFormat="true" ht="13.5" hidden="false" customHeight="false" outlineLevel="0" collapsed="false"/>
    <row r="78" s="18" customFormat="true" ht="13.5" hidden="false" customHeight="false" outlineLevel="0" collapsed="false"/>
    <row r="79" s="18" customFormat="true" ht="13.5" hidden="false" customHeight="false" outlineLevel="0" collapsed="false"/>
    <row r="80" s="18" customFormat="true" ht="13.5" hidden="false" customHeight="false" outlineLevel="0" collapsed="false"/>
    <row r="81" s="18" customFormat="true" ht="13.5" hidden="false" customHeight="false" outlineLevel="0" collapsed="false"/>
    <row r="82" s="18" customFormat="true" ht="13.5" hidden="false" customHeight="false" outlineLevel="0" collapsed="false"/>
    <row r="83" s="18" customFormat="true" ht="13.5" hidden="false" customHeight="false" outlineLevel="0" collapsed="false"/>
    <row r="84" s="18" customFormat="true" ht="13.5" hidden="false" customHeight="false" outlineLevel="0" collapsed="false"/>
    <row r="85" s="18" customFormat="true" ht="13.5" hidden="false" customHeight="false" outlineLevel="0" collapsed="false"/>
    <row r="86" s="18" customFormat="true" ht="13.5" hidden="false" customHeight="false" outlineLevel="0" collapsed="false"/>
    <row r="87" s="18" customFormat="true" ht="13.5" hidden="false" customHeight="false" outlineLevel="0" collapsed="false"/>
    <row r="88" s="18" customFormat="true" ht="13.5" hidden="false" customHeight="false" outlineLevel="0" collapsed="false"/>
    <row r="89" s="18" customFormat="true" ht="13.5" hidden="false" customHeight="false" outlineLevel="0" collapsed="false"/>
    <row r="90" s="18" customFormat="true" ht="13.5" hidden="false" customHeight="false" outlineLevel="0" collapsed="false"/>
    <row r="91" s="18" customFormat="true" ht="13.5" hidden="false" customHeight="false" outlineLevel="0" collapsed="false"/>
    <row r="92" s="18" customFormat="true" ht="13.5" hidden="false" customHeight="false" outlineLevel="0" collapsed="false"/>
    <row r="93" s="18" customFormat="true" ht="13.5" hidden="false" customHeight="false" outlineLevel="0" collapsed="false"/>
    <row r="94" s="18" customFormat="true" ht="13.5" hidden="false" customHeight="false" outlineLevel="0" collapsed="false"/>
    <row r="95" s="18" customFormat="true" ht="13.5" hidden="false" customHeight="false" outlineLevel="0" collapsed="false"/>
    <row r="96" s="18" customFormat="true" ht="13.5" hidden="false" customHeight="false" outlineLevel="0" collapsed="false"/>
    <row r="97" s="18" customFormat="true" ht="13.5" hidden="false" customHeight="false" outlineLevel="0" collapsed="false"/>
    <row r="98" s="18" customFormat="true" ht="13.5" hidden="false" customHeight="false" outlineLevel="0" collapsed="false"/>
    <row r="99" s="18" customFormat="true" ht="13.5" hidden="false" customHeight="false" outlineLevel="0" collapsed="false"/>
    <row r="100" s="18" customFormat="true" ht="13.5" hidden="false" customHeight="false" outlineLevel="0" collapsed="false"/>
    <row r="101" s="18" customFormat="true" ht="13.5" hidden="false" customHeight="false" outlineLevel="0" collapsed="false"/>
    <row r="102" s="18" customFormat="true" ht="13.5" hidden="false" customHeight="false" outlineLevel="0" collapsed="false"/>
    <row r="103" s="18" customFormat="true" ht="13.5" hidden="false" customHeight="false" outlineLevel="0" collapsed="false"/>
    <row r="104" s="18" customFormat="true" ht="13.5" hidden="false" customHeight="false" outlineLevel="0" collapsed="false"/>
    <row r="105" s="18" customFormat="true" ht="13.5" hidden="false" customHeight="false" outlineLevel="0" collapsed="false"/>
    <row r="106" s="18" customFormat="true" ht="13.5" hidden="false" customHeight="false" outlineLevel="0" collapsed="false"/>
    <row r="107" s="18" customFormat="true" ht="13.5" hidden="false" customHeight="false" outlineLevel="0" collapsed="false"/>
    <row r="108" s="18" customFormat="true" ht="13.5" hidden="false" customHeight="false" outlineLevel="0" collapsed="false"/>
    <row r="109" s="18" customFormat="true" ht="13.5" hidden="false" customHeight="false" outlineLevel="0" collapsed="false"/>
    <row r="110" s="18" customFormat="true" ht="13.5" hidden="false" customHeight="false" outlineLevel="0" collapsed="false"/>
    <row r="111" s="18" customFormat="true" ht="13.5" hidden="false" customHeight="false" outlineLevel="0" collapsed="false"/>
    <row r="112" s="18" customFormat="true" ht="13.5" hidden="false" customHeight="false" outlineLevel="0" collapsed="false"/>
    <row r="113" s="18" customFormat="true" ht="13.5" hidden="false" customHeight="false" outlineLevel="0" collapsed="false"/>
    <row r="114" s="18" customFormat="true" ht="13.5" hidden="false" customHeight="false" outlineLevel="0" collapsed="false"/>
    <row r="115" s="18" customFormat="true" ht="13.5" hidden="false" customHeight="false" outlineLevel="0" collapsed="false"/>
    <row r="116" s="18" customFormat="true" ht="13.5" hidden="false" customHeight="false" outlineLevel="0" collapsed="false"/>
    <row r="117" s="18" customFormat="true" ht="13.5" hidden="false" customHeight="false" outlineLevel="0" collapsed="false"/>
    <row r="118" s="18" customFormat="true" ht="13.5" hidden="false" customHeight="false" outlineLevel="0" collapsed="false"/>
    <row r="119" s="18" customFormat="true" ht="13.5" hidden="false" customHeight="false" outlineLevel="0" collapsed="false"/>
    <row r="120" s="18" customFormat="true" ht="13.5" hidden="false" customHeight="false" outlineLevel="0" collapsed="false"/>
    <row r="121" s="18" customFormat="true" ht="13.5" hidden="false" customHeight="false" outlineLevel="0" collapsed="false"/>
    <row r="122" s="18" customFormat="true" ht="13.5" hidden="false" customHeight="false" outlineLevel="0" collapsed="false"/>
    <row r="123" s="18" customFormat="true" ht="13.5" hidden="false" customHeight="false" outlineLevel="0" collapsed="false"/>
    <row r="124" s="18" customFormat="true" ht="13.5" hidden="false" customHeight="false" outlineLevel="0" collapsed="false"/>
    <row r="125" s="18" customFormat="true" ht="13.5" hidden="false" customHeight="false" outlineLevel="0" collapsed="false"/>
    <row r="126" s="18" customFormat="true" ht="13.5" hidden="false" customHeight="false" outlineLevel="0" collapsed="false"/>
    <row r="127" s="18" customFormat="true" ht="13.5" hidden="false" customHeight="false" outlineLevel="0" collapsed="false"/>
    <row r="128" s="18" customFormat="true" ht="13.5" hidden="false" customHeight="false" outlineLevel="0" collapsed="false"/>
    <row r="129" s="18" customFormat="true" ht="13.5" hidden="false" customHeight="false" outlineLevel="0" collapsed="false"/>
    <row r="130" s="18" customFormat="true" ht="13.5" hidden="false" customHeight="false" outlineLevel="0" collapsed="false"/>
    <row r="131" s="18" customFormat="true" ht="13.5" hidden="false" customHeight="false" outlineLevel="0" collapsed="false"/>
    <row r="132" s="18" customFormat="true" ht="13.5" hidden="false" customHeight="false" outlineLevel="0" collapsed="false"/>
    <row r="133" s="18" customFormat="true" ht="13.5" hidden="false" customHeight="false" outlineLevel="0" collapsed="false"/>
    <row r="134" s="18" customFormat="true" ht="13.5" hidden="false" customHeight="false" outlineLevel="0" collapsed="false"/>
    <row r="135" s="18" customFormat="true" ht="13.5" hidden="false" customHeight="false" outlineLevel="0" collapsed="false"/>
    <row r="136" s="18" customFormat="true" ht="13.5" hidden="false" customHeight="false" outlineLevel="0" collapsed="false"/>
    <row r="137" s="18" customFormat="true" ht="13.5" hidden="false" customHeight="false" outlineLevel="0" collapsed="false"/>
    <row r="138" s="18" customFormat="true" ht="13.5" hidden="false" customHeight="false" outlineLevel="0" collapsed="false"/>
    <row r="139" s="18" customFormat="true" ht="13.5" hidden="false" customHeight="false" outlineLevel="0" collapsed="false"/>
    <row r="140" s="18" customFormat="true" ht="13.5" hidden="false" customHeight="false" outlineLevel="0" collapsed="false"/>
    <row r="141" s="18" customFormat="true" ht="13.5" hidden="false" customHeight="false" outlineLevel="0" collapsed="false"/>
    <row r="142" s="18" customFormat="true" ht="13.5" hidden="false" customHeight="false" outlineLevel="0" collapsed="false"/>
    <row r="143" s="18" customFormat="true" ht="13.5" hidden="false" customHeight="false" outlineLevel="0" collapsed="false"/>
    <row r="144" s="18" customFormat="true" ht="13.5" hidden="false" customHeight="false" outlineLevel="0" collapsed="false"/>
    <row r="145" s="18" customFormat="true" ht="13.5" hidden="false" customHeight="false" outlineLevel="0" collapsed="false"/>
    <row r="146" s="18" customFormat="true" ht="13.5" hidden="false" customHeight="false" outlineLevel="0" collapsed="false"/>
    <row r="147" s="18" customFormat="true" ht="13.5" hidden="false" customHeight="false" outlineLevel="0" collapsed="false"/>
    <row r="148" s="18" customFormat="true" ht="13.5" hidden="false" customHeight="false" outlineLevel="0" collapsed="false"/>
    <row r="149" s="18" customFormat="true" ht="13.5" hidden="false" customHeight="false" outlineLevel="0" collapsed="false"/>
    <row r="150" s="18" customFormat="true" ht="13.5" hidden="false" customHeight="false" outlineLevel="0" collapsed="false"/>
    <row r="151" s="18" customFormat="true" ht="13.5" hidden="false" customHeight="false" outlineLevel="0" collapsed="false"/>
    <row r="152" s="18" customFormat="true" ht="13.5" hidden="false" customHeight="false" outlineLevel="0" collapsed="false"/>
    <row r="153" s="18" customFormat="true" ht="13.5" hidden="false" customHeight="false" outlineLevel="0" collapsed="false"/>
    <row r="154" s="18" customFormat="true" ht="13.5" hidden="false" customHeight="false" outlineLevel="0" collapsed="false"/>
    <row r="155" s="18" customFormat="true" ht="13.5" hidden="false" customHeight="false" outlineLevel="0" collapsed="false"/>
    <row r="156" s="18" customFormat="true" ht="13.5" hidden="false" customHeight="false" outlineLevel="0" collapsed="false"/>
    <row r="157" s="18" customFormat="true" ht="13.5" hidden="false" customHeight="false" outlineLevel="0" collapsed="false"/>
    <row r="158" s="18" customFormat="true" ht="13.5" hidden="false" customHeight="false" outlineLevel="0" collapsed="false"/>
    <row r="159" s="18" customFormat="true" ht="13.5" hidden="false" customHeight="false" outlineLevel="0" collapsed="false"/>
    <row r="160" s="18" customFormat="true" ht="13.5" hidden="false" customHeight="false" outlineLevel="0" collapsed="false"/>
    <row r="161" s="18" customFormat="true" ht="13.5" hidden="false" customHeight="false" outlineLevel="0" collapsed="false"/>
    <row r="162" s="18" customFormat="true" ht="13.5" hidden="false" customHeight="false" outlineLevel="0" collapsed="false"/>
    <row r="163" s="18" customFormat="true" ht="13.5" hidden="false" customHeight="false" outlineLevel="0" collapsed="false"/>
    <row r="164" s="18" customFormat="true" ht="13.5" hidden="false" customHeight="false" outlineLevel="0" collapsed="false"/>
    <row r="165" s="18" customFormat="true" ht="13.5" hidden="false" customHeight="false" outlineLevel="0" collapsed="false"/>
    <row r="166" s="18" customFormat="true" ht="13.5" hidden="false" customHeight="false" outlineLevel="0" collapsed="false"/>
    <row r="167" s="18" customFormat="true" ht="13.5" hidden="false" customHeight="false" outlineLevel="0" collapsed="false"/>
    <row r="168" s="18" customFormat="true" ht="13.5" hidden="false" customHeight="false" outlineLevel="0" collapsed="false"/>
    <row r="169" s="18" customFormat="true" ht="13.5" hidden="false" customHeight="false" outlineLevel="0" collapsed="false"/>
    <row r="170" s="18" customFormat="true" ht="13.5" hidden="false" customHeight="false" outlineLevel="0" collapsed="false"/>
    <row r="171" s="18" customFormat="true" ht="13.5" hidden="false" customHeight="false" outlineLevel="0" collapsed="false"/>
    <row r="172" s="18" customFormat="true" ht="13.5" hidden="false" customHeight="false" outlineLevel="0" collapsed="false"/>
    <row r="173" s="18" customFormat="true" ht="13.5" hidden="false" customHeight="false" outlineLevel="0" collapsed="false"/>
    <row r="174" s="18" customFormat="true" ht="13.5" hidden="false" customHeight="false" outlineLevel="0" collapsed="false"/>
    <row r="175" s="18" customFormat="true" ht="13.5" hidden="false" customHeight="false" outlineLevel="0" collapsed="false"/>
    <row r="176" s="18" customFormat="true" ht="13.5" hidden="false" customHeight="false" outlineLevel="0" collapsed="false"/>
    <row r="177" s="18" customFormat="true" ht="13.5" hidden="false" customHeight="false" outlineLevel="0" collapsed="false"/>
    <row r="178" s="18" customFormat="true" ht="13.5" hidden="false" customHeight="false" outlineLevel="0" collapsed="false"/>
    <row r="179" s="18" customFormat="true" ht="13.5" hidden="false" customHeight="false" outlineLevel="0" collapsed="false"/>
    <row r="180" s="18" customFormat="true" ht="13.5" hidden="false" customHeight="false" outlineLevel="0" collapsed="false"/>
    <row r="181" s="18" customFormat="true" ht="13.5" hidden="false" customHeight="false" outlineLevel="0" collapsed="false"/>
    <row r="182" s="18" customFormat="true" ht="13.5" hidden="false" customHeight="false" outlineLevel="0" collapsed="false"/>
    <row r="183" s="18" customFormat="true" ht="13.5" hidden="false" customHeight="false" outlineLevel="0" collapsed="false"/>
    <row r="184" s="18" customFormat="true" ht="13.5" hidden="false" customHeight="false" outlineLevel="0" collapsed="false"/>
    <row r="185" s="18" customFormat="true" ht="13.5" hidden="false" customHeight="false" outlineLevel="0" collapsed="false"/>
    <row r="186" s="18" customFormat="true" ht="13.5" hidden="false" customHeight="false" outlineLevel="0" collapsed="false"/>
    <row r="187" s="18" customFormat="true" ht="13.5" hidden="false" customHeight="false" outlineLevel="0" collapsed="false"/>
    <row r="188" s="18" customFormat="true" ht="13.5" hidden="false" customHeight="false" outlineLevel="0" collapsed="false"/>
    <row r="189" s="18" customFormat="true" ht="13.5" hidden="false" customHeight="false" outlineLevel="0" collapsed="false"/>
    <row r="190" s="18" customFormat="true" ht="13.5" hidden="false" customHeight="false" outlineLevel="0" collapsed="false"/>
    <row r="191" s="18" customFormat="true" ht="13.5" hidden="false" customHeight="false" outlineLevel="0" collapsed="false"/>
    <row r="192" s="18" customFormat="true" ht="13.5" hidden="false" customHeight="false" outlineLevel="0" collapsed="false"/>
    <row r="193" s="18" customFormat="true" ht="13.5" hidden="false" customHeight="false" outlineLevel="0" collapsed="false"/>
    <row r="194" s="18" customFormat="true" ht="13.5" hidden="false" customHeight="false" outlineLevel="0" collapsed="false"/>
    <row r="195" s="18" customFormat="true" ht="13.5" hidden="false" customHeight="false" outlineLevel="0" collapsed="false"/>
    <row r="196" s="18" customFormat="true" ht="13.5" hidden="false" customHeight="false" outlineLevel="0" collapsed="false"/>
    <row r="197" s="18" customFormat="true" ht="13.5" hidden="false" customHeight="false" outlineLevel="0" collapsed="false"/>
    <row r="198" s="18" customFormat="true" ht="13.5" hidden="false" customHeight="false" outlineLevel="0" collapsed="false"/>
    <row r="199" s="18" customFormat="true" ht="13.5" hidden="false" customHeight="false" outlineLevel="0" collapsed="false"/>
    <row r="200" s="18" customFormat="true" ht="13.5" hidden="false" customHeight="false" outlineLevel="0" collapsed="false"/>
    <row r="201" s="18" customFormat="true" ht="13.5" hidden="false" customHeight="false" outlineLevel="0" collapsed="false"/>
    <row r="202" s="18" customFormat="true" ht="13.5" hidden="false" customHeight="false" outlineLevel="0" collapsed="false"/>
    <row r="203" s="18" customFormat="true" ht="13.5" hidden="false" customHeight="false" outlineLevel="0" collapsed="false"/>
    <row r="204" s="18" customFormat="true" ht="13.5" hidden="false" customHeight="false" outlineLevel="0" collapsed="false"/>
    <row r="205" s="18" customFormat="true" ht="13.5" hidden="false" customHeight="false" outlineLevel="0" collapsed="false"/>
    <row r="206" s="18" customFormat="true" ht="13.5" hidden="false" customHeight="false" outlineLevel="0" collapsed="false"/>
    <row r="207" s="18" customFormat="true" ht="13.5" hidden="false" customHeight="false" outlineLevel="0" collapsed="false"/>
    <row r="208" s="18" customFormat="true" ht="13.5" hidden="false" customHeight="false" outlineLevel="0" collapsed="false"/>
    <row r="209" s="18" customFormat="true" ht="13.5" hidden="false" customHeight="false" outlineLevel="0" collapsed="false"/>
    <row r="210" s="18" customFormat="true" ht="13.5" hidden="false" customHeight="false" outlineLevel="0" collapsed="false"/>
    <row r="211" s="18" customFormat="true" ht="13.5" hidden="false" customHeight="false" outlineLevel="0" collapsed="false"/>
    <row r="212" s="18" customFormat="true" ht="13.5" hidden="false" customHeight="false" outlineLevel="0" collapsed="false"/>
    <row r="213" s="18" customFormat="true" ht="13.5" hidden="false" customHeight="false" outlineLevel="0" collapsed="false"/>
    <row r="214" s="18" customFormat="true" ht="13.5" hidden="false" customHeight="false" outlineLevel="0" collapsed="false"/>
    <row r="215" s="18" customFormat="true" ht="13.5" hidden="false" customHeight="false" outlineLevel="0" collapsed="false"/>
    <row r="216" s="18" customFormat="true" ht="13.5" hidden="false" customHeight="false" outlineLevel="0" collapsed="false"/>
    <row r="217" s="18" customFormat="true" ht="13.5" hidden="false" customHeight="false" outlineLevel="0" collapsed="false"/>
    <row r="218" s="18" customFormat="true" ht="13.5" hidden="false" customHeight="false" outlineLevel="0" collapsed="false"/>
    <row r="219" s="18" customFormat="true" ht="13.5" hidden="false" customHeight="false" outlineLevel="0" collapsed="false"/>
    <row r="220" s="18" customFormat="true" ht="13.5" hidden="false" customHeight="false" outlineLevel="0" collapsed="false"/>
    <row r="221" s="18" customFormat="true" ht="13.5" hidden="false" customHeight="false" outlineLevel="0" collapsed="false"/>
    <row r="222" s="18" customFormat="true" ht="13.5" hidden="false" customHeight="false" outlineLevel="0" collapsed="false"/>
    <row r="223" s="18" customFormat="true" ht="13.5" hidden="false" customHeight="false" outlineLevel="0" collapsed="false"/>
    <row r="224" s="18" customFormat="true" ht="13.5" hidden="false" customHeight="false" outlineLevel="0" collapsed="false"/>
    <row r="225" s="18" customFormat="true" ht="13.5" hidden="false" customHeight="false" outlineLevel="0" collapsed="false"/>
    <row r="226" s="18" customFormat="true" ht="13.5" hidden="false" customHeight="false" outlineLevel="0" collapsed="false"/>
    <row r="227" s="18" customFormat="true" ht="13.5" hidden="false" customHeight="false" outlineLevel="0" collapsed="false"/>
    <row r="228" s="18" customFormat="true" ht="13.5" hidden="false" customHeight="false" outlineLevel="0" collapsed="false"/>
    <row r="229" s="18" customFormat="true" ht="13.5" hidden="false" customHeight="false" outlineLevel="0" collapsed="false"/>
    <row r="230" s="18" customFormat="true" ht="13.5" hidden="false" customHeight="false" outlineLevel="0" collapsed="false"/>
    <row r="231" s="18" customFormat="true" ht="13.5" hidden="false" customHeight="false" outlineLevel="0" collapsed="false"/>
    <row r="232" s="18" customFormat="true" ht="13.5" hidden="false" customHeight="false" outlineLevel="0" collapsed="false"/>
    <row r="233" s="18" customFormat="true" ht="13.5" hidden="false" customHeight="false" outlineLevel="0" collapsed="false"/>
    <row r="234" s="18" customFormat="true" ht="13.5" hidden="false" customHeight="false" outlineLevel="0" collapsed="false"/>
    <row r="235" s="18" customFormat="true" ht="13.5" hidden="false" customHeight="false" outlineLevel="0" collapsed="false"/>
    <row r="236" s="18" customFormat="true" ht="13.5" hidden="false" customHeight="false" outlineLevel="0" collapsed="false"/>
    <row r="237" s="18" customFormat="true" ht="13.5" hidden="false" customHeight="false" outlineLevel="0" collapsed="false"/>
    <row r="238" s="18" customFormat="true" ht="13.5" hidden="false" customHeight="false" outlineLevel="0" collapsed="false"/>
    <row r="239" s="18" customFormat="true" ht="13.5" hidden="false" customHeight="false" outlineLevel="0" collapsed="false"/>
    <row r="240" s="18" customFormat="true" ht="13.5" hidden="false" customHeight="false" outlineLevel="0" collapsed="false"/>
    <row r="241" s="18" customFormat="true" ht="13.5" hidden="false" customHeight="false" outlineLevel="0" collapsed="false"/>
    <row r="242" s="18" customFormat="true" ht="13.5" hidden="false" customHeight="false" outlineLevel="0" collapsed="false"/>
    <row r="243" s="18" customFormat="true" ht="13.5" hidden="false" customHeight="false" outlineLevel="0" collapsed="false"/>
    <row r="244" s="18" customFormat="true" ht="13.5" hidden="false" customHeight="false" outlineLevel="0" collapsed="false"/>
  </sheetData>
  <mergeCells count="7">
    <mergeCell ref="B8:F8"/>
    <mergeCell ref="B10:C10"/>
    <mergeCell ref="B26:F26"/>
    <mergeCell ref="B30:F30"/>
    <mergeCell ref="B32:C32"/>
    <mergeCell ref="B35:E35"/>
    <mergeCell ref="B42:F42"/>
  </mergeCells>
  <dataValidations count="7">
    <dataValidation allowBlank="true" errorStyle="stop" operator="between" showDropDown="false" showErrorMessage="true" showInputMessage="true" sqref="B33" type="whole">
      <formula1>1</formula1>
      <formula2>9</formula2>
    </dataValidation>
    <dataValidation allowBlank="true" errorStyle="stop" operator="between" showDropDown="false" showErrorMessage="true" showInputMessage="true" sqref="B17 B20 B23" type="list">
      <formula1>$B$7:$B$8</formula1>
      <formula2>0</formula2>
    </dataValidation>
    <dataValidation allowBlank="true" errorStyle="stop" operator="between" showDropDown="false" showErrorMessage="true" showInputMessage="true" sqref="B39" type="list">
      <formula1>Auswahllisten!$B$7:$B$8</formula1>
      <formula2>0</formula2>
    </dataValidation>
    <dataValidation allowBlank="true" errorStyle="stop" operator="between" showDropDown="false" showErrorMessage="true" showInputMessage="true" sqref="E11" type="list">
      <formula1>Auswahllisten!$B$11:$B$13</formula1>
      <formula2>0</formula2>
    </dataValidation>
    <dataValidation allowBlank="true" errorStyle="stop" operator="between" showDropDown="false" showErrorMessage="true" showInputMessage="true" sqref="B14" type="list">
      <formula1>Auswahllisten!$B$16:$B$18</formula1>
      <formula2>0</formula2>
    </dataValidation>
    <dataValidation allowBlank="true" errorStyle="stop" operator="between" showDropDown="false" showErrorMessage="true" showInputMessage="true" sqref="E33" type="list">
      <formula1>Auswahllisten!$B$21:$B$23</formula1>
      <formula2>0</formula2>
    </dataValidation>
    <dataValidation allowBlank="true" errorStyle="stop" operator="between" showDropDown="false" showErrorMessage="true" showInputMessage="true" sqref="B36" type="list">
      <formula1>Auswahllisten!$B$26:$B$28</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9"/>
  <sheetViews>
    <sheetView showFormulas="false" showGridLines="true" showRowColHeaders="true" showZeros="true" rightToLeft="false" tabSelected="false" showOutlineSymbols="true" defaultGridColor="true" view="normal" topLeftCell="A54" colorId="64" zoomScale="80" zoomScaleNormal="80" zoomScalePageLayoutView="100" workbookViewId="0">
      <selection pane="topLeft" activeCell="H67" activeCellId="0" sqref="H67"/>
    </sheetView>
  </sheetViews>
  <sheetFormatPr defaultColWidth="11.55859375" defaultRowHeight="13.5" zeroHeight="false" outlineLevelRow="0" outlineLevelCol="0"/>
  <cols>
    <col collapsed="false" customWidth="true" hidden="false" outlineLevel="0" max="1" min="1" style="18" width="7.86"/>
    <col collapsed="false" customWidth="true" hidden="false" outlineLevel="0" max="2" min="2" style="19" width="12.43"/>
    <col collapsed="false" customWidth="true" hidden="false" outlineLevel="0" max="3" min="3" style="19" width="2.14"/>
    <col collapsed="false" customWidth="true" hidden="false" outlineLevel="0" max="4" min="4" style="19" width="7.72"/>
    <col collapsed="false" customWidth="true" hidden="false" outlineLevel="0" max="5" min="5" style="19" width="11"/>
    <col collapsed="false" customWidth="true" hidden="false" outlineLevel="0" max="6" min="6" style="19" width="22"/>
    <col collapsed="false" customWidth="true" hidden="false" outlineLevel="0" max="7" min="7" style="19" width="6.43"/>
    <col collapsed="false" customWidth="true" hidden="false" outlineLevel="0" max="8" min="8" style="19" width="25.71"/>
    <col collapsed="false" customWidth="true" hidden="false" outlineLevel="0" max="9" min="9" style="19" width="51"/>
    <col collapsed="false" customWidth="true" hidden="false" outlineLevel="0" max="10" min="10" style="19" width="54.14"/>
    <col collapsed="false" customWidth="false" hidden="false" outlineLevel="0" max="1024" min="11" style="19" width="11.57"/>
  </cols>
  <sheetData>
    <row r="1" s="18" customFormat="true" ht="12" hidden="false" customHeight="true" outlineLevel="0" collapsed="false"/>
    <row r="2" s="18" customFormat="true" ht="13.5" hidden="false" customHeight="false" outlineLevel="0" collapsed="false">
      <c r="B2" s="20" t="s">
        <v>270</v>
      </c>
      <c r="C2" s="20"/>
    </row>
    <row r="3" s="18" customFormat="true" ht="13.5" hidden="false" customHeight="false" outlineLevel="0" collapsed="false"/>
    <row r="4" s="24" customFormat="true" ht="13.5" hidden="false" customHeight="false" outlineLevel="0" collapsed="false">
      <c r="B4" s="22" t="s">
        <v>271</v>
      </c>
      <c r="C4" s="22"/>
      <c r="D4" s="23"/>
      <c r="E4" s="23"/>
      <c r="F4" s="23"/>
      <c r="G4" s="23"/>
      <c r="H4" s="23"/>
      <c r="I4" s="23"/>
    </row>
    <row r="5" s="18" customFormat="true" ht="13.5" hidden="false" customHeight="false" outlineLevel="0" collapsed="false"/>
    <row r="6" s="18" customFormat="true" ht="13.5" hidden="false" customHeight="false" outlineLevel="0" collapsed="false">
      <c r="A6" s="19"/>
      <c r="B6" s="26" t="s">
        <v>272</v>
      </c>
      <c r="C6" s="26"/>
      <c r="D6" s="27"/>
      <c r="E6" s="27"/>
      <c r="F6" s="27"/>
      <c r="G6" s="27"/>
      <c r="H6" s="27"/>
      <c r="I6" s="27"/>
    </row>
    <row r="7" s="18" customFormat="true" ht="13.5" hidden="false" customHeight="false" outlineLevel="0" collapsed="false"/>
    <row r="8" s="18" customFormat="true" ht="71.25" hidden="false" customHeight="true" outlineLevel="0" collapsed="false">
      <c r="B8" s="28" t="s">
        <v>273</v>
      </c>
      <c r="C8" s="28"/>
      <c r="D8" s="28"/>
      <c r="E8" s="28"/>
      <c r="F8" s="28"/>
      <c r="G8" s="28"/>
      <c r="H8" s="28"/>
      <c r="I8" s="28"/>
    </row>
    <row r="9" s="18" customFormat="true" ht="13.5" hidden="false" customHeight="false" outlineLevel="0" collapsed="false"/>
    <row r="10" s="18" customFormat="true" ht="13.5" hidden="false" customHeight="false" outlineLevel="0" collapsed="false">
      <c r="B10" s="20" t="s">
        <v>274</v>
      </c>
    </row>
    <row r="11" s="18" customFormat="true" ht="13.5" hidden="false" customHeight="false" outlineLevel="0" collapsed="false">
      <c r="A11" s="19" t="s">
        <v>275</v>
      </c>
      <c r="B11" s="39" t="n">
        <v>12</v>
      </c>
      <c r="C11" s="39"/>
      <c r="D11" s="18" t="s">
        <v>30</v>
      </c>
    </row>
    <row r="12" s="18" customFormat="true" ht="13.5" hidden="false" customHeight="false" outlineLevel="0" collapsed="false"/>
    <row r="13" s="18" customFormat="true" ht="13.5" hidden="false" customHeight="false" outlineLevel="0" collapsed="false">
      <c r="B13" s="18" t="s">
        <v>276</v>
      </c>
    </row>
    <row r="14" s="18" customFormat="true" ht="13.5" hidden="false" customHeight="false" outlineLevel="0" collapsed="false">
      <c r="A14" s="18" t="s">
        <v>277</v>
      </c>
      <c r="B14" s="39" t="n">
        <v>10</v>
      </c>
      <c r="C14" s="39"/>
      <c r="D14" s="18" t="s">
        <v>30</v>
      </c>
      <c r="E14" s="40"/>
    </row>
    <row r="15" s="18" customFormat="true" ht="13.5" hidden="false" customHeight="false" outlineLevel="0" collapsed="false"/>
    <row r="16" s="18" customFormat="true" ht="18.75" hidden="false" customHeight="true" outlineLevel="0" collapsed="false">
      <c r="B16" s="41" t="str">
        <f aca="false">IF(OR(ISBLANK(F_B1), ISBLANK(F_E1)), "", "Mit dieser Beschaffung")</f>
        <v>Mit dieser Beschaffung</v>
      </c>
      <c r="C16" s="41"/>
      <c r="D16" s="41"/>
      <c r="E16" s="42" t="str">
        <f aca="false">_xlfn.IFS(OR(ISBLANK(F_B1), ISBLANK(F_E1)), "", F_E1&gt;=F_B1, H_F1, TRUE(), H_F2)</f>
        <v>vergrößern</v>
      </c>
      <c r="F16" s="41" t="str">
        <f aca="false">IF(OR(ISBLANK(F_B1), ISBLANK(F_E1)), "", "Sie Ihren Fuhrpark um")</f>
        <v>Sie Ihren Fuhrpark um</v>
      </c>
      <c r="G16" s="43" t="n">
        <f aca="false">IF(OR(ISBLANK(F_B1), ISBLANK(F_E1)), "", ABS((F_E1-F_B1)/F_E1))</f>
        <v>0.2</v>
      </c>
      <c r="H16" s="41" t="str">
        <f aca="false">IF(OR(ISBLANK(F_B1), ISBLANK(F_E1)), "", ".")</f>
        <v>.</v>
      </c>
      <c r="I16" s="41"/>
    </row>
    <row r="17" s="18" customFormat="true" ht="31.5" hidden="false" customHeight="true" outlineLevel="0" collapsed="false">
      <c r="B17" s="36" t="str">
        <f aca="false">_xlfn.IFS(OR(ISBLANK(F_B1), ISBLANK(F_E1)), "", F_E1&gt;F_B1, H_F5, F_E1&lt;F_B1, H_F3, TRUE(), H_F4)</f>
        <v>Bitte überlegen Sie mithilfe der nächsten Frage, ob der Fuhrpark verkleinert statt vergrößert werden kann. Damit würden Sie einen entscheidenden Beitrag zur umweltverträglichen Beschaffung leisten.</v>
      </c>
      <c r="C17" s="36"/>
      <c r="D17" s="36"/>
      <c r="E17" s="36"/>
      <c r="F17" s="36"/>
      <c r="G17" s="36"/>
      <c r="H17" s="36"/>
      <c r="I17" s="36"/>
    </row>
    <row r="18" s="18" customFormat="true" ht="13.5" hidden="false" customHeight="false" outlineLevel="0" collapsed="false"/>
    <row r="19" s="18" customFormat="true" ht="19.5" hidden="false" customHeight="true" outlineLevel="0" collapsed="false">
      <c r="B19" s="44" t="s">
        <v>278</v>
      </c>
    </row>
    <row r="20" s="18" customFormat="true" ht="32.25" hidden="false" customHeight="true" outlineLevel="0" collapsed="false">
      <c r="B20" s="45" t="s">
        <v>279</v>
      </c>
      <c r="C20" s="45"/>
      <c r="D20" s="45"/>
      <c r="E20" s="45"/>
      <c r="F20" s="45"/>
      <c r="G20" s="45"/>
      <c r="H20" s="45"/>
      <c r="I20" s="45"/>
    </row>
    <row r="21" s="18" customFormat="true" ht="13.5" hidden="false" customHeight="false" outlineLevel="0" collapsed="false"/>
    <row r="22" s="18" customFormat="true" ht="13.5" hidden="false" customHeight="true" outlineLevel="0" collapsed="false">
      <c r="A22" s="18" t="s">
        <v>280</v>
      </c>
      <c r="B22" s="33" t="s">
        <v>221</v>
      </c>
      <c r="D22" s="20" t="s">
        <v>281</v>
      </c>
    </row>
    <row r="23" s="18" customFormat="true" ht="6" hidden="false" customHeight="true" outlineLevel="0" collapsed="false"/>
    <row r="24" s="18" customFormat="true" ht="13.5" hidden="false" customHeight="true" outlineLevel="0" collapsed="false">
      <c r="A24" s="18" t="s">
        <v>282</v>
      </c>
      <c r="B24" s="33" t="s">
        <v>220</v>
      </c>
      <c r="D24" s="18" t="s">
        <v>283</v>
      </c>
    </row>
    <row r="25" s="18" customFormat="true" ht="6" hidden="false" customHeight="true" outlineLevel="0" collapsed="false"/>
    <row r="26" s="18" customFormat="true" ht="13.5" hidden="false" customHeight="true" outlineLevel="0" collapsed="false">
      <c r="A26" s="18" t="s">
        <v>284</v>
      </c>
      <c r="B26" s="33" t="s">
        <v>223</v>
      </c>
      <c r="D26" s="18" t="s">
        <v>285</v>
      </c>
    </row>
    <row r="27" s="18" customFormat="true" ht="6" hidden="false" customHeight="true" outlineLevel="0" collapsed="false"/>
    <row r="28" s="18" customFormat="true" ht="13.5" hidden="false" customHeight="true" outlineLevel="0" collapsed="false">
      <c r="A28" s="18" t="s">
        <v>286</v>
      </c>
      <c r="B28" s="33" t="s">
        <v>221</v>
      </c>
      <c r="D28" s="18" t="s">
        <v>287</v>
      </c>
    </row>
    <row r="29" s="18" customFormat="true" ht="6" hidden="false" customHeight="true" outlineLevel="0" collapsed="false"/>
    <row r="30" s="18" customFormat="true" ht="13.5" hidden="false" customHeight="true" outlineLevel="0" collapsed="false">
      <c r="A30" s="18" t="s">
        <v>288</v>
      </c>
      <c r="B30" s="33" t="s">
        <v>221</v>
      </c>
      <c r="D30" s="20" t="s">
        <v>289</v>
      </c>
    </row>
    <row r="31" s="18" customFormat="true" ht="13.5" hidden="false" customHeight="false" outlineLevel="0" collapsed="false"/>
    <row r="32" s="18" customFormat="true" ht="13.5" hidden="false" customHeight="false" outlineLevel="0" collapsed="false">
      <c r="B32" s="18" t="s">
        <v>290</v>
      </c>
    </row>
    <row r="33" s="18" customFormat="true" ht="13.5" hidden="false" customHeight="false" outlineLevel="0" collapsed="false"/>
    <row r="34" s="18" customFormat="true" ht="13.5" hidden="false" customHeight="false" outlineLevel="0" collapsed="false"/>
    <row r="35" s="18" customFormat="true" ht="13.5" hidden="false" customHeight="false" outlineLevel="0" collapsed="false"/>
    <row r="36" s="18" customFormat="true" ht="13.5" hidden="false" customHeight="false" outlineLevel="0" collapsed="false"/>
    <row r="37" s="18" customFormat="true" ht="13.5" hidden="false" customHeight="false" outlineLevel="0" collapsed="false"/>
    <row r="38" s="18" customFormat="true" ht="13.5" hidden="false" customHeight="false" outlineLevel="0" collapsed="false"/>
    <row r="39" s="18" customFormat="true" ht="13.5" hidden="false" customHeight="false" outlineLevel="0" collapsed="false"/>
    <row r="40" s="18" customFormat="true" ht="13.5" hidden="false" customHeight="false" outlineLevel="0" collapsed="false"/>
    <row r="41" s="18" customFormat="true" ht="13.5" hidden="false" customHeight="false" outlineLevel="0" collapsed="false"/>
    <row r="42" s="18" customFormat="true" ht="13.5" hidden="false" customHeight="false" outlineLevel="0" collapsed="false"/>
    <row r="43" s="18" customFormat="true" ht="13.5" hidden="false" customHeight="false" outlineLevel="0" collapsed="false"/>
    <row r="44" s="18" customFormat="true" ht="13.5" hidden="false" customHeight="false" outlineLevel="0" collapsed="false"/>
    <row r="45" s="18" customFormat="true" ht="13.5" hidden="false" customHeight="false" outlineLevel="0" collapsed="false"/>
    <row r="46" s="18" customFormat="true" ht="13.5" hidden="false" customHeight="false" outlineLevel="0" collapsed="false"/>
    <row r="47" s="18" customFormat="true" ht="13.5" hidden="false" customHeight="false" outlineLevel="0" collapsed="false"/>
    <row r="48" s="18" customFormat="true" ht="13.5" hidden="false" customHeight="false" outlineLevel="0" collapsed="false"/>
    <row r="49" s="18" customFormat="true" ht="13.5" hidden="false" customHeight="false" outlineLevel="0" collapsed="false"/>
    <row r="50" s="18" customFormat="true" ht="13.5" hidden="false" customHeight="false" outlineLevel="0" collapsed="false"/>
    <row r="51" s="18" customFormat="true" ht="13.5" hidden="false" customHeight="false" outlineLevel="0" collapsed="false"/>
    <row r="52" s="18" customFormat="true" ht="13.5" hidden="false" customHeight="false" outlineLevel="0" collapsed="false"/>
    <row r="53" s="18" customFormat="true" ht="13.5" hidden="false" customHeight="false" outlineLevel="0" collapsed="false"/>
    <row r="54" s="18" customFormat="true" ht="13.5" hidden="false" customHeight="false" outlineLevel="0" collapsed="false"/>
    <row r="55" s="18" customFormat="true" ht="18.75" hidden="false" customHeight="true" outlineLevel="0" collapsed="false">
      <c r="B55" s="46" t="s">
        <v>291</v>
      </c>
      <c r="C55" s="47"/>
    </row>
    <row r="56" s="18" customFormat="true" ht="27.75" hidden="false" customHeight="true" outlineLevel="0" collapsed="false">
      <c r="B56" s="29" t="s">
        <v>292</v>
      </c>
      <c r="C56" s="29"/>
      <c r="D56" s="29"/>
      <c r="E56" s="29"/>
      <c r="F56" s="29"/>
      <c r="G56" s="29"/>
      <c r="H56" s="29"/>
      <c r="I56" s="29"/>
    </row>
    <row r="57" s="18" customFormat="true" ht="13.5" hidden="false" customHeight="false" outlineLevel="0" collapsed="false">
      <c r="A57" s="18" t="s">
        <v>293</v>
      </c>
      <c r="B57" s="39" t="n">
        <v>10</v>
      </c>
      <c r="C57" s="39"/>
      <c r="D57" s="18" t="s">
        <v>30</v>
      </c>
    </row>
    <row r="58" s="18" customFormat="true" ht="13.5" hidden="false" customHeight="false" outlineLevel="0" collapsed="false"/>
    <row r="59" s="18" customFormat="true" ht="42.75" hidden="false" customHeight="true" outlineLevel="0" collapsed="false">
      <c r="B59" s="36" t="str">
        <f aca="false">_xlfn.IFS(ISBLANK(F_E2), "", AND(F_E2=0, F_E1&lt;=F_B1), H_V3, AND(F_E2=0, F_E1&gt;F_B1), H_V2, AND(F_E2&gt;0, F_E1&lt;F_B1, F_E2&lt;(F_B1-F_E1)), H_V4, AND(F_E2&gt;0, F_E1&lt;F_B1, F_E2=(F_B1-F_E1)), H_V5, TRUE(), H_V1)</f>
        <v>Mit dem Verzicht auf zu beschaffende Pkw leisten Sie einen entscheidenden Beitrag zur umweltverträglichen Beschaffung.</v>
      </c>
      <c r="C59" s="36"/>
      <c r="D59" s="36"/>
      <c r="E59" s="36"/>
      <c r="F59" s="36"/>
      <c r="G59" s="36"/>
      <c r="H59" s="36"/>
      <c r="I59" s="36"/>
    </row>
    <row r="60" s="18" customFormat="true" ht="13.5" hidden="false" customHeight="false" outlineLevel="0" collapsed="false"/>
    <row r="61" s="18" customFormat="true" ht="48" hidden="false" customHeight="true" outlineLevel="0" collapsed="false">
      <c r="B61" s="29" t="s">
        <v>294</v>
      </c>
      <c r="C61" s="29"/>
      <c r="D61" s="29"/>
      <c r="E61" s="29"/>
      <c r="F61" s="29"/>
      <c r="G61" s="29"/>
      <c r="H61" s="29"/>
      <c r="I61" s="29"/>
    </row>
    <row r="62" s="18" customFormat="true" ht="13.5" hidden="false" customHeight="false" outlineLevel="0" collapsed="false"/>
    <row r="63" s="18" customFormat="true" ht="13.5" hidden="false" customHeight="false" outlineLevel="0" collapsed="false"/>
    <row r="64" s="18" customFormat="true" ht="13.5" hidden="false" customHeight="false" outlineLevel="0" collapsed="false"/>
    <row r="65" s="18" customFormat="true" ht="13.5" hidden="false" customHeight="false" outlineLevel="0" collapsed="false"/>
    <row r="66" s="18" customFormat="true" ht="13.5" hidden="false" customHeight="false" outlineLevel="0" collapsed="false"/>
    <row r="67" s="18" customFormat="true" ht="13.5" hidden="false" customHeight="false" outlineLevel="0" collapsed="false"/>
    <row r="68" s="18" customFormat="true" ht="13.5" hidden="false" customHeight="false" outlineLevel="0" collapsed="false"/>
    <row r="69" s="18" customFormat="true" ht="13.5" hidden="false" customHeight="false" outlineLevel="0" collapsed="false"/>
    <row r="70" s="18" customFormat="true" ht="13.5" hidden="false" customHeight="false" outlineLevel="0" collapsed="false"/>
    <row r="71" s="18" customFormat="true" ht="13.5" hidden="false" customHeight="false" outlineLevel="0" collapsed="false"/>
    <row r="72" s="18" customFormat="true" ht="13.5" hidden="false" customHeight="false" outlineLevel="0" collapsed="false"/>
    <row r="73" s="18" customFormat="true" ht="13.5" hidden="false" customHeight="false" outlineLevel="0" collapsed="false"/>
    <row r="74" s="18" customFormat="true" ht="13.5" hidden="false" customHeight="false" outlineLevel="0" collapsed="false"/>
    <row r="75" s="18" customFormat="true" ht="13.5" hidden="false" customHeight="false" outlineLevel="0" collapsed="false"/>
    <row r="76" s="18" customFormat="true" ht="13.5" hidden="false" customHeight="false" outlineLevel="0" collapsed="false"/>
    <row r="77" s="18" customFormat="true" ht="13.5" hidden="false" customHeight="false" outlineLevel="0" collapsed="false"/>
    <row r="78" s="18" customFormat="true" ht="13.5" hidden="false" customHeight="false" outlineLevel="0" collapsed="false"/>
    <row r="79" s="18" customFormat="true" ht="13.5" hidden="false" customHeight="false" outlineLevel="0" collapsed="false"/>
    <row r="80" s="18" customFormat="true" ht="13.5" hidden="false" customHeight="false" outlineLevel="0" collapsed="false"/>
    <row r="81" s="18" customFormat="true" ht="13.5" hidden="false" customHeight="false" outlineLevel="0" collapsed="false"/>
    <row r="82" s="18" customFormat="true" ht="13.5" hidden="false" customHeight="false" outlineLevel="0" collapsed="false"/>
    <row r="83" s="18" customFormat="true" ht="13.5" hidden="false" customHeight="false" outlineLevel="0" collapsed="false"/>
    <row r="84" s="18" customFormat="true" ht="13.5" hidden="false" customHeight="false" outlineLevel="0" collapsed="false"/>
    <row r="85" s="18" customFormat="true" ht="13.5" hidden="false" customHeight="false" outlineLevel="0" collapsed="false"/>
    <row r="86" s="18" customFormat="true" ht="13.5" hidden="false" customHeight="false" outlineLevel="0" collapsed="false"/>
    <row r="87" s="18" customFormat="true" ht="13.5" hidden="false" customHeight="false" outlineLevel="0" collapsed="false"/>
    <row r="88" s="18" customFormat="true" ht="13.5" hidden="false" customHeight="false" outlineLevel="0" collapsed="false"/>
    <row r="89" s="18" customFormat="true" ht="13.5" hidden="false" customHeight="false" outlineLevel="0" collapsed="false"/>
    <row r="90" s="18" customFormat="true" ht="13.5" hidden="false" customHeight="false" outlineLevel="0" collapsed="false"/>
    <row r="91" s="18" customFormat="true" ht="13.5" hidden="false" customHeight="false" outlineLevel="0" collapsed="false"/>
    <row r="92" s="18" customFormat="true" ht="13.5" hidden="false" customHeight="false" outlineLevel="0" collapsed="false"/>
    <row r="93" s="18" customFormat="true" ht="13.5" hidden="false" customHeight="false" outlineLevel="0" collapsed="false"/>
    <row r="94" s="18" customFormat="true" ht="13.5" hidden="false" customHeight="false" outlineLevel="0" collapsed="false"/>
    <row r="95" s="18" customFormat="true" ht="13.5" hidden="false" customHeight="false" outlineLevel="0" collapsed="false"/>
    <row r="96" s="18" customFormat="true" ht="13.5" hidden="false" customHeight="false" outlineLevel="0" collapsed="false"/>
    <row r="97" s="18" customFormat="true" ht="13.5" hidden="false" customHeight="false" outlineLevel="0" collapsed="false"/>
    <row r="98" s="18" customFormat="true" ht="13.5" hidden="false" customHeight="false" outlineLevel="0" collapsed="false"/>
    <row r="99" s="18" customFormat="true" ht="13.5" hidden="false" customHeight="false" outlineLevel="0" collapsed="false"/>
    <row r="100" s="18" customFormat="true" ht="13.5" hidden="false" customHeight="false" outlineLevel="0" collapsed="false"/>
    <row r="101" s="18" customFormat="true" ht="13.5" hidden="false" customHeight="false" outlineLevel="0" collapsed="false"/>
    <row r="102" s="18" customFormat="true" ht="13.5" hidden="false" customHeight="false" outlineLevel="0" collapsed="false"/>
    <row r="103" s="18" customFormat="true" ht="13.5" hidden="false" customHeight="false" outlineLevel="0" collapsed="false"/>
    <row r="104" s="18" customFormat="true" ht="13.5" hidden="false" customHeight="false" outlineLevel="0" collapsed="false"/>
    <row r="105" s="18" customFormat="true" ht="13.5" hidden="false" customHeight="false" outlineLevel="0" collapsed="false"/>
    <row r="106" s="18" customFormat="true" ht="13.5" hidden="false" customHeight="false" outlineLevel="0" collapsed="false"/>
    <row r="107" s="18" customFormat="true" ht="13.5" hidden="false" customHeight="false" outlineLevel="0" collapsed="false"/>
    <row r="108" s="18" customFormat="true" ht="13.5" hidden="false" customHeight="false" outlineLevel="0" collapsed="false"/>
    <row r="109" s="18" customFormat="true" ht="13.5" hidden="false" customHeight="false" outlineLevel="0" collapsed="false"/>
  </sheetData>
  <mergeCells count="9">
    <mergeCell ref="B8:I8"/>
    <mergeCell ref="B11:C11"/>
    <mergeCell ref="B14:C14"/>
    <mergeCell ref="B17:I17"/>
    <mergeCell ref="B20:I20"/>
    <mergeCell ref="B56:I56"/>
    <mergeCell ref="B57:C57"/>
    <mergeCell ref="B59:I59"/>
    <mergeCell ref="B61:I61"/>
  </mergeCells>
  <dataValidations count="2">
    <dataValidation allowBlank="true" errorStyle="stop" operator="between" showDropDown="false" showErrorMessage="true" showInputMessage="true" sqref="B24 B26 B28 B30" type="list">
      <formula1>$B$16:$B$18</formula1>
      <formula2>0</formula2>
    </dataValidation>
    <dataValidation allowBlank="true" errorStyle="stop" operator="between" showDropDown="false" showErrorMessage="true" showInputMessage="true" sqref="B22" type="list">
      <formula1>Auswahllisten!$B$16:$B$18</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I42"/>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C15" activeCellId="0" sqref="C15"/>
    </sheetView>
  </sheetViews>
  <sheetFormatPr defaultColWidth="11.55859375" defaultRowHeight="13.5" zeroHeight="false" outlineLevelRow="0" outlineLevelCol="0"/>
  <cols>
    <col collapsed="false" customWidth="true" hidden="false" outlineLevel="0" max="1" min="1" style="48" width="3.14"/>
    <col collapsed="false" customWidth="true" hidden="false" outlineLevel="0" max="2" min="2" style="48" width="23.71"/>
    <col collapsed="false" customWidth="true" hidden="false" outlineLevel="0" max="3" min="3" style="48" width="27.71"/>
    <col collapsed="false" customWidth="true" hidden="false" outlineLevel="0" max="4" min="4" style="48" width="41.28"/>
    <col collapsed="false" customWidth="true" hidden="false" outlineLevel="0" max="5" min="5" style="48" width="16"/>
    <col collapsed="false" customWidth="false" hidden="false" outlineLevel="0" max="1024" min="6" style="48" width="11.57"/>
  </cols>
  <sheetData>
    <row r="2" customFormat="false" ht="13.5" hidden="false" customHeight="false" outlineLevel="0" collapsed="false">
      <c r="B2" s="49" t="s">
        <v>295</v>
      </c>
    </row>
    <row r="5" customFormat="false" ht="14.25" hidden="false" customHeight="false" outlineLevel="0" collapsed="false">
      <c r="B5" s="50" t="s">
        <v>296</v>
      </c>
      <c r="C5" s="51" t="s">
        <v>297</v>
      </c>
      <c r="D5" s="51" t="s">
        <v>298</v>
      </c>
    </row>
    <row r="6" customFormat="false" ht="13.5" hidden="false" customHeight="false" outlineLevel="0" collapsed="false">
      <c r="C6" s="48" t="str">
        <f aca="false">Auswahllisten!B16</f>
        <v>Fast nie</v>
      </c>
      <c r="D6" s="52" t="n">
        <v>2</v>
      </c>
    </row>
    <row r="7" customFormat="false" ht="13.5" hidden="false" customHeight="false" outlineLevel="0" collapsed="false">
      <c r="C7" s="48" t="str">
        <f aca="false">Auswahllisten!B17</f>
        <v>Ab und zu</v>
      </c>
      <c r="D7" s="52" t="n">
        <v>4</v>
      </c>
    </row>
    <row r="8" customFormat="false" ht="13.5" hidden="false" customHeight="false" outlineLevel="0" collapsed="false">
      <c r="C8" s="48" t="str">
        <f aca="false">Auswahllisten!B18</f>
        <v>Regelmäßig</v>
      </c>
      <c r="D8" s="52" t="n">
        <v>6</v>
      </c>
    </row>
    <row r="10" customFormat="false" ht="13.5" hidden="false" customHeight="false" outlineLevel="0" collapsed="false">
      <c r="B10" s="51" t="s">
        <v>272</v>
      </c>
      <c r="C10" s="51" t="s">
        <v>297</v>
      </c>
      <c r="D10" s="51" t="s">
        <v>299</v>
      </c>
      <c r="E10" s="51" t="s">
        <v>300</v>
      </c>
    </row>
    <row r="11" customFormat="false" ht="13.5" hidden="false" customHeight="false" outlineLevel="0" collapsed="false">
      <c r="B11" s="19" t="s">
        <v>301</v>
      </c>
      <c r="C11" s="48" t="str">
        <f aca="false">Fragen_Prototyp_Flotte!$B$30</f>
        <v>Ab und zu</v>
      </c>
      <c r="D11" s="52" t="n">
        <f aca="false">VLOOKUP(C11,$C$6:$D$8,2,FALSE())</f>
        <v>4</v>
      </c>
      <c r="E11" s="52" t="n">
        <v>1</v>
      </c>
    </row>
    <row r="12" customFormat="false" ht="13.5" hidden="false" customHeight="false" outlineLevel="0" collapsed="false">
      <c r="B12" s="19" t="s">
        <v>302</v>
      </c>
      <c r="C12" s="48" t="str">
        <f aca="false">Fragen_Prototyp_Flotte!$B$28</f>
        <v>Ab und zu</v>
      </c>
      <c r="D12" s="52" t="n">
        <f aca="false">VLOOKUP(C12,$C$6:$D$8,2,FALSE())</f>
        <v>4</v>
      </c>
      <c r="E12" s="52" t="n">
        <v>1</v>
      </c>
    </row>
    <row r="13" customFormat="false" ht="13.5" hidden="false" customHeight="false" outlineLevel="0" collapsed="false">
      <c r="B13" s="19" t="s">
        <v>303</v>
      </c>
      <c r="C13" s="48" t="str">
        <f aca="false">Fragen_Prototyp_Flotte!$B$26</f>
        <v>Regelmäßig</v>
      </c>
      <c r="D13" s="52" t="n">
        <f aca="false">VLOOKUP(C13,$C$6:$D$8,2,FALSE())</f>
        <v>6</v>
      </c>
      <c r="E13" s="52" t="n">
        <v>1</v>
      </c>
    </row>
    <row r="14" customFormat="false" ht="13.5" hidden="false" customHeight="false" outlineLevel="0" collapsed="false">
      <c r="B14" s="19" t="s">
        <v>304</v>
      </c>
      <c r="C14" s="48" t="str">
        <f aca="false">Fragen_Prototyp_Flotte!$B$24</f>
        <v>Fast nie</v>
      </c>
      <c r="D14" s="52" t="n">
        <f aca="false">VLOOKUP(C14,$C$6:$D$8,2,FALSE())</f>
        <v>2</v>
      </c>
      <c r="E14" s="52" t="n">
        <v>2</v>
      </c>
    </row>
    <row r="15" customFormat="false" ht="13.5" hidden="false" customHeight="false" outlineLevel="0" collapsed="false">
      <c r="B15" s="19" t="s">
        <v>305</v>
      </c>
      <c r="C15" s="48" t="str">
        <f aca="false">Fragen_Prototyp_Flotte!$B$22</f>
        <v>Ab und zu</v>
      </c>
      <c r="D15" s="52" t="n">
        <f aca="false">VLOOKUP(C15,$C$6:$D$8,2,FALSE())</f>
        <v>4</v>
      </c>
      <c r="E15" s="52" t="n">
        <v>2</v>
      </c>
    </row>
    <row r="16" customFormat="false" ht="13.5" hidden="false" customHeight="false" outlineLevel="0" collapsed="false">
      <c r="B16" s="53"/>
      <c r="C16" s="53"/>
      <c r="D16" s="52"/>
      <c r="E16" s="52"/>
      <c r="F16" s="53"/>
      <c r="G16" s="53"/>
      <c r="H16" s="53"/>
      <c r="I16" s="53"/>
    </row>
    <row r="17" customFormat="false" ht="13.5" hidden="false" customHeight="false" outlineLevel="0" collapsed="false">
      <c r="B17" s="53"/>
      <c r="C17" s="53"/>
      <c r="D17" s="53"/>
      <c r="E17" s="53"/>
      <c r="F17" s="53"/>
      <c r="G17" s="53"/>
      <c r="H17" s="53"/>
      <c r="I17" s="53"/>
    </row>
    <row r="18" customFormat="false" ht="13.5" hidden="false" customHeight="false" outlineLevel="0" collapsed="false">
      <c r="B18" s="53"/>
      <c r="C18" s="53"/>
      <c r="D18" s="53"/>
      <c r="E18" s="53"/>
      <c r="F18" s="53"/>
      <c r="G18" s="53"/>
      <c r="H18" s="53"/>
      <c r="I18" s="54"/>
    </row>
    <row r="19" customFormat="false" ht="13.5" hidden="false" customHeight="false" outlineLevel="0" collapsed="false">
      <c r="B19" s="53"/>
      <c r="C19" s="53"/>
      <c r="D19" s="53"/>
      <c r="E19" s="53"/>
      <c r="F19" s="53"/>
      <c r="G19" s="53"/>
      <c r="H19" s="53"/>
      <c r="I19" s="54"/>
    </row>
    <row r="20" customFormat="false" ht="13.5" hidden="false" customHeight="false" outlineLevel="0" collapsed="false">
      <c r="B20" s="53"/>
      <c r="C20" s="53"/>
      <c r="D20" s="53"/>
      <c r="E20" s="53"/>
      <c r="F20" s="53"/>
      <c r="G20" s="53"/>
      <c r="H20" s="53"/>
      <c r="I20" s="54"/>
    </row>
    <row r="21" customFormat="false" ht="13.5" hidden="false" customHeight="false" outlineLevel="0" collapsed="false">
      <c r="B21" s="53"/>
      <c r="C21" s="53"/>
      <c r="D21" s="53"/>
      <c r="E21" s="53"/>
      <c r="F21" s="53"/>
      <c r="G21" s="53"/>
      <c r="H21" s="53"/>
      <c r="I21" s="54"/>
    </row>
    <row r="22" customFormat="false" ht="13.5" hidden="false" customHeight="false" outlineLevel="0" collapsed="false">
      <c r="B22" s="53"/>
      <c r="C22" s="53"/>
      <c r="D22" s="53"/>
      <c r="E22" s="53"/>
      <c r="F22" s="53"/>
      <c r="G22" s="53"/>
      <c r="H22" s="53"/>
      <c r="I22" s="53"/>
    </row>
    <row r="23" customFormat="false" ht="13.5" hidden="false" customHeight="false" outlineLevel="0" collapsed="false">
      <c r="B23" s="53"/>
      <c r="C23" s="53"/>
      <c r="D23" s="53"/>
      <c r="E23" s="53"/>
      <c r="F23" s="53"/>
      <c r="G23" s="53"/>
      <c r="H23" s="53"/>
      <c r="I23" s="53"/>
    </row>
    <row r="24" customFormat="false" ht="13.5" hidden="false" customHeight="false" outlineLevel="0" collapsed="false">
      <c r="B24" s="53"/>
      <c r="C24" s="53"/>
      <c r="D24" s="53"/>
      <c r="E24" s="53"/>
      <c r="F24" s="53"/>
      <c r="G24" s="53"/>
      <c r="H24" s="53"/>
      <c r="I24" s="53"/>
    </row>
    <row r="25" customFormat="false" ht="13.5" hidden="false" customHeight="false" outlineLevel="0" collapsed="false">
      <c r="B25" s="53"/>
      <c r="C25" s="53"/>
      <c r="D25" s="53"/>
      <c r="E25" s="53"/>
      <c r="F25" s="53"/>
      <c r="G25" s="53"/>
      <c r="H25" s="53"/>
      <c r="I25" s="53"/>
    </row>
    <row r="26" customFormat="false" ht="13.5" hidden="false" customHeight="false" outlineLevel="0" collapsed="false">
      <c r="B26" s="53"/>
      <c r="C26" s="53"/>
      <c r="D26" s="53"/>
      <c r="E26" s="53"/>
      <c r="F26" s="53"/>
      <c r="G26" s="53"/>
      <c r="H26" s="53"/>
      <c r="I26" s="53"/>
    </row>
    <row r="27" customFormat="false" ht="13.5" hidden="false" customHeight="false" outlineLevel="0" collapsed="false">
      <c r="B27" s="53"/>
      <c r="C27" s="53"/>
      <c r="D27" s="53"/>
      <c r="E27" s="53"/>
      <c r="F27" s="53"/>
      <c r="G27" s="53"/>
      <c r="H27" s="53"/>
      <c r="I27" s="53"/>
    </row>
    <row r="28" customFormat="false" ht="13.5" hidden="false" customHeight="false" outlineLevel="0" collapsed="false">
      <c r="B28" s="53"/>
      <c r="C28" s="53"/>
      <c r="D28" s="53"/>
      <c r="E28" s="53"/>
      <c r="F28" s="53"/>
      <c r="G28" s="53"/>
      <c r="H28" s="53"/>
      <c r="I28" s="53"/>
    </row>
    <row r="29" customFormat="false" ht="13.5" hidden="false" customHeight="false" outlineLevel="0" collapsed="false">
      <c r="B29" s="53"/>
      <c r="C29" s="53"/>
      <c r="D29" s="53"/>
      <c r="E29" s="53"/>
      <c r="F29" s="53"/>
      <c r="G29" s="53"/>
      <c r="H29" s="53"/>
      <c r="I29" s="53"/>
    </row>
    <row r="30" customFormat="false" ht="13.5" hidden="false" customHeight="false" outlineLevel="0" collapsed="false">
      <c r="B30" s="53"/>
      <c r="C30" s="53"/>
      <c r="D30" s="53"/>
      <c r="E30" s="53"/>
      <c r="F30" s="53"/>
      <c r="G30" s="53"/>
      <c r="H30" s="53"/>
      <c r="I30" s="53"/>
    </row>
    <row r="31" customFormat="false" ht="13.5" hidden="false" customHeight="false" outlineLevel="0" collapsed="false">
      <c r="B31" s="53"/>
      <c r="C31" s="53"/>
      <c r="D31" s="53"/>
      <c r="E31" s="53"/>
      <c r="F31" s="53"/>
      <c r="G31" s="53"/>
      <c r="H31" s="53"/>
      <c r="I31" s="53"/>
    </row>
    <row r="32" customFormat="false" ht="13.5" hidden="false" customHeight="false" outlineLevel="0" collapsed="false">
      <c r="B32" s="53"/>
      <c r="C32" s="53"/>
      <c r="D32" s="53"/>
      <c r="E32" s="53"/>
      <c r="F32" s="53"/>
      <c r="G32" s="53"/>
      <c r="H32" s="53"/>
      <c r="I32" s="53"/>
    </row>
    <row r="33" customFormat="false" ht="13.5" hidden="false" customHeight="false" outlineLevel="0" collapsed="false">
      <c r="B33" s="53"/>
      <c r="C33" s="53"/>
      <c r="D33" s="53"/>
      <c r="E33" s="53"/>
      <c r="F33" s="53"/>
      <c r="G33" s="53"/>
      <c r="H33" s="53"/>
      <c r="I33" s="53"/>
    </row>
    <row r="34" customFormat="false" ht="13.5" hidden="false" customHeight="false" outlineLevel="0" collapsed="false">
      <c r="B34" s="53"/>
      <c r="C34" s="53"/>
      <c r="D34" s="53"/>
      <c r="E34" s="53"/>
      <c r="F34" s="53"/>
      <c r="G34" s="53"/>
      <c r="H34" s="53"/>
      <c r="I34" s="53"/>
    </row>
    <row r="35" customFormat="false" ht="13.5" hidden="false" customHeight="false" outlineLevel="0" collapsed="false">
      <c r="B35" s="53"/>
      <c r="C35" s="53"/>
      <c r="D35" s="53"/>
      <c r="E35" s="53"/>
      <c r="F35" s="53"/>
      <c r="G35" s="53"/>
      <c r="H35" s="53"/>
      <c r="I35" s="53"/>
    </row>
    <row r="36" customFormat="false" ht="13.5" hidden="false" customHeight="false" outlineLevel="0" collapsed="false">
      <c r="B36" s="53"/>
      <c r="C36" s="53"/>
      <c r="D36" s="53"/>
      <c r="E36" s="53"/>
      <c r="F36" s="53"/>
      <c r="G36" s="53"/>
      <c r="H36" s="53"/>
      <c r="I36" s="53"/>
    </row>
    <row r="37" customFormat="false" ht="13.5" hidden="false" customHeight="false" outlineLevel="0" collapsed="false">
      <c r="B37" s="49"/>
      <c r="C37" s="49"/>
      <c r="D37" s="49"/>
    </row>
    <row r="38" customFormat="false" ht="13.5" hidden="false" customHeight="false" outlineLevel="0" collapsed="false">
      <c r="B38" s="19"/>
    </row>
    <row r="39" customFormat="false" ht="13.5" hidden="false" customHeight="false" outlineLevel="0" collapsed="false">
      <c r="B39" s="19"/>
    </row>
    <row r="40" customFormat="false" ht="13.5" hidden="false" customHeight="false" outlineLevel="0" collapsed="false">
      <c r="B40" s="19"/>
    </row>
    <row r="41" customFormat="false" ht="13.5" hidden="false" customHeight="false" outlineLevel="0" collapsed="false">
      <c r="B41" s="19"/>
    </row>
    <row r="42" customFormat="false" ht="13.5" hidden="false" customHeight="false" outlineLevel="0" collapsed="false">
      <c r="B42" s="19"/>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2" colorId="64" zoomScale="80" zoomScaleNormal="80" zoomScalePageLayoutView="100" workbookViewId="0">
      <selection pane="topLeft" activeCell="A3" activeCellId="0" sqref="A3"/>
    </sheetView>
  </sheetViews>
  <sheetFormatPr defaultColWidth="11.4140625" defaultRowHeight="14.25" zeroHeight="false" outlineLevelRow="0" outlineLevelCol="0"/>
  <cols>
    <col collapsed="false" customWidth="true" hidden="false" outlineLevel="0" max="1" min="1" style="0" width="10.28"/>
    <col collapsed="false" customWidth="true" hidden="false" outlineLevel="0" max="2" min="2" style="0" width="57.14"/>
  </cols>
  <sheetData>
    <row r="1" customFormat="false" ht="14.25" hidden="false" customHeight="false" outlineLevel="0" collapsed="false">
      <c r="A1" s="3" t="s">
        <v>306</v>
      </c>
    </row>
    <row r="3" customFormat="false" ht="14.25" hidden="false" customHeight="false" outlineLevel="0" collapsed="false">
      <c r="A3" s="25" t="s">
        <v>239</v>
      </c>
      <c r="B3" s="55" t="s">
        <v>307</v>
      </c>
    </row>
    <row r="4" customFormat="false" ht="14.25" hidden="false" customHeight="false" outlineLevel="0" collapsed="false">
      <c r="A4" s="0" t="s">
        <v>308</v>
      </c>
      <c r="B4" s="0" t="n">
        <v>150</v>
      </c>
    </row>
    <row r="6" customFormat="false" ht="14.25" hidden="false" customHeight="false" outlineLevel="0" collapsed="false">
      <c r="B6" s="55" t="s">
        <v>309</v>
      </c>
    </row>
    <row r="7" customFormat="false" ht="14.25" hidden="false" customHeight="false" outlineLevel="0" collapsed="false">
      <c r="A7" s="0" t="s">
        <v>310</v>
      </c>
      <c r="B7" s="0" t="s">
        <v>156</v>
      </c>
    </row>
    <row r="8" customFormat="false" ht="14.25" hidden="false" customHeight="false" outlineLevel="0" collapsed="false">
      <c r="A8" s="0" t="s">
        <v>311</v>
      </c>
      <c r="B8" s="0" t="s">
        <v>209</v>
      </c>
    </row>
    <row r="10" customFormat="false" ht="14.25" hidden="false" customHeight="false" outlineLevel="0" collapsed="false">
      <c r="B10" s="25" t="s">
        <v>312</v>
      </c>
    </row>
    <row r="11" customFormat="false" ht="14.25" hidden="false" customHeight="false" outlineLevel="0" collapsed="false">
      <c r="A11" s="0" t="s">
        <v>313</v>
      </c>
      <c r="B11" s="0" t="s">
        <v>214</v>
      </c>
    </row>
    <row r="12" customFormat="false" ht="14.25" hidden="false" customHeight="false" outlineLevel="0" collapsed="false">
      <c r="A12" s="0" t="s">
        <v>314</v>
      </c>
      <c r="B12" s="0" t="s">
        <v>216</v>
      </c>
    </row>
    <row r="13" customFormat="false" ht="14.25" hidden="false" customHeight="false" outlineLevel="0" collapsed="false">
      <c r="A13" s="0" t="s">
        <v>315</v>
      </c>
      <c r="B13" s="0" t="s">
        <v>217</v>
      </c>
    </row>
    <row r="15" customFormat="false" ht="14.25" hidden="false" customHeight="false" outlineLevel="0" collapsed="false">
      <c r="B15" s="55" t="s">
        <v>316</v>
      </c>
    </row>
    <row r="16" customFormat="false" ht="14.25" hidden="false" customHeight="false" outlineLevel="0" collapsed="false">
      <c r="A16" s="0" t="s">
        <v>317</v>
      </c>
      <c r="B16" s="0" t="s">
        <v>220</v>
      </c>
    </row>
    <row r="17" customFormat="false" ht="14.25" hidden="false" customHeight="false" outlineLevel="0" collapsed="false">
      <c r="A17" s="0" t="s">
        <v>318</v>
      </c>
      <c r="B17" s="0" t="s">
        <v>221</v>
      </c>
    </row>
    <row r="18" customFormat="false" ht="14.25" hidden="false" customHeight="false" outlineLevel="0" collapsed="false">
      <c r="A18" s="0" t="s">
        <v>319</v>
      </c>
      <c r="B18" s="0" t="s">
        <v>223</v>
      </c>
    </row>
    <row r="20" customFormat="false" ht="14.25" hidden="false" customHeight="false" outlineLevel="0" collapsed="false">
      <c r="B20" s="55" t="s">
        <v>320</v>
      </c>
    </row>
    <row r="21" customFormat="false" ht="14.25" hidden="false" customHeight="false" outlineLevel="0" collapsed="false">
      <c r="A21" s="0" t="s">
        <v>321</v>
      </c>
      <c r="B21" s="0" t="s">
        <v>214</v>
      </c>
    </row>
    <row r="22" customFormat="false" ht="14.25" hidden="false" customHeight="false" outlineLevel="0" collapsed="false">
      <c r="A22" s="0" t="s">
        <v>322</v>
      </c>
      <c r="B22" s="0" t="s">
        <v>216</v>
      </c>
    </row>
    <row r="23" customFormat="false" ht="14.25" hidden="false" customHeight="false" outlineLevel="0" collapsed="false">
      <c r="A23" s="0" t="s">
        <v>323</v>
      </c>
      <c r="B23" s="0" t="s">
        <v>217</v>
      </c>
    </row>
    <row r="25" customFormat="false" ht="14.25" hidden="false" customHeight="false" outlineLevel="0" collapsed="false">
      <c r="B25" s="55" t="s">
        <v>324</v>
      </c>
    </row>
    <row r="26" customFormat="false" ht="14.25" hidden="false" customHeight="false" outlineLevel="0" collapsed="false">
      <c r="A26" s="0" t="s">
        <v>325</v>
      </c>
      <c r="B26" s="0" t="s">
        <v>230</v>
      </c>
    </row>
    <row r="27" customFormat="false" ht="14.25" hidden="false" customHeight="false" outlineLevel="0" collapsed="false">
      <c r="A27" s="0" t="s">
        <v>326</v>
      </c>
      <c r="B27" s="0" t="s">
        <v>236</v>
      </c>
    </row>
    <row r="28" customFormat="false" ht="14.25" hidden="false" customHeight="false" outlineLevel="0" collapsed="false">
      <c r="A28" s="0" t="s">
        <v>327</v>
      </c>
      <c r="B28" s="0" t="s">
        <v>223</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58"/>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A4" activeCellId="0" sqref="A4"/>
    </sheetView>
  </sheetViews>
  <sheetFormatPr defaultColWidth="11.4140625" defaultRowHeight="15" zeroHeight="false" outlineLevelRow="0" outlineLevelCol="0"/>
  <cols>
    <col collapsed="false" customWidth="true" hidden="false" outlineLevel="0" max="1" min="1" style="0" width="9.28"/>
    <col collapsed="false" customWidth="true" hidden="false" outlineLevel="0" max="2" min="2" style="0" width="209.71"/>
    <col collapsed="false" customWidth="true" hidden="false" outlineLevel="0" max="3" min="3" style="56" width="47.43"/>
  </cols>
  <sheetData>
    <row r="1" customFormat="false" ht="15" hidden="false" customHeight="false" outlineLevel="0" collapsed="false">
      <c r="A1" s="3" t="s">
        <v>328</v>
      </c>
    </row>
    <row r="3" customFormat="false" ht="15" hidden="false" customHeight="false" outlineLevel="0" collapsed="false">
      <c r="A3" s="25" t="s">
        <v>239</v>
      </c>
      <c r="B3" s="25" t="s">
        <v>329</v>
      </c>
      <c r="C3" s="56" t="s">
        <v>330</v>
      </c>
    </row>
    <row r="4" customFormat="false" ht="60.75" hidden="false" customHeight="false" outlineLevel="0" collapsed="false">
      <c r="A4" s="6" t="s">
        <v>331</v>
      </c>
      <c r="B4" s="57" t="s">
        <v>332</v>
      </c>
      <c r="C4" s="56" t="s">
        <v>333</v>
      </c>
    </row>
    <row r="5" customFormat="false" ht="76.5" hidden="false" customHeight="false" outlineLevel="0" collapsed="false">
      <c r="A5" s="6" t="s">
        <v>334</v>
      </c>
      <c r="B5" s="57" t="s">
        <v>335</v>
      </c>
      <c r="C5" s="56" t="s">
        <v>333</v>
      </c>
    </row>
    <row r="6" customFormat="false" ht="60.75" hidden="false" customHeight="false" outlineLevel="0" collapsed="false">
      <c r="A6" s="6" t="s">
        <v>336</v>
      </c>
      <c r="B6" s="57" t="s">
        <v>337</v>
      </c>
      <c r="C6" s="56" t="s">
        <v>333</v>
      </c>
    </row>
    <row r="7" customFormat="false" ht="91.5" hidden="false" customHeight="false" outlineLevel="0" collapsed="false">
      <c r="A7" s="6" t="s">
        <v>338</v>
      </c>
      <c r="B7" s="57" t="s">
        <v>339</v>
      </c>
      <c r="C7" s="56" t="s">
        <v>333</v>
      </c>
    </row>
    <row r="8" customFormat="false" ht="172.5" hidden="false" customHeight="true" outlineLevel="0" collapsed="false">
      <c r="A8" s="6" t="s">
        <v>340</v>
      </c>
      <c r="B8" s="57" t="s">
        <v>341</v>
      </c>
      <c r="C8" s="56" t="s">
        <v>333</v>
      </c>
    </row>
    <row r="9" customFormat="false" ht="15" hidden="false" customHeight="false" outlineLevel="0" collapsed="false">
      <c r="A9" s="6" t="s">
        <v>342</v>
      </c>
      <c r="B9" s="58" t="s">
        <v>343</v>
      </c>
    </row>
    <row r="10" customFormat="false" ht="15" hidden="false" customHeight="false" outlineLevel="0" collapsed="false">
      <c r="A10" s="6" t="s">
        <v>344</v>
      </c>
      <c r="B10" s="57" t="s">
        <v>345</v>
      </c>
      <c r="C10" s="56" t="s">
        <v>333</v>
      </c>
    </row>
    <row r="11" customFormat="false" ht="45.75" hidden="false" customHeight="false" outlineLevel="0" collapsed="false">
      <c r="A11" s="6" t="s">
        <v>346</v>
      </c>
      <c r="B11" s="57" t="s">
        <v>347</v>
      </c>
      <c r="C11" s="56" t="s">
        <v>333</v>
      </c>
    </row>
    <row r="12" customFormat="false" ht="15" hidden="false" customHeight="false" outlineLevel="0" collapsed="false">
      <c r="A12" s="6" t="s">
        <v>348</v>
      </c>
      <c r="B12" s="59" t="s">
        <v>349</v>
      </c>
    </row>
    <row r="13" customFormat="false" ht="15" hidden="false" customHeight="false" outlineLevel="0" collapsed="false">
      <c r="A13" s="6" t="s">
        <v>350</v>
      </c>
      <c r="B13" s="59" t="s">
        <v>351</v>
      </c>
    </row>
    <row r="14" customFormat="false" ht="60.75" hidden="false" customHeight="false" outlineLevel="0" collapsed="false">
      <c r="A14" s="6" t="s">
        <v>352</v>
      </c>
      <c r="B14" s="59" t="s">
        <v>353</v>
      </c>
    </row>
    <row r="16" customFormat="false" ht="15" hidden="false" customHeight="false" outlineLevel="0" collapsed="false">
      <c r="A16" s="55" t="s">
        <v>239</v>
      </c>
      <c r="B16" s="55" t="s">
        <v>354</v>
      </c>
      <c r="C16" s="56" t="s">
        <v>330</v>
      </c>
    </row>
    <row r="17" customFormat="false" ht="15" hidden="false" customHeight="false" outlineLevel="0" collapsed="false">
      <c r="A17" s="0" t="s">
        <v>355</v>
      </c>
      <c r="B17" s="60" t="s">
        <v>356</v>
      </c>
    </row>
    <row r="18" customFormat="false" ht="30.75" hidden="false" customHeight="false" outlineLevel="0" collapsed="false">
      <c r="A18" s="0" t="s">
        <v>357</v>
      </c>
      <c r="B18" s="57" t="s">
        <v>358</v>
      </c>
      <c r="C18" s="56" t="s">
        <v>359</v>
      </c>
    </row>
    <row r="19" customFormat="false" ht="30.75" hidden="false" customHeight="false" outlineLevel="0" collapsed="false">
      <c r="A19" s="0" t="s">
        <v>360</v>
      </c>
      <c r="B19" s="61" t="s">
        <v>361</v>
      </c>
      <c r="C19" s="56" t="s">
        <v>333</v>
      </c>
    </row>
    <row r="20" customFormat="false" ht="30.75" hidden="false" customHeight="false" outlineLevel="0" collapsed="false">
      <c r="A20" s="0" t="s">
        <v>362</v>
      </c>
      <c r="B20" s="61" t="s">
        <v>363</v>
      </c>
      <c r="C20" s="56" t="s">
        <v>333</v>
      </c>
    </row>
    <row r="21" customFormat="false" ht="30.75" hidden="false" customHeight="false" outlineLevel="0" collapsed="false">
      <c r="A21" s="0" t="s">
        <v>364</v>
      </c>
      <c r="B21" s="57" t="s">
        <v>365</v>
      </c>
      <c r="C21" s="56" t="s">
        <v>333</v>
      </c>
    </row>
    <row r="22" customFormat="false" ht="30.75" hidden="false" customHeight="false" outlineLevel="0" collapsed="false">
      <c r="A22" s="0" t="s">
        <v>366</v>
      </c>
      <c r="B22" s="57" t="s">
        <v>367</v>
      </c>
      <c r="C22" s="56" t="s">
        <v>333</v>
      </c>
    </row>
    <row r="23" customFormat="false" ht="30.75" hidden="false" customHeight="false" outlineLevel="0" collapsed="false">
      <c r="A23" s="0" t="s">
        <v>368</v>
      </c>
      <c r="B23" s="57" t="s">
        <v>369</v>
      </c>
      <c r="C23" s="56" t="s">
        <v>333</v>
      </c>
    </row>
    <row r="24" customFormat="false" ht="30.75" hidden="false" customHeight="false" outlineLevel="0" collapsed="false">
      <c r="A24" s="0" t="s">
        <v>370</v>
      </c>
      <c r="B24" s="57" t="s">
        <v>371</v>
      </c>
      <c r="C24" s="56" t="s">
        <v>372</v>
      </c>
    </row>
    <row r="25" customFormat="false" ht="30.75" hidden="false" customHeight="false" outlineLevel="0" collapsed="false">
      <c r="A25" s="0" t="s">
        <v>373</v>
      </c>
      <c r="B25" s="57" t="s">
        <v>374</v>
      </c>
      <c r="C25" s="56" t="s">
        <v>372</v>
      </c>
    </row>
    <row r="26" customFormat="false" ht="15" hidden="false" customHeight="false" outlineLevel="0" collapsed="false">
      <c r="A26" s="0" t="s">
        <v>375</v>
      </c>
      <c r="B26" s="60" t="s">
        <v>376</v>
      </c>
    </row>
    <row r="27" customFormat="false" ht="60.75" hidden="false" customHeight="false" outlineLevel="0" collapsed="false">
      <c r="A27" s="0" t="s">
        <v>377</v>
      </c>
      <c r="B27" s="57" t="s">
        <v>378</v>
      </c>
      <c r="C27" s="56" t="s">
        <v>372</v>
      </c>
    </row>
    <row r="28" customFormat="false" ht="60.75" hidden="false" customHeight="false" outlineLevel="0" collapsed="false">
      <c r="A28" s="0" t="s">
        <v>379</v>
      </c>
      <c r="B28" s="57" t="s">
        <v>380</v>
      </c>
      <c r="C28" s="56" t="s">
        <v>372</v>
      </c>
    </row>
    <row r="29" customFormat="false" ht="45.75" hidden="false" customHeight="false" outlineLevel="0" collapsed="false">
      <c r="A29" s="0" t="s">
        <v>381</v>
      </c>
      <c r="B29" s="57" t="s">
        <v>382</v>
      </c>
      <c r="C29" s="56" t="s">
        <v>333</v>
      </c>
    </row>
    <row r="30" customFormat="false" ht="45.75" hidden="false" customHeight="false" outlineLevel="0" collapsed="false">
      <c r="A30" s="0" t="s">
        <v>383</v>
      </c>
      <c r="B30" s="57" t="s">
        <v>384</v>
      </c>
      <c r="C30" s="56" t="s">
        <v>333</v>
      </c>
    </row>
    <row r="31" customFormat="false" ht="15" hidden="false" customHeight="false" outlineLevel="0" collapsed="false">
      <c r="A31" s="0" t="s">
        <v>385</v>
      </c>
      <c r="B31" s="60" t="s">
        <v>386</v>
      </c>
    </row>
    <row r="32" customFormat="false" ht="60.75" hidden="false" customHeight="false" outlineLevel="0" collapsed="false">
      <c r="A32" s="0" t="s">
        <v>387</v>
      </c>
      <c r="B32" s="57" t="s">
        <v>388</v>
      </c>
      <c r="C32" s="56" t="s">
        <v>372</v>
      </c>
    </row>
    <row r="33" customFormat="false" ht="66" hidden="false" customHeight="true" outlineLevel="0" collapsed="false">
      <c r="A33" s="0" t="s">
        <v>389</v>
      </c>
      <c r="B33" s="57" t="s">
        <v>390</v>
      </c>
      <c r="C33" s="56" t="s">
        <v>372</v>
      </c>
    </row>
    <row r="34" customFormat="false" ht="45.75" hidden="false" customHeight="false" outlineLevel="0" collapsed="false">
      <c r="A34" s="0" t="s">
        <v>391</v>
      </c>
      <c r="B34" s="59" t="s">
        <v>392</v>
      </c>
    </row>
    <row r="35" customFormat="false" ht="45.75" hidden="false" customHeight="false" outlineLevel="0" collapsed="false">
      <c r="A35" s="0" t="s">
        <v>393</v>
      </c>
      <c r="B35" s="59" t="s">
        <v>394</v>
      </c>
    </row>
    <row r="36" customFormat="false" ht="15" hidden="false" customHeight="false" outlineLevel="0" collapsed="false">
      <c r="A36" s="0" t="s">
        <v>395</v>
      </c>
      <c r="B36" s="60" t="s">
        <v>396</v>
      </c>
    </row>
    <row r="37" customFormat="false" ht="76.5" hidden="false" customHeight="false" outlineLevel="0" collapsed="false">
      <c r="A37" s="0" t="s">
        <v>397</v>
      </c>
      <c r="B37" s="57" t="s">
        <v>398</v>
      </c>
      <c r="C37" s="56" t="s">
        <v>359</v>
      </c>
    </row>
    <row r="38" customFormat="false" ht="60.75" hidden="false" customHeight="false" outlineLevel="0" collapsed="false">
      <c r="A38" s="0" t="s">
        <v>399</v>
      </c>
      <c r="B38" s="57" t="s">
        <v>400</v>
      </c>
      <c r="C38" s="56" t="s">
        <v>359</v>
      </c>
    </row>
    <row r="39" customFormat="false" ht="76.5" hidden="false" customHeight="false" outlineLevel="0" collapsed="false">
      <c r="A39" s="0" t="s">
        <v>401</v>
      </c>
      <c r="B39" s="61" t="s">
        <v>402</v>
      </c>
      <c r="C39" s="56" t="s">
        <v>333</v>
      </c>
    </row>
    <row r="40" customFormat="false" ht="60.75" hidden="false" customHeight="false" outlineLevel="0" collapsed="false">
      <c r="A40" s="0" t="s">
        <v>403</v>
      </c>
      <c r="B40" s="61" t="s">
        <v>404</v>
      </c>
      <c r="C40" s="56" t="s">
        <v>333</v>
      </c>
    </row>
    <row r="41" customFormat="false" ht="76.5" hidden="false" customHeight="false" outlineLevel="0" collapsed="false">
      <c r="A41" s="0" t="s">
        <v>405</v>
      </c>
      <c r="B41" s="61" t="s">
        <v>406</v>
      </c>
      <c r="C41" s="56" t="s">
        <v>333</v>
      </c>
    </row>
    <row r="42" customFormat="false" ht="60.75" hidden="false" customHeight="false" outlineLevel="0" collapsed="false">
      <c r="A42" s="0" t="s">
        <v>407</v>
      </c>
      <c r="B42" s="61" t="s">
        <v>408</v>
      </c>
      <c r="C42" s="56" t="s">
        <v>333</v>
      </c>
    </row>
    <row r="43" customFormat="false" ht="76.5" hidden="false" customHeight="false" outlineLevel="0" collapsed="false">
      <c r="A43" s="0" t="s">
        <v>409</v>
      </c>
      <c r="B43" s="57" t="s">
        <v>410</v>
      </c>
      <c r="C43" s="56" t="s">
        <v>333</v>
      </c>
    </row>
    <row r="44" customFormat="false" ht="60.75" hidden="false" customHeight="false" outlineLevel="0" collapsed="false">
      <c r="A44" s="0" t="s">
        <v>411</v>
      </c>
      <c r="B44" s="57" t="s">
        <v>412</v>
      </c>
      <c r="C44" s="56" t="s">
        <v>333</v>
      </c>
    </row>
    <row r="45" customFormat="false" ht="76.5" hidden="false" customHeight="false" outlineLevel="0" collapsed="false">
      <c r="A45" s="0" t="s">
        <v>413</v>
      </c>
      <c r="B45" s="57" t="s">
        <v>414</v>
      </c>
      <c r="C45" s="56" t="s">
        <v>333</v>
      </c>
    </row>
    <row r="46" customFormat="false" ht="60.75" hidden="false" customHeight="false" outlineLevel="0" collapsed="false">
      <c r="A46" s="0" t="s">
        <v>415</v>
      </c>
      <c r="B46" s="57" t="s">
        <v>416</v>
      </c>
      <c r="C46" s="56" t="s">
        <v>333</v>
      </c>
    </row>
    <row r="47" customFormat="false" ht="76.5" hidden="false" customHeight="false" outlineLevel="0" collapsed="false">
      <c r="A47" s="0" t="s">
        <v>417</v>
      </c>
      <c r="B47" s="57" t="s">
        <v>418</v>
      </c>
      <c r="C47" s="56" t="s">
        <v>333</v>
      </c>
    </row>
    <row r="48" customFormat="false" ht="60.75" hidden="false" customHeight="false" outlineLevel="0" collapsed="false">
      <c r="A48" s="0" t="s">
        <v>419</v>
      </c>
      <c r="B48" s="57" t="s">
        <v>420</v>
      </c>
      <c r="C48" s="56" t="s">
        <v>333</v>
      </c>
    </row>
    <row r="49" customFormat="false" ht="76.5" hidden="false" customHeight="false" outlineLevel="0" collapsed="false">
      <c r="A49" s="0" t="s">
        <v>421</v>
      </c>
      <c r="B49" s="57" t="s">
        <v>422</v>
      </c>
      <c r="C49" s="56" t="s">
        <v>372</v>
      </c>
    </row>
    <row r="50" customFormat="false" ht="60.75" hidden="false" customHeight="false" outlineLevel="0" collapsed="false">
      <c r="A50" s="0" t="s">
        <v>423</v>
      </c>
      <c r="B50" s="57" t="s">
        <v>424</v>
      </c>
      <c r="C50" s="56" t="s">
        <v>372</v>
      </c>
    </row>
    <row r="51" customFormat="false" ht="76.5" hidden="false" customHeight="false" outlineLevel="0" collapsed="false">
      <c r="A51" s="0" t="s">
        <v>425</v>
      </c>
      <c r="B51" s="57" t="s">
        <v>426</v>
      </c>
      <c r="C51" s="56" t="s">
        <v>372</v>
      </c>
    </row>
    <row r="52" customFormat="false" ht="60.75" hidden="false" customHeight="false" outlineLevel="0" collapsed="false">
      <c r="A52" s="0" t="s">
        <v>427</v>
      </c>
      <c r="B52" s="57" t="s">
        <v>428</v>
      </c>
      <c r="C52" s="56" t="s">
        <v>372</v>
      </c>
    </row>
    <row r="53" customFormat="false" ht="60.75" hidden="false" customHeight="false" outlineLevel="0" collapsed="false">
      <c r="A53" s="0" t="s">
        <v>429</v>
      </c>
      <c r="B53" s="60" t="s">
        <v>430</v>
      </c>
    </row>
    <row r="54" customFormat="false" ht="45.75" hidden="false" customHeight="false" outlineLevel="0" collapsed="false">
      <c r="A54" s="0" t="s">
        <v>431</v>
      </c>
      <c r="B54" s="60" t="s">
        <v>432</v>
      </c>
    </row>
    <row r="55" customFormat="false" ht="60.75" hidden="false" customHeight="false" outlineLevel="0" collapsed="false">
      <c r="A55" s="0" t="s">
        <v>433</v>
      </c>
      <c r="B55" s="57" t="s">
        <v>434</v>
      </c>
      <c r="C55" s="56" t="s">
        <v>372</v>
      </c>
    </row>
    <row r="56" customFormat="false" ht="60.75" hidden="false" customHeight="false" outlineLevel="0" collapsed="false">
      <c r="A56" s="0" t="s">
        <v>435</v>
      </c>
      <c r="B56" s="57" t="s">
        <v>436</v>
      </c>
      <c r="C56" s="56" t="s">
        <v>372</v>
      </c>
    </row>
    <row r="57" customFormat="false" ht="60.75" hidden="false" customHeight="false" outlineLevel="0" collapsed="false">
      <c r="A57" s="0" t="s">
        <v>437</v>
      </c>
      <c r="B57" s="57" t="s">
        <v>438</v>
      </c>
      <c r="C57" s="56" t="s">
        <v>372</v>
      </c>
    </row>
    <row r="58" customFormat="false" ht="60.75" hidden="false" customHeight="false" outlineLevel="0" collapsed="false">
      <c r="A58" s="0" t="s">
        <v>439</v>
      </c>
      <c r="B58" s="57" t="s">
        <v>440</v>
      </c>
      <c r="C58" s="56" t="s">
        <v>372</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16" activeCellId="0" sqref="B16"/>
    </sheetView>
  </sheetViews>
  <sheetFormatPr defaultColWidth="11.4140625" defaultRowHeight="14.25" zeroHeight="false" outlineLevelRow="0" outlineLevelCol="0"/>
  <cols>
    <col collapsed="false" customWidth="true" hidden="false" outlineLevel="0" max="1" min="1" style="0" width="9.28"/>
    <col collapsed="false" customWidth="true" hidden="false" outlineLevel="0" max="2" min="2" style="62" width="118.14"/>
  </cols>
  <sheetData>
    <row r="1" customFormat="false" ht="14.25" hidden="false" customHeight="false" outlineLevel="0" collapsed="false">
      <c r="A1" s="3" t="s">
        <v>441</v>
      </c>
    </row>
    <row r="3" customFormat="false" ht="14.25" hidden="false" customHeight="false" outlineLevel="0" collapsed="false">
      <c r="A3" s="25" t="s">
        <v>239</v>
      </c>
      <c r="B3" s="63" t="s">
        <v>442</v>
      </c>
    </row>
    <row r="4" customFormat="false" ht="14.25" hidden="false" customHeight="false" outlineLevel="0" collapsed="false">
      <c r="A4" s="0" t="s">
        <v>443</v>
      </c>
      <c r="B4" s="62" t="s">
        <v>444</v>
      </c>
    </row>
    <row r="5" customFormat="false" ht="14.25" hidden="false" customHeight="false" outlineLevel="0" collapsed="false">
      <c r="A5" s="0" t="s">
        <v>445</v>
      </c>
      <c r="B5" s="62" t="s">
        <v>446</v>
      </c>
    </row>
    <row r="7" customFormat="false" ht="14.25" hidden="false" customHeight="false" outlineLevel="0" collapsed="false">
      <c r="B7" s="63" t="s">
        <v>447</v>
      </c>
    </row>
    <row r="8" customFormat="false" ht="28.5" hidden="false" customHeight="false" outlineLevel="0" collapsed="false">
      <c r="A8" s="0" t="s">
        <v>448</v>
      </c>
      <c r="B8" s="62" t="s">
        <v>449</v>
      </c>
    </row>
    <row r="9" customFormat="false" ht="28.5" hidden="false" customHeight="false" outlineLevel="0" collapsed="false">
      <c r="A9" s="0" t="s">
        <v>450</v>
      </c>
      <c r="B9" s="62" t="s">
        <v>451</v>
      </c>
    </row>
    <row r="10" customFormat="false" ht="28.5" hidden="false" customHeight="false" outlineLevel="0" collapsed="false">
      <c r="A10" s="0" t="s">
        <v>452</v>
      </c>
      <c r="B10" s="62" t="s">
        <v>453</v>
      </c>
    </row>
    <row r="12" customFormat="false" ht="14.25" hidden="false" customHeight="false" outlineLevel="0" collapsed="false">
      <c r="B12" s="63" t="s">
        <v>454</v>
      </c>
    </row>
    <row r="13" customFormat="false" ht="14.25" hidden="false" customHeight="false" outlineLevel="0" collapsed="false">
      <c r="A13" s="0" t="s">
        <v>455</v>
      </c>
      <c r="B13" s="62" t="s">
        <v>456</v>
      </c>
    </row>
    <row r="14" customFormat="false" ht="28.5" hidden="false" customHeight="false" outlineLevel="0" collapsed="false">
      <c r="A14" s="0" t="s">
        <v>457</v>
      </c>
      <c r="B14" s="62" t="s">
        <v>458</v>
      </c>
    </row>
    <row r="15" customFormat="false" ht="14.25" hidden="false" customHeight="false" outlineLevel="0" collapsed="false">
      <c r="A15" s="0" t="s">
        <v>459</v>
      </c>
      <c r="B15" s="62" t="s">
        <v>460</v>
      </c>
    </row>
    <row r="16" customFormat="false" ht="42.75" hidden="false" customHeight="false" outlineLevel="0" collapsed="false">
      <c r="A16" s="0" t="s">
        <v>461</v>
      </c>
      <c r="B16" s="62" t="s">
        <v>462</v>
      </c>
    </row>
    <row r="17" customFormat="false" ht="42.75" hidden="false" customHeight="false" outlineLevel="0" collapsed="false">
      <c r="A17" s="0" t="s">
        <v>463</v>
      </c>
      <c r="B17" s="62" t="s">
        <v>464</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9B43F9A2BF99C145A97E1F24240CACC5" ma:contentTypeVersion="2" ma:contentTypeDescription="Ein neues Dokument erstellen." ma:contentTypeScope="" ma:versionID="622f7e0d62690b40b6b66a8836b6db6b">
  <xsd:schema xmlns:xsd="http://www.w3.org/2001/XMLSchema" xmlns:xs="http://www.w3.org/2001/XMLSchema" xmlns:p="http://schemas.microsoft.com/office/2006/metadata/properties" xmlns:ns2="0b6e3095-4fd5-4f76-ae54-62b873214d55" targetNamespace="http://schemas.microsoft.com/office/2006/metadata/properties" ma:root="true" ma:fieldsID="ed821b76771400ab03cc80a7b279708e" ns2:_="">
    <xsd:import namespace="0b6e3095-4fd5-4f76-ae54-62b873214d55"/>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6e3095-4fd5-4f76-ae54-62b873214d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8A46BD-075C-4460-ABD3-5E8F1283600A}"/>
</file>

<file path=customXml/itemProps2.xml><?xml version="1.0" encoding="utf-8"?>
<ds:datastoreItem xmlns:ds="http://schemas.openxmlformats.org/officeDocument/2006/customXml" ds:itemID="{4945DDDB-1595-4E42-8B3F-72E43B1AB0DA}"/>
</file>

<file path=customXml/itemProps3.xml><?xml version="1.0" encoding="utf-8"?>
<ds:datastoreItem xmlns:ds="http://schemas.openxmlformats.org/officeDocument/2006/customXml" ds:itemID="{97F4127B-C728-4E93-93C1-A2386CD52DA2}"/>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2023-01-26T10:41:50Z</dcterms:created>
  <dc:creator>Julia Pelzeter</dc:creator>
  <dc:description/>
  <dc:language>de-DE</dc:language>
  <cp:lastModifiedBy>Till Seifert</cp:lastModifiedBy>
  <dcterms:modified xsi:type="dcterms:W3CDTF">2023-06-22T08:49:56Z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0x0101009B43F9A2BF99C145A97E1F24240CACC5</vt:lpwstr>
  </property>
  <property fmtid="{D5CDD505-2E9C-101B-9397-08002B2CF9AE}" pid="3" name="MediaServiceImageTags">
    <vt:lpwstr/>
  </property>
</Properties>
</file>